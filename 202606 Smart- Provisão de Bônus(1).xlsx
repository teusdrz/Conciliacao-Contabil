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ngrid.souza\Downloads\"/>
    </mc:Choice>
  </mc:AlternateContent>
  <xr:revisionPtr revIDLastSave="0" documentId="13_ncr:1_{E83D04C9-8A97-41FC-9B03-61FF5A9CD514}" xr6:coauthVersionLast="47" xr6:coauthVersionMax="47" xr10:uidLastSave="{00000000-0000-0000-0000-000000000000}"/>
  <bookViews>
    <workbookView xWindow="9510" yWindow="0" windowWidth="9780" windowHeight="10170" tabRatio="911" firstSheet="1" activeTab="1" xr2:uid="{E7460AC7-8032-4246-97D6-FD5FAAA32F84}"/>
  </bookViews>
  <sheets>
    <sheet name="Parametros" sheetId="1" state="hidden" r:id="rId1"/>
    <sheet name="01.Razão (2)" sheetId="9" r:id="rId2"/>
    <sheet name="Capa" sheetId="7" r:id="rId3"/>
    <sheet name="00.Balancete" sheetId="8" r:id="rId4"/>
    <sheet name="01.Razão" sheetId="2" r:id="rId5"/>
    <sheet name="02.Suporte" sheetId="5" r:id="rId6"/>
    <sheet name="03.Conciliação" sheetId="3"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 hidden="1">#N/A</definedName>
    <definedName name="\ZDXSADXSAA" hidden="1">#REF!</definedName>
    <definedName name="_____________________edu1" localSheetId="3" hidden="1">{#N/A,#N/A,FALSE,"Posição Financeira"}</definedName>
    <definedName name="_____________________edu1" localSheetId="2" hidden="1">{#N/A,#N/A,FALSE,"Posição Financeira"}</definedName>
    <definedName name="_____________________edu1" hidden="1">{#N/A,#N/A,FALSE,"Posição Financeira"}</definedName>
    <definedName name="_____________________edu2" localSheetId="3" hidden="1">{#N/A,#N/A,FALSE,"Posição Financeira"}</definedName>
    <definedName name="_____________________edu2" localSheetId="2" hidden="1">{#N/A,#N/A,FALSE,"Posição Financeira"}</definedName>
    <definedName name="_____________________edu2" hidden="1">{#N/A,#N/A,FALSE,"Posição Financeira"}</definedName>
    <definedName name="_____________________edu3" localSheetId="3" hidden="1">{#N/A,#N/A,FALSE,"Posição Financeira"}</definedName>
    <definedName name="_____________________edu3" localSheetId="2" hidden="1">{#N/A,#N/A,FALSE,"Posição Financeira"}</definedName>
    <definedName name="_____________________edu3" hidden="1">{#N/A,#N/A,FALSE,"Posição Financeira"}</definedName>
    <definedName name="_____________________l" localSheetId="3" hidden="1">{#N/A,#N/A,FALSE,"Posição Financeira"}</definedName>
    <definedName name="_____________________l" localSheetId="2" hidden="1">{#N/A,#N/A,FALSE,"Posição Financeira"}</definedName>
    <definedName name="_____________________l" hidden="1">{#N/A,#N/A,FALSE,"Posição Financeira"}</definedName>
    <definedName name="____________________edu1" localSheetId="3" hidden="1">{#N/A,#N/A,FALSE,"Posição Financeira"}</definedName>
    <definedName name="____________________edu1" localSheetId="2" hidden="1">{#N/A,#N/A,FALSE,"Posição Financeira"}</definedName>
    <definedName name="____________________edu1" hidden="1">{#N/A,#N/A,FALSE,"Posição Financeira"}</definedName>
    <definedName name="____________________edu2" localSheetId="3" hidden="1">{#N/A,#N/A,FALSE,"Posição Financeira"}</definedName>
    <definedName name="____________________edu2" localSheetId="2" hidden="1">{#N/A,#N/A,FALSE,"Posição Financeira"}</definedName>
    <definedName name="____________________edu2" hidden="1">{#N/A,#N/A,FALSE,"Posição Financeira"}</definedName>
    <definedName name="____________________edu3" localSheetId="3" hidden="1">{#N/A,#N/A,FALSE,"Posição Financeira"}</definedName>
    <definedName name="____________________edu3" localSheetId="2" hidden="1">{#N/A,#N/A,FALSE,"Posição Financeira"}</definedName>
    <definedName name="____________________edu3" hidden="1">{#N/A,#N/A,FALSE,"Posição Financeira"}</definedName>
    <definedName name="____________________l" localSheetId="3" hidden="1">{#N/A,#N/A,FALSE,"Posição Financeira"}</definedName>
    <definedName name="____________________l" localSheetId="2" hidden="1">{#N/A,#N/A,FALSE,"Posição Financeira"}</definedName>
    <definedName name="____________________l" hidden="1">{#N/A,#N/A,FALSE,"Posição Financeira"}</definedName>
    <definedName name="___________________edu1" localSheetId="3" hidden="1">{#N/A,#N/A,FALSE,"Posição Financeira"}</definedName>
    <definedName name="___________________edu1" localSheetId="2" hidden="1">{#N/A,#N/A,FALSE,"Posição Financeira"}</definedName>
    <definedName name="___________________edu1" hidden="1">{#N/A,#N/A,FALSE,"Posição Financeira"}</definedName>
    <definedName name="___________________edu2" localSheetId="3" hidden="1">{#N/A,#N/A,FALSE,"Posição Financeira"}</definedName>
    <definedName name="___________________edu2" localSheetId="2" hidden="1">{#N/A,#N/A,FALSE,"Posição Financeira"}</definedName>
    <definedName name="___________________edu2" hidden="1">{#N/A,#N/A,FALSE,"Posição Financeira"}</definedName>
    <definedName name="___________________edu3" localSheetId="3" hidden="1">{#N/A,#N/A,FALSE,"Posição Financeira"}</definedName>
    <definedName name="___________________edu3" localSheetId="2" hidden="1">{#N/A,#N/A,FALSE,"Posição Financeira"}</definedName>
    <definedName name="___________________edu3" hidden="1">{#N/A,#N/A,FALSE,"Posição Financeira"}</definedName>
    <definedName name="___________________l" localSheetId="3" hidden="1">{#N/A,#N/A,FALSE,"Posição Financeira"}</definedName>
    <definedName name="___________________l" localSheetId="2" hidden="1">{#N/A,#N/A,FALSE,"Posição Financeira"}</definedName>
    <definedName name="___________________l" hidden="1">{#N/A,#N/A,FALSE,"Posição Financeira"}</definedName>
    <definedName name="_________________edu1" localSheetId="3" hidden="1">{#N/A,#N/A,FALSE,"Posição Financeira"}</definedName>
    <definedName name="_________________edu1" localSheetId="2" hidden="1">{#N/A,#N/A,FALSE,"Posição Financeira"}</definedName>
    <definedName name="_________________edu1" hidden="1">{#N/A,#N/A,FALSE,"Posição Financeira"}</definedName>
    <definedName name="_________________edu2" localSheetId="3" hidden="1">{#N/A,#N/A,FALSE,"Posição Financeira"}</definedName>
    <definedName name="_________________edu2" localSheetId="2" hidden="1">{#N/A,#N/A,FALSE,"Posição Financeira"}</definedName>
    <definedName name="_________________edu2" hidden="1">{#N/A,#N/A,FALSE,"Posição Financeira"}</definedName>
    <definedName name="_________________edu3" localSheetId="3" hidden="1">{#N/A,#N/A,FALSE,"Posição Financeira"}</definedName>
    <definedName name="_________________edu3" localSheetId="2" hidden="1">{#N/A,#N/A,FALSE,"Posição Financeira"}</definedName>
    <definedName name="_________________edu3" hidden="1">{#N/A,#N/A,FALSE,"Posição Financeira"}</definedName>
    <definedName name="_________________l" localSheetId="3" hidden="1">{#N/A,#N/A,FALSE,"Posição Financeira"}</definedName>
    <definedName name="_________________l" localSheetId="2" hidden="1">{#N/A,#N/A,FALSE,"Posição Financeira"}</definedName>
    <definedName name="_________________l" hidden="1">{#N/A,#N/A,FALSE,"Posição Financeira"}</definedName>
    <definedName name="________________edu1" localSheetId="3" hidden="1">{#N/A,#N/A,FALSE,"Posição Financeira"}</definedName>
    <definedName name="________________edu1" localSheetId="2" hidden="1">{#N/A,#N/A,FALSE,"Posição Financeira"}</definedName>
    <definedName name="________________edu1" hidden="1">{#N/A,#N/A,FALSE,"Posição Financeira"}</definedName>
    <definedName name="________________edu2" localSheetId="3" hidden="1">{#N/A,#N/A,FALSE,"Posição Financeira"}</definedName>
    <definedName name="________________edu2" localSheetId="2" hidden="1">{#N/A,#N/A,FALSE,"Posição Financeira"}</definedName>
    <definedName name="________________edu2" hidden="1">{#N/A,#N/A,FALSE,"Posição Financeira"}</definedName>
    <definedName name="________________edu3" localSheetId="3" hidden="1">{#N/A,#N/A,FALSE,"Posição Financeira"}</definedName>
    <definedName name="________________edu3" localSheetId="2" hidden="1">{#N/A,#N/A,FALSE,"Posição Financeira"}</definedName>
    <definedName name="________________edu3" hidden="1">{#N/A,#N/A,FALSE,"Posição Financeira"}</definedName>
    <definedName name="________________l" localSheetId="3" hidden="1">{#N/A,#N/A,FALSE,"Posição Financeira"}</definedName>
    <definedName name="________________l" localSheetId="2" hidden="1">{#N/A,#N/A,FALSE,"Posição Financeira"}</definedName>
    <definedName name="________________l" hidden="1">{#N/A,#N/A,FALSE,"Posição Financeira"}</definedName>
    <definedName name="_______________edu1" localSheetId="3" hidden="1">{#N/A,#N/A,FALSE,"Posição Financeira"}</definedName>
    <definedName name="_______________edu1" localSheetId="2" hidden="1">{#N/A,#N/A,FALSE,"Posição Financeira"}</definedName>
    <definedName name="_______________edu1" hidden="1">{#N/A,#N/A,FALSE,"Posição Financeira"}</definedName>
    <definedName name="_______________edu2" localSheetId="3" hidden="1">{#N/A,#N/A,FALSE,"Posição Financeira"}</definedName>
    <definedName name="_______________edu2" localSheetId="2" hidden="1">{#N/A,#N/A,FALSE,"Posição Financeira"}</definedName>
    <definedName name="_______________edu2" hidden="1">{#N/A,#N/A,FALSE,"Posição Financeira"}</definedName>
    <definedName name="_______________edu3" localSheetId="3" hidden="1">{#N/A,#N/A,FALSE,"Posição Financeira"}</definedName>
    <definedName name="_______________edu3" localSheetId="2" hidden="1">{#N/A,#N/A,FALSE,"Posição Financeira"}</definedName>
    <definedName name="_______________edu3" hidden="1">{#N/A,#N/A,FALSE,"Posição Financeira"}</definedName>
    <definedName name="_______________l" localSheetId="3" hidden="1">{#N/A,#N/A,FALSE,"Posição Financeira"}</definedName>
    <definedName name="_______________l" localSheetId="2" hidden="1">{#N/A,#N/A,FALSE,"Posição Financeira"}</definedName>
    <definedName name="_______________l" hidden="1">{#N/A,#N/A,FALSE,"Posição Financeira"}</definedName>
    <definedName name="______________edu1" localSheetId="3" hidden="1">{#N/A,#N/A,FALSE,"Posição Financeira"}</definedName>
    <definedName name="______________edu1" localSheetId="2" hidden="1">{#N/A,#N/A,FALSE,"Posição Financeira"}</definedName>
    <definedName name="______________edu1" hidden="1">{#N/A,#N/A,FALSE,"Posição Financeira"}</definedName>
    <definedName name="______________edu2" localSheetId="3" hidden="1">{#N/A,#N/A,FALSE,"Posição Financeira"}</definedName>
    <definedName name="______________edu2" localSheetId="2" hidden="1">{#N/A,#N/A,FALSE,"Posição Financeira"}</definedName>
    <definedName name="______________edu2" hidden="1">{#N/A,#N/A,FALSE,"Posição Financeira"}</definedName>
    <definedName name="______________edu3" localSheetId="3" hidden="1">{#N/A,#N/A,FALSE,"Posição Financeira"}</definedName>
    <definedName name="______________edu3" localSheetId="2" hidden="1">{#N/A,#N/A,FALSE,"Posição Financeira"}</definedName>
    <definedName name="______________edu3" hidden="1">{#N/A,#N/A,FALSE,"Posição Financeira"}</definedName>
    <definedName name="______________l" localSheetId="3" hidden="1">{#N/A,#N/A,FALSE,"Posição Financeira"}</definedName>
    <definedName name="______________l" localSheetId="2" hidden="1">{#N/A,#N/A,FALSE,"Posição Financeira"}</definedName>
    <definedName name="______________l" hidden="1">{#N/A,#N/A,FALSE,"Posição Financeira"}</definedName>
    <definedName name="_____________edu1" localSheetId="3" hidden="1">{#N/A,#N/A,FALSE,"Posição Financeira"}</definedName>
    <definedName name="_____________edu1" localSheetId="2" hidden="1">{#N/A,#N/A,FALSE,"Posição Financeira"}</definedName>
    <definedName name="_____________edu1" hidden="1">{#N/A,#N/A,FALSE,"Posição Financeira"}</definedName>
    <definedName name="_____________edu2" localSheetId="3" hidden="1">{#N/A,#N/A,FALSE,"Posição Financeira"}</definedName>
    <definedName name="_____________edu2" localSheetId="2" hidden="1">{#N/A,#N/A,FALSE,"Posição Financeira"}</definedName>
    <definedName name="_____________edu2" hidden="1">{#N/A,#N/A,FALSE,"Posição Financeira"}</definedName>
    <definedName name="_____________edu3" localSheetId="3" hidden="1">{#N/A,#N/A,FALSE,"Posição Financeira"}</definedName>
    <definedName name="_____________edu3" localSheetId="2" hidden="1">{#N/A,#N/A,FALSE,"Posição Financeira"}</definedName>
    <definedName name="_____________edu3" hidden="1">{#N/A,#N/A,FALSE,"Posição Financeira"}</definedName>
    <definedName name="_____________l" localSheetId="3" hidden="1">{#N/A,#N/A,FALSE,"Posição Financeira"}</definedName>
    <definedName name="_____________l" localSheetId="2" hidden="1">{#N/A,#N/A,FALSE,"Posição Financeira"}</definedName>
    <definedName name="_____________l" hidden="1">{#N/A,#N/A,FALSE,"Posição Financeira"}</definedName>
    <definedName name="____________edu1" localSheetId="3" hidden="1">{#N/A,#N/A,FALSE,"Posição Financeira"}</definedName>
    <definedName name="____________edu1" localSheetId="2" hidden="1">{#N/A,#N/A,FALSE,"Posição Financeira"}</definedName>
    <definedName name="____________edu1" hidden="1">{#N/A,#N/A,FALSE,"Posição Financeira"}</definedName>
    <definedName name="____________edu2" localSheetId="3" hidden="1">{#N/A,#N/A,FALSE,"Posição Financeira"}</definedName>
    <definedName name="____________edu2" localSheetId="2" hidden="1">{#N/A,#N/A,FALSE,"Posição Financeira"}</definedName>
    <definedName name="____________edu2" hidden="1">{#N/A,#N/A,FALSE,"Posição Financeira"}</definedName>
    <definedName name="____________edu3" localSheetId="3" hidden="1">{#N/A,#N/A,FALSE,"Posição Financeira"}</definedName>
    <definedName name="____________edu3" localSheetId="2" hidden="1">{#N/A,#N/A,FALSE,"Posição Financeira"}</definedName>
    <definedName name="____________edu3" hidden="1">{#N/A,#N/A,FALSE,"Posição Financeira"}</definedName>
    <definedName name="____________l" localSheetId="3" hidden="1">{#N/A,#N/A,FALSE,"Posição Financeira"}</definedName>
    <definedName name="____________l" localSheetId="2" hidden="1">{#N/A,#N/A,FALSE,"Posição Financeira"}</definedName>
    <definedName name="____________l" hidden="1">{#N/A,#N/A,FALSE,"Posição Financeira"}</definedName>
    <definedName name="___________edu1" localSheetId="3" hidden="1">{#N/A,#N/A,FALSE,"Posição Financeira"}</definedName>
    <definedName name="___________edu1" localSheetId="2" hidden="1">{#N/A,#N/A,FALSE,"Posição Financeira"}</definedName>
    <definedName name="___________edu1" hidden="1">{#N/A,#N/A,FALSE,"Posição Financeira"}</definedName>
    <definedName name="___________edu2" localSheetId="3" hidden="1">{#N/A,#N/A,FALSE,"Posição Financeira"}</definedName>
    <definedName name="___________edu2" localSheetId="2" hidden="1">{#N/A,#N/A,FALSE,"Posição Financeira"}</definedName>
    <definedName name="___________edu2" hidden="1">{#N/A,#N/A,FALSE,"Posição Financeira"}</definedName>
    <definedName name="___________edu3" localSheetId="3" hidden="1">{#N/A,#N/A,FALSE,"Posição Financeira"}</definedName>
    <definedName name="___________edu3" localSheetId="2" hidden="1">{#N/A,#N/A,FALSE,"Posição Financeira"}</definedName>
    <definedName name="___________edu3" hidden="1">{#N/A,#N/A,FALSE,"Posição Financeira"}</definedName>
    <definedName name="___________l" localSheetId="3" hidden="1">{#N/A,#N/A,FALSE,"Posição Financeira"}</definedName>
    <definedName name="___________l" localSheetId="2" hidden="1">{#N/A,#N/A,FALSE,"Posição Financeira"}</definedName>
    <definedName name="___________l" hidden="1">{#N/A,#N/A,FALSE,"Posição Financeira"}</definedName>
    <definedName name="_________edu1" localSheetId="3" hidden="1">{#N/A,#N/A,FALSE,"Posição Financeira"}</definedName>
    <definedName name="_________edu1" localSheetId="2" hidden="1">{#N/A,#N/A,FALSE,"Posição Financeira"}</definedName>
    <definedName name="_________edu1" hidden="1">{#N/A,#N/A,FALSE,"Posição Financeira"}</definedName>
    <definedName name="_________edu2" localSheetId="3" hidden="1">{#N/A,#N/A,FALSE,"Posição Financeira"}</definedName>
    <definedName name="_________edu2" localSheetId="2" hidden="1">{#N/A,#N/A,FALSE,"Posição Financeira"}</definedName>
    <definedName name="_________edu2" hidden="1">{#N/A,#N/A,FALSE,"Posição Financeira"}</definedName>
    <definedName name="_________edu3" localSheetId="3" hidden="1">{#N/A,#N/A,FALSE,"Posição Financeira"}</definedName>
    <definedName name="_________edu3" localSheetId="2" hidden="1">{#N/A,#N/A,FALSE,"Posição Financeira"}</definedName>
    <definedName name="_________edu3" hidden="1">{#N/A,#N/A,FALSE,"Posição Financeira"}</definedName>
    <definedName name="_________l" localSheetId="3" hidden="1">{#N/A,#N/A,FALSE,"Posição Financeira"}</definedName>
    <definedName name="_________l" localSheetId="2" hidden="1">{#N/A,#N/A,FALSE,"Posição Financeira"}</definedName>
    <definedName name="_________l" hidden="1">{#N/A,#N/A,FALSE,"Posição Financeira"}</definedName>
    <definedName name="________edu1" localSheetId="3" hidden="1">{#N/A,#N/A,FALSE,"Posição Financeira"}</definedName>
    <definedName name="________edu1" localSheetId="2" hidden="1">{#N/A,#N/A,FALSE,"Posição Financeira"}</definedName>
    <definedName name="________edu1" hidden="1">{#N/A,#N/A,FALSE,"Posição Financeira"}</definedName>
    <definedName name="________edu2" localSheetId="3" hidden="1">{#N/A,#N/A,FALSE,"Posição Financeira"}</definedName>
    <definedName name="________edu2" localSheetId="2" hidden="1">{#N/A,#N/A,FALSE,"Posição Financeira"}</definedName>
    <definedName name="________edu2" hidden="1">{#N/A,#N/A,FALSE,"Posição Financeira"}</definedName>
    <definedName name="________edu3" localSheetId="3" hidden="1">{#N/A,#N/A,FALSE,"Posição Financeira"}</definedName>
    <definedName name="________edu3" localSheetId="2" hidden="1">{#N/A,#N/A,FALSE,"Posição Financeira"}</definedName>
    <definedName name="________edu3" hidden="1">{#N/A,#N/A,FALSE,"Posição Financeira"}</definedName>
    <definedName name="________l" localSheetId="3" hidden="1">{#N/A,#N/A,FALSE,"Posição Financeira"}</definedName>
    <definedName name="________l" localSheetId="2" hidden="1">{#N/A,#N/A,FALSE,"Posição Financeira"}</definedName>
    <definedName name="________l" hidden="1">{#N/A,#N/A,FALSE,"Posição Financeira"}</definedName>
    <definedName name="_______A2" localSheetId="3" hidden="1">{#N/A,#N/A,FALSE,"Aging Summary";#N/A,#N/A,FALSE,"Ratio Analysis";#N/A,#N/A,FALSE,"Test 120 Day Accts";#N/A,#N/A,FALSE,"Tickmarks"}</definedName>
    <definedName name="_______A2" localSheetId="2" hidden="1">{#N/A,#N/A,FALSE,"Aging Summary";#N/A,#N/A,FALSE,"Ratio Analysis";#N/A,#N/A,FALSE,"Test 120 Day Accts";#N/A,#N/A,FALSE,"Tickmarks"}</definedName>
    <definedName name="_______A2" hidden="1">{#N/A,#N/A,FALSE,"Aging Summary";#N/A,#N/A,FALSE,"Ratio Analysis";#N/A,#N/A,FALSE,"Test 120 Day Accts";#N/A,#N/A,FALSE,"Tickmarks"}</definedName>
    <definedName name="_______cp010103" localSheetId="3" hidden="1">{#N/A,#N/A,TRUE,"MEMO";#N/A,#N/A,TRUE,"PARAMETROS";#N/A,#N/A,TRUE,"RLI ";#N/A,#N/A,TRUE,"IMPTO.DET.";#N/A,#N/A,TRUE,"FUT-FUNT";#N/A,#N/A,TRUE,"CPI-PATR.";#N/A,#N/A,TRUE,"CM CPI";#N/A,#N/A,TRUE,"PROV";#N/A,#N/A,TRUE,"A FIJO";#N/A,#N/A,TRUE,"LEASING";#N/A,#N/A,TRUE,"VPP";#N/A,#N/A,TRUE,"PPM";#N/A,#N/A,TRUE,"OTROS"}</definedName>
    <definedName name="_______cp010103" localSheetId="2" hidden="1">{#N/A,#N/A,TRUE,"MEMO";#N/A,#N/A,TRUE,"PARAMETROS";#N/A,#N/A,TRUE,"RLI ";#N/A,#N/A,TRUE,"IMPTO.DET.";#N/A,#N/A,TRUE,"FUT-FUNT";#N/A,#N/A,TRUE,"CPI-PATR.";#N/A,#N/A,TRUE,"CM CPI";#N/A,#N/A,TRUE,"PROV";#N/A,#N/A,TRUE,"A FIJO";#N/A,#N/A,TRUE,"LEASING";#N/A,#N/A,TRUE,"VPP";#N/A,#N/A,TRUE,"PPM";#N/A,#N/A,TRUE,"OTROS"}</definedName>
    <definedName name="_______cp010103" hidden="1">{#N/A,#N/A,TRUE,"MEMO";#N/A,#N/A,TRUE,"PARAMETROS";#N/A,#N/A,TRUE,"RLI ";#N/A,#N/A,TRUE,"IMPTO.DET.";#N/A,#N/A,TRUE,"FUT-FUNT";#N/A,#N/A,TRUE,"CPI-PATR.";#N/A,#N/A,TRUE,"CM CPI";#N/A,#N/A,TRUE,"PROV";#N/A,#N/A,TRUE,"A FIJO";#N/A,#N/A,TRUE,"LEASING";#N/A,#N/A,TRUE,"VPP";#N/A,#N/A,TRUE,"PPM";#N/A,#N/A,TRUE,"OTROS"}</definedName>
    <definedName name="_______edu1" localSheetId="3" hidden="1">{#N/A,#N/A,FALSE,"Posição Financeira"}</definedName>
    <definedName name="_______edu1" localSheetId="2" hidden="1">{#N/A,#N/A,FALSE,"Posição Financeira"}</definedName>
    <definedName name="_______edu1" hidden="1">{#N/A,#N/A,FALSE,"Posição Financeira"}</definedName>
    <definedName name="_______edu2" localSheetId="3" hidden="1">{#N/A,#N/A,FALSE,"Posição Financeira"}</definedName>
    <definedName name="_______edu2" localSheetId="2" hidden="1">{#N/A,#N/A,FALSE,"Posição Financeira"}</definedName>
    <definedName name="_______edu2" hidden="1">{#N/A,#N/A,FALSE,"Posição Financeira"}</definedName>
    <definedName name="_______edu3" localSheetId="3" hidden="1">{#N/A,#N/A,FALSE,"Posição Financeira"}</definedName>
    <definedName name="_______edu3" localSheetId="2" hidden="1">{#N/A,#N/A,FALSE,"Posição Financeira"}</definedName>
    <definedName name="_______edu3" hidden="1">{#N/A,#N/A,FALSE,"Posição Financeira"}</definedName>
    <definedName name="_______gc2" localSheetId="3" hidden="1">{#N/A,#N/A,TRUE,"MEMO";#N/A,#N/A,TRUE,"PARAMETROS";#N/A,#N/A,TRUE,"RLI ";#N/A,#N/A,TRUE,"IMPTO.DET.";#N/A,#N/A,TRUE,"FUT-FUNT";#N/A,#N/A,TRUE,"CPI-PATR.";#N/A,#N/A,TRUE,"CM CPI";#N/A,#N/A,TRUE,"PROV";#N/A,#N/A,TRUE,"A FIJO";#N/A,#N/A,TRUE,"LEASING";#N/A,#N/A,TRUE,"VPP";#N/A,#N/A,TRUE,"PPM";#N/A,#N/A,TRUE,"OTROS"}</definedName>
    <definedName name="_______gc2" localSheetId="2" hidden="1">{#N/A,#N/A,TRUE,"MEMO";#N/A,#N/A,TRUE,"PARAMETROS";#N/A,#N/A,TRUE,"RLI ";#N/A,#N/A,TRUE,"IMPTO.DET.";#N/A,#N/A,TRUE,"FUT-FUNT";#N/A,#N/A,TRUE,"CPI-PATR.";#N/A,#N/A,TRUE,"CM CPI";#N/A,#N/A,TRUE,"PROV";#N/A,#N/A,TRUE,"A FIJO";#N/A,#N/A,TRUE,"LEASING";#N/A,#N/A,TRUE,"VPP";#N/A,#N/A,TRUE,"PPM";#N/A,#N/A,TRUE,"OTROS"}</definedName>
    <definedName name="_______gc2" hidden="1">{#N/A,#N/A,TRUE,"MEMO";#N/A,#N/A,TRUE,"PARAMETROS";#N/A,#N/A,TRUE,"RLI ";#N/A,#N/A,TRUE,"IMPTO.DET.";#N/A,#N/A,TRUE,"FUT-FUNT";#N/A,#N/A,TRUE,"CPI-PATR.";#N/A,#N/A,TRUE,"CM CPI";#N/A,#N/A,TRUE,"PROV";#N/A,#N/A,TRUE,"A FIJO";#N/A,#N/A,TRUE,"LEASING";#N/A,#N/A,TRUE,"VPP";#N/A,#N/A,TRUE,"PPM";#N/A,#N/A,TRUE,"OTROS"}</definedName>
    <definedName name="_______l" localSheetId="3" hidden="1">{#N/A,#N/A,FALSE,"Posição Financeira"}</definedName>
    <definedName name="_______l" localSheetId="2" hidden="1">{#N/A,#N/A,FALSE,"Posição Financeira"}</definedName>
    <definedName name="_______l" hidden="1">{#N/A,#N/A,FALSE,"Posição Financeira"}</definedName>
    <definedName name="_______M136001"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136001"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PPM1" localSheetId="3" hidden="1">{#N/A,#N/A,FALSE,"Aging Summary";#N/A,#N/A,FALSE,"Ratio Analysis";#N/A,#N/A,FALSE,"Test 120 Day Accts";#N/A,#N/A,FALSE,"Tickmarks"}</definedName>
    <definedName name="_______PPM1" localSheetId="2" hidden="1">{#N/A,#N/A,FALSE,"Aging Summary";#N/A,#N/A,FALSE,"Ratio Analysis";#N/A,#N/A,FALSE,"Test 120 Day Accts";#N/A,#N/A,FALSE,"Tickmarks"}</definedName>
    <definedName name="_______PPM1" hidden="1">{#N/A,#N/A,FALSE,"Aging Summary";#N/A,#N/A,FALSE,"Ratio Analysis";#N/A,#N/A,FALSE,"Test 120 Day Accts";#N/A,#N/A,FALSE,"Tickmarks"}</definedName>
    <definedName name="_______pt8" localSheetId="3" hidden="1">{#N/A,#N/A,FALSE,"Aging Summary";#N/A,#N/A,FALSE,"Ratio Analysis";#N/A,#N/A,FALSE,"Test 120 Day Accts";#N/A,#N/A,FALSE,"Tickmarks"}</definedName>
    <definedName name="_______pt8" localSheetId="2" hidden="1">{#N/A,#N/A,FALSE,"Aging Summary";#N/A,#N/A,FALSE,"Ratio Analysis";#N/A,#N/A,FALSE,"Test 120 Day Accts";#N/A,#N/A,FALSE,"Tickmarks"}</definedName>
    <definedName name="_______pt8" hidden="1">{#N/A,#N/A,FALSE,"Aging Summary";#N/A,#N/A,FALSE,"Ratio Analysis";#N/A,#N/A,FALSE,"Test 120 Day Accts";#N/A,#N/A,FALSE,"Tickmarks"}</definedName>
    <definedName name="______A2" localSheetId="3" hidden="1">{#N/A,#N/A,FALSE,"Aging Summary";#N/A,#N/A,FALSE,"Ratio Analysis";#N/A,#N/A,FALSE,"Test 120 Day Accts";#N/A,#N/A,FALSE,"Tickmarks"}</definedName>
    <definedName name="______A2" localSheetId="2" hidden="1">{#N/A,#N/A,FALSE,"Aging Summary";#N/A,#N/A,FALSE,"Ratio Analysis";#N/A,#N/A,FALSE,"Test 120 Day Accts";#N/A,#N/A,FALSE,"Tickmarks"}</definedName>
    <definedName name="______A2" hidden="1">{#N/A,#N/A,FALSE,"Aging Summary";#N/A,#N/A,FALSE,"Ratio Analysis";#N/A,#N/A,FALSE,"Test 120 Day Accts";#N/A,#N/A,FALSE,"Tickmarks"}</definedName>
    <definedName name="______cp010103" localSheetId="3" hidden="1">{#N/A,#N/A,TRUE,"MEMO";#N/A,#N/A,TRUE,"PARAMETROS";#N/A,#N/A,TRUE,"RLI ";#N/A,#N/A,TRUE,"IMPTO.DET.";#N/A,#N/A,TRUE,"FUT-FUNT";#N/A,#N/A,TRUE,"CPI-PATR.";#N/A,#N/A,TRUE,"CM CPI";#N/A,#N/A,TRUE,"PROV";#N/A,#N/A,TRUE,"A FIJO";#N/A,#N/A,TRUE,"LEASING";#N/A,#N/A,TRUE,"VPP";#N/A,#N/A,TRUE,"PPM";#N/A,#N/A,TRUE,"OTROS"}</definedName>
    <definedName name="______cp010103" localSheetId="2" hidden="1">{#N/A,#N/A,TRUE,"MEMO";#N/A,#N/A,TRUE,"PARAMETROS";#N/A,#N/A,TRUE,"RLI ";#N/A,#N/A,TRUE,"IMPTO.DET.";#N/A,#N/A,TRUE,"FUT-FUNT";#N/A,#N/A,TRUE,"CPI-PATR.";#N/A,#N/A,TRUE,"CM CPI";#N/A,#N/A,TRUE,"PROV";#N/A,#N/A,TRUE,"A FIJO";#N/A,#N/A,TRUE,"LEASING";#N/A,#N/A,TRUE,"VPP";#N/A,#N/A,TRUE,"PPM";#N/A,#N/A,TRUE,"OTROS"}</definedName>
    <definedName name="______cp010103" hidden="1">{#N/A,#N/A,TRUE,"MEMO";#N/A,#N/A,TRUE,"PARAMETROS";#N/A,#N/A,TRUE,"RLI ";#N/A,#N/A,TRUE,"IMPTO.DET.";#N/A,#N/A,TRUE,"FUT-FUNT";#N/A,#N/A,TRUE,"CPI-PATR.";#N/A,#N/A,TRUE,"CM CPI";#N/A,#N/A,TRUE,"PROV";#N/A,#N/A,TRUE,"A FIJO";#N/A,#N/A,TRUE,"LEASING";#N/A,#N/A,TRUE,"VPP";#N/A,#N/A,TRUE,"PPM";#N/A,#N/A,TRUE,"OTROS"}</definedName>
    <definedName name="______edu1" localSheetId="3" hidden="1">{#N/A,#N/A,FALSE,"Posição Financeira"}</definedName>
    <definedName name="______edu1" localSheetId="2" hidden="1">{#N/A,#N/A,FALSE,"Posição Financeira"}</definedName>
    <definedName name="______edu1" hidden="1">{#N/A,#N/A,FALSE,"Posição Financeira"}</definedName>
    <definedName name="______edu2" localSheetId="3" hidden="1">{#N/A,#N/A,FALSE,"Posição Financeira"}</definedName>
    <definedName name="______edu2" localSheetId="2" hidden="1">{#N/A,#N/A,FALSE,"Posição Financeira"}</definedName>
    <definedName name="______edu2" hidden="1">{#N/A,#N/A,FALSE,"Posição Financeira"}</definedName>
    <definedName name="______edu3" localSheetId="3" hidden="1">{#N/A,#N/A,FALSE,"Posição Financeira"}</definedName>
    <definedName name="______edu3" localSheetId="2" hidden="1">{#N/A,#N/A,FALSE,"Posição Financeira"}</definedName>
    <definedName name="______edu3" hidden="1">{#N/A,#N/A,FALSE,"Posição Financeira"}</definedName>
    <definedName name="______gc2" localSheetId="3" hidden="1">{#N/A,#N/A,TRUE,"MEMO";#N/A,#N/A,TRUE,"PARAMETROS";#N/A,#N/A,TRUE,"RLI ";#N/A,#N/A,TRUE,"IMPTO.DET.";#N/A,#N/A,TRUE,"FUT-FUNT";#N/A,#N/A,TRUE,"CPI-PATR.";#N/A,#N/A,TRUE,"CM CPI";#N/A,#N/A,TRUE,"PROV";#N/A,#N/A,TRUE,"A FIJO";#N/A,#N/A,TRUE,"LEASING";#N/A,#N/A,TRUE,"VPP";#N/A,#N/A,TRUE,"PPM";#N/A,#N/A,TRUE,"OTROS"}</definedName>
    <definedName name="______gc2" localSheetId="2" hidden="1">{#N/A,#N/A,TRUE,"MEMO";#N/A,#N/A,TRUE,"PARAMETROS";#N/A,#N/A,TRUE,"RLI ";#N/A,#N/A,TRUE,"IMPTO.DET.";#N/A,#N/A,TRUE,"FUT-FUNT";#N/A,#N/A,TRUE,"CPI-PATR.";#N/A,#N/A,TRUE,"CM CPI";#N/A,#N/A,TRUE,"PROV";#N/A,#N/A,TRUE,"A FIJO";#N/A,#N/A,TRUE,"LEASING";#N/A,#N/A,TRUE,"VPP";#N/A,#N/A,TRUE,"PPM";#N/A,#N/A,TRUE,"OTROS"}</definedName>
    <definedName name="______gc2" hidden="1">{#N/A,#N/A,TRUE,"MEMO";#N/A,#N/A,TRUE,"PARAMETROS";#N/A,#N/A,TRUE,"RLI ";#N/A,#N/A,TRUE,"IMPTO.DET.";#N/A,#N/A,TRUE,"FUT-FUNT";#N/A,#N/A,TRUE,"CPI-PATR.";#N/A,#N/A,TRUE,"CM CPI";#N/A,#N/A,TRUE,"PROV";#N/A,#N/A,TRUE,"A FIJO";#N/A,#N/A,TRUE,"LEASING";#N/A,#N/A,TRUE,"VPP";#N/A,#N/A,TRUE,"PPM";#N/A,#N/A,TRUE,"OTROS"}</definedName>
    <definedName name="______l" localSheetId="3" hidden="1">{#N/A,#N/A,FALSE,"Posição Financeira"}</definedName>
    <definedName name="______l" localSheetId="2" hidden="1">{#N/A,#N/A,FALSE,"Posição Financeira"}</definedName>
    <definedName name="______l" hidden="1">{#N/A,#N/A,FALSE,"Posição Financeira"}</definedName>
    <definedName name="______M136001"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136001"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PPM1" localSheetId="3" hidden="1">{#N/A,#N/A,FALSE,"Aging Summary";#N/A,#N/A,FALSE,"Ratio Analysis";#N/A,#N/A,FALSE,"Test 120 Day Accts";#N/A,#N/A,FALSE,"Tickmarks"}</definedName>
    <definedName name="______PPM1" localSheetId="2" hidden="1">{#N/A,#N/A,FALSE,"Aging Summary";#N/A,#N/A,FALSE,"Ratio Analysis";#N/A,#N/A,FALSE,"Test 120 Day Accts";#N/A,#N/A,FALSE,"Tickmarks"}</definedName>
    <definedName name="______PPM1" hidden="1">{#N/A,#N/A,FALSE,"Aging Summary";#N/A,#N/A,FALSE,"Ratio Analysis";#N/A,#N/A,FALSE,"Test 120 Day Accts";#N/A,#N/A,FALSE,"Tickmarks"}</definedName>
    <definedName name="______pt8" localSheetId="3" hidden="1">{#N/A,#N/A,FALSE,"Aging Summary";#N/A,#N/A,FALSE,"Ratio Analysis";#N/A,#N/A,FALSE,"Test 120 Day Accts";#N/A,#N/A,FALSE,"Tickmarks"}</definedName>
    <definedName name="______pt8" localSheetId="2" hidden="1">{#N/A,#N/A,FALSE,"Aging Summary";#N/A,#N/A,FALSE,"Ratio Analysis";#N/A,#N/A,FALSE,"Test 120 Day Accts";#N/A,#N/A,FALSE,"Tickmarks"}</definedName>
    <definedName name="______pt8" hidden="1">{#N/A,#N/A,FALSE,"Aging Summary";#N/A,#N/A,FALSE,"Ratio Analysis";#N/A,#N/A,FALSE,"Test 120 Day Accts";#N/A,#N/A,FALSE,"Tickmarks"}</definedName>
    <definedName name="_____edu1" localSheetId="3" hidden="1">{#N/A,#N/A,FALSE,"Posição Financeira"}</definedName>
    <definedName name="_____edu1" localSheetId="2" hidden="1">{#N/A,#N/A,FALSE,"Posição Financeira"}</definedName>
    <definedName name="_____edu1" hidden="1">{#N/A,#N/A,FALSE,"Posição Financeira"}</definedName>
    <definedName name="_____edu2" localSheetId="3" hidden="1">{#N/A,#N/A,FALSE,"Posição Financeira"}</definedName>
    <definedName name="_____edu2" localSheetId="2" hidden="1">{#N/A,#N/A,FALSE,"Posição Financeira"}</definedName>
    <definedName name="_____edu2" hidden="1">{#N/A,#N/A,FALSE,"Posição Financeira"}</definedName>
    <definedName name="_____edu3" localSheetId="3" hidden="1">{#N/A,#N/A,FALSE,"Posição Financeira"}</definedName>
    <definedName name="_____edu3" localSheetId="2" hidden="1">{#N/A,#N/A,FALSE,"Posição Financeira"}</definedName>
    <definedName name="_____edu3" hidden="1">{#N/A,#N/A,FALSE,"Posição Financeira"}</definedName>
    <definedName name="_____l" localSheetId="3" hidden="1">{#N/A,#N/A,FALSE,"Posição Financeira"}</definedName>
    <definedName name="_____l" localSheetId="2" hidden="1">{#N/A,#N/A,FALSE,"Posição Financeira"}</definedName>
    <definedName name="_____l" hidden="1">{#N/A,#N/A,FALSE,"Posição Financeira"}</definedName>
    <definedName name="____A2" localSheetId="3" hidden="1">{#N/A,#N/A,FALSE,"Aging Summary";#N/A,#N/A,FALSE,"Ratio Analysis";#N/A,#N/A,FALSE,"Test 120 Day Accts";#N/A,#N/A,FALSE,"Tickmarks"}</definedName>
    <definedName name="____A2" localSheetId="2" hidden="1">{#N/A,#N/A,FALSE,"Aging Summary";#N/A,#N/A,FALSE,"Ratio Analysis";#N/A,#N/A,FALSE,"Test 120 Day Accts";#N/A,#N/A,FALSE,"Tickmarks"}</definedName>
    <definedName name="____A2" hidden="1">{#N/A,#N/A,FALSE,"Aging Summary";#N/A,#N/A,FALSE,"Ratio Analysis";#N/A,#N/A,FALSE,"Test 120 Day Accts";#N/A,#N/A,FALSE,"Tickmarks"}</definedName>
    <definedName name="____cp010103" localSheetId="3" hidden="1">{#N/A,#N/A,TRUE,"MEMO";#N/A,#N/A,TRUE,"PARAMETROS";#N/A,#N/A,TRUE,"RLI ";#N/A,#N/A,TRUE,"IMPTO.DET.";#N/A,#N/A,TRUE,"FUT-FUNT";#N/A,#N/A,TRUE,"CPI-PATR.";#N/A,#N/A,TRUE,"CM CPI";#N/A,#N/A,TRUE,"PROV";#N/A,#N/A,TRUE,"A FIJO";#N/A,#N/A,TRUE,"LEASING";#N/A,#N/A,TRUE,"VPP";#N/A,#N/A,TRUE,"PPM";#N/A,#N/A,TRUE,"OTROS"}</definedName>
    <definedName name="____cp010103" localSheetId="2" hidden="1">{#N/A,#N/A,TRUE,"MEMO";#N/A,#N/A,TRUE,"PARAMETROS";#N/A,#N/A,TRUE,"RLI ";#N/A,#N/A,TRUE,"IMPTO.DET.";#N/A,#N/A,TRUE,"FUT-FUNT";#N/A,#N/A,TRUE,"CPI-PATR.";#N/A,#N/A,TRUE,"CM CPI";#N/A,#N/A,TRUE,"PROV";#N/A,#N/A,TRUE,"A FIJO";#N/A,#N/A,TRUE,"LEASING";#N/A,#N/A,TRUE,"VPP";#N/A,#N/A,TRUE,"PPM";#N/A,#N/A,TRUE,"OTROS"}</definedName>
    <definedName name="____cp010103" hidden="1">{#N/A,#N/A,TRUE,"MEMO";#N/A,#N/A,TRUE,"PARAMETROS";#N/A,#N/A,TRUE,"RLI ";#N/A,#N/A,TRUE,"IMPTO.DET.";#N/A,#N/A,TRUE,"FUT-FUNT";#N/A,#N/A,TRUE,"CPI-PATR.";#N/A,#N/A,TRUE,"CM CPI";#N/A,#N/A,TRUE,"PROV";#N/A,#N/A,TRUE,"A FIJO";#N/A,#N/A,TRUE,"LEASING";#N/A,#N/A,TRUE,"VPP";#N/A,#N/A,TRUE,"PPM";#N/A,#N/A,TRUE,"OTROS"}</definedName>
    <definedName name="____edu1" localSheetId="3" hidden="1">{#N/A,#N/A,FALSE,"Posição Financeira"}</definedName>
    <definedName name="____edu1" localSheetId="2" hidden="1">{#N/A,#N/A,FALSE,"Posição Financeira"}</definedName>
    <definedName name="____edu1" hidden="1">{#N/A,#N/A,FALSE,"Posição Financeira"}</definedName>
    <definedName name="____edu2" localSheetId="3" hidden="1">{#N/A,#N/A,FALSE,"Posição Financeira"}</definedName>
    <definedName name="____edu2" localSheetId="2" hidden="1">{#N/A,#N/A,FALSE,"Posição Financeira"}</definedName>
    <definedName name="____edu2" hidden="1">{#N/A,#N/A,FALSE,"Posição Financeira"}</definedName>
    <definedName name="____edu3" localSheetId="3" hidden="1">{#N/A,#N/A,FALSE,"Posição Financeira"}</definedName>
    <definedName name="____edu3" localSheetId="2" hidden="1">{#N/A,#N/A,FALSE,"Posição Financeira"}</definedName>
    <definedName name="____edu3" hidden="1">{#N/A,#N/A,FALSE,"Posição Financeira"}</definedName>
    <definedName name="____gc2" localSheetId="3" hidden="1">{#N/A,#N/A,TRUE,"MEMO";#N/A,#N/A,TRUE,"PARAMETROS";#N/A,#N/A,TRUE,"RLI ";#N/A,#N/A,TRUE,"IMPTO.DET.";#N/A,#N/A,TRUE,"FUT-FUNT";#N/A,#N/A,TRUE,"CPI-PATR.";#N/A,#N/A,TRUE,"CM CPI";#N/A,#N/A,TRUE,"PROV";#N/A,#N/A,TRUE,"A FIJO";#N/A,#N/A,TRUE,"LEASING";#N/A,#N/A,TRUE,"VPP";#N/A,#N/A,TRUE,"PPM";#N/A,#N/A,TRUE,"OTROS"}</definedName>
    <definedName name="____gc2" localSheetId="2" hidden="1">{#N/A,#N/A,TRUE,"MEMO";#N/A,#N/A,TRUE,"PARAMETROS";#N/A,#N/A,TRUE,"RLI ";#N/A,#N/A,TRUE,"IMPTO.DET.";#N/A,#N/A,TRUE,"FUT-FUNT";#N/A,#N/A,TRUE,"CPI-PATR.";#N/A,#N/A,TRUE,"CM CPI";#N/A,#N/A,TRUE,"PROV";#N/A,#N/A,TRUE,"A FIJO";#N/A,#N/A,TRUE,"LEASING";#N/A,#N/A,TRUE,"VPP";#N/A,#N/A,TRUE,"PPM";#N/A,#N/A,TRUE,"OTROS"}</definedName>
    <definedName name="____gc2" hidden="1">{#N/A,#N/A,TRUE,"MEMO";#N/A,#N/A,TRUE,"PARAMETROS";#N/A,#N/A,TRUE,"RLI ";#N/A,#N/A,TRUE,"IMPTO.DET.";#N/A,#N/A,TRUE,"FUT-FUNT";#N/A,#N/A,TRUE,"CPI-PATR.";#N/A,#N/A,TRUE,"CM CPI";#N/A,#N/A,TRUE,"PROV";#N/A,#N/A,TRUE,"A FIJO";#N/A,#N/A,TRUE,"LEASING";#N/A,#N/A,TRUE,"VPP";#N/A,#N/A,TRUE,"PPM";#N/A,#N/A,TRUE,"OTROS"}</definedName>
    <definedName name="____l" localSheetId="3" hidden="1">{#N/A,#N/A,FALSE,"Posição Financeira"}</definedName>
    <definedName name="____l" localSheetId="2" hidden="1">{#N/A,#N/A,FALSE,"Posição Financeira"}</definedName>
    <definedName name="____l" hidden="1">{#N/A,#N/A,FALSE,"Posição Financeira"}</definedName>
    <definedName name="____M136001"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136001"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PPM1" localSheetId="3" hidden="1">{#N/A,#N/A,FALSE,"Aging Summary";#N/A,#N/A,FALSE,"Ratio Analysis";#N/A,#N/A,FALSE,"Test 120 Day Accts";#N/A,#N/A,FALSE,"Tickmarks"}</definedName>
    <definedName name="____PPM1" localSheetId="2" hidden="1">{#N/A,#N/A,FALSE,"Aging Summary";#N/A,#N/A,FALSE,"Ratio Analysis";#N/A,#N/A,FALSE,"Test 120 Day Accts";#N/A,#N/A,FALSE,"Tickmarks"}</definedName>
    <definedName name="____PPM1" hidden="1">{#N/A,#N/A,FALSE,"Aging Summary";#N/A,#N/A,FALSE,"Ratio Analysis";#N/A,#N/A,FALSE,"Test 120 Day Accts";#N/A,#N/A,FALSE,"Tickmarks"}</definedName>
    <definedName name="____pt8" localSheetId="3" hidden="1">{#N/A,#N/A,FALSE,"Aging Summary";#N/A,#N/A,FALSE,"Ratio Analysis";#N/A,#N/A,FALSE,"Test 120 Day Accts";#N/A,#N/A,FALSE,"Tickmarks"}</definedName>
    <definedName name="____pt8" localSheetId="2" hidden="1">{#N/A,#N/A,FALSE,"Aging Summary";#N/A,#N/A,FALSE,"Ratio Analysis";#N/A,#N/A,FALSE,"Test 120 Day Accts";#N/A,#N/A,FALSE,"Tickmarks"}</definedName>
    <definedName name="____pt8" hidden="1">{#N/A,#N/A,FALSE,"Aging Summary";#N/A,#N/A,FALSE,"Ratio Analysis";#N/A,#N/A,FALSE,"Test 120 Day Accts";#N/A,#N/A,FALSE,"Tickmarks"}</definedName>
    <definedName name="___edu1" localSheetId="3" hidden="1">{#N/A,#N/A,FALSE,"Posição Financeira"}</definedName>
    <definedName name="___edu1" localSheetId="2" hidden="1">{#N/A,#N/A,FALSE,"Posição Financeira"}</definedName>
    <definedName name="___edu1" hidden="1">{#N/A,#N/A,FALSE,"Posição Financeira"}</definedName>
    <definedName name="___edu2" localSheetId="3" hidden="1">{#N/A,#N/A,FALSE,"Posição Financeira"}</definedName>
    <definedName name="___edu2" localSheetId="2" hidden="1">{#N/A,#N/A,FALSE,"Posição Financeira"}</definedName>
    <definedName name="___edu2" hidden="1">{#N/A,#N/A,FALSE,"Posição Financeira"}</definedName>
    <definedName name="___edu3" localSheetId="3" hidden="1">{#N/A,#N/A,FALSE,"Posição Financeira"}</definedName>
    <definedName name="___edu3" localSheetId="2" hidden="1">{#N/A,#N/A,FALSE,"Posição Financeira"}</definedName>
    <definedName name="___edu3" hidden="1">{#N/A,#N/A,FALSE,"Posição Financeira"}</definedName>
    <definedName name="___l" localSheetId="3" hidden="1">{#N/A,#N/A,FALSE,"Posição Financeira"}</definedName>
    <definedName name="___l" localSheetId="2" hidden="1">{#N/A,#N/A,FALSE,"Posição Financeira"}</definedName>
    <definedName name="___l" hidden="1">{#N/A,#N/A,FALSE,"Posição Financeira"}</definedName>
    <definedName name="__123Graph_C" hidden="1">[1]NCI!#REF!</definedName>
    <definedName name="__123Graph_D" hidden="1">[1]NCI!#REF!</definedName>
    <definedName name="__123Graph_E" hidden="1">[1]NCI!#REF!</definedName>
    <definedName name="__123Graph_F" hidden="1">[1]NCI!#REF!</definedName>
    <definedName name="__6__123Graph_BCHART_5" hidden="1">[2]MEX95IB!#REF!</definedName>
    <definedName name="__A1" localSheetId="3" hidden="1">{#N/A,#N/A,TRUE,"ComparativoII"}</definedName>
    <definedName name="__A1" localSheetId="2" hidden="1">{#N/A,#N/A,TRUE,"ComparativoII"}</definedName>
    <definedName name="__A1" hidden="1">{#N/A,#N/A,TRUE,"ComparativoII"}</definedName>
    <definedName name="__A10" localSheetId="3" hidden="1">{"RESULTADOS REAIS",#N/A,FALSE,"Dem.Res.R$";"RESULTADOS DOLARES",#N/A,FALSE,"Dem.Res.US$";"PERCENTUAIS REAIS",#N/A,FALSE,"Percentuais R$";"PERCENTUAIS DOLARES",#N/A,FALSE,"Percentuais US$"}</definedName>
    <definedName name="__A10" localSheetId="2" hidden="1">{"RESULTADOS REAIS",#N/A,FALSE,"Dem.Res.R$";"RESULTADOS DOLARES",#N/A,FALSE,"Dem.Res.US$";"PERCENTUAIS REAIS",#N/A,FALSE,"Percentuais R$";"PERCENTUAIS DOLARES",#N/A,FALSE,"Percentuais US$"}</definedName>
    <definedName name="__A10" hidden="1">{"RESULTADOS REAIS",#N/A,FALSE,"Dem.Res.R$";"RESULTADOS DOLARES",#N/A,FALSE,"Dem.Res.US$";"PERCENTUAIS REAIS",#N/A,FALSE,"Percentuais R$";"PERCENTUAIS DOLARES",#N/A,FALSE,"Percentuais US$"}</definedName>
    <definedName name="__a2" localSheetId="3" hidden="1">{"Despesas Diferidas Indedutíveis de 1998",#N/A,FALSE,"Impressão"}</definedName>
    <definedName name="__a2" localSheetId="2" hidden="1">{"Despesas Diferidas Indedutíveis de 1998",#N/A,FALSE,"Impressão"}</definedName>
    <definedName name="__a2" hidden="1">{"Despesas Diferidas Indedutíveis de 1998",#N/A,FALSE,"Impressão"}</definedName>
    <definedName name="__A3" localSheetId="3" hidden="1">{#N/A,#N/A,TRUE,"ComparativoII"}</definedName>
    <definedName name="__A3" localSheetId="2" hidden="1">{#N/A,#N/A,TRUE,"ComparativoII"}</definedName>
    <definedName name="__A3" hidden="1">{#N/A,#N/A,TRUE,"ComparativoII"}</definedName>
    <definedName name="__A4" localSheetId="3" hidden="1">{"balanço dolares",#N/A,FALSE,"SIGADR$";"AUT BAL REAIS",#N/A,FALSE,"SIGADR$";"QUOCIENTES REAIS",#N/A,FALSE,"QUOCIENTES";"JUNH QUOCI DOLARES",#N/A,FALSE,"QUOCIENTES"}</definedName>
    <definedName name="__A4" localSheetId="2" hidden="1">{"balanço dolares",#N/A,FALSE,"SIGADR$";"AUT BAL REAIS",#N/A,FALSE,"SIGADR$";"QUOCIENTES REAIS",#N/A,FALSE,"QUOCIENTES";"JUNH QUOCI DOLARES",#N/A,FALSE,"QUOCIENTES"}</definedName>
    <definedName name="__A4" hidden="1">{"balanço dolares",#N/A,FALSE,"SIGADR$";"AUT BAL REAIS",#N/A,FALSE,"SIGADR$";"QUOCIENTES REAIS",#N/A,FALSE,"QUOCIENTES";"JUNH QUOCI DOLARES",#N/A,FALSE,"QUOCIENTES"}</definedName>
    <definedName name="__A5" localSheetId="3" hidden="1">{"AUT ANALISE DESP",#N/A,TRUE,"AN.DESP. MR$"}</definedName>
    <definedName name="__A5" localSheetId="2" hidden="1">{"AUT ANALISE DESP",#N/A,TRUE,"AN.DESP. MR$"}</definedName>
    <definedName name="__A5" hidden="1">{"AUT ANALISE DESP",#N/A,TRUE,"AN.DESP. MR$"}</definedName>
    <definedName name="__A6" localSheetId="3" hidden="1">{#N/A,#N/A,TRUE,"ComparativoII"}</definedName>
    <definedName name="__A6" localSheetId="2" hidden="1">{#N/A,#N/A,TRUE,"ComparativoII"}</definedName>
    <definedName name="__A6" hidden="1">{#N/A,#N/A,TRUE,"ComparativoII"}</definedName>
    <definedName name="__A7" localSheetId="3" hidden="1">{"RESULTADOS REAIS",#N/A,FALSE,"Dem.Res.R$";"RESULTADOS DOLARES",#N/A,FALSE,"Dem.Res.US$";"PERCENTUAIS REAIS",#N/A,FALSE,"Percentuais R$";"PERCENTUAIS DOLARES",#N/A,FALSE,"Percentuais US$"}</definedName>
    <definedName name="__A7" localSheetId="2" hidden="1">{"RESULTADOS REAIS",#N/A,FALSE,"Dem.Res.R$";"RESULTADOS DOLARES",#N/A,FALSE,"Dem.Res.US$";"PERCENTUAIS REAIS",#N/A,FALSE,"Percentuais R$";"PERCENTUAIS DOLARES",#N/A,FALSE,"Percentuais US$"}</definedName>
    <definedName name="__A7" hidden="1">{"RESULTADOS REAIS",#N/A,FALSE,"Dem.Res.R$";"RESULTADOS DOLARES",#N/A,FALSE,"Dem.Res.US$";"PERCENTUAIS REAIS",#N/A,FALSE,"Percentuais R$";"PERCENTUAIS DOLARES",#N/A,FALSE,"Percentuais US$"}</definedName>
    <definedName name="__A8" localSheetId="3" hidden="1">{#N/A,#N/A,TRUE,"ComparativoII"}</definedName>
    <definedName name="__A8" localSheetId="2" hidden="1">{#N/A,#N/A,TRUE,"ComparativoII"}</definedName>
    <definedName name="__A8" hidden="1">{#N/A,#N/A,TRUE,"ComparativoII"}</definedName>
    <definedName name="__A9" localSheetId="3" hidden="1">{"AUT ANALISE DESP",#N/A,TRUE,"AN.DESP. MR$"}</definedName>
    <definedName name="__A9" localSheetId="2" hidden="1">{"AUT ANALISE DESP",#N/A,TRUE,"AN.DESP. MR$"}</definedName>
    <definedName name="__A9" hidden="1">{"AUT ANALISE DESP",#N/A,TRUE,"AN.DESP. MR$"}</definedName>
    <definedName name="__b1" localSheetId="3" hidden="1">{#N/A,#N/A,FALSE,"Posição Financeira"}</definedName>
    <definedName name="__b1" localSheetId="2" hidden="1">{#N/A,#N/A,FALSE,"Posição Financeira"}</definedName>
    <definedName name="__b1" hidden="1">{#N/A,#N/A,FALSE,"Posição Financeira"}</definedName>
    <definedName name="__E1"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E1"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E1"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E21" localSheetId="3" hidden="1">{"Despesas Diferidas Indedutíveis de 1998",#N/A,FALSE,"Impressão"}</definedName>
    <definedName name="__E21" localSheetId="2" hidden="1">{"Despesas Diferidas Indedutíveis de 1998",#N/A,FALSE,"Impressão"}</definedName>
    <definedName name="__E21" hidden="1">{"Despesas Diferidas Indedutíveis de 1998",#N/A,FALSE,"Impressão"}</definedName>
    <definedName name="__edu1" localSheetId="3" hidden="1">{#N/A,#N/A,FALSE,"Posição Financeira"}</definedName>
    <definedName name="__edu1" localSheetId="2" hidden="1">{#N/A,#N/A,FALSE,"Posição Financeira"}</definedName>
    <definedName name="__edu1" hidden="1">{#N/A,#N/A,FALSE,"Posição Financeira"}</definedName>
    <definedName name="__edu2" localSheetId="3" hidden="1">{#N/A,#N/A,FALSE,"Posição Financeira"}</definedName>
    <definedName name="__edu2" localSheetId="2" hidden="1">{#N/A,#N/A,FALSE,"Posição Financeira"}</definedName>
    <definedName name="__edu2" hidden="1">{#N/A,#N/A,FALSE,"Posição Financeira"}</definedName>
    <definedName name="__edu3" localSheetId="3" hidden="1">{#N/A,#N/A,FALSE,"Posição Financeira"}</definedName>
    <definedName name="__edu3" localSheetId="2" hidden="1">{#N/A,#N/A,FALSE,"Posição Financeira"}</definedName>
    <definedName name="__edu3" hidden="1">{#N/A,#N/A,FALSE,"Posição Financeira"}</definedName>
    <definedName name="__f5" localSheetId="3" hidden="1">{#N/A,#N/A,TRUE,"ComparativoII"}</definedName>
    <definedName name="__f5" localSheetId="2" hidden="1">{#N/A,#N/A,TRUE,"ComparativoII"}</definedName>
    <definedName name="__f5" hidden="1">{#N/A,#N/A,TRUE,"ComparativoII"}</definedName>
    <definedName name="__ftu222" localSheetId="3" hidden="1">{#N/A,#N/A,FALSE,"Aging Summary";#N/A,#N/A,FALSE,"Ratio Analysis";#N/A,#N/A,FALSE,"Test 120 Day Accts";#N/A,#N/A,FALSE,"Tickmarks"}</definedName>
    <definedName name="__ftu222" localSheetId="2" hidden="1">{#N/A,#N/A,FALSE,"Aging Summary";#N/A,#N/A,FALSE,"Ratio Analysis";#N/A,#N/A,FALSE,"Test 120 Day Accts";#N/A,#N/A,FALSE,"Tickmarks"}</definedName>
    <definedName name="__ftu222" hidden="1">{#N/A,#N/A,FALSE,"Aging Summary";#N/A,#N/A,FALSE,"Ratio Analysis";#N/A,#N/A,FALSE,"Test 120 Day Accts";#N/A,#N/A,FALSE,"Tickmarks"}</definedName>
    <definedName name="__fut2" localSheetId="3" hidden="1">{#N/A,#N/A,FALSE,"Aging Summary";#N/A,#N/A,FALSE,"Ratio Analysis";#N/A,#N/A,FALSE,"Test 120 Day Accts";#N/A,#N/A,FALSE,"Tickmarks"}</definedName>
    <definedName name="__fut2" localSheetId="2" hidden="1">{#N/A,#N/A,FALSE,"Aging Summary";#N/A,#N/A,FALSE,"Ratio Analysis";#N/A,#N/A,FALSE,"Test 120 Day Accts";#N/A,#N/A,FALSE,"Tickmarks"}</definedName>
    <definedName name="__fut2" hidden="1">{#N/A,#N/A,FALSE,"Aging Summary";#N/A,#N/A,FALSE,"Ratio Analysis";#N/A,#N/A,FALSE,"Test 120 Day Accts";#N/A,#N/A,FALSE,"Tickmarks"}</definedName>
    <definedName name="__k10003">[3]L100100!#REF!</definedName>
    <definedName name="__l" localSheetId="3" hidden="1">{#N/A,#N/A,FALSE,"Posição Financeira"}</definedName>
    <definedName name="__l" localSheetId="2" hidden="1">{#N/A,#N/A,FALSE,"Posição Financeira"}</definedName>
    <definedName name="__l" hidden="1">{#N/A,#N/A,FALSE,"Posição Financeira"}</definedName>
    <definedName name="__m1" localSheetId="3" hidden="1">{#N/A,#N/A,FALSE,"Posição Financeira"}</definedName>
    <definedName name="__m1" localSheetId="2" hidden="1">{#N/A,#N/A,FALSE,"Posição Financeira"}</definedName>
    <definedName name="__m1" hidden="1">{#N/A,#N/A,FALSE,"Posição Financeira"}</definedName>
    <definedName name="__m12" localSheetId="3" hidden="1">{#N/A,#N/A,FALSE,"Actual";#N/A,#N/A,FALSE,"Capital Call";#N/A,#N/A,FALSE,"Analyse A x F"}</definedName>
    <definedName name="__m12" localSheetId="2" hidden="1">{#N/A,#N/A,FALSE,"Actual";#N/A,#N/A,FALSE,"Capital Call";#N/A,#N/A,FALSE,"Analyse A x F"}</definedName>
    <definedName name="__m12" hidden="1">{#N/A,#N/A,FALSE,"Actual";#N/A,#N/A,FALSE,"Capital Call";#N/A,#N/A,FALSE,"Analyse A x F"}</definedName>
    <definedName name="__m13" localSheetId="3" hidden="1">{#N/A,#N/A,FALSE,"Actual"}</definedName>
    <definedName name="__m13" localSheetId="2" hidden="1">{#N/A,#N/A,FALSE,"Actual"}</definedName>
    <definedName name="__m13" hidden="1">{#N/A,#N/A,FALSE,"Actual"}</definedName>
    <definedName name="__m14" localSheetId="3" hidden="1">{#N/A,#N/A,FALSE,"Services"}</definedName>
    <definedName name="__m14" localSheetId="2" hidden="1">{#N/A,#N/A,FALSE,"Services"}</definedName>
    <definedName name="__m14" hidden="1">{#N/A,#N/A,FALSE,"Services"}</definedName>
    <definedName name="__m2" localSheetId="3" hidden="1">{#N/A,#N/A,FALSE,"Actual";#N/A,#N/A,FALSE,"Capital Call";#N/A,#N/A,FALSE,"Analyse A x F"}</definedName>
    <definedName name="__m2" localSheetId="2" hidden="1">{#N/A,#N/A,FALSE,"Actual";#N/A,#N/A,FALSE,"Capital Call";#N/A,#N/A,FALSE,"Analyse A x F"}</definedName>
    <definedName name="__m2" hidden="1">{#N/A,#N/A,FALSE,"Actual";#N/A,#N/A,FALSE,"Capital Call";#N/A,#N/A,FALSE,"Analyse A x F"}</definedName>
    <definedName name="__m3" localSheetId="3" hidden="1">{#N/A,#N/A,FALSE,"Actual"}</definedName>
    <definedName name="__m3" localSheetId="2" hidden="1">{#N/A,#N/A,FALSE,"Actual"}</definedName>
    <definedName name="__m3" hidden="1">{#N/A,#N/A,FALSE,"Actual"}</definedName>
    <definedName name="__m4" localSheetId="3" hidden="1">{#N/A,#N/A,FALSE,"Services"}</definedName>
    <definedName name="__m4" localSheetId="2" hidden="1">{#N/A,#N/A,FALSE,"Services"}</definedName>
    <definedName name="__m4" hidden="1">{#N/A,#N/A,FALSE,"Services"}</definedName>
    <definedName name="__m5" localSheetId="3" hidden="1">{#N/A,#N/A,FALSE,"Services"}</definedName>
    <definedName name="__m5" localSheetId="2" hidden="1">{#N/A,#N/A,FALSE,"Services"}</definedName>
    <definedName name="__m5" hidden="1">{#N/A,#N/A,FALSE,"Services"}</definedName>
    <definedName name="__q1" localSheetId="3" hidden="1">{#N/A,#N/A,FALSE,"Posição Financeira"}</definedName>
    <definedName name="__q1" localSheetId="2" hidden="1">{#N/A,#N/A,FALSE,"Posição Financeira"}</definedName>
    <definedName name="__q1" hidden="1">{#N/A,#N/A,FALSE,"Posição Financeira"}</definedName>
    <definedName name="__q2" localSheetId="3" hidden="1">{#N/A,#N/A,FALSE,"Posição Financeira"}</definedName>
    <definedName name="__q2" localSheetId="2" hidden="1">{#N/A,#N/A,FALSE,"Posição Financeira"}</definedName>
    <definedName name="__q2" hidden="1">{#N/A,#N/A,FALSE,"Posição Financeira"}</definedName>
    <definedName name="__q2008" localSheetId="3" hidden="1">{#N/A,#N/A,FALSE,"Posição Financeira"}</definedName>
    <definedName name="__q2008" localSheetId="2" hidden="1">{#N/A,#N/A,FALSE,"Posição Financeira"}</definedName>
    <definedName name="__q2008" hidden="1">{#N/A,#N/A,FALSE,"Posição Financeira"}</definedName>
    <definedName name="__q3" localSheetId="3" hidden="1">{#N/A,#N/A,FALSE,"Posição Financeira"}</definedName>
    <definedName name="__q3" localSheetId="2" hidden="1">{#N/A,#N/A,FALSE,"Posição Financeira"}</definedName>
    <definedName name="__q3" hidden="1">{#N/A,#N/A,FALSE,"Posição Financeira"}</definedName>
    <definedName name="__q4" localSheetId="3" hidden="1">{#N/A,#N/A,FALSE,"Posição Financeira"}</definedName>
    <definedName name="__q4" localSheetId="2" hidden="1">{#N/A,#N/A,FALSE,"Posição Financeira"}</definedName>
    <definedName name="__q4" hidden="1">{#N/A,#N/A,FALSE,"Posição Financeira"}</definedName>
    <definedName name="__q5" localSheetId="3" hidden="1">{#N/A,#N/A,FALSE,"Posição Financeira"}</definedName>
    <definedName name="__q5" localSheetId="2" hidden="1">{#N/A,#N/A,FALSE,"Posição Financeira"}</definedName>
    <definedName name="__q5" hidden="1">{#N/A,#N/A,FALSE,"Posição Financeira"}</definedName>
    <definedName name="__q6" localSheetId="3" hidden="1">{#N/A,#N/A,FALSE,"Services"}</definedName>
    <definedName name="__q6" localSheetId="2" hidden="1">{#N/A,#N/A,FALSE,"Services"}</definedName>
    <definedName name="__q6" hidden="1">{#N/A,#N/A,FALSE,"Services"}</definedName>
    <definedName name="__q7" localSheetId="3" hidden="1">{#N/A,#N/A,FALSE,"Posição Financeira"}</definedName>
    <definedName name="__q7" localSheetId="2" hidden="1">{#N/A,#N/A,FALSE,"Posição Financeira"}</definedName>
    <definedName name="__q7" hidden="1">{#N/A,#N/A,FALSE,"Posição Financeira"}</definedName>
    <definedName name="__q8" localSheetId="3" hidden="1">{#N/A,#N/A,FALSE,"Posição Financeira"}</definedName>
    <definedName name="__q8" localSheetId="2" hidden="1">{#N/A,#N/A,FALSE,"Posição Financeira"}</definedName>
    <definedName name="__q8" hidden="1">{#N/A,#N/A,FALSE,"Posição Financeira"}</definedName>
    <definedName name="__q9" localSheetId="3" hidden="1">{#N/A,#N/A,FALSE,"Posição Financeira"}</definedName>
    <definedName name="__q9" localSheetId="2" hidden="1">{#N/A,#N/A,FALSE,"Posição Financeira"}</definedName>
    <definedName name="__q9" hidden="1">{#N/A,#N/A,FALSE,"Posição Financeira"}</definedName>
    <definedName name="__t81" localSheetId="3" hidden="1">{#N/A,#N/A,FALSE,"Aging Summary";#N/A,#N/A,FALSE,"Ratio Analysis";#N/A,#N/A,FALSE,"Test 120 Day Accts";#N/A,#N/A,FALSE,"Tickmarks"}</definedName>
    <definedName name="__t81" localSheetId="2" hidden="1">{#N/A,#N/A,FALSE,"Aging Summary";#N/A,#N/A,FALSE,"Ratio Analysis";#N/A,#N/A,FALSE,"Test 120 Day Accts";#N/A,#N/A,FALSE,"Tickmarks"}</definedName>
    <definedName name="__t81" hidden="1">{#N/A,#N/A,FALSE,"Aging Summary";#N/A,#N/A,FALSE,"Ratio Analysis";#N/A,#N/A,FALSE,"Test 120 Day Accts";#N/A,#N/A,FALSE,"Tickmarks"}</definedName>
    <definedName name="__v1" localSheetId="3" hidden="1">{#N/A,#N/A,FALSE,"Posição Financeira"}</definedName>
    <definedName name="__v1" localSheetId="2" hidden="1">{#N/A,#N/A,FALSE,"Posição Financeira"}</definedName>
    <definedName name="__v1" hidden="1">{#N/A,#N/A,FALSE,"Posição Financeira"}</definedName>
    <definedName name="__w1" localSheetId="3" hidden="1">{#N/A,#N/A,FALSE,"Posição Financeira"}</definedName>
    <definedName name="__w1" localSheetId="2" hidden="1">{#N/A,#N/A,FALSE,"Posição Financeira"}</definedName>
    <definedName name="__w1" hidden="1">{#N/A,#N/A,FALSE,"Posição Financeira"}</definedName>
    <definedName name="__w2" localSheetId="3" hidden="1">{#N/A,#N/A,FALSE,"Posição Financeira"}</definedName>
    <definedName name="__w2" localSheetId="2" hidden="1">{#N/A,#N/A,FALSE,"Posição Financeira"}</definedName>
    <definedName name="__w2" hidden="1">{#N/A,#N/A,FALSE,"Posição Financeira"}</definedName>
    <definedName name="__w3" localSheetId="3" hidden="1">{#N/A,#N/A,FALSE,"Posição Financeira"}</definedName>
    <definedName name="__w3" localSheetId="2" hidden="1">{#N/A,#N/A,FALSE,"Posição Financeira"}</definedName>
    <definedName name="__w3" hidden="1">{#N/A,#N/A,FALSE,"Posição Financeira"}</definedName>
    <definedName name="__w4" localSheetId="3" hidden="1">{#N/A,#N/A,FALSE,"Posição Financeira"}</definedName>
    <definedName name="__w4" localSheetId="2" hidden="1">{#N/A,#N/A,FALSE,"Posição Financeira"}</definedName>
    <definedName name="__w4" hidden="1">{#N/A,#N/A,FALSE,"Posição Financeira"}</definedName>
    <definedName name="__w5" localSheetId="3" hidden="1">{#N/A,#N/A,FALSE,"Actual";#N/A,#N/A,FALSE,"Capital Call";#N/A,#N/A,FALSE,"Analyse A x F"}</definedName>
    <definedName name="__w5" localSheetId="2" hidden="1">{#N/A,#N/A,FALSE,"Actual";#N/A,#N/A,FALSE,"Capital Call";#N/A,#N/A,FALSE,"Analyse A x F"}</definedName>
    <definedName name="__w5" hidden="1">{#N/A,#N/A,FALSE,"Actual";#N/A,#N/A,FALSE,"Capital Call";#N/A,#N/A,FALSE,"Analyse A x F"}</definedName>
    <definedName name="__w6" localSheetId="3" hidden="1">{#N/A,#N/A,FALSE,"Actual"}</definedName>
    <definedName name="__w6" localSheetId="2" hidden="1">{#N/A,#N/A,FALSE,"Actual"}</definedName>
    <definedName name="__w6" hidden="1">{#N/A,#N/A,FALSE,"Actual"}</definedName>
    <definedName name="__w7" localSheetId="3" hidden="1">{#N/A,#N/A,FALSE,"Services"}</definedName>
    <definedName name="__w7" localSheetId="2" hidden="1">{#N/A,#N/A,FALSE,"Services"}</definedName>
    <definedName name="__w7" hidden="1">{#N/A,#N/A,FALSE,"Services"}</definedName>
    <definedName name="__w8" localSheetId="3" hidden="1">{#N/A,#N/A,FALSE,"Services"}</definedName>
    <definedName name="__w8" localSheetId="2" hidden="1">{#N/A,#N/A,FALSE,"Services"}</definedName>
    <definedName name="__w8" hidden="1">{#N/A,#N/A,FALSE,"Services"}</definedName>
    <definedName name="_12__123Graph_BCHART_5" hidden="1">[2]MEX95IB!#REF!</definedName>
    <definedName name="_121_201_103" localSheetId="2">#REF!</definedName>
    <definedName name="_121_201_103">#REF!</definedName>
    <definedName name="_6__123Graph_BCHART_5" hidden="1">[2]MEX95IB!#REF!</definedName>
    <definedName name="_7__123Graph_BCHART_5" hidden="1">[2]MEX95IB!#REF!</definedName>
    <definedName name="_A1" localSheetId="3" hidden="1">{#N/A,#N/A,TRUE,"ComparativoII"}</definedName>
    <definedName name="_A1" localSheetId="2" hidden="1">{#N/A,#N/A,TRUE,"ComparativoII"}</definedName>
    <definedName name="_A1" hidden="1">{#N/A,#N/A,TRUE,"ComparativoII"}</definedName>
    <definedName name="_A10" localSheetId="3" hidden="1">{"RESULTADOS REAIS",#N/A,FALSE,"Dem.Res.R$";"RESULTADOS DOLARES",#N/A,FALSE,"Dem.Res.US$";"PERCENTUAIS REAIS",#N/A,FALSE,"Percentuais R$";"PERCENTUAIS DOLARES",#N/A,FALSE,"Percentuais US$"}</definedName>
    <definedName name="_A10" localSheetId="2" hidden="1">{"RESULTADOS REAIS",#N/A,FALSE,"Dem.Res.R$";"RESULTADOS DOLARES",#N/A,FALSE,"Dem.Res.US$";"PERCENTUAIS REAIS",#N/A,FALSE,"Percentuais R$";"PERCENTUAIS DOLARES",#N/A,FALSE,"Percentuais US$"}</definedName>
    <definedName name="_A10" hidden="1">{"RESULTADOS REAIS",#N/A,FALSE,"Dem.Res.R$";"RESULTADOS DOLARES",#N/A,FALSE,"Dem.Res.US$";"PERCENTUAIS REAIS",#N/A,FALSE,"Percentuais R$";"PERCENTUAIS DOLARES",#N/A,FALSE,"Percentuais US$"}</definedName>
    <definedName name="_A2" localSheetId="3" hidden="1">{#N/A,#N/A,FALSE,"Aging Summary";#N/A,#N/A,FALSE,"Ratio Analysis";#N/A,#N/A,FALSE,"Test 120 Day Accts";#N/A,#N/A,FALSE,"Tickmarks"}</definedName>
    <definedName name="_A2" localSheetId="2" hidden="1">{#N/A,#N/A,FALSE,"Aging Summary";#N/A,#N/A,FALSE,"Ratio Analysis";#N/A,#N/A,FALSE,"Test 120 Day Accts";#N/A,#N/A,FALSE,"Tickmarks"}</definedName>
    <definedName name="_A2" hidden="1">{#N/A,#N/A,FALSE,"Aging Summary";#N/A,#N/A,FALSE,"Ratio Analysis";#N/A,#N/A,FALSE,"Test 120 Day Accts";#N/A,#N/A,FALSE,"Tickmarks"}</definedName>
    <definedName name="_A3" localSheetId="3" hidden="1">{#N/A,#N/A,TRUE,"ComparativoII"}</definedName>
    <definedName name="_A3" localSheetId="2" hidden="1">{#N/A,#N/A,TRUE,"ComparativoII"}</definedName>
    <definedName name="_A3" hidden="1">{#N/A,#N/A,TRUE,"ComparativoII"}</definedName>
    <definedName name="_A4" localSheetId="3" hidden="1">{"balanço dolares",#N/A,FALSE,"SIGADR$";"AUT BAL REAIS",#N/A,FALSE,"SIGADR$";"QUOCIENTES REAIS",#N/A,FALSE,"QUOCIENTES";"JUNH QUOCI DOLARES",#N/A,FALSE,"QUOCIENTES"}</definedName>
    <definedName name="_A4" localSheetId="2" hidden="1">{"balanço dolares",#N/A,FALSE,"SIGADR$";"AUT BAL REAIS",#N/A,FALSE,"SIGADR$";"QUOCIENTES REAIS",#N/A,FALSE,"QUOCIENTES";"JUNH QUOCI DOLARES",#N/A,FALSE,"QUOCIENTES"}</definedName>
    <definedName name="_A4" hidden="1">{"balanço dolares",#N/A,FALSE,"SIGADR$";"AUT BAL REAIS",#N/A,FALSE,"SIGADR$";"QUOCIENTES REAIS",#N/A,FALSE,"QUOCIENTES";"JUNH QUOCI DOLARES",#N/A,FALSE,"QUOCIENTES"}</definedName>
    <definedName name="_A5" localSheetId="3" hidden="1">{"AUT ANALISE DESP",#N/A,TRUE,"AN.DESP. MR$"}</definedName>
    <definedName name="_A5" localSheetId="2" hidden="1">{"AUT ANALISE DESP",#N/A,TRUE,"AN.DESP. MR$"}</definedName>
    <definedName name="_A5" hidden="1">{"AUT ANALISE DESP",#N/A,TRUE,"AN.DESP. MR$"}</definedName>
    <definedName name="_A6" localSheetId="3" hidden="1">{#N/A,#N/A,TRUE,"ComparativoII"}</definedName>
    <definedName name="_A6" localSheetId="2" hidden="1">{#N/A,#N/A,TRUE,"ComparativoII"}</definedName>
    <definedName name="_A6" hidden="1">{#N/A,#N/A,TRUE,"ComparativoII"}</definedName>
    <definedName name="_A7" localSheetId="3" hidden="1">{"RESULTADOS REAIS",#N/A,FALSE,"Dem.Res.R$";"RESULTADOS DOLARES",#N/A,FALSE,"Dem.Res.US$";"PERCENTUAIS REAIS",#N/A,FALSE,"Percentuais R$";"PERCENTUAIS DOLARES",#N/A,FALSE,"Percentuais US$"}</definedName>
    <definedName name="_A7" localSheetId="2" hidden="1">{"RESULTADOS REAIS",#N/A,FALSE,"Dem.Res.R$";"RESULTADOS DOLARES",#N/A,FALSE,"Dem.Res.US$";"PERCENTUAIS REAIS",#N/A,FALSE,"Percentuais R$";"PERCENTUAIS DOLARES",#N/A,FALSE,"Percentuais US$"}</definedName>
    <definedName name="_A7" hidden="1">{"RESULTADOS REAIS",#N/A,FALSE,"Dem.Res.R$";"RESULTADOS DOLARES",#N/A,FALSE,"Dem.Res.US$";"PERCENTUAIS REAIS",#N/A,FALSE,"Percentuais R$";"PERCENTUAIS DOLARES",#N/A,FALSE,"Percentuais US$"}</definedName>
    <definedName name="_A8" localSheetId="3" hidden="1">{#N/A,#N/A,TRUE,"ComparativoII"}</definedName>
    <definedName name="_A8" localSheetId="2" hidden="1">{#N/A,#N/A,TRUE,"ComparativoII"}</definedName>
    <definedName name="_A8" hidden="1">{#N/A,#N/A,TRUE,"ComparativoII"}</definedName>
    <definedName name="_A9" localSheetId="3" hidden="1">{"AUT ANALISE DESP",#N/A,TRUE,"AN.DESP. MR$"}</definedName>
    <definedName name="_A9" localSheetId="2" hidden="1">{"AUT ANALISE DESP",#N/A,TRUE,"AN.DESP. MR$"}</definedName>
    <definedName name="_A9" hidden="1">{"AUT ANALISE DESP",#N/A,TRUE,"AN.DESP. MR$"}</definedName>
    <definedName name="_ABR1">[4]ABR!$A$3:$K$598</definedName>
    <definedName name="_ABR2">[4]ABR!$A$603:$N$612</definedName>
    <definedName name="_ABR3">[4]ABR!$A$617:$O$637</definedName>
    <definedName name="_AGO1">[4]AGO!$A$3:$K$719</definedName>
    <definedName name="_AGO2">[4]AGO!$A$724:$N$735</definedName>
    <definedName name="_AGO3">[4]AGO!$A$740:$O$791</definedName>
    <definedName name="_asd1" hidden="1">#N/A</definedName>
    <definedName name="_b1" localSheetId="3" hidden="1">{#N/A,#N/A,FALSE,"Posição Financeira"}</definedName>
    <definedName name="_b1" localSheetId="2" hidden="1">{#N/A,#N/A,FALSE,"Posição Financeira"}</definedName>
    <definedName name="_b1" hidden="1">{#N/A,#N/A,FALSE,"Posição Financeira"}</definedName>
    <definedName name="_BCp1" localSheetId="3" hidden="1">{#N/A,#N/A,FALSE,"1321";#N/A,#N/A,FALSE,"1324";#N/A,#N/A,FALSE,"1333";#N/A,#N/A,FALSE,"1371"}</definedName>
    <definedName name="_BCp1" localSheetId="2" hidden="1">{#N/A,#N/A,FALSE,"1321";#N/A,#N/A,FALSE,"1324";#N/A,#N/A,FALSE,"1333";#N/A,#N/A,FALSE,"1371"}</definedName>
    <definedName name="_BCp1" hidden="1">{#N/A,#N/A,FALSE,"1321";#N/A,#N/A,FALSE,"1324";#N/A,#N/A,FALSE,"1333";#N/A,#N/A,FALSE,"1371"}</definedName>
    <definedName name="_cp010103" localSheetId="3" hidden="1">{#N/A,#N/A,TRUE,"MEMO";#N/A,#N/A,TRUE,"PARAMETROS";#N/A,#N/A,TRUE,"RLI ";#N/A,#N/A,TRUE,"IMPTO.DET.";#N/A,#N/A,TRUE,"FUT-FUNT";#N/A,#N/A,TRUE,"CPI-PATR.";#N/A,#N/A,TRUE,"CM CPI";#N/A,#N/A,TRUE,"PROV";#N/A,#N/A,TRUE,"A FIJO";#N/A,#N/A,TRUE,"LEASING";#N/A,#N/A,TRUE,"VPP";#N/A,#N/A,TRUE,"PPM";#N/A,#N/A,TRUE,"OTROS"}</definedName>
    <definedName name="_cp010103" localSheetId="2" hidden="1">{#N/A,#N/A,TRUE,"MEMO";#N/A,#N/A,TRUE,"PARAMETROS";#N/A,#N/A,TRUE,"RLI ";#N/A,#N/A,TRUE,"IMPTO.DET.";#N/A,#N/A,TRUE,"FUT-FUNT";#N/A,#N/A,TRUE,"CPI-PATR.";#N/A,#N/A,TRUE,"CM CPI";#N/A,#N/A,TRUE,"PROV";#N/A,#N/A,TRUE,"A FIJO";#N/A,#N/A,TRUE,"LEASING";#N/A,#N/A,TRUE,"VPP";#N/A,#N/A,TRUE,"PPM";#N/A,#N/A,TRUE,"OTROS"}</definedName>
    <definedName name="_cp010103" hidden="1">{#N/A,#N/A,TRUE,"MEMO";#N/A,#N/A,TRUE,"PARAMETROS";#N/A,#N/A,TRUE,"RLI ";#N/A,#N/A,TRUE,"IMPTO.DET.";#N/A,#N/A,TRUE,"FUT-FUNT";#N/A,#N/A,TRUE,"CPI-PATR.";#N/A,#N/A,TRUE,"CM CPI";#N/A,#N/A,TRUE,"PROV";#N/A,#N/A,TRUE,"A FIJO";#N/A,#N/A,TRUE,"LEASING";#N/A,#N/A,TRUE,"VPP";#N/A,#N/A,TRUE,"PPM";#N/A,#N/A,TRUE,"OTROS"}</definedName>
    <definedName name="_CPI1" localSheetId="3" hidden="1">{#N/A,#N/A,FALSE,"Aging Summary";#N/A,#N/A,FALSE,"Ratio Analysis";#N/A,#N/A,FALSE,"Test 120 Day Accts";#N/A,#N/A,FALSE,"Tickmarks"}</definedName>
    <definedName name="_CPI1" localSheetId="2" hidden="1">{#N/A,#N/A,FALSE,"Aging Summary";#N/A,#N/A,FALSE,"Ratio Analysis";#N/A,#N/A,FALSE,"Test 120 Day Accts";#N/A,#N/A,FALSE,"Tickmarks"}</definedName>
    <definedName name="_CPI1" hidden="1">{#N/A,#N/A,FALSE,"Aging Summary";#N/A,#N/A,FALSE,"Ratio Analysis";#N/A,#N/A,FALSE,"Test 120 Day Accts";#N/A,#N/A,FALSE,"Tickmarks"}</definedName>
    <definedName name="_CUM1">#REF!</definedName>
    <definedName name="_CUM2">#REF!</definedName>
    <definedName name="_CUM3">#REF!</definedName>
    <definedName name="_CUM4">#REF!</definedName>
    <definedName name="_CUM5">#REF!</definedName>
    <definedName name="_CUM6">#REF!</definedName>
    <definedName name="_DEZ1">[4]DEZ!$A$3:$K$5</definedName>
    <definedName name="_DEZ2">[4]DEZ!$A$10:$N$12</definedName>
    <definedName name="_DEZ3">[4]DEZ!$A$17:$O$19</definedName>
    <definedName name="_Dist_Values" hidden="1">#REF!</definedName>
    <definedName name="_E1"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E1"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E1"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E21" localSheetId="3" hidden="1">{"Despesas Diferidas Indedutíveis de 1998",#N/A,FALSE,"Impressão"}</definedName>
    <definedName name="_E21" localSheetId="2" hidden="1">{"Despesas Diferidas Indedutíveis de 1998",#N/A,FALSE,"Impressão"}</definedName>
    <definedName name="_E21" hidden="1">{"Despesas Diferidas Indedutíveis de 1998",#N/A,FALSE,"Impressão"}</definedName>
    <definedName name="_e212" localSheetId="3" hidden="1">{"Despesas Diferidas Indedutíveis de 1998",#N/A,FALSE,"Impressão"}</definedName>
    <definedName name="_e212" localSheetId="2" hidden="1">{"Despesas Diferidas Indedutíveis de 1998",#N/A,FALSE,"Impressão"}</definedName>
    <definedName name="_e212" hidden="1">{"Despesas Diferidas Indedutíveis de 1998",#N/A,FALSE,"Impressão"}</definedName>
    <definedName name="_edu1" localSheetId="3" hidden="1">{#N/A,#N/A,FALSE,"Posição Financeira"}</definedName>
    <definedName name="_edu1" localSheetId="2" hidden="1">{#N/A,#N/A,FALSE,"Posição Financeira"}</definedName>
    <definedName name="_edu1" hidden="1">{#N/A,#N/A,FALSE,"Posição Financeira"}</definedName>
    <definedName name="_edu2" localSheetId="3" hidden="1">{#N/A,#N/A,FALSE,"Posição Financeira"}</definedName>
    <definedName name="_edu2" localSheetId="2" hidden="1">{#N/A,#N/A,FALSE,"Posição Financeira"}</definedName>
    <definedName name="_edu2" hidden="1">{#N/A,#N/A,FALSE,"Posição Financeira"}</definedName>
    <definedName name="_edu3" localSheetId="3" hidden="1">{#N/A,#N/A,FALSE,"Posição Financeira"}</definedName>
    <definedName name="_edu3" localSheetId="2" hidden="1">{#N/A,#N/A,FALSE,"Posição Financeira"}</definedName>
    <definedName name="_edu3" hidden="1">{#N/A,#N/A,FALSE,"Posição Financeira"}</definedName>
    <definedName name="_f5" localSheetId="3" hidden="1">{#N/A,#N/A,TRUE,"ComparativoII"}</definedName>
    <definedName name="_f5" localSheetId="2" hidden="1">{#N/A,#N/A,TRUE,"ComparativoII"}</definedName>
    <definedName name="_f5" hidden="1">{#N/A,#N/A,TRUE,"ComparativoII"}</definedName>
    <definedName name="_FEB99">[5]PLANILHA!$A$3:$GC$12</definedName>
    <definedName name="_FEV1">[4]FEV!$A$3:$K$447</definedName>
    <definedName name="_fev11" localSheetId="3" hidden="1">{#N/A,#N/A,FALSE,"Services"}</definedName>
    <definedName name="_fev11" localSheetId="2" hidden="1">{#N/A,#N/A,FALSE,"Services"}</definedName>
    <definedName name="_fev11" hidden="1">{#N/A,#N/A,FALSE,"Services"}</definedName>
    <definedName name="_FEV2">[4]FEV!$A$452:$N$460</definedName>
    <definedName name="_FEV3">[4]FEV!$A$465:$O$476</definedName>
    <definedName name="_Fill" hidden="1">#REF!</definedName>
    <definedName name="_xlnm._FilterDatabase" localSheetId="3" hidden="1">'00.Balancete'!$B$7:$O$407</definedName>
    <definedName name="_xlnm._FilterDatabase" localSheetId="4" hidden="1">'01.Razão'!$B$6:$O$120</definedName>
    <definedName name="_xlnm._FilterDatabase" localSheetId="1" hidden="1">'01.Razão (2)'!$B$6:$O$120</definedName>
    <definedName name="_xlnm._FilterDatabase" hidden="1">#REF!</definedName>
    <definedName name="_ftu222" localSheetId="3" hidden="1">{#N/A,#N/A,FALSE,"Aging Summary";#N/A,#N/A,FALSE,"Ratio Analysis";#N/A,#N/A,FALSE,"Test 120 Day Accts";#N/A,#N/A,FALSE,"Tickmarks"}</definedName>
    <definedName name="_ftu222" localSheetId="2" hidden="1">{#N/A,#N/A,FALSE,"Aging Summary";#N/A,#N/A,FALSE,"Ratio Analysis";#N/A,#N/A,FALSE,"Test 120 Day Accts";#N/A,#N/A,FALSE,"Tickmarks"}</definedName>
    <definedName name="_ftu222" hidden="1">{#N/A,#N/A,FALSE,"Aging Summary";#N/A,#N/A,FALSE,"Ratio Analysis";#N/A,#N/A,FALSE,"Test 120 Day Accts";#N/A,#N/A,FALSE,"Tickmarks"}</definedName>
    <definedName name="_fut2" localSheetId="3" hidden="1">{#N/A,#N/A,FALSE,"Aging Summary";#N/A,#N/A,FALSE,"Ratio Analysis";#N/A,#N/A,FALSE,"Test 120 Day Accts";#N/A,#N/A,FALSE,"Tickmarks"}</definedName>
    <definedName name="_fut2" localSheetId="2" hidden="1">{#N/A,#N/A,FALSE,"Aging Summary";#N/A,#N/A,FALSE,"Ratio Analysis";#N/A,#N/A,FALSE,"Test 120 Day Accts";#N/A,#N/A,FALSE,"Tickmarks"}</definedName>
    <definedName name="_fut2" hidden="1">{#N/A,#N/A,FALSE,"Aging Summary";#N/A,#N/A,FALSE,"Ratio Analysis";#N/A,#N/A,FALSE,"Test 120 Day Accts";#N/A,#N/A,FALSE,"Tickmarks"}</definedName>
    <definedName name="_gc2" localSheetId="3" hidden="1">{#N/A,#N/A,TRUE,"MEMO";#N/A,#N/A,TRUE,"PARAMETROS";#N/A,#N/A,TRUE,"RLI ";#N/A,#N/A,TRUE,"IMPTO.DET.";#N/A,#N/A,TRUE,"FUT-FUNT";#N/A,#N/A,TRUE,"CPI-PATR.";#N/A,#N/A,TRUE,"CM CPI";#N/A,#N/A,TRUE,"PROV";#N/A,#N/A,TRUE,"A FIJO";#N/A,#N/A,TRUE,"LEASING";#N/A,#N/A,TRUE,"VPP";#N/A,#N/A,TRUE,"PPM";#N/A,#N/A,TRUE,"OTROS"}</definedName>
    <definedName name="_gc2" localSheetId="2" hidden="1">{#N/A,#N/A,TRUE,"MEMO";#N/A,#N/A,TRUE,"PARAMETROS";#N/A,#N/A,TRUE,"RLI ";#N/A,#N/A,TRUE,"IMPTO.DET.";#N/A,#N/A,TRUE,"FUT-FUNT";#N/A,#N/A,TRUE,"CPI-PATR.";#N/A,#N/A,TRUE,"CM CPI";#N/A,#N/A,TRUE,"PROV";#N/A,#N/A,TRUE,"A FIJO";#N/A,#N/A,TRUE,"LEASING";#N/A,#N/A,TRUE,"VPP";#N/A,#N/A,TRUE,"PPM";#N/A,#N/A,TRUE,"OTROS"}</definedName>
    <definedName name="_gc2" hidden="1">{#N/A,#N/A,TRUE,"MEMO";#N/A,#N/A,TRUE,"PARAMETROS";#N/A,#N/A,TRUE,"RLI ";#N/A,#N/A,TRUE,"IMPTO.DET.";#N/A,#N/A,TRUE,"FUT-FUNT";#N/A,#N/A,TRUE,"CPI-PATR.";#N/A,#N/A,TRUE,"CM CPI";#N/A,#N/A,TRUE,"PROV";#N/A,#N/A,TRUE,"A FIJO";#N/A,#N/A,TRUE,"LEASING";#N/A,#N/A,TRUE,"VPP";#N/A,#N/A,TRUE,"PPM";#N/A,#N/A,TRUE,"OTROS"}</definedName>
    <definedName name="_ISA032005" localSheetId="3" hidden="1">{#N/A,#N/A,FALSE,"Aging Summary";#N/A,#N/A,FALSE,"Ratio Analysis";#N/A,#N/A,FALSE,"Test 120 Day Accts";#N/A,#N/A,FALSE,"Tickmarks"}</definedName>
    <definedName name="_ISA032005" localSheetId="2" hidden="1">{#N/A,#N/A,FALSE,"Aging Summary";#N/A,#N/A,FALSE,"Ratio Analysis";#N/A,#N/A,FALSE,"Test 120 Day Accts";#N/A,#N/A,FALSE,"Tickmarks"}</definedName>
    <definedName name="_ISA032005" hidden="1">{#N/A,#N/A,FALSE,"Aging Summary";#N/A,#N/A,FALSE,"Ratio Analysis";#N/A,#N/A,FALSE,"Test 120 Day Accts";#N/A,#N/A,FALSE,"Tickmarks"}</definedName>
    <definedName name="_JAN1">[4]JAN!$A$3:$K$434</definedName>
    <definedName name="_JAN2">[4]JAN!$A$439:$N$449</definedName>
    <definedName name="_JAN3">[4]JAN!$A$454:$O$466</definedName>
    <definedName name="_JUL1">[4]JUL!$A$3:$K$522</definedName>
    <definedName name="_JUL2">[4]JUL!$A$527:$N$537</definedName>
    <definedName name="_JUL3">[4]JUL!$A$542:$O$565</definedName>
    <definedName name="_JUN1">[4]JUN!$A$3:$K$532</definedName>
    <definedName name="_JUN2">[4]JUN!$A$537:$N$548</definedName>
    <definedName name="_JUN3">[4]JUN!$A$554:$O$581</definedName>
    <definedName name="_k10003">[6]L100100!#REF!</definedName>
    <definedName name="_Key1" hidden="1">[7]Plan3!#REF!</definedName>
    <definedName name="_Key2" hidden="1">#REF!</definedName>
    <definedName name="_l" localSheetId="3" hidden="1">{#N/A,#N/A,FALSE,"Posição Financeira"}</definedName>
    <definedName name="_l" localSheetId="2" hidden="1">{#N/A,#N/A,FALSE,"Posição Financeira"}</definedName>
    <definedName name="_l" hidden="1">{#N/A,#N/A,FALSE,"Posição Financeira"}</definedName>
    <definedName name="_m1" localSheetId="3" hidden="1">{#N/A,#N/A,FALSE,"Posição Financeira"}</definedName>
    <definedName name="_m1" localSheetId="2" hidden="1">{#N/A,#N/A,FALSE,"Posição Financeira"}</definedName>
    <definedName name="_m1" hidden="1">{#N/A,#N/A,FALSE,"Posição Financeira"}</definedName>
    <definedName name="_m12" localSheetId="3" hidden="1">{#N/A,#N/A,FALSE,"Actual";#N/A,#N/A,FALSE,"Capital Call";#N/A,#N/A,FALSE,"Analyse A x F"}</definedName>
    <definedName name="_m12" localSheetId="2" hidden="1">{#N/A,#N/A,FALSE,"Actual";#N/A,#N/A,FALSE,"Capital Call";#N/A,#N/A,FALSE,"Analyse A x F"}</definedName>
    <definedName name="_m12" hidden="1">{#N/A,#N/A,FALSE,"Actual";#N/A,#N/A,FALSE,"Capital Call";#N/A,#N/A,FALSE,"Analyse A x F"}</definedName>
    <definedName name="_m13" localSheetId="3" hidden="1">{#N/A,#N/A,FALSE,"Actual"}</definedName>
    <definedName name="_m13" localSheetId="2" hidden="1">{#N/A,#N/A,FALSE,"Actual"}</definedName>
    <definedName name="_m13" hidden="1">{#N/A,#N/A,FALSE,"Actual"}</definedName>
    <definedName name="_M136001"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36001"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4" localSheetId="3" hidden="1">{#N/A,#N/A,FALSE,"Services"}</definedName>
    <definedName name="_m14" localSheetId="2" hidden="1">{#N/A,#N/A,FALSE,"Services"}</definedName>
    <definedName name="_m14" hidden="1">{#N/A,#N/A,FALSE,"Services"}</definedName>
    <definedName name="_m2" localSheetId="3" hidden="1">{#N/A,#N/A,FALSE,"Actual";#N/A,#N/A,FALSE,"Capital Call";#N/A,#N/A,FALSE,"Analyse A x F"}</definedName>
    <definedName name="_m2" localSheetId="2" hidden="1">{#N/A,#N/A,FALSE,"Actual";#N/A,#N/A,FALSE,"Capital Call";#N/A,#N/A,FALSE,"Analyse A x F"}</definedName>
    <definedName name="_m2" hidden="1">{#N/A,#N/A,FALSE,"Actual";#N/A,#N/A,FALSE,"Capital Call";#N/A,#N/A,FALSE,"Analyse A x F"}</definedName>
    <definedName name="_m3" localSheetId="3" hidden="1">{#N/A,#N/A,FALSE,"Actual"}</definedName>
    <definedName name="_m3" localSheetId="2" hidden="1">{#N/A,#N/A,FALSE,"Actual"}</definedName>
    <definedName name="_m3" hidden="1">{#N/A,#N/A,FALSE,"Actual"}</definedName>
    <definedName name="_m4" localSheetId="3" hidden="1">{#N/A,#N/A,FALSE,"Services"}</definedName>
    <definedName name="_m4" localSheetId="2" hidden="1">{#N/A,#N/A,FALSE,"Services"}</definedName>
    <definedName name="_m4" hidden="1">{#N/A,#N/A,FALSE,"Services"}</definedName>
    <definedName name="_m5" localSheetId="3" hidden="1">{#N/A,#N/A,FALSE,"Services"}</definedName>
    <definedName name="_m5" localSheetId="2" hidden="1">{#N/A,#N/A,FALSE,"Services"}</definedName>
    <definedName name="_m5" hidden="1">{#N/A,#N/A,FALSE,"Services"}</definedName>
    <definedName name="_M851105"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851105"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AI1">[4]MAI!$A$3:$K$495</definedName>
    <definedName name="_MAI2">[4]MAI!$A$500:$N$509</definedName>
    <definedName name="_MAI3">[4]MAI!$A$514:$O$523</definedName>
    <definedName name="_MAR1">[4]MAR!$A$3:$K$672</definedName>
    <definedName name="_MAR2">[4]MAR!$A$677:$N$680</definedName>
    <definedName name="_MAR3">[4]MAR!$A$685:$O$698</definedName>
    <definedName name="_NOV1">[4]NOV!$A$3:$K$5</definedName>
    <definedName name="_NOV2">[4]NOV!$A$10:$N$12</definedName>
    <definedName name="_NOV3">[4]NOV!$A$17:$O$19</definedName>
    <definedName name="_OBS1" localSheetId="2">Capa!$B$22</definedName>
    <definedName name="_OBS1">#REF!</definedName>
    <definedName name="_OBS2" localSheetId="2">Capa!#REF!</definedName>
    <definedName name="_OBS2">#REF!</definedName>
    <definedName name="_OBS3" localSheetId="2">Capa!#REF!</definedName>
    <definedName name="_OBS3">#REF!</definedName>
    <definedName name="_OBS4" localSheetId="2">Capa!$B$23</definedName>
    <definedName name="_OBS4">#REF!</definedName>
    <definedName name="_OBS5" localSheetId="2">Capa!$B$24</definedName>
    <definedName name="_OBS5">#REF!</definedName>
    <definedName name="_OBS6" localSheetId="2">Capa!$B$25</definedName>
    <definedName name="_OBS6">#REF!</definedName>
    <definedName name="_Order1" hidden="1">255</definedName>
    <definedName name="_Order2" hidden="1">255</definedName>
    <definedName name="_OUT1">[4]OUT!$A$3:$K$5</definedName>
    <definedName name="_OUT2">[4]OUT!$A$10:$N$12</definedName>
    <definedName name="_OUT3">[4]OUT!$A$17:$O$19</definedName>
    <definedName name="_P90" localSheetId="3" hidden="1">{#N/A,#N/A,FALSE,"Aging Summary";#N/A,#N/A,FALSE,"Ratio Analysis";#N/A,#N/A,FALSE,"Test 120 Day Accts";#N/A,#N/A,FALSE,"Tickmarks"}</definedName>
    <definedName name="_P90" localSheetId="2" hidden="1">{#N/A,#N/A,FALSE,"Aging Summary";#N/A,#N/A,FALSE,"Ratio Analysis";#N/A,#N/A,FALSE,"Test 120 Day Accts";#N/A,#N/A,FALSE,"Tickmarks"}</definedName>
    <definedName name="_P90" hidden="1">{#N/A,#N/A,FALSE,"Aging Summary";#N/A,#N/A,FALSE,"Ratio Analysis";#N/A,#N/A,FALSE,"Test 120 Day Accts";#N/A,#N/A,FALSE,"Tickmarks"}</definedName>
    <definedName name="_Parse_Out" hidden="1">#REF!</definedName>
    <definedName name="_PL1">#REF!</definedName>
    <definedName name="_PPM1" localSheetId="3" hidden="1">{#N/A,#N/A,FALSE,"Aging Summary";#N/A,#N/A,FALSE,"Ratio Analysis";#N/A,#N/A,FALSE,"Test 120 Day Accts";#N/A,#N/A,FALSE,"Tickmarks"}</definedName>
    <definedName name="_PPM1" localSheetId="2" hidden="1">{#N/A,#N/A,FALSE,"Aging Summary";#N/A,#N/A,FALSE,"Ratio Analysis";#N/A,#N/A,FALSE,"Test 120 Day Accts";#N/A,#N/A,FALSE,"Tickmarks"}</definedName>
    <definedName name="_PPM1" hidden="1">{#N/A,#N/A,FALSE,"Aging Summary";#N/A,#N/A,FALSE,"Ratio Analysis";#N/A,#N/A,FALSE,"Test 120 Day Accts";#N/A,#N/A,FALSE,"Tickmarks"}</definedName>
    <definedName name="_PRT1">[4]VOUCHER!$V$32</definedName>
    <definedName name="_PRT10">[4]VOUCHER!$V$356</definedName>
    <definedName name="_PRT11">[4]VOUCHER!$V$392</definedName>
    <definedName name="_PRT12">[4]VOUCHER!$V$428</definedName>
    <definedName name="_PRT13">[4]VOUCHER!$V$464</definedName>
    <definedName name="_PRT14">[4]VOUCHER!$V$500</definedName>
    <definedName name="_PRT15">[4]VOUCHER!$V$536</definedName>
    <definedName name="_PRT16">[4]VOUCHER!$V$572</definedName>
    <definedName name="_PRT17">[4]VOUCHER!$V$608</definedName>
    <definedName name="_PRT18">[4]VOUCHER!$V$644</definedName>
    <definedName name="_PRT2">[4]VOUCHER!$V$68</definedName>
    <definedName name="_PRT3">[4]VOUCHER!$V$104</definedName>
    <definedName name="_PRT4">[4]VOUCHER!$V$140</definedName>
    <definedName name="_PRT5">[4]VOUCHER!$V$176</definedName>
    <definedName name="_PRT6">[4]VOUCHER!$V$212</definedName>
    <definedName name="_PRT7">[4]VOUCHER!$V$248</definedName>
    <definedName name="_PRT8">[4]VOUCHER!$V$284</definedName>
    <definedName name="_PRT9">[4]VOUCHER!$V$320</definedName>
    <definedName name="_pt8" localSheetId="3" hidden="1">{#N/A,#N/A,FALSE,"Aging Summary";#N/A,#N/A,FALSE,"Ratio Analysis";#N/A,#N/A,FALSE,"Test 120 Day Accts";#N/A,#N/A,FALSE,"Tickmarks"}</definedName>
    <definedName name="_pt8" localSheetId="2" hidden="1">{#N/A,#N/A,FALSE,"Aging Summary";#N/A,#N/A,FALSE,"Ratio Analysis";#N/A,#N/A,FALSE,"Test 120 Day Accts";#N/A,#N/A,FALSE,"Tickmarks"}</definedName>
    <definedName name="_pt8" hidden="1">{#N/A,#N/A,FALSE,"Aging Summary";#N/A,#N/A,FALSE,"Ratio Analysis";#N/A,#N/A,FALSE,"Test 120 Day Accts";#N/A,#N/A,FALSE,"Tickmarks"}</definedName>
    <definedName name="_q1" localSheetId="3" hidden="1">{#N/A,#N/A,FALSE,"Posição Financeira"}</definedName>
    <definedName name="_q1" localSheetId="2" hidden="1">{#N/A,#N/A,FALSE,"Posição Financeira"}</definedName>
    <definedName name="_q1" hidden="1">{#N/A,#N/A,FALSE,"Posição Financeira"}</definedName>
    <definedName name="_q2" localSheetId="3" hidden="1">{#N/A,#N/A,FALSE,"Posição Financeira"}</definedName>
    <definedName name="_q2" localSheetId="2" hidden="1">{#N/A,#N/A,FALSE,"Posição Financeira"}</definedName>
    <definedName name="_q2" hidden="1">{#N/A,#N/A,FALSE,"Posição Financeira"}</definedName>
    <definedName name="_q2008" localSheetId="3" hidden="1">{#N/A,#N/A,FALSE,"Posição Financeira"}</definedName>
    <definedName name="_q2008" localSheetId="2" hidden="1">{#N/A,#N/A,FALSE,"Posição Financeira"}</definedName>
    <definedName name="_q2008" hidden="1">{#N/A,#N/A,FALSE,"Posição Financeira"}</definedName>
    <definedName name="_q3" localSheetId="3" hidden="1">{#N/A,#N/A,FALSE,"Posição Financeira"}</definedName>
    <definedName name="_q3" localSheetId="2" hidden="1">{#N/A,#N/A,FALSE,"Posição Financeira"}</definedName>
    <definedName name="_q3" hidden="1">{#N/A,#N/A,FALSE,"Posição Financeira"}</definedName>
    <definedName name="_q4" localSheetId="3" hidden="1">{#N/A,#N/A,FALSE,"Posição Financeira"}</definedName>
    <definedName name="_q4" localSheetId="2" hidden="1">{#N/A,#N/A,FALSE,"Posição Financeira"}</definedName>
    <definedName name="_q4" hidden="1">{#N/A,#N/A,FALSE,"Posição Financeira"}</definedName>
    <definedName name="_q5" localSheetId="3" hidden="1">{#N/A,#N/A,FALSE,"Posição Financeira"}</definedName>
    <definedName name="_q5" localSheetId="2" hidden="1">{#N/A,#N/A,FALSE,"Posição Financeira"}</definedName>
    <definedName name="_q5" hidden="1">{#N/A,#N/A,FALSE,"Posição Financeira"}</definedName>
    <definedName name="_q6" localSheetId="3" hidden="1">{#N/A,#N/A,FALSE,"Services"}</definedName>
    <definedName name="_q6" localSheetId="2" hidden="1">{#N/A,#N/A,FALSE,"Services"}</definedName>
    <definedName name="_q6" hidden="1">{#N/A,#N/A,FALSE,"Services"}</definedName>
    <definedName name="_q7" localSheetId="3" hidden="1">{#N/A,#N/A,FALSE,"Posição Financeira"}</definedName>
    <definedName name="_q7" localSheetId="2" hidden="1">{#N/A,#N/A,FALSE,"Posição Financeira"}</definedName>
    <definedName name="_q7" hidden="1">{#N/A,#N/A,FALSE,"Posição Financeira"}</definedName>
    <definedName name="_q8" localSheetId="3" hidden="1">{#N/A,#N/A,FALSE,"Posição Financeira"}</definedName>
    <definedName name="_q8" localSheetId="2" hidden="1">{#N/A,#N/A,FALSE,"Posição Financeira"}</definedName>
    <definedName name="_q8" hidden="1">{#N/A,#N/A,FALSE,"Posição Financeira"}</definedName>
    <definedName name="_q9" localSheetId="3" hidden="1">{#N/A,#N/A,FALSE,"Posição Financeira"}</definedName>
    <definedName name="_q9" localSheetId="2" hidden="1">{#N/A,#N/A,FALSE,"Posição Financeira"}</definedName>
    <definedName name="_q9" hidden="1">{#N/A,#N/A,FALSE,"Posição Financeira"}</definedName>
    <definedName name="_Regression_Int" hidden="1">1</definedName>
    <definedName name="_REV1" localSheetId="2">Capa!#REF!</definedName>
    <definedName name="_REV1">#REF!</definedName>
    <definedName name="_REV2" localSheetId="2">Capa!#REF!</definedName>
    <definedName name="_REV2">#REF!</definedName>
    <definedName name="_REV3" localSheetId="2">Capa!#REF!</definedName>
    <definedName name="_REV3">#REF!</definedName>
    <definedName name="_REV4" localSheetId="2">Capa!#REF!</definedName>
    <definedName name="_REV4">#REF!</definedName>
    <definedName name="_REV5" localSheetId="2">Capa!$J$24</definedName>
    <definedName name="_REV5">#REF!</definedName>
    <definedName name="_REV6" localSheetId="2">Capa!$J$25</definedName>
    <definedName name="_REV6">#REF!</definedName>
    <definedName name="_SAP1" hidden="1">#N/A</definedName>
    <definedName name="_SEC">#REF!</definedName>
    <definedName name="_SET1">[4]SET!$A$3:$K$800</definedName>
    <definedName name="_SET2">[4]SET!$A$805:$N$811</definedName>
    <definedName name="_SET3">[4]SET!$A$816:$O$849</definedName>
    <definedName name="_Sort" hidden="1">[7]Plan3!#REF!</definedName>
    <definedName name="_t4" localSheetId="3" hidden="1">{#N/A,#N/A,FALSE,"Aging Summary";#N/A,#N/A,FALSE,"Ratio Analysis";#N/A,#N/A,FALSE,"Test 120 Day Accts";#N/A,#N/A,FALSE,"Tickmarks"}</definedName>
    <definedName name="_t4" localSheetId="2" hidden="1">{#N/A,#N/A,FALSE,"Aging Summary";#N/A,#N/A,FALSE,"Ratio Analysis";#N/A,#N/A,FALSE,"Test 120 Day Accts";#N/A,#N/A,FALSE,"Tickmarks"}</definedName>
    <definedName name="_t4" hidden="1">{#N/A,#N/A,FALSE,"Aging Summary";#N/A,#N/A,FALSE,"Ratio Analysis";#N/A,#N/A,FALSE,"Test 120 Day Accts";#N/A,#N/A,FALSE,"Tickmarks"}</definedName>
    <definedName name="_t81" localSheetId="3" hidden="1">{#N/A,#N/A,FALSE,"Aging Summary";#N/A,#N/A,FALSE,"Ratio Analysis";#N/A,#N/A,FALSE,"Test 120 Day Accts";#N/A,#N/A,FALSE,"Tickmarks"}</definedName>
    <definedName name="_t81" localSheetId="2" hidden="1">{#N/A,#N/A,FALSE,"Aging Summary";#N/A,#N/A,FALSE,"Ratio Analysis";#N/A,#N/A,FALSE,"Test 120 Day Accts";#N/A,#N/A,FALSE,"Tickmarks"}</definedName>
    <definedName name="_t81" hidden="1">{#N/A,#N/A,FALSE,"Aging Summary";#N/A,#N/A,FALSE,"Ratio Analysis";#N/A,#N/A,FALSE,"Test 120 Day Accts";#N/A,#N/A,FALSE,"Tickmarks"}</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el2">[4]MENU!$A$25</definedName>
    <definedName name="_TEL3">[4]MENU!$A$39</definedName>
    <definedName name="_TEL4">[4]MENU!$A$56</definedName>
    <definedName name="_TEL5">[4]MENU!$A$74</definedName>
    <definedName name="_v1" localSheetId="3" hidden="1">{#N/A,#N/A,FALSE,"Posição Financeira"}</definedName>
    <definedName name="_v1" localSheetId="2" hidden="1">{#N/A,#N/A,FALSE,"Posição Financeira"}</definedName>
    <definedName name="_v1" hidden="1">{#N/A,#N/A,FALSE,"Posição Financeira"}</definedName>
    <definedName name="_w1" localSheetId="3" hidden="1">{#N/A,#N/A,FALSE,"Posição Financeira"}</definedName>
    <definedName name="_w1" localSheetId="2" hidden="1">{#N/A,#N/A,FALSE,"Posição Financeira"}</definedName>
    <definedName name="_w1" hidden="1">{#N/A,#N/A,FALSE,"Posição Financeira"}</definedName>
    <definedName name="_w2" localSheetId="3" hidden="1">{#N/A,#N/A,FALSE,"Posição Financeira"}</definedName>
    <definedName name="_w2" localSheetId="2" hidden="1">{#N/A,#N/A,FALSE,"Posição Financeira"}</definedName>
    <definedName name="_w2" hidden="1">{#N/A,#N/A,FALSE,"Posição Financeira"}</definedName>
    <definedName name="_w3" localSheetId="3" hidden="1">{#N/A,#N/A,FALSE,"Posição Financeira"}</definedName>
    <definedName name="_w3" localSheetId="2" hidden="1">{#N/A,#N/A,FALSE,"Posição Financeira"}</definedName>
    <definedName name="_w3" hidden="1">{#N/A,#N/A,FALSE,"Posição Financeira"}</definedName>
    <definedName name="_w4" localSheetId="3" hidden="1">{#N/A,#N/A,FALSE,"Posição Financeira"}</definedName>
    <definedName name="_w4" localSheetId="2" hidden="1">{#N/A,#N/A,FALSE,"Posição Financeira"}</definedName>
    <definedName name="_w4" hidden="1">{#N/A,#N/A,FALSE,"Posição Financeira"}</definedName>
    <definedName name="_w5" localSheetId="3" hidden="1">{#N/A,#N/A,FALSE,"Actual";#N/A,#N/A,FALSE,"Capital Call";#N/A,#N/A,FALSE,"Analyse A x F"}</definedName>
    <definedName name="_w5" localSheetId="2" hidden="1">{#N/A,#N/A,FALSE,"Actual";#N/A,#N/A,FALSE,"Capital Call";#N/A,#N/A,FALSE,"Analyse A x F"}</definedName>
    <definedName name="_w5" hidden="1">{#N/A,#N/A,FALSE,"Actual";#N/A,#N/A,FALSE,"Capital Call";#N/A,#N/A,FALSE,"Analyse A x F"}</definedName>
    <definedName name="_w6" localSheetId="3" hidden="1">{#N/A,#N/A,FALSE,"Actual"}</definedName>
    <definedName name="_w6" localSheetId="2" hidden="1">{#N/A,#N/A,FALSE,"Actual"}</definedName>
    <definedName name="_w6" hidden="1">{#N/A,#N/A,FALSE,"Actual"}</definedName>
    <definedName name="_w7" localSheetId="3" hidden="1">{#N/A,#N/A,FALSE,"Services"}</definedName>
    <definedName name="_w7" localSheetId="2" hidden="1">{#N/A,#N/A,FALSE,"Services"}</definedName>
    <definedName name="_w7" hidden="1">{#N/A,#N/A,FALSE,"Services"}</definedName>
    <definedName name="_w8" localSheetId="3" hidden="1">{#N/A,#N/A,FALSE,"Services"}</definedName>
    <definedName name="_w8" localSheetId="2" hidden="1">{#N/A,#N/A,FALSE,"Services"}</definedName>
    <definedName name="_w8" hidden="1">{#N/A,#N/A,FALSE,"Services"}</definedName>
    <definedName name="A">#REF!</definedName>
    <definedName name="a_1" localSheetId="3" hidden="1">{#N/A,#N/A,FALSE,"Aging Summary";#N/A,#N/A,FALSE,"Ratio Analysis";#N/A,#N/A,FALSE,"Test 120 Day Accts";#N/A,#N/A,FALSE,"Tickmarks"}</definedName>
    <definedName name="a_1" localSheetId="2" hidden="1">{#N/A,#N/A,FALSE,"Aging Summary";#N/A,#N/A,FALSE,"Ratio Analysis";#N/A,#N/A,FALSE,"Test 120 Day Accts";#N/A,#N/A,FALSE,"Tickmarks"}</definedName>
    <definedName name="a_1" hidden="1">{#N/A,#N/A,FALSE,"Aging Summary";#N/A,#N/A,FALSE,"Ratio Analysis";#N/A,#N/A,FALSE,"Test 120 Day Accts";#N/A,#N/A,FALSE,"Tickmarks"}</definedName>
    <definedName name="A0" localSheetId="3" hidden="1">{#N/A,#N/A,TRUE,"ComparativoII"}</definedName>
    <definedName name="A0" localSheetId="2" hidden="1">{#N/A,#N/A,TRUE,"ComparativoII"}</definedName>
    <definedName name="A0" hidden="1">{#N/A,#N/A,TRUE,"ComparativoII"}</definedName>
    <definedName name="A0_1" localSheetId="3" hidden="1">{#N/A,#N/A,TRUE,"ComparativoII"}</definedName>
    <definedName name="A0_1" localSheetId="2" hidden="1">{#N/A,#N/A,TRUE,"ComparativoII"}</definedName>
    <definedName name="A0_1" hidden="1">{#N/A,#N/A,TRUE,"ComparativoII"}</definedName>
    <definedName name="A1p" localSheetId="3" hidden="1">{#N/A,#N/A,TRUE,"ComparativoII"}</definedName>
    <definedName name="A1p" localSheetId="2" hidden="1">{#N/A,#N/A,TRUE,"ComparativoII"}</definedName>
    <definedName name="A1p" hidden="1">{#N/A,#N/A,TRUE,"ComparativoII"}</definedName>
    <definedName name="A1p_1" localSheetId="3" hidden="1">{#N/A,#N/A,TRUE,"ComparativoII"}</definedName>
    <definedName name="A1p_1" localSheetId="2" hidden="1">{#N/A,#N/A,TRUE,"ComparativoII"}</definedName>
    <definedName name="A1p_1" hidden="1">{#N/A,#N/A,TRUE,"ComparativoII"}</definedName>
    <definedName name="A4A" localSheetId="3" hidden="1">{"balanço dolares",#N/A,FALSE,"SIGADR$";"AUT BAL REAIS",#N/A,FALSE,"SIGADR$";"QUOCIENTES REAIS",#N/A,FALSE,"QUOCIENTES";"JUNH QUOCI DOLARES",#N/A,FALSE,"QUOCIENTES"}</definedName>
    <definedName name="A4A" localSheetId="2" hidden="1">{"balanço dolares",#N/A,FALSE,"SIGADR$";"AUT BAL REAIS",#N/A,FALSE,"SIGADR$";"QUOCIENTES REAIS",#N/A,FALSE,"QUOCIENTES";"JUNH QUOCI DOLARES",#N/A,FALSE,"QUOCIENTES"}</definedName>
    <definedName name="A4A" hidden="1">{"balanço dolares",#N/A,FALSE,"SIGADR$";"AUT BAL REAIS",#N/A,FALSE,"SIGADR$";"QUOCIENTES REAIS",#N/A,FALSE,"QUOCIENTES";"JUNH QUOCI DOLARES",#N/A,FALSE,"QUOCIENTES"}</definedName>
    <definedName name="A4A_1" localSheetId="3" hidden="1">{"balanço dolares",#N/A,FALSE,"SIGADR$";"AUT BAL REAIS",#N/A,FALSE,"SIGADR$";"QUOCIENTES REAIS",#N/A,FALSE,"QUOCIENTES";"JUNH QUOCI DOLARES",#N/A,FALSE,"QUOCIENTES"}</definedName>
    <definedName name="A4A_1" localSheetId="2" hidden="1">{"balanço dolares",#N/A,FALSE,"SIGADR$";"AUT BAL REAIS",#N/A,FALSE,"SIGADR$";"QUOCIENTES REAIS",#N/A,FALSE,"QUOCIENTES";"JUNH QUOCI DOLARES",#N/A,FALSE,"QUOCIENTES"}</definedName>
    <definedName name="A4A_1" hidden="1">{"balanço dolares",#N/A,FALSE,"SIGADR$";"AUT BAL REAIS",#N/A,FALSE,"SIGADR$";"QUOCIENTES REAIS",#N/A,FALSE,"QUOCIENTES";"JUNH QUOCI DOLARES",#N/A,FALSE,"QUOCIENTES"}</definedName>
    <definedName name="A5A" localSheetId="3" hidden="1">{"AUT ANALISE DESP",#N/A,TRUE,"AN.DESP. MR$"}</definedName>
    <definedName name="A5A" localSheetId="2" hidden="1">{"AUT ANALISE DESP",#N/A,TRUE,"AN.DESP. MR$"}</definedName>
    <definedName name="A5A" hidden="1">{"AUT ANALISE DESP",#N/A,TRUE,"AN.DESP. MR$"}</definedName>
    <definedName name="A5A_1" localSheetId="3" hidden="1">{"AUT ANALISE DESP",#N/A,TRUE,"AN.DESP. MR$"}</definedName>
    <definedName name="A5A_1" localSheetId="2" hidden="1">{"AUT ANALISE DESP",#N/A,TRUE,"AN.DESP. MR$"}</definedName>
    <definedName name="A5A_1" hidden="1">{"AUT ANALISE DESP",#N/A,TRUE,"AN.DESP. MR$"}</definedName>
    <definedName name="aa">[8]Matriz!$L$1,[8]Matriz!$L$1:$L$65536</definedName>
    <definedName name="AAA" localSheetId="3" hidden="1">{#N/A,#N/A,FALSE,"Aging Summary";#N/A,#N/A,FALSE,"Ratio Analysis";#N/A,#N/A,FALSE,"Test 120 Day Accts";#N/A,#N/A,FALSE,"Tickmarks"}</definedName>
    <definedName name="AAA" localSheetId="2" hidden="1">{#N/A,#N/A,FALSE,"Aging Summary";#N/A,#N/A,FALSE,"Ratio Analysis";#N/A,#N/A,FALSE,"Test 120 Day Accts";#N/A,#N/A,FALSE,"Tickmarks"}</definedName>
    <definedName name="AAA" hidden="1">{#N/A,#N/A,FALSE,"Aging Summary";#N/A,#N/A,FALSE,"Ratio Analysis";#N/A,#N/A,FALSE,"Test 120 Day Accts";#N/A,#N/A,FALSE,"Tickmarks"}</definedName>
    <definedName name="AAAA" localSheetId="3" hidden="1">{"balanço dolares",#N/A,FALSE,"SIGADR$";"AUT BAL REAIS",#N/A,FALSE,"SIGADR$";"QUOCIENTES REAIS",#N/A,FALSE,"QUOCIENTES";"JUNH QUOCI DOLARES",#N/A,FALSE,"QUOCIENTES"}</definedName>
    <definedName name="AAAA" localSheetId="2" hidden="1">{"balanço dolares",#N/A,FALSE,"SIGADR$";"AUT BAL REAIS",#N/A,FALSE,"SIGADR$";"QUOCIENTES REAIS",#N/A,FALSE,"QUOCIENTES";"JUNH QUOCI DOLARES",#N/A,FALSE,"QUOCIENTES"}</definedName>
    <definedName name="AAAA" hidden="1">{"balanço dolares",#N/A,FALSE,"SIGADR$";"AUT BAL REAIS",#N/A,FALSE,"SIGADR$";"QUOCIENTES REAIS",#N/A,FALSE,"QUOCIENTES";"JUNH QUOCI DOLARES",#N/A,FALSE,"QUOCIENTES"}</definedName>
    <definedName name="AAAA_1" localSheetId="3" hidden="1">{"balanço dolares",#N/A,FALSE,"SIGADR$";"AUT BAL REAIS",#N/A,FALSE,"SIGADR$";"QUOCIENTES REAIS",#N/A,FALSE,"QUOCIENTES";"JUNH QUOCI DOLARES",#N/A,FALSE,"QUOCIENTES"}</definedName>
    <definedName name="AAAA_1" localSheetId="2" hidden="1">{"balanço dolares",#N/A,FALSE,"SIGADR$";"AUT BAL REAIS",#N/A,FALSE,"SIGADR$";"QUOCIENTES REAIS",#N/A,FALSE,"QUOCIENTES";"JUNH QUOCI DOLARES",#N/A,FALSE,"QUOCIENTES"}</definedName>
    <definedName name="AAAA_1" hidden="1">{"balanço dolares",#N/A,FALSE,"SIGADR$";"AUT BAL REAIS",#N/A,FALSE,"SIGADR$";"QUOCIENTES REAIS",#N/A,FALSE,"QUOCIENTES";"JUNH QUOCI DOLARES",#N/A,FALSE,"QUOCIENTES"}</definedName>
    <definedName name="aaaaaaaaaa" hidden="1">#N/A</definedName>
    <definedName name="ABR2A">[4]ABR!$A$603:$L$612</definedName>
    <definedName name="ABRCONF">[4]ABR!$G$642:$I$643</definedName>
    <definedName name="ACALFABR">[4]APOIO!$H$5</definedName>
    <definedName name="ACALFAGO">[4]APOIO!$L$5</definedName>
    <definedName name="ACALFDEZ">[4]APOIO!$P$5</definedName>
    <definedName name="ACALFFEV">[4]APOIO!$F$5</definedName>
    <definedName name="ACALFJAN">[4]APOIO!$E$5</definedName>
    <definedName name="ACALFJUL">[4]APOIO!$K$5</definedName>
    <definedName name="ACALFJUN">[4]APOIO!$J$5</definedName>
    <definedName name="ACALFMAI">[4]APOIO!$I$5</definedName>
    <definedName name="ACALFMAR">[4]APOIO!$G$5</definedName>
    <definedName name="ACALFNOV">[4]APOIO!$O$5</definedName>
    <definedName name="ACALFOUT">[4]APOIO!$N$5</definedName>
    <definedName name="ACALFSET">[4]APOIO!$M$5</definedName>
    <definedName name="acc">[9]CRITERIA1!$B$5</definedName>
    <definedName name="ACCOMABR">[4]APOIO!$H$4</definedName>
    <definedName name="ACCOMAGO">[4]APOIO!$L$4</definedName>
    <definedName name="ACCOMDEZ">[4]APOIO!$P$4</definedName>
    <definedName name="ACCOMFEV">[4]APOIO!$F$4</definedName>
    <definedName name="ACCOMJAN">[4]APOIO!$E$4</definedName>
    <definedName name="ACCOMJUL">[4]APOIO!$K$4</definedName>
    <definedName name="ACCOMJUN">[4]APOIO!$J$4</definedName>
    <definedName name="ACCOMMAI">[4]APOIO!$I$4</definedName>
    <definedName name="ACCOMMAR">[4]APOIO!$G$4</definedName>
    <definedName name="ACCOMNOV">[4]APOIO!$O$4</definedName>
    <definedName name="ACCOMOUT">[4]APOIO!$N$4</definedName>
    <definedName name="ACCOMSET">[4]APOIO!$M$4</definedName>
    <definedName name="ACCOUNTEDPERIODTYPE1">[10]CRITERIA1!$B$5</definedName>
    <definedName name="ACFOBABR">[4]APOIO!$H$7</definedName>
    <definedName name="ACFOBAGO">[4]APOIO!$L$7</definedName>
    <definedName name="ACFOBDEZ">[4]APOIO!$P$7</definedName>
    <definedName name="ACFOBFEV">[4]APOIO!$F$7</definedName>
    <definedName name="ACFOBJAN">[4]APOIO!$E$7</definedName>
    <definedName name="ACFOBJUL">[4]APOIO!$K$7</definedName>
    <definedName name="ACFOBJUN">[4]APOIO!$J$7</definedName>
    <definedName name="ACFOBMAI">[4]APOIO!$I$7</definedName>
    <definedName name="ACFOBMAR">[4]APOIO!$G$7</definedName>
    <definedName name="ACFOBNOV">[4]APOIO!$O$7</definedName>
    <definedName name="ACFOBOUT">[4]APOIO!$N$7</definedName>
    <definedName name="ACFOBSET">[4]APOIO!$M$7</definedName>
    <definedName name="ACFREABR">[4]APOIO!$H$2</definedName>
    <definedName name="ACFREAGO">[4]APOIO!$L$2</definedName>
    <definedName name="ACFREDEZ">[4]APOIO!$P$2</definedName>
    <definedName name="ACFREFEV">[4]APOIO!$F$2</definedName>
    <definedName name="ACFREJAN">[4]APOIO!$E$2</definedName>
    <definedName name="ACFREJUL">[4]APOIO!$K$2</definedName>
    <definedName name="ACFREJUN">[4]APOIO!$J$2</definedName>
    <definedName name="ACFREMAI">[4]APOIO!$I$2</definedName>
    <definedName name="ACFREMAR">[4]APOIO!$G$2</definedName>
    <definedName name="ACFRENOV">[4]APOIO!$O$2</definedName>
    <definedName name="ACFREOUT">[4]APOIO!$N$2</definedName>
    <definedName name="ACFRESET">[4]APOIO!$M$2</definedName>
    <definedName name="ACIMPABR">[4]APOIO!$H$6</definedName>
    <definedName name="ACIMPAGO">[4]APOIO!$L$6</definedName>
    <definedName name="ACIMPDEZ">[4]APOIO!$P$6</definedName>
    <definedName name="ACIMPFEV">[4]APOIO!$F$6</definedName>
    <definedName name="ACIMPJAN">[4]APOIO!$E$6</definedName>
    <definedName name="ACIMPJUL">[4]APOIO!$K$6</definedName>
    <definedName name="ACIMPJUN">[4]APOIO!$J$6</definedName>
    <definedName name="ACIMPMAI">[4]APOIO!$I$6</definedName>
    <definedName name="ACIMPMAR">[4]APOIO!$G$6</definedName>
    <definedName name="ACIMPNOV">[4]APOIO!$O$6</definedName>
    <definedName name="ACIMPOUT">[4]APOIO!$N$6</definedName>
    <definedName name="ACIMPSET">[4]APOIO!$M$6</definedName>
    <definedName name="ACSEGABR">[4]APOIO!$H$3</definedName>
    <definedName name="ACSEGAGO">[4]APOIO!$L$3</definedName>
    <definedName name="ACSEGDEZ">[4]APOIO!$P$3</definedName>
    <definedName name="ACSEGFEV">[4]APOIO!$F$3</definedName>
    <definedName name="ACSEGJAN">[4]APOIO!$E$3</definedName>
    <definedName name="ACSEGJUL">[4]APOIO!$K$3</definedName>
    <definedName name="ACSEGJUN">[4]APOIO!$J$3</definedName>
    <definedName name="ACSEGMAI">[4]APOIO!$I$3</definedName>
    <definedName name="ACSEGMAR">[4]APOIO!$G$3</definedName>
    <definedName name="ACSEGNOV">[4]APOIO!$O$3</definedName>
    <definedName name="ACSEGOUT">[4]APOIO!$N$3</definedName>
    <definedName name="ACSEGSET">[4]APOIO!$M$3</definedName>
    <definedName name="activoII" localSheetId="3" hidden="1">{#N/A,#N/A,FALSE,"Aging Summary";#N/A,#N/A,FALSE,"Ratio Analysis";#N/A,#N/A,FALSE,"Test 120 Day Accts";#N/A,#N/A,FALSE,"Tickmarks"}</definedName>
    <definedName name="activoII" localSheetId="2" hidden="1">{#N/A,#N/A,FALSE,"Aging Summary";#N/A,#N/A,FALSE,"Ratio Analysis";#N/A,#N/A,FALSE,"Test 120 Day Accts";#N/A,#N/A,FALSE,"Tickmarks"}</definedName>
    <definedName name="activoII" hidden="1">{#N/A,#N/A,FALSE,"Aging Summary";#N/A,#N/A,FALSE,"Ratio Analysis";#N/A,#N/A,FALSE,"Test 120 Day Accts";#N/A,#N/A,FALSE,"Tickmarks"}</definedName>
    <definedName name="ACUM">[4]APOIO!$E$1:$P$7</definedName>
    <definedName name="ACUM_AF">[4]APOIO!$S$1:$AD$7</definedName>
    <definedName name="ad">[11]CRITERIA2!$B$32</definedName>
    <definedName name="adfadf" localSheetId="3" hidden="1">{#N/A,#N/A,FALSE,"Aging Summary";#N/A,#N/A,FALSE,"Ratio Analysis";#N/A,#N/A,FALSE,"Test 120 Day Accts";#N/A,#N/A,FALSE,"Tickmarks"}</definedName>
    <definedName name="adfadf" localSheetId="2" hidden="1">{#N/A,#N/A,FALSE,"Aging Summary";#N/A,#N/A,FALSE,"Ratio Analysis";#N/A,#N/A,FALSE,"Test 120 Day Accts";#N/A,#N/A,FALSE,"Tickmarks"}</definedName>
    <definedName name="adfadf" hidden="1">{#N/A,#N/A,FALSE,"Aging Summary";#N/A,#N/A,FALSE,"Ratio Analysis";#N/A,#N/A,FALSE,"Test 120 Day Accts";#N/A,#N/A,FALSE,"Tickmarks"}</definedName>
    <definedName name="adsds">[6]L100100!#REF!</definedName>
    <definedName name="af" localSheetId="3" hidden="1">{#N/A,#N/A,FALSE,"Aging Summary";#N/A,#N/A,FALSE,"Ratio Analysis";#N/A,#N/A,FALSE,"Test 120 Day Accts";#N/A,#N/A,FALSE,"Tickmarks"}</definedName>
    <definedName name="af" localSheetId="2" hidden="1">{#N/A,#N/A,FALSE,"Aging Summary";#N/A,#N/A,FALSE,"Ratio Analysis";#N/A,#N/A,FALSE,"Test 120 Day Accts";#N/A,#N/A,FALSE,"Tickmarks"}</definedName>
    <definedName name="af" hidden="1">{#N/A,#N/A,FALSE,"Aging Summary";#N/A,#N/A,FALSE,"Ratio Analysis";#N/A,#N/A,FALSE,"Test 120 Day Accts";#N/A,#N/A,FALSE,"Tickmarks"}</definedName>
    <definedName name="AFALFABR">[4]ABR!$AB$3</definedName>
    <definedName name="AFALFAGO">[4]AGO!$AB$3</definedName>
    <definedName name="AFALFDEZ">[4]DEZ!$AB$3</definedName>
    <definedName name="AFALFFEV">[4]FEV!$AB$3</definedName>
    <definedName name="AFALFJAN">[4]JAN!$AB$3</definedName>
    <definedName name="AFALFJUL">[4]JUL!$AB$3</definedName>
    <definedName name="AFALFJUN">[4]JUN!$AB$3</definedName>
    <definedName name="AFALFMAI">[4]MAI!$AB$3</definedName>
    <definedName name="AFALFMAR">[4]MAR!$AB$3</definedName>
    <definedName name="AFALFNOV">[4]NOV!$AB$3</definedName>
    <definedName name="AFALFOUT">[4]OUT!$AB$3</definedName>
    <definedName name="AFALFSET">[4]SET!$AB$3</definedName>
    <definedName name="AFCOMABR">[4]ABR!$AA$3</definedName>
    <definedName name="AFCOMAGO">[4]AGO!$AA$3</definedName>
    <definedName name="AFCOMDEZ">[4]DEZ!$AA$3</definedName>
    <definedName name="AFCOMFEV">[4]FEV!$AA$3</definedName>
    <definedName name="AFCOMJAN">[4]JAN!$AA$3</definedName>
    <definedName name="AFCOMJUL">[4]JUL!$AA$3</definedName>
    <definedName name="AFCOMJUN">[4]JUN!$AA$3</definedName>
    <definedName name="AFCOMMAI">[4]MAI!$AA$3</definedName>
    <definedName name="AFCOMMAR">[4]MAR!$AA$3</definedName>
    <definedName name="AFCOMNOV">[4]NOV!$AA$3</definedName>
    <definedName name="AFCOMOUT">[4]OUT!$AA$3</definedName>
    <definedName name="AFCOMSET">[4]SET!$AA$3</definedName>
    <definedName name="AFFOBABR">[4]ABR!$AD$3</definedName>
    <definedName name="AFFOBAGO">[4]AGO!$AD$3</definedName>
    <definedName name="AFFOBDEZ">[4]DEZ!$AD$3</definedName>
    <definedName name="AFFOBFEV">[4]FEV!$AD$3</definedName>
    <definedName name="AFFOBJAN">[4]JAN!$AD$3</definedName>
    <definedName name="AFFOBJUL">[4]JUL!$AD$3</definedName>
    <definedName name="AFFOBJUN">[4]JUN!$AD$3</definedName>
    <definedName name="AFFOBMAI">[4]MAI!$AD$3</definedName>
    <definedName name="AFFOBMAR">[4]MAR!$AD$3</definedName>
    <definedName name="AFFOBNOV">[4]NOV!$AD$3</definedName>
    <definedName name="AFFOBOUT">[4]OUT!$AD$3</definedName>
    <definedName name="AFFOBSET">[4]SET!$AD$3</definedName>
    <definedName name="AFFREABR">[4]ABR!$Y$3</definedName>
    <definedName name="AFFREAGO">[4]AGO!$Y$3</definedName>
    <definedName name="AFFREDEZ">[4]DEZ!$Y$3</definedName>
    <definedName name="AFFREFEV">[4]FEV!$Y$3</definedName>
    <definedName name="AFFREJAN">[4]JAN!$Y$3</definedName>
    <definedName name="AFFREJUL">[4]JUL!$Y$3</definedName>
    <definedName name="AFFREJUN">[4]JUN!$Y$3</definedName>
    <definedName name="AFFREMAI">[4]MAI!$Y$3</definedName>
    <definedName name="AFFREMAR">[4]MAR!$Y$3</definedName>
    <definedName name="AFFRENOV">[4]NOV!$Y$3</definedName>
    <definedName name="AFFREOUT">[4]OUT!$Y$3</definedName>
    <definedName name="AFFRESET">[4]SET!$Y$3</definedName>
    <definedName name="afh" localSheetId="3" hidden="1">{#N/A,#N/A,FALSE,"Aging Summary";#N/A,#N/A,FALSE,"Ratio Analysis";#N/A,#N/A,FALSE,"Test 120 Day Accts";#N/A,#N/A,FALSE,"Tickmarks"}</definedName>
    <definedName name="afh" localSheetId="2" hidden="1">{#N/A,#N/A,FALSE,"Aging Summary";#N/A,#N/A,FALSE,"Ratio Analysis";#N/A,#N/A,FALSE,"Test 120 Day Accts";#N/A,#N/A,FALSE,"Tickmarks"}</definedName>
    <definedName name="afh" hidden="1">{#N/A,#N/A,FALSE,"Aging Summary";#N/A,#N/A,FALSE,"Ratio Analysis";#N/A,#N/A,FALSE,"Test 120 Day Accts";#N/A,#N/A,FALSE,"Tickmarks"}</definedName>
    <definedName name="AFIMPABR">[4]ABR!$AC$3</definedName>
    <definedName name="AFIMPAGO">[4]AGO!$AC$3</definedName>
    <definedName name="AFIMPDEZ">[4]DEZ!$AC$3</definedName>
    <definedName name="AFIMPFEV">[4]FEV!$AC$3</definedName>
    <definedName name="AFIMPJAN">[4]JAN!$AC$3</definedName>
    <definedName name="AFIMPJUL">[4]JUL!$AC$3</definedName>
    <definedName name="AFIMPJUN">[4]JUN!$AC$3</definedName>
    <definedName name="AFIMPMAI">[4]MAI!$AC$3</definedName>
    <definedName name="AFIMPMAR">[4]MAR!$AC$3</definedName>
    <definedName name="AFIMPNOV">[4]NOV!$AC$3</definedName>
    <definedName name="AFIMPOUT">[4]OUT!$AC$3</definedName>
    <definedName name="AFIMPSET">[4]SET!$AC$3</definedName>
    <definedName name="AFSEGABR">[4]ABR!$Z$3</definedName>
    <definedName name="AFSEGAGO">[4]AGO!$Z$3</definedName>
    <definedName name="AFSEGDEZ">[4]DEZ!$Z$3</definedName>
    <definedName name="AFSEGFEV">[4]FEV!$Z$3</definedName>
    <definedName name="AFSEGJAN">[4]JAN!$Z$3</definedName>
    <definedName name="AFSEGJUL">[4]JUL!$Z$3</definedName>
    <definedName name="AFSEGJUN">[4]JUN!$Z$3</definedName>
    <definedName name="AFSEGMAI">[4]MAI!$Z$3</definedName>
    <definedName name="AFSEGMAR">[4]MAR!$Z$3</definedName>
    <definedName name="AFSEGNOV">[4]NOV!$Z$3</definedName>
    <definedName name="AFSEGOUT">[4]OUT!$Z$3</definedName>
    <definedName name="AFSEGSET">[4]SET!$Z$3</definedName>
    <definedName name="Agencias">#REF!</definedName>
    <definedName name="AGO2A">[4]AGO!$A$724:$L$735</definedName>
    <definedName name="AGOCONF">[4]AGO!$G$796:$I$797</definedName>
    <definedName name="ai"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i"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i"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ii"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ii"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ii"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JUDA_DE_CUSTO">#REF!</definedName>
    <definedName name="ajustecont">'[12]Capital Call'!$B$73</definedName>
    <definedName name="alcibiades" localSheetId="3" hidden="1">{#N/A,#N/A,FALSE,"BALANCE";#N/A,#N/A,FALSE,"BALACOMP"}</definedName>
    <definedName name="alcibiades" localSheetId="2" hidden="1">{#N/A,#N/A,FALSE,"BALANCE";#N/A,#N/A,FALSE,"BALACOMP"}</definedName>
    <definedName name="alcibiades" hidden="1">{#N/A,#N/A,FALSE,"BALANCE";#N/A,#N/A,FALSE,"BALACOMP"}</definedName>
    <definedName name="alcibiades_1" localSheetId="3" hidden="1">{#N/A,#N/A,FALSE,"BALANCE";#N/A,#N/A,FALSE,"BALACOMP"}</definedName>
    <definedName name="alcibiades_1" localSheetId="2" hidden="1">{#N/A,#N/A,FALSE,"BALANCE";#N/A,#N/A,FALSE,"BALACOMP"}</definedName>
    <definedName name="alcibiades_1" hidden="1">{#N/A,#N/A,FALSE,"BALANCE";#N/A,#N/A,FALSE,"BALACOMP"}</definedName>
    <definedName name="ALCYLEIA_ALV">#REF!</definedName>
    <definedName name="ALE" localSheetId="3" hidden="1">{#N/A,#N/A,FALSE,"Aging Summary";#N/A,#N/A,FALSE,"Ratio Analysis";#N/A,#N/A,FALSE,"Test 120 Day Accts";#N/A,#N/A,FALSE,"Tickmarks"}</definedName>
    <definedName name="ALE" localSheetId="2" hidden="1">{#N/A,#N/A,FALSE,"Aging Summary";#N/A,#N/A,FALSE,"Ratio Analysis";#N/A,#N/A,FALSE,"Test 120 Day Accts";#N/A,#N/A,FALSE,"Tickmarks"}</definedName>
    <definedName name="ALE" hidden="1">{#N/A,#N/A,FALSE,"Aging Summary";#N/A,#N/A,FALSE,"Ratio Analysis";#N/A,#N/A,FALSE,"Test 120 Day Accts";#N/A,#N/A,FALSE,"Tickmarks"}</definedName>
    <definedName name="ALE_1" localSheetId="3" hidden="1">{#N/A,#N/A,FALSE,"Aging Summary";#N/A,#N/A,FALSE,"Ratio Analysis";#N/A,#N/A,FALSE,"Test 120 Day Accts";#N/A,#N/A,FALSE,"Tickmarks"}</definedName>
    <definedName name="ALE_1" localSheetId="2" hidden="1">{#N/A,#N/A,FALSE,"Aging Summary";#N/A,#N/A,FALSE,"Ratio Analysis";#N/A,#N/A,FALSE,"Test 120 Day Accts";#N/A,#N/A,FALSE,"Tickmarks"}</definedName>
    <definedName name="ALE_1" hidden="1">{#N/A,#N/A,FALSE,"Aging Summary";#N/A,#N/A,FALSE,"Ratio Analysis";#N/A,#N/A,FALSE,"Test 120 Day Accts";#N/A,#N/A,FALSE,"Tickmarks"}</definedName>
    <definedName name="alejandrita" localSheetId="3" hidden="1">{#N/A,#N/A,FALSE,"Aging Summary";#N/A,#N/A,FALSE,"Ratio Analysis";#N/A,#N/A,FALSE,"Test 120 Day Accts";#N/A,#N/A,FALSE,"Tickmarks"}</definedName>
    <definedName name="alejandrita" localSheetId="2" hidden="1">{#N/A,#N/A,FALSE,"Aging Summary";#N/A,#N/A,FALSE,"Ratio Analysis";#N/A,#N/A,FALSE,"Test 120 Day Accts";#N/A,#N/A,FALSE,"Tickmarks"}</definedName>
    <definedName name="alejandrita" hidden="1">{#N/A,#N/A,FALSE,"Aging Summary";#N/A,#N/A,FALSE,"Ratio Analysis";#N/A,#N/A,FALSE,"Test 120 Day Accts";#N/A,#N/A,FALSE,"Tickmarks"}</definedName>
    <definedName name="ALFABR1">[4]ABR!$F$599</definedName>
    <definedName name="ALFABR2">[4]ABR!$F$613</definedName>
    <definedName name="ALFABR3">[4]ABR!$F$638</definedName>
    <definedName name="ALFAGO1">[4]AGO!$F$720</definedName>
    <definedName name="ALFAGO2">[4]AGO!$F$736</definedName>
    <definedName name="ALFAGO3">[4]AGO!$F$792</definedName>
    <definedName name="ALFDEZ1">[4]DEZ!$F$6</definedName>
    <definedName name="ALFDEZ2">[4]DEZ!$F$13</definedName>
    <definedName name="ALFDEZ3">[4]DEZ!$F$20</definedName>
    <definedName name="ALFFEV1">[4]FEV!$F$448</definedName>
    <definedName name="ALFFEV2">[4]FEV!$F$461</definedName>
    <definedName name="ALFFEV3">[4]FEV!$F$477</definedName>
    <definedName name="ALFJAN1">[4]JAN!$F$435</definedName>
    <definedName name="ALFJAN2">[4]JAN!$F$450</definedName>
    <definedName name="ALFJAN3">[4]JAN!$F$467</definedName>
    <definedName name="ALFJUL1">[4]JUL!$F$523</definedName>
    <definedName name="ALFJUL2">[4]JUL!$F$538</definedName>
    <definedName name="ALFJUL3">[4]JUL!$F$566</definedName>
    <definedName name="ALFJUN1">[4]JUN!$F$533</definedName>
    <definedName name="ALFJUN2">[4]JUN!$F$549</definedName>
    <definedName name="ALFJUN3">[4]JUN!$F$582</definedName>
    <definedName name="ALFMAI1">[4]MAI!$F$496</definedName>
    <definedName name="ALFMAI2">[4]MAI!$F$510</definedName>
    <definedName name="ALFMAI3">[4]MAI!$F$524</definedName>
    <definedName name="ALFMAR1">[4]MAR!$F$673</definedName>
    <definedName name="ALFMAR2">[4]MAR!$F$681</definedName>
    <definedName name="ALFMAR3">[4]MAR!$F$699</definedName>
    <definedName name="ALFNOV1">[4]NOV!$F$6</definedName>
    <definedName name="ALFNOV2">[4]NOV!$F$13</definedName>
    <definedName name="ALFNOV3">[4]NOV!$F$20</definedName>
    <definedName name="ALFOUT1">[4]OUT!$F$6</definedName>
    <definedName name="ALFOUT2">[4]OUT!$F$13</definedName>
    <definedName name="ALFOUT3">[4]OUT!$F$20</definedName>
    <definedName name="ALFSET1">[4]SET!$F$801</definedName>
    <definedName name="ALFSET2">[4]SET!$F$812</definedName>
    <definedName name="ALFSET3">[4]SET!$F$850</definedName>
    <definedName name="alita" localSheetId="3" hidden="1">{#N/A,#N/A,FALSE,"Aging Summary";#N/A,#N/A,FALSE,"Ratio Analysis";#N/A,#N/A,FALSE,"Test 120 Day Accts";#N/A,#N/A,FALSE,"Tickmarks"}</definedName>
    <definedName name="alita" localSheetId="2" hidden="1">{#N/A,#N/A,FALSE,"Aging Summary";#N/A,#N/A,FALSE,"Ratio Analysis";#N/A,#N/A,FALSE,"Test 120 Day Accts";#N/A,#N/A,FALSE,"Tickmarks"}</definedName>
    <definedName name="alita" hidden="1">{#N/A,#N/A,FALSE,"Aging Summary";#N/A,#N/A,FALSE,"Ratio Analysis";#N/A,#N/A,FALSE,"Test 120 Day Accts";#N/A,#N/A,FALSE,"Tickmarks"}</definedName>
    <definedName name="ALLOWED">#REF!</definedName>
    <definedName name="ALLOWED1">#REF!</definedName>
    <definedName name="ALLOWED2">#REF!</definedName>
    <definedName name="ALLOWED3">#REF!</definedName>
    <definedName name="ALLOWED4">#REF!</definedName>
    <definedName name="ALLOWED5">#REF!</definedName>
    <definedName name="ALLOWED6">#REF!</definedName>
    <definedName name="ALLOWED7.1">#REF!</definedName>
    <definedName name="ALLOWED7.2">#REF!</definedName>
    <definedName name="ALLOWED7.3">#REF!</definedName>
    <definedName name="alnvl" localSheetId="3" hidden="1">{"Despesas Diferidas Indedutíveis de 1998",#N/A,FALSE,"Impressão"}</definedName>
    <definedName name="alnvl" localSheetId="2" hidden="1">{"Despesas Diferidas Indedutíveis de 1998",#N/A,FALSE,"Impressão"}</definedName>
    <definedName name="alnvl" hidden="1">{"Despesas Diferidas Indedutíveis de 1998",#N/A,FALSE,"Impressão"}</definedName>
    <definedName name="alnvl1" localSheetId="3" hidden="1">{"Despesas Diferidas Indedutíveis de 1998",#N/A,FALSE,"Impressão"}</definedName>
    <definedName name="alnvl1" localSheetId="2" hidden="1">{"Despesas Diferidas Indedutíveis de 1998",#N/A,FALSE,"Impressão"}</definedName>
    <definedName name="alnvl1" hidden="1">{"Despesas Diferidas Indedutíveis de 1998",#N/A,FALSE,"Impressão"}</definedName>
    <definedName name="ALTAS2003" localSheetId="3" hidden="1">{#N/A,#N/A,FALSE,"Aging Summary";#N/A,#N/A,FALSE,"Ratio Analysis";#N/A,#N/A,FALSE,"Test 120 Day Accts";#N/A,#N/A,FALSE,"Tickmarks"}</definedName>
    <definedName name="ALTAS2003" localSheetId="2" hidden="1">{#N/A,#N/A,FALSE,"Aging Summary";#N/A,#N/A,FALSE,"Ratio Analysis";#N/A,#N/A,FALSE,"Test 120 Day Accts";#N/A,#N/A,FALSE,"Tickmarks"}</definedName>
    <definedName name="ALTAS2003" hidden="1">{#N/A,#N/A,FALSE,"Aging Summary";#N/A,#N/A,FALSE,"Ratio Analysis";#N/A,#N/A,FALSE,"Test 120 Day Accts";#N/A,#N/A,FALSE,"Tickmarks"}</definedName>
    <definedName name="ALTAS2003_1" localSheetId="3" hidden="1">{#N/A,#N/A,FALSE,"Aging Summary";#N/A,#N/A,FALSE,"Ratio Analysis";#N/A,#N/A,FALSE,"Test 120 Day Accts";#N/A,#N/A,FALSE,"Tickmarks"}</definedName>
    <definedName name="ALTAS2003_1" localSheetId="2" hidden="1">{#N/A,#N/A,FALSE,"Aging Summary";#N/A,#N/A,FALSE,"Ratio Analysis";#N/A,#N/A,FALSE,"Test 120 Day Accts";#N/A,#N/A,FALSE,"Tickmarks"}</definedName>
    <definedName name="ALTAS2003_1" hidden="1">{#N/A,#N/A,FALSE,"Aging Summary";#N/A,#N/A,FALSE,"Ratio Analysis";#N/A,#N/A,FALSE,"Test 120 Day Accts";#N/A,#N/A,FALSE,"Tickmarks"}</definedName>
    <definedName name="am" localSheetId="3" hidden="1">{#N/A,#N/A,TRUE,"MEMO";#N/A,#N/A,TRUE,"PARAMETROS";#N/A,#N/A,TRUE,"RLI ";#N/A,#N/A,TRUE,"IMPTO.DET.";#N/A,#N/A,TRUE,"FUT-FUNT";#N/A,#N/A,TRUE,"CPI-PATR.";#N/A,#N/A,TRUE,"CM CPI";#N/A,#N/A,TRUE,"PROV";#N/A,#N/A,TRUE,"A FIJO";#N/A,#N/A,TRUE,"LEASING";#N/A,#N/A,TRUE,"VPP";#N/A,#N/A,TRUE,"PPM";#N/A,#N/A,TRUE,"OTROS"}</definedName>
    <definedName name="am" localSheetId="2" hidden="1">{#N/A,#N/A,TRUE,"MEMO";#N/A,#N/A,TRUE,"PARAMETROS";#N/A,#N/A,TRUE,"RLI ";#N/A,#N/A,TRUE,"IMPTO.DET.";#N/A,#N/A,TRUE,"FUT-FUNT";#N/A,#N/A,TRUE,"CPI-PATR.";#N/A,#N/A,TRUE,"CM CPI";#N/A,#N/A,TRUE,"PROV";#N/A,#N/A,TRUE,"A FIJO";#N/A,#N/A,TRUE,"LEASING";#N/A,#N/A,TRUE,"VPP";#N/A,#N/A,TRUE,"PPM";#N/A,#N/A,TRUE,"OTROS"}</definedName>
    <definedName name="am" hidden="1">{#N/A,#N/A,TRUE,"MEMO";#N/A,#N/A,TRUE,"PARAMETROS";#N/A,#N/A,TRUE,"RLI ";#N/A,#N/A,TRUE,"IMPTO.DET.";#N/A,#N/A,TRUE,"FUT-FUNT";#N/A,#N/A,TRUE,"CPI-PATR.";#N/A,#N/A,TRUE,"CM CPI";#N/A,#N/A,TRUE,"PROV";#N/A,#N/A,TRUE,"A FIJO";#N/A,#N/A,TRUE,"LEASING";#N/A,#N/A,TRUE,"VPP";#N/A,#N/A,TRUE,"PPM";#N/A,#N/A,TRUE,"OTROS"}</definedName>
    <definedName name="AmericelFornec" hidden="1">#N/A</definedName>
    <definedName name="An_Empl.Metrics">'[13]Employee Metrics'!$A$166:$AA$284</definedName>
    <definedName name="An_HandSales">'[13]Handset Sales'!$A$118:$AD$167</definedName>
    <definedName name="An_Inventory">'[13]Handset Inventory'!$A$97:$M$155</definedName>
    <definedName name="Analog_CPGA">[13]CPGA!$A$152:$AA$268</definedName>
    <definedName name="anexo"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nexo"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nexo"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anexoxv2" localSheetId="3" hidden="1">{"Despesas Diferidas Indedutíveis de 1998",#N/A,FALSE,"Impressão"}</definedName>
    <definedName name="anexoxv2" localSheetId="2" hidden="1">{"Despesas Diferidas Indedutíveis de 1998",#N/A,FALSE,"Impressão"}</definedName>
    <definedName name="anexoxv2" hidden="1">{"Despesas Diferidas Indedutíveis de 1998",#N/A,FALSE,"Impressão"}</definedName>
    <definedName name="anscount" hidden="1">1</definedName>
    <definedName name="Anverso" localSheetId="3" hidden="1">{#N/A,#N/A,TRUE,"MEMO";#N/A,#N/A,TRUE,"PARAMETROS";#N/A,#N/A,TRUE,"RLI ";#N/A,#N/A,TRUE,"IMPTO.DET.";#N/A,#N/A,TRUE,"FUT-FUNT";#N/A,#N/A,TRUE,"CPI-PATR.";#N/A,#N/A,TRUE,"CM CPI";#N/A,#N/A,TRUE,"PROV";#N/A,#N/A,TRUE,"A FIJO";#N/A,#N/A,TRUE,"LEASING";#N/A,#N/A,TRUE,"VPP";#N/A,#N/A,TRUE,"PPM";#N/A,#N/A,TRUE,"OTROS"}</definedName>
    <definedName name="Anverso" localSheetId="2" hidden="1">{#N/A,#N/A,TRUE,"MEMO";#N/A,#N/A,TRUE,"PARAMETROS";#N/A,#N/A,TRUE,"RLI ";#N/A,#N/A,TRUE,"IMPTO.DET.";#N/A,#N/A,TRUE,"FUT-FUNT";#N/A,#N/A,TRUE,"CPI-PATR.";#N/A,#N/A,TRUE,"CM CPI";#N/A,#N/A,TRUE,"PROV";#N/A,#N/A,TRUE,"A FIJO";#N/A,#N/A,TRUE,"LEASING";#N/A,#N/A,TRUE,"VPP";#N/A,#N/A,TRUE,"PPM";#N/A,#N/A,TRUE,"OTROS"}</definedName>
    <definedName name="Anverso" hidden="1">{#N/A,#N/A,TRUE,"MEMO";#N/A,#N/A,TRUE,"PARAMETROS";#N/A,#N/A,TRUE,"RLI ";#N/A,#N/A,TRUE,"IMPTO.DET.";#N/A,#N/A,TRUE,"FUT-FUNT";#N/A,#N/A,TRUE,"CPI-PATR.";#N/A,#N/A,TRUE,"CM CPI";#N/A,#N/A,TRUE,"PROV";#N/A,#N/A,TRUE,"A FIJO";#N/A,#N/A,TRUE,"LEASING";#N/A,#N/A,TRUE,"VPP";#N/A,#N/A,TRUE,"PPM";#N/A,#N/A,TRUE,"OTROS"}</definedName>
    <definedName name="APPSUSERNAME1">[10]CRITERIA1!$B$14</definedName>
    <definedName name="_xlnm.Print_Area" localSheetId="2">Capa!$B$2:$J$25</definedName>
    <definedName name="_xlnm.Print_Area">#REF!</definedName>
    <definedName name="Área_impressão_IM">#REF!</definedName>
    <definedName name="AREAAF">[4]VOUCHER!$AA$445:$AC$509</definedName>
    <definedName name="AREAMC">[4]VOUCHER!$AA$560:$AM$590</definedName>
    <definedName name="AREAMP">[4]VOUCHER!$AA$1:$AC$432</definedName>
    <definedName name="AS" localSheetId="3" hidden="1">{#N/A,#N/A,FALSE,"Aging Summary";#N/A,#N/A,FALSE,"Ratio Analysis";#N/A,#N/A,FALSE,"Test 120 Day Accts";#N/A,#N/A,FALSE,"Tickmarks"}</definedName>
    <definedName name="AS" localSheetId="2" hidden="1">{#N/A,#N/A,FALSE,"Aging Summary";#N/A,#N/A,FALSE,"Ratio Analysis";#N/A,#N/A,FALSE,"Test 120 Day Accts";#N/A,#N/A,FALSE,"Tickmarks"}</definedName>
    <definedName name="AS" hidden="1">{#N/A,#N/A,FALSE,"Aging Summary";#N/A,#N/A,FALSE,"Ratio Analysis";#N/A,#N/A,FALSE,"Test 120 Day Accts";#N/A,#N/A,FALSE,"Tickmarks"}</definedName>
    <definedName name="AS2DocOpenMode" hidden="1">"AS2DocumentEdit"</definedName>
    <definedName name="AS2DocOpenMode_1" hidden="1">"AS2DocumentBrowse"</definedName>
    <definedName name="AS2HasNoAutoHeaderFooter" hidden="1">" "</definedName>
    <definedName name="AS2LinkLS" hidden="1">#REF!</definedName>
    <definedName name="AS2NamedRange" hidden="1">65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àsasd" hidden="1">#N/A</definedName>
    <definedName name="asdaqsd" localSheetId="3" hidden="1">{#N/A,#N/A,FALSE,"Aging Summary";#N/A,#N/A,FALSE,"Ratio Analysis";#N/A,#N/A,FALSE,"Test 120 Day Accts";#N/A,#N/A,FALSE,"Tickmarks"}</definedName>
    <definedName name="asdaqsd" localSheetId="2" hidden="1">{#N/A,#N/A,FALSE,"Aging Summary";#N/A,#N/A,FALSE,"Ratio Analysis";#N/A,#N/A,FALSE,"Test 120 Day Accts";#N/A,#N/A,FALSE,"Tickmarks"}</definedName>
    <definedName name="asdaqsd" hidden="1">{#N/A,#N/A,FALSE,"Aging Summary";#N/A,#N/A,FALSE,"Ratio Analysis";#N/A,#N/A,FALSE,"Test 120 Day Accts";#N/A,#N/A,FALSE,"Tickmarks"}</definedName>
    <definedName name="asdd" localSheetId="3" hidden="1">{#N/A,#N/A,FALSE,"Aging Summary";#N/A,#N/A,FALSE,"Ratio Analysis";#N/A,#N/A,FALSE,"Test 120 Day Accts";#N/A,#N/A,FALSE,"Tickmarks"}</definedName>
    <definedName name="asdd" localSheetId="2" hidden="1">{#N/A,#N/A,FALSE,"Aging Summary";#N/A,#N/A,FALSE,"Ratio Analysis";#N/A,#N/A,FALSE,"Test 120 Day Accts";#N/A,#N/A,FALSE,"Tickmarks"}</definedName>
    <definedName name="asdd" hidden="1">{#N/A,#N/A,FALSE,"Aging Summary";#N/A,#N/A,FALSE,"Ratio Analysis";#N/A,#N/A,FALSE,"Test 120 Day Accts";#N/A,#N/A,FALSE,"Tickmarks"}</definedName>
    <definedName name="asded" localSheetId="3" hidden="1">{#N/A,#N/A,FALSE,"Aging Summary";#N/A,#N/A,FALSE,"Ratio Analysis";#N/A,#N/A,FALSE,"Test 120 Day Accts";#N/A,#N/A,FALSE,"Tickmarks"}</definedName>
    <definedName name="asded" localSheetId="2" hidden="1">{#N/A,#N/A,FALSE,"Aging Summary";#N/A,#N/A,FALSE,"Ratio Analysis";#N/A,#N/A,FALSE,"Test 120 Day Accts";#N/A,#N/A,FALSE,"Tickmarks"}</definedName>
    <definedName name="asded" hidden="1">{#N/A,#N/A,FALSE,"Aging Summary";#N/A,#N/A,FALSE,"Ratio Analysis";#N/A,#N/A,FALSE,"Test 120 Day Accts";#N/A,#N/A,FALSE,"Tickmarks"}</definedName>
    <definedName name="ASDF" hidden="1">#N/A</definedName>
    <definedName name="asdf1" hidden="1">#N/A</definedName>
    <definedName name="asdfg" localSheetId="3" hidden="1">{#N/A,#N/A,TRUE,"MEMO";#N/A,#N/A,TRUE,"PARAMETROS";#N/A,#N/A,TRUE,"RLI ";#N/A,#N/A,TRUE,"IMPTO.DET.";#N/A,#N/A,TRUE,"FUT-FUNT";#N/A,#N/A,TRUE,"CPI-PATR.";#N/A,#N/A,TRUE,"CM CPI";#N/A,#N/A,TRUE,"PROV";#N/A,#N/A,TRUE,"A FIJO";#N/A,#N/A,TRUE,"LEASING";#N/A,#N/A,TRUE,"VPP";#N/A,#N/A,TRUE,"PPM";#N/A,#N/A,TRUE,"OTROS"}</definedName>
    <definedName name="asdfg" localSheetId="2" hidden="1">{#N/A,#N/A,TRUE,"MEMO";#N/A,#N/A,TRUE,"PARAMETROS";#N/A,#N/A,TRUE,"RLI ";#N/A,#N/A,TRUE,"IMPTO.DET.";#N/A,#N/A,TRUE,"FUT-FUNT";#N/A,#N/A,TRUE,"CPI-PATR.";#N/A,#N/A,TRUE,"CM CPI";#N/A,#N/A,TRUE,"PROV";#N/A,#N/A,TRUE,"A FIJO";#N/A,#N/A,TRUE,"LEASING";#N/A,#N/A,TRUE,"VPP";#N/A,#N/A,TRUE,"PPM";#N/A,#N/A,TRUE,"OTROS"}</definedName>
    <definedName name="asdfg" hidden="1">{#N/A,#N/A,TRUE,"MEMO";#N/A,#N/A,TRUE,"PARAMETROS";#N/A,#N/A,TRUE,"RLI ";#N/A,#N/A,TRUE,"IMPTO.DET.";#N/A,#N/A,TRUE,"FUT-FUNT";#N/A,#N/A,TRUE,"CPI-PATR.";#N/A,#N/A,TRUE,"CM CPI";#N/A,#N/A,TRUE,"PROV";#N/A,#N/A,TRUE,"A FIJO";#N/A,#N/A,TRUE,"LEASING";#N/A,#N/A,TRUE,"VPP";#N/A,#N/A,TRUE,"PPM";#N/A,#N/A,TRUE,"OTROS"}</definedName>
    <definedName name="asdfg_1" localSheetId="3" hidden="1">{#N/A,#N/A,TRUE,"MEMO";#N/A,#N/A,TRUE,"PARAMETROS";#N/A,#N/A,TRUE,"RLI ";#N/A,#N/A,TRUE,"IMPTO.DET.";#N/A,#N/A,TRUE,"FUT-FUNT";#N/A,#N/A,TRUE,"CPI-PATR.";#N/A,#N/A,TRUE,"CM CPI";#N/A,#N/A,TRUE,"PROV";#N/A,#N/A,TRUE,"A FIJO";#N/A,#N/A,TRUE,"LEASING";#N/A,#N/A,TRUE,"VPP";#N/A,#N/A,TRUE,"PPM";#N/A,#N/A,TRUE,"OTROS"}</definedName>
    <definedName name="asdfg_1" localSheetId="2" hidden="1">{#N/A,#N/A,TRUE,"MEMO";#N/A,#N/A,TRUE,"PARAMETROS";#N/A,#N/A,TRUE,"RLI ";#N/A,#N/A,TRUE,"IMPTO.DET.";#N/A,#N/A,TRUE,"FUT-FUNT";#N/A,#N/A,TRUE,"CPI-PATR.";#N/A,#N/A,TRUE,"CM CPI";#N/A,#N/A,TRUE,"PROV";#N/A,#N/A,TRUE,"A FIJO";#N/A,#N/A,TRUE,"LEASING";#N/A,#N/A,TRUE,"VPP";#N/A,#N/A,TRUE,"PPM";#N/A,#N/A,TRUE,"OTROS"}</definedName>
    <definedName name="asdfg_1" hidden="1">{#N/A,#N/A,TRUE,"MEMO";#N/A,#N/A,TRUE,"PARAMETROS";#N/A,#N/A,TRUE,"RLI ";#N/A,#N/A,TRUE,"IMPTO.DET.";#N/A,#N/A,TRUE,"FUT-FUNT";#N/A,#N/A,TRUE,"CPI-PATR.";#N/A,#N/A,TRUE,"CM CPI";#N/A,#N/A,TRUE,"PROV";#N/A,#N/A,TRUE,"A FIJO";#N/A,#N/A,TRUE,"LEASING";#N/A,#N/A,TRUE,"VPP";#N/A,#N/A,TRUE,"PPM";#N/A,#N/A,TRUE,"OTROS"}</definedName>
    <definedName name="asfffff" hidden="1">#REF!</definedName>
    <definedName name="AU">'[14]Resultado da consulta de solici'!#REF!</definedName>
    <definedName name="b">#REF!</definedName>
    <definedName name="b_1" localSheetId="3" hidden="1">{#N/A,#N/A,FALSE,"Aging Summary";#N/A,#N/A,FALSE,"Ratio Analysis";#N/A,#N/A,FALSE,"Test 120 Day Accts";#N/A,#N/A,FALSE,"Tickmarks"}</definedName>
    <definedName name="b_1" localSheetId="2" hidden="1">{#N/A,#N/A,FALSE,"Aging Summary";#N/A,#N/A,FALSE,"Ratio Analysis";#N/A,#N/A,FALSE,"Test 120 Day Accts";#N/A,#N/A,FALSE,"Tickmarks"}</definedName>
    <definedName name="b_1" hidden="1">{#N/A,#N/A,FALSE,"Aging Summary";#N/A,#N/A,FALSE,"Ratio Analysis";#N/A,#N/A,FALSE,"Test 120 Day Accts";#N/A,#N/A,FALSE,"Tickmarks"}</definedName>
    <definedName name="BA" localSheetId="3" hidden="1">{#N/A,#N/A,FALSE,"pedido"}</definedName>
    <definedName name="BA" localSheetId="2" hidden="1">{#N/A,#N/A,FALSE,"pedido"}</definedName>
    <definedName name="BA" hidden="1">{#N/A,#N/A,FALSE,"pedido"}</definedName>
    <definedName name="BalType" hidden="1">TRUE</definedName>
    <definedName name="_xlnm.Database">#REF!</definedName>
    <definedName name="BANCOS" hidden="1">#N/A</definedName>
    <definedName name="base">#REF!</definedName>
    <definedName name="Base_de_dados_TESS_até_11_12_02">#REF!</definedName>
    <definedName name="base1">#REF!</definedName>
    <definedName name="bb" localSheetId="3" hidden="1">{#N/A,#N/A,FALSE,"Aging Summary";#N/A,#N/A,FALSE,"Ratio Analysis";#N/A,#N/A,FALSE,"Test 120 Day Accts";#N/A,#N/A,FALSE,"Tickmarks"}</definedName>
    <definedName name="bb" localSheetId="2" hidden="1">{#N/A,#N/A,FALSE,"Aging Summary";#N/A,#N/A,FALSE,"Ratio Analysis";#N/A,#N/A,FALSE,"Test 120 Day Accts";#N/A,#N/A,FALSE,"Tickmarks"}</definedName>
    <definedName name="bb" hidden="1">{#N/A,#N/A,FALSE,"Aging Summary";#N/A,#N/A,FALSE,"Ratio Analysis";#N/A,#N/A,FALSE,"Test 120 Day Accts";#N/A,#N/A,FALSE,"Tickmarks"}</definedName>
    <definedName name="bb_1" localSheetId="3" hidden="1">{#N/A,#N/A,FALSE,"Aging Summary";#N/A,#N/A,FALSE,"Ratio Analysis";#N/A,#N/A,FALSE,"Test 120 Day Accts";#N/A,#N/A,FALSE,"Tickmarks"}</definedName>
    <definedName name="bb_1" localSheetId="2" hidden="1">{#N/A,#N/A,FALSE,"Aging Summary";#N/A,#N/A,FALSE,"Ratio Analysis";#N/A,#N/A,FALSE,"Test 120 Day Accts";#N/A,#N/A,FALSE,"Tickmarks"}</definedName>
    <definedName name="bb_1" hidden="1">{#N/A,#N/A,FALSE,"Aging Summary";#N/A,#N/A,FALSE,"Ratio Analysis";#N/A,#N/A,FALSE,"Test 120 Day Accts";#N/A,#N/A,FALSE,"Tickmarks"}</definedName>
    <definedName name="BCP_300907" localSheetId="3" hidden="1">{#N/A,#N/A,FALSE,"pedido"}</definedName>
    <definedName name="BCP_300907" localSheetId="2" hidden="1">{#N/A,#N/A,FALSE,"pedido"}</definedName>
    <definedName name="BCP_300907" hidden="1">{#N/A,#N/A,FALSE,"pedido"}</definedName>
    <definedName name="BE">#REF!</definedName>
    <definedName name="BG_Del" hidden="1">15</definedName>
    <definedName name="BG_Ins" hidden="1">4</definedName>
    <definedName name="BG_Mod" hidden="1">6</definedName>
    <definedName name="bla" localSheetId="3" hidden="1">{#N/A,#N/A,FALSE,"1321";#N/A,#N/A,FALSE,"1324";#N/A,#N/A,FALSE,"1333";#N/A,#N/A,FALSE,"1371"}</definedName>
    <definedName name="bla" localSheetId="2" hidden="1">{#N/A,#N/A,FALSE,"1321";#N/A,#N/A,FALSE,"1324";#N/A,#N/A,FALSE,"1333";#N/A,#N/A,FALSE,"1371"}</definedName>
    <definedName name="bla" hidden="1">{#N/A,#N/A,FALSE,"1321";#N/A,#N/A,FALSE,"1324";#N/A,#N/A,FALSE,"1333";#N/A,#N/A,FALSE,"1371"}</definedName>
    <definedName name="bljeh" hidden="1">#N/A</definedName>
    <definedName name="BNE_MESSAGES_HIDDEN" hidden="1">#REF!</definedName>
    <definedName name="BRADESCO_SAÚDE">#REF!</definedName>
    <definedName name="BraPi1">#REF!</definedName>
    <definedName name="BraPi2">#REF!</definedName>
    <definedName name="BS">#REF!</definedName>
    <definedName name="BSE" localSheetId="3" hidden="1">{"Despesas Diferidas Indedutíveis de 1998",#N/A,FALSE,"Impressão"}</definedName>
    <definedName name="BSE" localSheetId="2" hidden="1">{"Despesas Diferidas Indedutíveis de 1998",#N/A,FALSE,"Impressão"}</definedName>
    <definedName name="BSE" hidden="1">{"Despesas Diferidas Indedutíveis de 1998",#N/A,FALSE,"Impressão"}</definedName>
    <definedName name="bsz">#REF!</definedName>
    <definedName name="BT">#REF!</definedName>
    <definedName name="bz" localSheetId="3" hidden="1">{#N/A,#N/A,FALSE,"Aging Summary";#N/A,#N/A,FALSE,"Ratio Analysis";#N/A,#N/A,FALSE,"Test 120 Day Accts";#N/A,#N/A,FALSE,"Tickmarks"}</definedName>
    <definedName name="bz" localSheetId="2" hidden="1">{#N/A,#N/A,FALSE,"Aging Summary";#N/A,#N/A,FALSE,"Ratio Analysis";#N/A,#N/A,FALSE,"Test 120 Day Accts";#N/A,#N/A,FALSE,"Tickmarks"}</definedName>
    <definedName name="bz" hidden="1">{#N/A,#N/A,FALSE,"Aging Summary";#N/A,#N/A,FALSE,"Ratio Analysis";#N/A,#N/A,FALSE,"Test 120 Day Accts";#N/A,#N/A,FALSE,"Tickmarks"}</definedName>
    <definedName name="Ç" hidden="1">#N/A</definedName>
    <definedName name="C_">#REF!</definedName>
    <definedName name="CADASTRO">[15]Planilha1!$A$1:$B$434</definedName>
    <definedName name="CALCULOS" localSheetId="3" hidden="1">{#N/A,#N/A,FALSE,"Aging Summary";#N/A,#N/A,FALSE,"Ratio Analysis";#N/A,#N/A,FALSE,"Test 120 Day Accts";#N/A,#N/A,FALSE,"Tickmarks"}</definedName>
    <definedName name="CALCULOS" localSheetId="2" hidden="1">{#N/A,#N/A,FALSE,"Aging Summary";#N/A,#N/A,FALSE,"Ratio Analysis";#N/A,#N/A,FALSE,"Test 120 Day Accts";#N/A,#N/A,FALSE,"Tickmarks"}</definedName>
    <definedName name="CALCULOS" hidden="1">{#N/A,#N/A,FALSE,"Aging Summary";#N/A,#N/A,FALSE,"Ratio Analysis";#N/A,#N/A,FALSE,"Test 120 Day Accts";#N/A,#N/A,FALSE,"Tickmarks"}</definedName>
    <definedName name="CAP1B" localSheetId="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DB">[12]Collection!$C$19</definedName>
    <definedName name="CapexCube">#REF!</definedName>
    <definedName name="caras">#REF!</definedName>
    <definedName name="CAROLINA" localSheetId="3" hidden="1">{#N/A,#N/A,FALSE,"Aging Summary";#N/A,#N/A,FALSE,"Ratio Analysis";#N/A,#N/A,FALSE,"Test 120 Day Accts";#N/A,#N/A,FALSE,"Tickmarks"}</definedName>
    <definedName name="CAROLINA" localSheetId="2" hidden="1">{#N/A,#N/A,FALSE,"Aging Summary";#N/A,#N/A,FALSE,"Ratio Analysis";#N/A,#N/A,FALSE,"Test 120 Day Accts";#N/A,#N/A,FALSE,"Tickmarks"}</definedName>
    <definedName name="CAROLINA" hidden="1">{#N/A,#N/A,FALSE,"Aging Summary";#N/A,#N/A,FALSE,"Ratio Analysis";#N/A,#N/A,FALSE,"Test 120 Day Accts";#N/A,#N/A,FALSE,"Tickmarks"}</definedName>
    <definedName name="cc">[16]Settings!$B$5</definedName>
    <definedName name="Cctr">#REF!</definedName>
    <definedName name="CE">#REF!</definedName>
    <definedName name="CF">#REF!</definedName>
    <definedName name="CFABR">[4]ABR!$G$642</definedName>
    <definedName name="CFAGO">[4]AGO!$G$796</definedName>
    <definedName name="CFDESP">[4]APOIO!$C$47</definedName>
    <definedName name="CFDEZ">[4]DEZ!$G$24</definedName>
    <definedName name="CFFEV">[4]FEV!$G$481</definedName>
    <definedName name="CFFOB">[4]APOIO!$B$47</definedName>
    <definedName name="CFJAN">[4]JAN!$G$471</definedName>
    <definedName name="CFJUL">[4]JUL!$G$570</definedName>
    <definedName name="CFJUN">[4]JUN!$G$586</definedName>
    <definedName name="CFMAI">[4]MAI!$G$528</definedName>
    <definedName name="CFMAR">[4]MAR!$G$703</definedName>
    <definedName name="CFNOV">[4]NOV!$G$24</definedName>
    <definedName name="CFOUT">[4]OUT!$G$24</definedName>
    <definedName name="CFPROC">[4]APOIO!$A$47</definedName>
    <definedName name="CFSET">[4]SET!$G$854</definedName>
    <definedName name="CHARTOFACCOUNTSID1">[10]CRITERIA1!$B$3</definedName>
    <definedName name="chassis_vin">#REF!</definedName>
    <definedName name="chassis_vin1">#REF!</definedName>
    <definedName name="chfuk" localSheetId="3" hidden="1">{#N/A,#N/A,FALSE,"Actual"}</definedName>
    <definedName name="chfuk" localSheetId="2" hidden="1">{#N/A,#N/A,FALSE,"Actual"}</definedName>
    <definedName name="chfuk" hidden="1">{#N/A,#N/A,FALSE,"Actual"}</definedName>
    <definedName name="cka" localSheetId="3" hidden="1">{#N/A,#N/A,FALSE,"Posição Financeira"}</definedName>
    <definedName name="cka" localSheetId="2" hidden="1">{#N/A,#N/A,FALSE,"Posição Financeira"}</definedName>
    <definedName name="cka" hidden="1">{#N/A,#N/A,FALSE,"Posição Financeira"}</definedName>
    <definedName name="claud" localSheetId="3" hidden="1">{#N/A,#N/A,FALSE,"Aging Summary";#N/A,#N/A,FALSE,"Ratio Analysis";#N/A,#N/A,FALSE,"Test 120 Day Accts";#N/A,#N/A,FALSE,"Tickmarks"}</definedName>
    <definedName name="claud" localSheetId="2" hidden="1">{#N/A,#N/A,FALSE,"Aging Summary";#N/A,#N/A,FALSE,"Ratio Analysis";#N/A,#N/A,FALSE,"Test 120 Day Accts";#N/A,#N/A,FALSE,"Tickmarks"}</definedName>
    <definedName name="claud" hidden="1">{#N/A,#N/A,FALSE,"Aging Summary";#N/A,#N/A,FALSE,"Ratio Analysis";#N/A,#N/A,FALSE,"Test 120 Day Accts";#N/A,#N/A,FALSE,"Tickmarks"}</definedName>
    <definedName name="claudia">#REF!</definedName>
    <definedName name="collected" localSheetId="3" hidden="1">{#N/A,#N/A,FALSE,"SIM95"}</definedName>
    <definedName name="collected" localSheetId="2" hidden="1">{#N/A,#N/A,FALSE,"SIM95"}</definedName>
    <definedName name="collected" hidden="1">{#N/A,#N/A,FALSE,"SIM95"}</definedName>
    <definedName name="COMABR1">[4]ABR!$E$599</definedName>
    <definedName name="COMABR2">[4]ABR!$E$613</definedName>
    <definedName name="COMABR3">[4]ABR!$E$638</definedName>
    <definedName name="COMAGO1">[4]AGO!$E$720</definedName>
    <definedName name="COMAGO2">[4]AGO!$E$736</definedName>
    <definedName name="COMAGO3">[4]AGO!$E$792</definedName>
    <definedName name="COMDEZ1">[4]DEZ!$E$6</definedName>
    <definedName name="COMDEZ2">[4]DEZ!$E$13</definedName>
    <definedName name="COMDEZ3">[4]DEZ!$E$20</definedName>
    <definedName name="COMFEV1">[4]FEV!$E$448</definedName>
    <definedName name="COMFEV2">[4]FEV!$E$461</definedName>
    <definedName name="COMFEV3">[4]FEV!$E$477</definedName>
    <definedName name="COMISSÕES">#REF!</definedName>
    <definedName name="COMJAN1">[4]JAN!$E$435</definedName>
    <definedName name="COMJAN2">[4]JAN!$E$450</definedName>
    <definedName name="COMJAN3">[4]JAN!$E$467</definedName>
    <definedName name="COMJUL1">[4]JUL!$E$523</definedName>
    <definedName name="COMJUL2">[4]JUL!$E$538</definedName>
    <definedName name="COMJUL3">[4]JUL!$E$566</definedName>
    <definedName name="COMJUN1">[4]JUN!$E$533</definedName>
    <definedName name="COMJUN2">[4]JUN!$E$549</definedName>
    <definedName name="COMJUN3">[4]JUN!$E$582</definedName>
    <definedName name="COMMAI1">[4]MAI!$E$496</definedName>
    <definedName name="COMMAI2">[4]MAI!$E$510</definedName>
    <definedName name="COMMAI3">[4]MAI!$E$524</definedName>
    <definedName name="COMMAR1">[4]MAR!$E$673</definedName>
    <definedName name="COMMAR2">[4]MAR!$E$681</definedName>
    <definedName name="COMMAR3">[4]MAR!$E$699</definedName>
    <definedName name="COMNOV1">[4]NOV!$E$6</definedName>
    <definedName name="COMNOV2">[4]NOV!$E$13</definedName>
    <definedName name="COMNOV3">[4]NOV!$E$20</definedName>
    <definedName name="comodata">'[12]Capital Call'!$D$186:$O$186</definedName>
    <definedName name="COMOUT1">[4]OUT!$E$6</definedName>
    <definedName name="COMOUT2">[4]OUT!$E$13</definedName>
    <definedName name="COMOUT3">[4]OUT!$E$20</definedName>
    <definedName name="CompInfo">#REF!</definedName>
    <definedName name="COMSET1">[4]SET!$E$801</definedName>
    <definedName name="COMSET2">[4]SET!$E$812</definedName>
    <definedName name="COMSET3">[4]SET!$E$850</definedName>
    <definedName name="CONFMES">[4]INCONSIST!$D$1</definedName>
    <definedName name="CONNECTSTRING1">[10]CRITERIA1!$B$10</definedName>
    <definedName name="CONSABR">[4]ABR!$A$3:$O$637</definedName>
    <definedName name="CONSAGO">[4]AGO!$A$3:$O$791</definedName>
    <definedName name="CONSDEZ">[4]DEZ!$A$3:$O$19</definedName>
    <definedName name="CONSFEV">[4]FEV!$A$3:$O$476</definedName>
    <definedName name="CONSJAN">[4]JAN!$A$3:$O$466</definedName>
    <definedName name="CONSJUL">[4]JUL!$A$3:$O$565</definedName>
    <definedName name="CONSJUN">[4]JUN!$A$3:$O$581</definedName>
    <definedName name="CONSMAI">[4]MAI!$A$3:$O$523</definedName>
    <definedName name="CONSMAR">[4]MAR!$A$3:$O$698</definedName>
    <definedName name="CONSNOV">[4]NOV!$A$3:$O$19</definedName>
    <definedName name="CONSOUT">[4]OUT!$A$3:$O$19</definedName>
    <definedName name="CONSSET">[4]SET!$A$3:$O$849</definedName>
    <definedName name="CONT02092000.4" localSheetId="3" hidden="1">{#N/A,#N/A,FALSE,"1321";#N/A,#N/A,FALSE,"1324";#N/A,#N/A,FALSE,"1333";#N/A,#N/A,FALSE,"1371"}</definedName>
    <definedName name="CONT02092000.4" localSheetId="2" hidden="1">{#N/A,#N/A,FALSE,"1321";#N/A,#N/A,FALSE,"1324";#N/A,#N/A,FALSE,"1333";#N/A,#N/A,FALSE,"1371"}</definedName>
    <definedName name="CONT02092000.4" hidden="1">{#N/A,#N/A,FALSE,"1321";#N/A,#N/A,FALSE,"1324";#N/A,#N/A,FALSE,"1333";#N/A,#N/A,FALSE,"1371"}</definedName>
    <definedName name="cont1">#REF!</definedName>
    <definedName name="cont2">#REF!</definedName>
    <definedName name="cont3">#REF!</definedName>
    <definedName name="cont4">#REF!</definedName>
    <definedName name="contigo">#REF!</definedName>
    <definedName name="Country">[13]Settings!$D$6</definedName>
    <definedName name="Coven.Trend">#REF!</definedName>
    <definedName name="cpcordova" localSheetId="3" hidden="1">{#N/A,#N/A,FALSE,"Aging Summary";#N/A,#N/A,FALSE,"Ratio Analysis";#N/A,#N/A,FALSE,"Test 120 Day Accts";#N/A,#N/A,FALSE,"Tickmarks"}</definedName>
    <definedName name="cpcordova" localSheetId="2" hidden="1">{#N/A,#N/A,FALSE,"Aging Summary";#N/A,#N/A,FALSE,"Ratio Analysis";#N/A,#N/A,FALSE,"Test 120 Day Accts";#N/A,#N/A,FALSE,"Tickmarks"}</definedName>
    <definedName name="cpcordova" hidden="1">{#N/A,#N/A,FALSE,"Aging Summary";#N/A,#N/A,FALSE,"Ratio Analysis";#N/A,#N/A,FALSE,"Test 120 Day Accts";#N/A,#N/A,FALSE,"Tickmarks"}</definedName>
    <definedName name="cpcordova_1" localSheetId="3" hidden="1">{#N/A,#N/A,FALSE,"Aging Summary";#N/A,#N/A,FALSE,"Ratio Analysis";#N/A,#N/A,FALSE,"Test 120 Day Accts";#N/A,#N/A,FALSE,"Tickmarks"}</definedName>
    <definedName name="cpcordova_1" localSheetId="2" hidden="1">{#N/A,#N/A,FALSE,"Aging Summary";#N/A,#N/A,FALSE,"Ratio Analysis";#N/A,#N/A,FALSE,"Test 120 Day Accts";#N/A,#N/A,FALSE,"Tickmarks"}</definedName>
    <definedName name="cpcordova_1" hidden="1">{#N/A,#N/A,FALSE,"Aging Summary";#N/A,#N/A,FALSE,"Ratio Analysis";#N/A,#N/A,FALSE,"Test 120 Day Accts";#N/A,#N/A,FALSE,"Tickmarks"}</definedName>
    <definedName name="CPF" localSheetId="3" hidden="1">{#N/A,#N/A,FALSE,"Aging Summary";#N/A,#N/A,FALSE,"Ratio Analysis";#N/A,#N/A,FALSE,"Test 120 Day Accts";#N/A,#N/A,FALSE,"Tickmarks"}</definedName>
    <definedName name="CPF" localSheetId="2" hidden="1">{#N/A,#N/A,FALSE,"Aging Summary";#N/A,#N/A,FALSE,"Ratio Analysis";#N/A,#N/A,FALSE,"Test 120 Day Accts";#N/A,#N/A,FALSE,"Tickmarks"}</definedName>
    <definedName name="CPF" hidden="1">{#N/A,#N/A,FALSE,"Aging Summary";#N/A,#N/A,FALSE,"Ratio Analysis";#N/A,#N/A,FALSE,"Test 120 Day Accts";#N/A,#N/A,FALSE,"Tickmarks"}</definedName>
    <definedName name="CPF_1" localSheetId="3" hidden="1">{#N/A,#N/A,FALSE,"Aging Summary";#N/A,#N/A,FALSE,"Ratio Analysis";#N/A,#N/A,FALSE,"Test 120 Day Accts";#N/A,#N/A,FALSE,"Tickmarks"}</definedName>
    <definedName name="CPF_1" localSheetId="2" hidden="1">{#N/A,#N/A,FALSE,"Aging Summary";#N/A,#N/A,FALSE,"Ratio Analysis";#N/A,#N/A,FALSE,"Test 120 Day Accts";#N/A,#N/A,FALSE,"Tickmarks"}</definedName>
    <definedName name="CPF_1" hidden="1">{#N/A,#N/A,FALSE,"Aging Summary";#N/A,#N/A,FALSE,"Ratio Analysis";#N/A,#N/A,FALSE,"Test 120 Day Accts";#N/A,#N/A,FALSE,"Tickmarks"}</definedName>
    <definedName name="CPT" localSheetId="3" hidden="1">{#N/A,#N/A,FALSE,"Aging Summary";#N/A,#N/A,FALSE,"Ratio Analysis";#N/A,#N/A,FALSE,"Test 120 Day Accts";#N/A,#N/A,FALSE,"Tickmarks"}</definedName>
    <definedName name="CPT" localSheetId="2" hidden="1">{#N/A,#N/A,FALSE,"Aging Summary";#N/A,#N/A,FALSE,"Ratio Analysis";#N/A,#N/A,FALSE,"Test 120 Day Accts";#N/A,#N/A,FALSE,"Tickmarks"}</definedName>
    <definedName name="CPT" hidden="1">{#N/A,#N/A,FALSE,"Aging Summary";#N/A,#N/A,FALSE,"Ratio Analysis";#N/A,#N/A,FALSE,"Test 120 Day Accts";#N/A,#N/A,FALSE,"Tickmarks"}</definedName>
    <definedName name="CPT_1" localSheetId="3" hidden="1">{#N/A,#N/A,FALSE,"Aging Summary";#N/A,#N/A,FALSE,"Ratio Analysis";#N/A,#N/A,FALSE,"Test 120 Day Accts";#N/A,#N/A,FALSE,"Tickmarks"}</definedName>
    <definedName name="CPT_1" localSheetId="2" hidden="1">{#N/A,#N/A,FALSE,"Aging Summary";#N/A,#N/A,FALSE,"Ratio Analysis";#N/A,#N/A,FALSE,"Test 120 Day Accts";#N/A,#N/A,FALSE,"Tickmarks"}</definedName>
    <definedName name="CPT_1" hidden="1">{#N/A,#N/A,FALSE,"Aging Summary";#N/A,#N/A,FALSE,"Ratio Analysis";#N/A,#N/A,FALSE,"Test 120 Day Accts";#N/A,#N/A,FALSE,"Tickmarks"}</definedName>
    <definedName name="CREATESUMMARYJNLS1">[10]CRITERIA1!$B$35</definedName>
    <definedName name="criativa">#REF!</definedName>
    <definedName name="CRITERIACOLUMN1">[10]CRITERIA1!$B$22</definedName>
    <definedName name="csd" localSheetId="3" hidden="1">{#N/A,#N/A,FALSE,"Aging Summary";#N/A,#N/A,FALSE,"Ratio Analysis";#N/A,#N/A,FALSE,"Test 120 Day Accts";#N/A,#N/A,FALSE,"Tickmarks"}</definedName>
    <definedName name="csd" localSheetId="2" hidden="1">{#N/A,#N/A,FALSE,"Aging Summary";#N/A,#N/A,FALSE,"Ratio Analysis";#N/A,#N/A,FALSE,"Test 120 Day Accts";#N/A,#N/A,FALSE,"Tickmarks"}</definedName>
    <definedName name="csd" hidden="1">{#N/A,#N/A,FALSE,"Aging Summary";#N/A,#N/A,FALSE,"Ratio Analysis";#N/A,#N/A,FALSE,"Test 120 Day Accts";#N/A,#N/A,FALSE,"Tickmarks"}</definedName>
    <definedName name="CUM7.1">#REF!</definedName>
    <definedName name="CUM7.2">#REF!</definedName>
    <definedName name="CUM7.3">#REF!</definedName>
    <definedName name="cvf" localSheetId="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fvfdfvdfdfd" localSheetId="3" hidden="1">{#N/A,#N/A,FALSE,"Holding";#N/A,#N/A,FALSE,"Acomp";#N/A,#N/A,FALSE,"Dre_ger";#N/A,#N/A,FALSE,"Atividade";#N/A,#N/A,FALSE,"Balancete"}</definedName>
    <definedName name="cvffvfdfvdfdfd" localSheetId="2" hidden="1">{#N/A,#N/A,FALSE,"Holding";#N/A,#N/A,FALSE,"Acomp";#N/A,#N/A,FALSE,"Dre_ger";#N/A,#N/A,FALSE,"Atividade";#N/A,#N/A,FALSE,"Balancete"}</definedName>
    <definedName name="cvffvfdfvdfdfd" hidden="1">{#N/A,#N/A,FALSE,"Holding";#N/A,#N/A,FALSE,"Acomp";#N/A,#N/A,FALSE,"Dre_ger";#N/A,#N/A,FALSE,"Atividade";#N/A,#N/A,FALSE,"Balancete"}</definedName>
    <definedName name="CX" localSheetId="3" hidden="1">{#N/A,#N/A,FALSE,"Aging Summary";#N/A,#N/A,FALSE,"Ratio Analysis";#N/A,#N/A,FALSE,"Test 120 Day Accts";#N/A,#N/A,FALSE,"Tickmarks"}</definedName>
    <definedName name="CX" localSheetId="2" hidden="1">{#N/A,#N/A,FALSE,"Aging Summary";#N/A,#N/A,FALSE,"Ratio Analysis";#N/A,#N/A,FALSE,"Test 120 Day Accts";#N/A,#N/A,FALSE,"Tickmarks"}</definedName>
    <definedName name="CX" hidden="1">{#N/A,#N/A,FALSE,"Aging Summary";#N/A,#N/A,FALSE,"Ratio Analysis";#N/A,#N/A,FALSE,"Test 120 Day Accts";#N/A,#N/A,FALSE,"Tickmarks"}</definedName>
    <definedName name="cxc" localSheetId="3" hidden="1">{#N/A,#N/A,FALSE,"Aging Summary";#N/A,#N/A,FALSE,"Ratio Analysis";#N/A,#N/A,FALSE,"Test 120 Day Accts";#N/A,#N/A,FALSE,"Tickmarks"}</definedName>
    <definedName name="cxc" localSheetId="2" hidden="1">{#N/A,#N/A,FALSE,"Aging Summary";#N/A,#N/A,FALSE,"Ratio Analysis";#N/A,#N/A,FALSE,"Test 120 Day Accts";#N/A,#N/A,FALSE,"Tickmarks"}</definedName>
    <definedName name="cxc" hidden="1">{#N/A,#N/A,FALSE,"Aging Summary";#N/A,#N/A,FALSE,"Ratio Analysis";#N/A,#N/A,FALSE,"Test 120 Day Accts";#N/A,#N/A,FALSE,"Tickmarks"}</definedName>
    <definedName name="cxv" localSheetId="3" hidden="1">{#N/A,#N/A,FALSE,"Aging Summary";#N/A,#N/A,FALSE,"Ratio Analysis";#N/A,#N/A,FALSE,"Test 120 Day Accts";#N/A,#N/A,FALSE,"Tickmarks"}</definedName>
    <definedName name="cxv" localSheetId="2" hidden="1">{#N/A,#N/A,FALSE,"Aging Summary";#N/A,#N/A,FALSE,"Ratio Analysis";#N/A,#N/A,FALSE,"Test 120 Day Accts";#N/A,#N/A,FALSE,"Tickmarks"}</definedName>
    <definedName name="cxv" hidden="1">{#N/A,#N/A,FALSE,"Aging Summary";#N/A,#N/A,FALSE,"Ratio Analysis";#N/A,#N/A,FALSE,"Test 120 Day Accts";#N/A,#N/A,FALSE,"Tickmarks"}</definedName>
    <definedName name="D">#REF!</definedName>
    <definedName name="d_1" localSheetId="3" hidden="1">{#N/A,#N/A,FALSE,"Aging Summary";#N/A,#N/A,FALSE,"Ratio Analysis";#N/A,#N/A,FALSE,"Test 120 Day Accts";#N/A,#N/A,FALSE,"Tickmarks"}</definedName>
    <definedName name="d_1" localSheetId="2" hidden="1">{#N/A,#N/A,FALSE,"Aging Summary";#N/A,#N/A,FALSE,"Ratio Analysis";#N/A,#N/A,FALSE,"Test 120 Day Accts";#N/A,#N/A,FALSE,"Tickmarks"}</definedName>
    <definedName name="d_1" hidden="1">{#N/A,#N/A,FALSE,"Aging Summary";#N/A,#N/A,FALSE,"Ratio Analysis";#N/A,#N/A,FALSE,"Test 120 Day Accts";#N/A,#N/A,FALSE,"Tickmarks"}</definedName>
    <definedName name="DATA" localSheetId="2">#REF!</definedName>
    <definedName name="Data">#REF!</definedName>
    <definedName name="DATA1">#REF!</definedName>
    <definedName name="data10" localSheetId="2">#REF!</definedName>
    <definedName name="DATA10">#REF!</definedName>
    <definedName name="data10V" localSheetId="2">#REF!</definedName>
    <definedName name="data10V">#REF!</definedName>
    <definedName name="data11" localSheetId="2">#REF!</definedName>
    <definedName name="DATA11">#REF!</definedName>
    <definedName name="data11V" localSheetId="2">#REF!</definedName>
    <definedName name="data11V">#REF!</definedName>
    <definedName name="data12" localSheetId="2">#REF!</definedName>
    <definedName name="DATA12">#REF!</definedName>
    <definedName name="data12V" localSheetId="2">#REF!</definedName>
    <definedName name="data12V">#REF!</definedName>
    <definedName name="DATA13">#REF!</definedName>
    <definedName name="DATA14">#REF!</definedName>
    <definedName name="DATA15">#REF!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 localSheetId="2">#REF!</definedName>
    <definedName name="DATA9">#REF!</definedName>
    <definedName name="data9V" localSheetId="2">#REF!</definedName>
    <definedName name="data9V">#REF!</definedName>
    <definedName name="Datos">#REF!</definedName>
    <definedName name="DBNAME1">[10]CRITERIA1!$B$11</definedName>
    <definedName name="DBUSERNAME1">[10]CRITERIA1!$B$9</definedName>
    <definedName name="dd_1" localSheetId="3" hidden="1">{#N/A,#N/A,FALSE,"Aging Summary";#N/A,#N/A,FALSE,"Ratio Analysis";#N/A,#N/A,FALSE,"Test 120 Day Accts";#N/A,#N/A,FALSE,"Tickmarks"}</definedName>
    <definedName name="dd_1" localSheetId="2" hidden="1">{#N/A,#N/A,FALSE,"Aging Summary";#N/A,#N/A,FALSE,"Ratio Analysis";#N/A,#N/A,FALSE,"Test 120 Day Accts";#N/A,#N/A,FALSE,"Tickmarks"}</definedName>
    <definedName name="dd_1" hidden="1">{#N/A,#N/A,FALSE,"Aging Summary";#N/A,#N/A,FALSE,"Ratio Analysis";#N/A,#N/A,FALSE,"Test 120 Day Accts";#N/A,#N/A,FALSE,"Tickmarks"}</definedName>
    <definedName name="ddd">[6]L100100!#REF!</definedName>
    <definedName name="DDD_1" localSheetId="3" hidden="1">{#N/A,#N/A,FALSE,"Aging Summary";#N/A,#N/A,FALSE,"Ratio Analysis";#N/A,#N/A,FALSE,"Test 120 Day Accts";#N/A,#N/A,FALSE,"Tickmarks"}</definedName>
    <definedName name="DDD_1" localSheetId="2" hidden="1">{#N/A,#N/A,FALSE,"Aging Summary";#N/A,#N/A,FALSE,"Ratio Analysis";#N/A,#N/A,FALSE,"Test 120 Day Accts";#N/A,#N/A,FALSE,"Tickmarks"}</definedName>
    <definedName name="DDD_1" hidden="1">{#N/A,#N/A,FALSE,"Aging Summary";#N/A,#N/A,FALSE,"Ratio Analysis";#N/A,#N/A,FALSE,"Test 120 Day Accts";#N/A,#N/A,FALSE,"Tickmarks"}</definedName>
    <definedName name="dddd">[6]L100100!#REF!</definedName>
    <definedName name="dddd_1" localSheetId="3" hidden="1">{#N/A,#N/A,FALSE,"Aging Summary";#N/A,#N/A,FALSE,"Ratio Analysis";#N/A,#N/A,FALSE,"Test 120 Day Accts";#N/A,#N/A,FALSE,"Tickmarks"}</definedName>
    <definedName name="dddd_1" localSheetId="2" hidden="1">{#N/A,#N/A,FALSE,"Aging Summary";#N/A,#N/A,FALSE,"Ratio Analysis";#N/A,#N/A,FALSE,"Test 120 Day Accts";#N/A,#N/A,FALSE,"Tickmarks"}</definedName>
    <definedName name="dddd_1" hidden="1">{#N/A,#N/A,FALSE,"Aging Summary";#N/A,#N/A,FALSE,"Ratio Analysis";#N/A,#N/A,FALSE,"Test 120 Day Accts";#N/A,#N/A,FALSE,"Tickmarks"}</definedName>
    <definedName name="ddfe" localSheetId="3" hidden="1">{#N/A,#N/A,FALSE,"1321";#N/A,#N/A,FALSE,"1324";#N/A,#N/A,FALSE,"1333";#N/A,#N/A,FALSE,"1371"}</definedName>
    <definedName name="ddfe" localSheetId="2" hidden="1">{#N/A,#N/A,FALSE,"1321";#N/A,#N/A,FALSE,"1324";#N/A,#N/A,FALSE,"1333";#N/A,#N/A,FALSE,"1371"}</definedName>
    <definedName name="ddfe" hidden="1">{#N/A,#N/A,FALSE,"1321";#N/A,#N/A,FALSE,"1324";#N/A,#N/A,FALSE,"1333";#N/A,#N/A,FALSE,"1371"}</definedName>
    <definedName name="DELETELOGICTYPE1">[10]CRITERIA1!$B$19</definedName>
    <definedName name="Descrição">#REF!</definedName>
    <definedName name="Descrição_do_Pagamento">#REF!</definedName>
    <definedName name="DESPABR1">[4]ABR!$H$599</definedName>
    <definedName name="DESPABR2">[4]ABR!$H$613</definedName>
    <definedName name="DESPABR3">[4]ABR!$H$638</definedName>
    <definedName name="DESPAGO1">[4]AGO!$H$720</definedName>
    <definedName name="DESPAGO2">[4]AGO!$H$736</definedName>
    <definedName name="DESPAGO3">[4]AGO!$H$792</definedName>
    <definedName name="DESPDEZ1">[4]DEZ!$H$6</definedName>
    <definedName name="DESPDEZ2">[4]DEZ!$H$13</definedName>
    <definedName name="DESPDEZ3">[4]DEZ!$H$20</definedName>
    <definedName name="Despesas_de_Telefone">#REF!</definedName>
    <definedName name="DESPFEV1">[4]FEV!$H$448</definedName>
    <definedName name="DESPFEV2">[4]FEV!$H$461</definedName>
    <definedName name="DESPFEV3">[4]FEV!$H$477</definedName>
    <definedName name="DESPJAN1">[4]JAN!$H$435</definedName>
    <definedName name="DESPJAN2">[4]JAN!$H$450</definedName>
    <definedName name="DESPJAN3">[4]JAN!$H$467</definedName>
    <definedName name="DESPJUL1">[4]JUL!$H$523</definedName>
    <definedName name="DESPJUL2">[4]JUL!$H$537</definedName>
    <definedName name="DESPJUL3">[4]JUL!$H$566</definedName>
    <definedName name="DESPJUN1">[4]JUN!$H$533</definedName>
    <definedName name="DESPJUN2">[4]JUN!$H$549</definedName>
    <definedName name="DESPJUN3">[4]JUN!$H$582</definedName>
    <definedName name="DESPMAI1">[4]MAI!$H$496</definedName>
    <definedName name="DESPMAI2">[4]MAI!$H$510</definedName>
    <definedName name="DESPMAI3">[4]MAI!$H$524</definedName>
    <definedName name="DESPMAR1">[4]MAR!$H$673</definedName>
    <definedName name="DESPMAR2">[4]MAR!$H$681</definedName>
    <definedName name="DESPMAR3">[4]MAR!$H$699</definedName>
    <definedName name="DESPNOV1">[4]NOV!$H$6</definedName>
    <definedName name="DESPNOV2">[4]NOV!$H$13</definedName>
    <definedName name="DESPNOV3">[4]NOV!$H$20</definedName>
    <definedName name="DESPOUT1">[4]OUT!$H$6</definedName>
    <definedName name="DESPOUT2">[4]OUT!$H$13</definedName>
    <definedName name="DESPOUT3">[4]OUT!$H$20</definedName>
    <definedName name="DESPSET1">[4]SET!$H$801</definedName>
    <definedName name="DESPSET2">[4]SET!$H$812</definedName>
    <definedName name="DESPSET3">[4]SET!$H$850</definedName>
    <definedName name="DEZ2A">[4]DEZ!$A$10:$L$12</definedName>
    <definedName name="DEZCONF">[4]DEZ!$G$24:$I$25</definedName>
    <definedName name="df" localSheetId="3" hidden="1">{#N/A,#N/A,FALSE,"Aging Summary";#N/A,#N/A,FALSE,"Ratio Analysis";#N/A,#N/A,FALSE,"Test 120 Day Accts";#N/A,#N/A,FALSE,"Tickmarks"}</definedName>
    <definedName name="df" localSheetId="2" hidden="1">{#N/A,#N/A,FALSE,"Aging Summary";#N/A,#N/A,FALSE,"Ratio Analysis";#N/A,#N/A,FALSE,"Test 120 Day Accts";#N/A,#N/A,FALSE,"Tickmarks"}</definedName>
    <definedName name="df" hidden="1">{#N/A,#N/A,FALSE,"Aging Summary";#N/A,#N/A,FALSE,"Ratio Analysis";#N/A,#N/A,FALSE,"Test 120 Day Accts";#N/A,#N/A,FALSE,"Tickmarks"}</definedName>
    <definedName name="df_1" localSheetId="3" hidden="1">{#N/A,#N/A,FALSE,"Aging Summary";#N/A,#N/A,FALSE,"Ratio Analysis";#N/A,#N/A,FALSE,"Test 120 Day Accts";#N/A,#N/A,FALSE,"Tickmarks"}</definedName>
    <definedName name="df_1" localSheetId="2" hidden="1">{#N/A,#N/A,FALSE,"Aging Summary";#N/A,#N/A,FALSE,"Ratio Analysis";#N/A,#N/A,FALSE,"Test 120 Day Accts";#N/A,#N/A,FALSE,"Tickmarks"}</definedName>
    <definedName name="df_1" hidden="1">{#N/A,#N/A,FALSE,"Aging Summary";#N/A,#N/A,FALSE,"Ratio Analysis";#N/A,#N/A,FALSE,"Test 120 Day Accts";#N/A,#N/A,FALSE,"Tickmarks"}</definedName>
    <definedName name="DFG" hidden="1">#REF!</definedName>
    <definedName name="dhushdus">#N/A</definedName>
    <definedName name="diferenca" localSheetId="2">Capa!$F$13</definedName>
    <definedName name="diferenca">#REF!</definedName>
    <definedName name="Dig_Empl.Metrics">'[13]Employee Metrics'!$A$12:$AA$131</definedName>
    <definedName name="Dig_HandSales">'[13]Handset Sales'!$A$12:$AD$61</definedName>
    <definedName name="Dig_Inventory">'[13]Handset Inventory'!$A$12:$M$70</definedName>
    <definedName name="Digital_CPGA">[13]CPGA!$A$12:$AA$127</definedName>
    <definedName name="diid" localSheetId="3" hidden="1">{#N/A,#N/A,FALSE,"pedido"}</definedName>
    <definedName name="diid" localSheetId="2" hidden="1">{#N/A,#N/A,FALSE,"pedido"}</definedName>
    <definedName name="diid" hidden="1">{#N/A,#N/A,FALSE,"pedido"}</definedName>
    <definedName name="diusdis" localSheetId="3" hidden="1">{#N/A,#N/A,FALSE,"Aging Summary";#N/A,#N/A,FALSE,"Ratio Analysis";#N/A,#N/A,FALSE,"Test 120 Day Accts";#N/A,#N/A,FALSE,"Tickmarks"}</definedName>
    <definedName name="diusdis" localSheetId="2" hidden="1">{#N/A,#N/A,FALSE,"Aging Summary";#N/A,#N/A,FALSE,"Ratio Analysis";#N/A,#N/A,FALSE,"Test 120 Day Accts";#N/A,#N/A,FALSE,"Tickmarks"}</definedName>
    <definedName name="diusdis" hidden="1">{#N/A,#N/A,FALSE,"Aging Summary";#N/A,#N/A,FALSE,"Ratio Analysis";#N/A,#N/A,FALSE,"Test 120 Day Accts";#N/A,#N/A,FALSE,"Tickmarks"}</definedName>
    <definedName name="diusdis_1" localSheetId="3" hidden="1">{#N/A,#N/A,FALSE,"Aging Summary";#N/A,#N/A,FALSE,"Ratio Analysis";#N/A,#N/A,FALSE,"Test 120 Day Accts";#N/A,#N/A,FALSE,"Tickmarks"}</definedName>
    <definedName name="diusdis_1" localSheetId="2" hidden="1">{#N/A,#N/A,FALSE,"Aging Summary";#N/A,#N/A,FALSE,"Ratio Analysis";#N/A,#N/A,FALSE,"Test 120 Day Accts";#N/A,#N/A,FALSE,"Tickmarks"}</definedName>
    <definedName name="diusdis_1" hidden="1">{#N/A,#N/A,FALSE,"Aging Summary";#N/A,#N/A,FALSE,"Ratio Analysis";#N/A,#N/A,FALSE,"Test 120 Day Accts";#N/A,#N/A,FALSE,"Tickmarks"}</definedName>
    <definedName name="DOC">[4]APOIO!$A$16:$B$27</definedName>
    <definedName name="dolar">'[17]Forecast US$'!$K$774:$AH$774</definedName>
    <definedName name="donaciones" localSheetId="3" hidden="1">{#N/A,#N/A,FALSE,"Aging Summary";#N/A,#N/A,FALSE,"Ratio Analysis";#N/A,#N/A,FALSE,"Test 120 Day Accts";#N/A,#N/A,FALSE,"Tickmarks"}</definedName>
    <definedName name="donaciones" localSheetId="2" hidden="1">{#N/A,#N/A,FALSE,"Aging Summary";#N/A,#N/A,FALSE,"Ratio Analysis";#N/A,#N/A,FALSE,"Test 120 Day Accts";#N/A,#N/A,FALSE,"Tickmarks"}</definedName>
    <definedName name="donaciones" hidden="1">{#N/A,#N/A,FALSE,"Aging Summary";#N/A,#N/A,FALSE,"Ratio Analysis";#N/A,#N/A,FALSE,"Test 120 Day Accts";#N/A,#N/A,FALSE,"Tickmarks"}</definedName>
    <definedName name="donaciones_1" localSheetId="3" hidden="1">{#N/A,#N/A,FALSE,"Aging Summary";#N/A,#N/A,FALSE,"Ratio Analysis";#N/A,#N/A,FALSE,"Test 120 Day Accts";#N/A,#N/A,FALSE,"Tickmarks"}</definedName>
    <definedName name="donaciones_1" localSheetId="2" hidden="1">{#N/A,#N/A,FALSE,"Aging Summary";#N/A,#N/A,FALSE,"Ratio Analysis";#N/A,#N/A,FALSE,"Test 120 Day Accts";#N/A,#N/A,FALSE,"Tickmarks"}</definedName>
    <definedName name="donaciones_1" hidden="1">{#N/A,#N/A,FALSE,"Aging Summary";#N/A,#N/A,FALSE,"Ratio Analysis";#N/A,#N/A,FALSE,"Test 120 Day Accts";#N/A,#N/A,FALSE,"Tickmarks"}</definedName>
    <definedName name="donaciones1" localSheetId="3" hidden="1">{#N/A,#N/A,FALSE,"Aging Summary";#N/A,#N/A,FALSE,"Ratio Analysis";#N/A,#N/A,FALSE,"Test 120 Day Accts";#N/A,#N/A,FALSE,"Tickmarks"}</definedName>
    <definedName name="donaciones1" localSheetId="2" hidden="1">{#N/A,#N/A,FALSE,"Aging Summary";#N/A,#N/A,FALSE,"Ratio Analysis";#N/A,#N/A,FALSE,"Test 120 Day Accts";#N/A,#N/A,FALSE,"Tickmarks"}</definedName>
    <definedName name="donaciones1" hidden="1">{#N/A,#N/A,FALSE,"Aging Summary";#N/A,#N/A,FALSE,"Ratio Analysis";#N/A,#N/A,FALSE,"Test 120 Day Accts";#N/A,#N/A,FALSE,"Tickmarks"}</definedName>
    <definedName name="donaciones1_1" localSheetId="3" hidden="1">{#N/A,#N/A,FALSE,"Aging Summary";#N/A,#N/A,FALSE,"Ratio Analysis";#N/A,#N/A,FALSE,"Test 120 Day Accts";#N/A,#N/A,FALSE,"Tickmarks"}</definedName>
    <definedName name="donaciones1_1" localSheetId="2" hidden="1">{#N/A,#N/A,FALSE,"Aging Summary";#N/A,#N/A,FALSE,"Ratio Analysis";#N/A,#N/A,FALSE,"Test 120 Day Accts";#N/A,#N/A,FALSE,"Tickmarks"}</definedName>
    <definedName name="donaciones1_1" hidden="1">{#N/A,#N/A,FALSE,"Aging Summary";#N/A,#N/A,FALSE,"Ratio Analysis";#N/A,#N/A,FALSE,"Test 120 Day Accts";#N/A,#N/A,FALSE,"Tickmarks"}</definedName>
    <definedName name="doze" localSheetId="3" hidden="1">{#N/A,#N/A,FALSE,"1321";#N/A,#N/A,FALSE,"1324";#N/A,#N/A,FALSE,"1333";#N/A,#N/A,FALSE,"1371"}</definedName>
    <definedName name="doze" localSheetId="2" hidden="1">{#N/A,#N/A,FALSE,"1321";#N/A,#N/A,FALSE,"1324";#N/A,#N/A,FALSE,"1333";#N/A,#N/A,FALSE,"1371"}</definedName>
    <definedName name="doze" hidden="1">{#N/A,#N/A,FALSE,"1321";#N/A,#N/A,FALSE,"1324";#N/A,#N/A,FALSE,"1333";#N/A,#N/A,FALSE,"1371"}</definedName>
    <definedName name="ds" hidden="1">#N/A</definedName>
    <definedName name="dsda">[6]L100100!#REF!</definedName>
    <definedName name="dsdsss">[6]L100100!#REF!</definedName>
    <definedName name="e">#REF!</definedName>
    <definedName name="E_1" localSheetId="3" hidden="1">{#N/A,#N/A,FALSE,"Aging Summary";#N/A,#N/A,FALSE,"Ratio Analysis";#N/A,#N/A,FALSE,"Test 120 Day Accts";#N/A,#N/A,FALSE,"Tickmarks"}</definedName>
    <definedName name="E_1" localSheetId="2" hidden="1">{#N/A,#N/A,FALSE,"Aging Summary";#N/A,#N/A,FALSE,"Ratio Analysis";#N/A,#N/A,FALSE,"Test 120 Day Accts";#N/A,#N/A,FALSE,"Tickmarks"}</definedName>
    <definedName name="E_1" hidden="1">{#N/A,#N/A,FALSE,"Aging Summary";#N/A,#N/A,FALSE,"Ratio Analysis";#N/A,#N/A,FALSE,"Test 120 Day Accts";#N/A,#N/A,FALSE,"Tickmarks"}</definedName>
    <definedName name="EBITYTDBud" localSheetId="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localSheetId="2"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conoAssump">#REF!</definedName>
    <definedName name="EconoTrend">#REF!</definedName>
    <definedName name="edu" localSheetId="3" hidden="1">{#N/A,#N/A,FALSE,"Posição Financeira"}</definedName>
    <definedName name="edu" localSheetId="2" hidden="1">{#N/A,#N/A,FALSE,"Posição Financeira"}</definedName>
    <definedName name="edu" hidden="1">{#N/A,#N/A,FALSE,"Posição Financeira"}</definedName>
    <definedName name="ee" localSheetId="3" hidden="1">{#N/A,#N/A,FALSE,"Aging Summary";#N/A,#N/A,FALSE,"Ratio Analysis";#N/A,#N/A,FALSE,"Test 120 Day Accts";#N/A,#N/A,FALSE,"Tickmarks"}</definedName>
    <definedName name="ee" localSheetId="2" hidden="1">{#N/A,#N/A,FALSE,"Aging Summary";#N/A,#N/A,FALSE,"Ratio Analysis";#N/A,#N/A,FALSE,"Test 120 Day Accts";#N/A,#N/A,FALSE,"Tickmarks"}</definedName>
    <definedName name="ee" hidden="1">{#N/A,#N/A,FALSE,"Aging Summary";#N/A,#N/A,FALSE,"Ratio Analysis";#N/A,#N/A,FALSE,"Test 120 Day Accts";#N/A,#N/A,FALSE,"Tickmarks"}</definedName>
    <definedName name="ee_1" localSheetId="3" hidden="1">{#N/A,#N/A,FALSE,"Aging Summary";#N/A,#N/A,FALSE,"Ratio Analysis";#N/A,#N/A,FALSE,"Test 120 Day Accts";#N/A,#N/A,FALSE,"Tickmarks"}</definedName>
    <definedName name="ee_1" localSheetId="2" hidden="1">{#N/A,#N/A,FALSE,"Aging Summary";#N/A,#N/A,FALSE,"Ratio Analysis";#N/A,#N/A,FALSE,"Test 120 Day Accts";#N/A,#N/A,FALSE,"Tickmarks"}</definedName>
    <definedName name="ee_1" hidden="1">{#N/A,#N/A,FALSE,"Aging Summary";#N/A,#N/A,FALSE,"Ratio Analysis";#N/A,#N/A,FALSE,"Test 120 Day Accts";#N/A,#N/A,FALSE,"Tickmarks"}</definedName>
    <definedName name="eeee" localSheetId="3" hidden="1">{#N/A,#N/A,FALSE,"Aging Summary";#N/A,#N/A,FALSE,"Ratio Analysis";#N/A,#N/A,FALSE,"Test 120 Day Accts";#N/A,#N/A,FALSE,"Tickmarks"}</definedName>
    <definedName name="eeee" localSheetId="2" hidden="1">{#N/A,#N/A,FALSE,"Aging Summary";#N/A,#N/A,FALSE,"Ratio Analysis";#N/A,#N/A,FALSE,"Test 120 Day Accts";#N/A,#N/A,FALSE,"Tickmarks"}</definedName>
    <definedName name="eeee" hidden="1">{#N/A,#N/A,FALSE,"Aging Summary";#N/A,#N/A,FALSE,"Ratio Analysis";#N/A,#N/A,FALSE,"Test 120 Day Accts";#N/A,#N/A,FALSE,"Tickmarks"}</definedName>
    <definedName name="eeee_1" localSheetId="3" hidden="1">{#N/A,#N/A,FALSE,"Aging Summary";#N/A,#N/A,FALSE,"Ratio Analysis";#N/A,#N/A,FALSE,"Test 120 Day Accts";#N/A,#N/A,FALSE,"Tickmarks"}</definedName>
    <definedName name="eeee_1" localSheetId="2" hidden="1">{#N/A,#N/A,FALSE,"Aging Summary";#N/A,#N/A,FALSE,"Ratio Analysis";#N/A,#N/A,FALSE,"Test 120 Day Accts";#N/A,#N/A,FALSE,"Tickmarks"}</definedName>
    <definedName name="eeee_1" hidden="1">{#N/A,#N/A,FALSE,"Aging Summary";#N/A,#N/A,FALSE,"Ratio Analysis";#N/A,#N/A,FALSE,"Test 120 Day Accts";#N/A,#N/A,FALSE,"Tickmarks"}</definedName>
    <definedName name="efe" localSheetId="3" hidden="1">{#N/A,#N/A,FALSE,"Aging Summary";#N/A,#N/A,FALSE,"Ratio Analysis";#N/A,#N/A,FALSE,"Test 120 Day Accts";#N/A,#N/A,FALSE,"Tickmarks"}</definedName>
    <definedName name="efe" localSheetId="2" hidden="1">{#N/A,#N/A,FALSE,"Aging Summary";#N/A,#N/A,FALSE,"Ratio Analysis";#N/A,#N/A,FALSE,"Test 120 Day Accts";#N/A,#N/A,FALSE,"Tickmarks"}</definedName>
    <definedName name="efe" hidden="1">{#N/A,#N/A,FALSE,"Aging Summary";#N/A,#N/A,FALSE,"Ratio Analysis";#N/A,#N/A,FALSE,"Test 120 Day Accts";#N/A,#N/A,FALSE,"Tickmarks"}</definedName>
    <definedName name="efe_1" localSheetId="3" hidden="1">{#N/A,#N/A,FALSE,"Aging Summary";#N/A,#N/A,FALSE,"Ratio Analysis";#N/A,#N/A,FALSE,"Test 120 Day Accts";#N/A,#N/A,FALSE,"Tickmarks"}</definedName>
    <definedName name="efe_1" localSheetId="2" hidden="1">{#N/A,#N/A,FALSE,"Aging Summary";#N/A,#N/A,FALSE,"Ratio Analysis";#N/A,#N/A,FALSE,"Test 120 Day Accts";#N/A,#N/A,FALSE,"Tickmarks"}</definedName>
    <definedName name="efe_1" hidden="1">{#N/A,#N/A,FALSE,"Aging Summary";#N/A,#N/A,FALSE,"Ratio Analysis";#N/A,#N/A,FALSE,"Test 120 Day Accts";#N/A,#N/A,FALSE,"Tickmarks"}</definedName>
    <definedName name="ehase" localSheetId="3" hidden="1">{#N/A,#N/A,FALSE,"Posição Financeira"}</definedName>
    <definedName name="ehase" localSheetId="2" hidden="1">{#N/A,#N/A,FALSE,"Posição Financeira"}</definedName>
    <definedName name="ehase" hidden="1">{#N/A,#N/A,FALSE,"Posição Financeira"}</definedName>
    <definedName name="ehase1" localSheetId="3" hidden="1">{#N/A,#N/A,FALSE,"Services"}</definedName>
    <definedName name="ehase1" localSheetId="2" hidden="1">{#N/A,#N/A,FALSE,"Services"}</definedName>
    <definedName name="ehase1" hidden="1">{#N/A,#N/A,FALSE,"Services"}</definedName>
    <definedName name="eliane" localSheetId="3" hidden="1">{#N/A,#N/A,FALSE,"Actual"}</definedName>
    <definedName name="eliane" localSheetId="2" hidden="1">{#N/A,#N/A,FALSE,"Actual"}</definedName>
    <definedName name="eliane" hidden="1">{#N/A,#N/A,FALSE,"Actual"}</definedName>
    <definedName name="ENTR">[4]APOIO!$A$38:$O$38</definedName>
    <definedName name="ENTR1">[4]APOIO!$A$47:$C$47</definedName>
    <definedName name="ENTRINC">[4]INCONSIST!$A$1:$R$65536</definedName>
    <definedName name="er" localSheetId="3" hidden="1">{#N/A,#N/A,FALSE,"Aging Summary";#N/A,#N/A,FALSE,"Ratio Analysis";#N/A,#N/A,FALSE,"Test 120 Day Accts";#N/A,#N/A,FALSE,"Tickmarks"}</definedName>
    <definedName name="er" localSheetId="2" hidden="1">{#N/A,#N/A,FALSE,"Aging Summary";#N/A,#N/A,FALSE,"Ratio Analysis";#N/A,#N/A,FALSE,"Test 120 Day Accts";#N/A,#N/A,FALSE,"Tickmarks"}</definedName>
    <definedName name="er" hidden="1">{#N/A,#N/A,FALSE,"Aging Summary";#N/A,#N/A,FALSE,"Ratio Analysis";#N/A,#N/A,FALSE,"Test 120 Day Accts";#N/A,#N/A,FALSE,"Tickmarks"}</definedName>
    <definedName name="er_1" localSheetId="3" hidden="1">{#N/A,#N/A,FALSE,"Aging Summary";#N/A,#N/A,FALSE,"Ratio Analysis";#N/A,#N/A,FALSE,"Test 120 Day Accts";#N/A,#N/A,FALSE,"Tickmarks"}</definedName>
    <definedName name="er_1" localSheetId="2" hidden="1">{#N/A,#N/A,FALSE,"Aging Summary";#N/A,#N/A,FALSE,"Ratio Analysis";#N/A,#N/A,FALSE,"Test 120 Day Accts";#N/A,#N/A,FALSE,"Tickmarks"}</definedName>
    <definedName name="er_1" hidden="1">{#N/A,#N/A,FALSE,"Aging Summary";#N/A,#N/A,FALSE,"Ratio Analysis";#N/A,#N/A,FALSE,"Test 120 Day Accts";#N/A,#N/A,FALSE,"Tickmarks"}</definedName>
    <definedName name="erreum">[4]INCONSIST!$T$1</definedName>
    <definedName name="ESD" hidden="1">#N/A</definedName>
    <definedName name="ESDY" hidden="1">#N/A</definedName>
    <definedName name="ESF" hidden="1">#N/A</definedName>
    <definedName name="esrf" localSheetId="3" hidden="1">{#N/A,#N/A,FALSE,"SIM95"}</definedName>
    <definedName name="esrf" localSheetId="2" hidden="1">{#N/A,#N/A,FALSE,"SIM95"}</definedName>
    <definedName name="esrf" hidden="1">{#N/A,#N/A,FALSE,"SIM95"}</definedName>
    <definedName name="ESTAGIÁRIO">#REF!</definedName>
    <definedName name="EX" localSheetId="3" hidden="1">{#N/A,#N/A,FALSE,"Aging Summary";#N/A,#N/A,FALSE,"Ratio Analysis";#N/A,#N/A,FALSE,"Test 120 Day Accts";#N/A,#N/A,FALSE,"Tickmarks"}</definedName>
    <definedName name="EX" localSheetId="2" hidden="1">{#N/A,#N/A,FALSE,"Aging Summary";#N/A,#N/A,FALSE,"Ratio Analysis";#N/A,#N/A,FALSE,"Test 120 Day Accts";#N/A,#N/A,FALSE,"Tickmarks"}</definedName>
    <definedName name="EX" hidden="1">{#N/A,#N/A,FALSE,"Aging Summary";#N/A,#N/A,FALSE,"Ratio Analysis";#N/A,#N/A,FALSE,"Test 120 Day Accts";#N/A,#N/A,FALSE,"Tickmarks"}</definedName>
    <definedName name="EX_1" localSheetId="3" hidden="1">{#N/A,#N/A,FALSE,"Aging Summary";#N/A,#N/A,FALSE,"Ratio Analysis";#N/A,#N/A,FALSE,"Test 120 Day Accts";#N/A,#N/A,FALSE,"Tickmarks"}</definedName>
    <definedName name="EX_1" localSheetId="2" hidden="1">{#N/A,#N/A,FALSE,"Aging Summary";#N/A,#N/A,FALSE,"Ratio Analysis";#N/A,#N/A,FALSE,"Test 120 Day Accts";#N/A,#N/A,FALSE,"Tickmarks"}</definedName>
    <definedName name="EX_1" hidden="1">{#N/A,#N/A,FALSE,"Aging Summary";#N/A,#N/A,FALSE,"Ratio Analysis";#N/A,#N/A,FALSE,"Test 120 Day Accts";#N/A,#N/A,FALSE,"Tickmarks"}</definedName>
    <definedName name="EX_PATRIADO">#REF!</definedName>
    <definedName name="eXHD" localSheetId="3" hidden="1">{#N/A,#N/A,TRUE,"TOTAL COMPANY 1995";#N/A,#N/A,TRUE,"UTR-DC";#N/A,#N/A,TRUE,"UTR-WP";#N/A,#N/A,TRUE,"UTR-WR";#N/A,#N/A,TRUE,"UTR-LT";#N/A,#N/A,TRUE,"UTR-DI";#N/A,#N/A,TRUE,"STAV-WR";#N/A,#N/A,TRUE,"YSSV-WR";#N/A,#N/A,TRUE,"GP.EXP.NP"}</definedName>
    <definedName name="eXHD" localSheetId="2" hidden="1">{#N/A,#N/A,TRUE,"TOTAL COMPANY 1995";#N/A,#N/A,TRUE,"UTR-DC";#N/A,#N/A,TRUE,"UTR-WP";#N/A,#N/A,TRUE,"UTR-WR";#N/A,#N/A,TRUE,"UTR-LT";#N/A,#N/A,TRUE,"UTR-DI";#N/A,#N/A,TRUE,"STAV-WR";#N/A,#N/A,TRUE,"YSSV-WR";#N/A,#N/A,TRUE,"GP.EXP.NP"}</definedName>
    <definedName name="eXHD" hidden="1">{#N/A,#N/A,TRUE,"TOTAL COMPANY 1995";#N/A,#N/A,TRUE,"UTR-DC";#N/A,#N/A,TRUE,"UTR-WP";#N/A,#N/A,TRUE,"UTR-WR";#N/A,#N/A,TRUE,"UTR-LT";#N/A,#N/A,TRUE,"UTR-DI";#N/A,#N/A,TRUE,"STAV-WR";#N/A,#N/A,TRUE,"YSSV-WR";#N/A,#N/A,TRUE,"GP.EXP.NP"}</definedName>
    <definedName name="F">#REF!</definedName>
    <definedName name="facafacil">#REF!</definedName>
    <definedName name="fddd">[6]L100100!#REF!</definedName>
    <definedName name="fdf" localSheetId="3" hidden="1">{#N/A,#N/A,FALSE,"Aging Summary";#N/A,#N/A,FALSE,"Ratio Analysis";#N/A,#N/A,FALSE,"Test 120 Day Accts";#N/A,#N/A,FALSE,"Tickmarks"}</definedName>
    <definedName name="fdf" localSheetId="2" hidden="1">{#N/A,#N/A,FALSE,"Aging Summary";#N/A,#N/A,FALSE,"Ratio Analysis";#N/A,#N/A,FALSE,"Test 120 Day Accts";#N/A,#N/A,FALSE,"Tickmarks"}</definedName>
    <definedName name="fdf" hidden="1">{#N/A,#N/A,FALSE,"Aging Summary";#N/A,#N/A,FALSE,"Ratio Analysis";#N/A,#N/A,FALSE,"Test 120 Day Accts";#N/A,#N/A,FALSE,"Tickmarks"}</definedName>
    <definedName name="feito" localSheetId="3" hidden="1">{#N/A,#N/A,FALSE,"Aging Summary";#N/A,#N/A,FALSE,"Ratio Analysis";#N/A,#N/A,FALSE,"Test 120 Day Accts";#N/A,#N/A,FALSE,"Tickmarks"}</definedName>
    <definedName name="feito" localSheetId="2" hidden="1">{#N/A,#N/A,FALSE,"Aging Summary";#N/A,#N/A,FALSE,"Ratio Analysis";#N/A,#N/A,FALSE,"Test 120 Day Accts";#N/A,#N/A,FALSE,"Tickmarks"}</definedName>
    <definedName name="feito" hidden="1">{#N/A,#N/A,FALSE,"Aging Summary";#N/A,#N/A,FALSE,"Ratio Analysis";#N/A,#N/A,FALSE,"Test 120 Day Accts";#N/A,#N/A,FALSE,"Tickmarks"}</definedName>
    <definedName name="feo" localSheetId="3" hidden="1">{#N/A,#N/A,FALSE,"Aging Summary";#N/A,#N/A,FALSE,"Ratio Analysis";#N/A,#N/A,FALSE,"Test 120 Day Accts";#N/A,#N/A,FALSE,"Tickmarks"}</definedName>
    <definedName name="feo" localSheetId="2" hidden="1">{#N/A,#N/A,FALSE,"Aging Summary";#N/A,#N/A,FALSE,"Ratio Analysis";#N/A,#N/A,FALSE,"Test 120 Day Accts";#N/A,#N/A,FALSE,"Tickmarks"}</definedName>
    <definedName name="feo" hidden="1">{#N/A,#N/A,FALSE,"Aging Summary";#N/A,#N/A,FALSE,"Ratio Analysis";#N/A,#N/A,FALSE,"Test 120 Day Accts";#N/A,#N/A,FALSE,"Tickmarks"}</definedName>
    <definedName name="feo_1" localSheetId="3" hidden="1">{#N/A,#N/A,FALSE,"Aging Summary";#N/A,#N/A,FALSE,"Ratio Analysis";#N/A,#N/A,FALSE,"Test 120 Day Accts";#N/A,#N/A,FALSE,"Tickmarks"}</definedName>
    <definedName name="feo_1" localSheetId="2" hidden="1">{#N/A,#N/A,FALSE,"Aging Summary";#N/A,#N/A,FALSE,"Ratio Analysis";#N/A,#N/A,FALSE,"Test 120 Day Accts";#N/A,#N/A,FALSE,"Tickmarks"}</definedName>
    <definedName name="feo_1" hidden="1">{#N/A,#N/A,FALSE,"Aging Summary";#N/A,#N/A,FALSE,"Ratio Analysis";#N/A,#N/A,FALSE,"Test 120 Day Accts";#N/A,#N/A,FALSE,"Tickmarks"}</definedName>
    <definedName name="FÉRIAS">#REF!</definedName>
    <definedName name="FEV2A">[4]FEV!$A$452:$L$460</definedName>
    <definedName name="FEVCONF">[4]FEV!$G$481:$I$940</definedName>
    <definedName name="ff_1" localSheetId="3" hidden="1">{#N/A,#N/A,FALSE,"Aging Summary";#N/A,#N/A,FALSE,"Ratio Analysis";#N/A,#N/A,FALSE,"Test 120 Day Accts";#N/A,#N/A,FALSE,"Tickmarks"}</definedName>
    <definedName name="ff_1" localSheetId="2" hidden="1">{#N/A,#N/A,FALSE,"Aging Summary";#N/A,#N/A,FALSE,"Ratio Analysis";#N/A,#N/A,FALSE,"Test 120 Day Accts";#N/A,#N/A,FALSE,"Tickmarks"}</definedName>
    <definedName name="ff_1" hidden="1">{#N/A,#N/A,FALSE,"Aging Summary";#N/A,#N/A,FALSE,"Ratio Analysis";#N/A,#N/A,FALSE,"Test 120 Day Accts";#N/A,#N/A,FALSE,"Tickmarks"}</definedName>
    <definedName name="FFAPPCOLNAME1_1">[10]CRITERIA1!$F$1</definedName>
    <definedName name="FFAPPCOLNAME2_1">[10]CRITERIA1!$F$2</definedName>
    <definedName name="FFAPPCOLNAME3_1">[10]CRITERIA1!$F$3</definedName>
    <definedName name="FFAPPCOLNAME4_1">[10]CRITERIA1!$F$4</definedName>
    <definedName name="FFAPPCOLNAME5_1">[10]CRITERIA1!$F$5</definedName>
    <definedName name="FFAPPCOLNAME6_1">[10]CRITERIA1!$F$6</definedName>
    <definedName name="ffff" localSheetId="3" hidden="1">{#N/A,#N/A,FALSE,"Aging Summary";#N/A,#N/A,FALSE,"Ratio Analysis";#N/A,#N/A,FALSE,"Test 120 Day Accts";#N/A,#N/A,FALSE,"Tickmarks"}</definedName>
    <definedName name="ffff" localSheetId="2" hidden="1">{#N/A,#N/A,FALSE,"Aging Summary";#N/A,#N/A,FALSE,"Ratio Analysis";#N/A,#N/A,FALSE,"Test 120 Day Accts";#N/A,#N/A,FALSE,"Tickmarks"}</definedName>
    <definedName name="ffff" hidden="1">{#N/A,#N/A,FALSE,"Aging Summary";#N/A,#N/A,FALSE,"Ratio Analysis";#N/A,#N/A,FALSE,"Test 120 Day Accts";#N/A,#N/A,FALSE,"Tickmarks"}</definedName>
    <definedName name="ffff_1" localSheetId="3" hidden="1">{#N/A,#N/A,FALSE,"Aging Summary";#N/A,#N/A,FALSE,"Ratio Analysis";#N/A,#N/A,FALSE,"Test 120 Day Accts";#N/A,#N/A,FALSE,"Tickmarks"}</definedName>
    <definedName name="ffff_1" localSheetId="2" hidden="1">{#N/A,#N/A,FALSE,"Aging Summary";#N/A,#N/A,FALSE,"Ratio Analysis";#N/A,#N/A,FALSE,"Test 120 Day Accts";#N/A,#N/A,FALSE,"Tickmarks"}</definedName>
    <definedName name="ffff_1" hidden="1">{#N/A,#N/A,FALSE,"Aging Summary";#N/A,#N/A,FALSE,"Ratio Analysis";#N/A,#N/A,FALSE,"Test 120 Day Accts";#N/A,#N/A,FALSE,"Tickmarks"}</definedName>
    <definedName name="FFSEGMENT1_1">[10]CRITERIA1!$D$1</definedName>
    <definedName name="FFSEGMENT2_1">[10]CRITERIA1!$D$2</definedName>
    <definedName name="FFSEGMENT3_1">[10]CRITERIA1!$D$3</definedName>
    <definedName name="FFSEGMENT4_1">[10]CRITERIA1!$D$4</definedName>
    <definedName name="FFSEGMENT5_1">[10]CRITERIA1!$D$5</definedName>
    <definedName name="FFSEGMENT6_1">[10]CRITERIA1!$D$6</definedName>
    <definedName name="FFSEGSEPARATOR1">[10]CRITERIA1!$B$17</definedName>
    <definedName name="fghm" hidden="1">#N/A</definedName>
    <definedName name="FICHA" localSheetId="3" hidden="1">{#N/A,#N/A,FALSE,"pedido"}</definedName>
    <definedName name="FICHA" localSheetId="2" hidden="1">{#N/A,#N/A,FALSE,"pedido"}</definedName>
    <definedName name="FICHA" hidden="1">{#N/A,#N/A,FALSE,"pedido"}</definedName>
    <definedName name="FIELDNAMECOLUMN1">[10]CRITERIA1!$B$26</definedName>
    <definedName name="FIELDNAMEROW1">[10]CRITERIA1!$B$25</definedName>
    <definedName name="FinCube">#REF!</definedName>
    <definedName name="FINDB">'[18]TM1.Settings'!$C$19</definedName>
    <definedName name="FIRSTDATAROW1">[10]CRITERIA1!$B$27</definedName>
    <definedName name="Flavia" localSheetId="3" hidden="1">{#N/A,#N/A,FALSE,"Posição Financeira"}</definedName>
    <definedName name="Flavia" localSheetId="2" hidden="1">{#N/A,#N/A,FALSE,"Posição Financeira"}</definedName>
    <definedName name="Flavia" hidden="1">{#N/A,#N/A,FALSE,"Posição Financeira"}</definedName>
    <definedName name="FNDNAM1">[10]CRITERIA1!$B$12</definedName>
    <definedName name="FNDUSERID1">[10]CRITERIA1!$B$15</definedName>
    <definedName name="FOBABR1">[4]ABR!$I$599</definedName>
    <definedName name="FOBABR2">[4]ABR!$I$613</definedName>
    <definedName name="FOBABR3">[4]ABR!$I$638</definedName>
    <definedName name="FOBAGO1">[4]AGO!$I$720</definedName>
    <definedName name="FOBAGO2">[4]AGO!$I$736</definedName>
    <definedName name="FOBAGO3">[4]AGO!$I$792</definedName>
    <definedName name="FOBDEZ1">[4]DEZ!$I$6</definedName>
    <definedName name="FOBDEZ2">[4]DEZ!$I$13</definedName>
    <definedName name="FOBDEZ3">[4]DEZ!$I$20</definedName>
    <definedName name="FOBFEV1">[4]FEV!$I$448</definedName>
    <definedName name="FOBFEV2">[4]FEV!$I$461</definedName>
    <definedName name="FOBFEV3">[4]FEV!$I$477</definedName>
    <definedName name="FOBJAN1">[4]JAN!$I$435</definedName>
    <definedName name="FOBJAN2">[4]JAN!$I$450</definedName>
    <definedName name="FOBJAN3">[4]JAN!$I$467</definedName>
    <definedName name="FOBJUL1">[4]JUL!$I$523</definedName>
    <definedName name="FOBJUL2">[4]JUL!$I$538</definedName>
    <definedName name="FOBJUL3">[4]JUL!$I$566</definedName>
    <definedName name="FOBJUN1">[4]JUN!$I$533</definedName>
    <definedName name="FOBJUN2">[4]JUN!$I$549</definedName>
    <definedName name="FOBJUN3">[4]JUN!$I$582</definedName>
    <definedName name="FOBMAI1">[4]MAI!$I$496</definedName>
    <definedName name="FOBMAI2">[4]MAI!$I$510</definedName>
    <definedName name="FOBMAI3">[4]MAI!$I$524</definedName>
    <definedName name="FOBMAR1">[4]MAR!$I$673</definedName>
    <definedName name="FOBMAR2">[4]MAR!$I$681</definedName>
    <definedName name="FOBMAR3">[4]MAR!$I$699</definedName>
    <definedName name="FOBNOV1">[4]NOV!$I$6</definedName>
    <definedName name="FOBNOV2">[4]NOV!$I$13</definedName>
    <definedName name="FOBNOV3">[4]NOV!$I$20</definedName>
    <definedName name="FOBOUT1">[4]OUT!$I$6</definedName>
    <definedName name="FOBOUT2">[4]OUT!$I$13</definedName>
    <definedName name="FOBOUT3">[4]OUT!$I$20</definedName>
    <definedName name="FOBSET1">[4]SET!$I$801</definedName>
    <definedName name="FOBSET2">[4]SET!$I$812</definedName>
    <definedName name="FOBSET3">[4]SET!$I$850</definedName>
    <definedName name="fom" localSheetId="3" hidden="1">{#N/A,#N/A,FALSE,"Aging Summary";#N/A,#N/A,FALSE,"Ratio Analysis";#N/A,#N/A,FALSE,"Test 120 Day Accts";#N/A,#N/A,FALSE,"Tickmarks"}</definedName>
    <definedName name="fom" localSheetId="2" hidden="1">{#N/A,#N/A,FALSE,"Aging Summary";#N/A,#N/A,FALSE,"Ratio Analysis";#N/A,#N/A,FALSE,"Test 120 Day Accts";#N/A,#N/A,FALSE,"Tickmarks"}</definedName>
    <definedName name="fom" hidden="1">{#N/A,#N/A,FALSE,"Aging Summary";#N/A,#N/A,FALSE,"Ratio Analysis";#N/A,#N/A,FALSE,"Test 120 Day Accts";#N/A,#N/A,FALSE,"Tickmarks"}</definedName>
    <definedName name="fom_1" localSheetId="3" hidden="1">{#N/A,#N/A,FALSE,"Aging Summary";#N/A,#N/A,FALSE,"Ratio Analysis";#N/A,#N/A,FALSE,"Test 120 Day Accts";#N/A,#N/A,FALSE,"Tickmarks"}</definedName>
    <definedName name="fom_1" localSheetId="2" hidden="1">{#N/A,#N/A,FALSE,"Aging Summary";#N/A,#N/A,FALSE,"Ratio Analysis";#N/A,#N/A,FALSE,"Test 120 Day Accts";#N/A,#N/A,FALSE,"Tickmarks"}</definedName>
    <definedName name="fom_1" hidden="1">{#N/A,#N/A,FALSE,"Aging Summary";#N/A,#N/A,FALSE,"Ratio Analysis";#N/A,#N/A,FALSE,"Test 120 Day Accts";#N/A,#N/A,FALSE,"Tickmarks"}</definedName>
    <definedName name="FORMABR">[4]INCONSIST!$BD$5:$BQ$5</definedName>
    <definedName name="FORMAGO">[4]INCONSIST!$BD$9:$BQ$9</definedName>
    <definedName name="FORMDEZ">[4]INCONSIST!$BD$13:$BQ$13</definedName>
    <definedName name="FORMFEV">[4]INCONSIST!$BD$3:$BQ$3</definedName>
    <definedName name="FORMJAN">[4]INCONSIST!$BD$2:$BQ$2</definedName>
    <definedName name="FORMJUL">[4]INCONSIST!$BD$8:$BQ$8</definedName>
    <definedName name="FORMJUN">[4]INCONSIST!$BD$7:$BQ$7</definedName>
    <definedName name="FORMMAI">[4]INCONSIST!$BD$6:$BQ$6</definedName>
    <definedName name="FORMMAR">[4]INCONSIST!$BD$4:$BQ$4</definedName>
    <definedName name="FORMNOV">[4]INCONSIST!$BD$12:$BQ$12</definedName>
    <definedName name="FORMOUT">[4]INCONSIST!$BD$11:$BQ$11</definedName>
    <definedName name="FORMPJAN">#REF!</definedName>
    <definedName name="FORMSET">[4]INCONSIST!$BD$10:$BQ$10</definedName>
    <definedName name="FREABR1">[4]ABR!$C$599</definedName>
    <definedName name="FREABR2">[4]ABR!$C$613</definedName>
    <definedName name="FREABR3">[4]ABR!$C$638</definedName>
    <definedName name="FREAGO1">[4]AGO!$C$720</definedName>
    <definedName name="FREAGO2">[4]AGO!$C$736</definedName>
    <definedName name="FREAGO3">[4]AGO!$C$792</definedName>
    <definedName name="FREDEZ1">[4]DEZ!$C$6</definedName>
    <definedName name="FREDEZ2">[4]DEZ!$C$13</definedName>
    <definedName name="FREDEZ3">[4]DEZ!$C$20</definedName>
    <definedName name="FREFEV1">[4]FEV!$C$448</definedName>
    <definedName name="FREFEV2">[4]FEV!$C$461</definedName>
    <definedName name="FREFEV3">[4]FEV!$C$477</definedName>
    <definedName name="FREJAN1">[4]JAN!$C$435</definedName>
    <definedName name="FREJAN2">[4]JAN!$C$450</definedName>
    <definedName name="FREJAN3">[4]JAN!$C$467</definedName>
    <definedName name="FREJUL1">[4]JUL!$C$523</definedName>
    <definedName name="FREJUL2">[4]JUL!$C$538</definedName>
    <definedName name="FREJUL3">[4]JUL!$C$566</definedName>
    <definedName name="FREJUN1">[4]JUN!$C$533</definedName>
    <definedName name="FREJUN2">[4]JUN!$C$549</definedName>
    <definedName name="FREJUN3">[4]JUN!$C$582</definedName>
    <definedName name="FREMAI1">[4]MAI!$C$496</definedName>
    <definedName name="FREMAI2">[4]MAI!$C$510</definedName>
    <definedName name="FREMAI3">[4]MAI!$C$524</definedName>
    <definedName name="FREMAR1">[4]MAR!$C$673</definedName>
    <definedName name="FREMAR2">[4]MAR!$C$681</definedName>
    <definedName name="FREMAR3">[4]MAR!$C$699</definedName>
    <definedName name="FRENOV1">[4]NOV!$C$6</definedName>
    <definedName name="FRENOV2">[4]NOV!$C$13</definedName>
    <definedName name="FRENOV3">[4]NOV!$C$20</definedName>
    <definedName name="FREOUT1">[4]OUT!$C$6</definedName>
    <definedName name="FREOUT2">[4]OUT!$C$13</definedName>
    <definedName name="FREOUT3">[4]OUT!$C$20</definedName>
    <definedName name="FRESET1">[4]SET!$C$801</definedName>
    <definedName name="FRESET2">[4]SET!$C$812</definedName>
    <definedName name="FRESET3">[4]SET!$C$850</definedName>
    <definedName name="frete">'[12]Capital Call'!$D$72:$O$72</definedName>
    <definedName name="freterj">'[12]Capital Call'!$G$71</definedName>
    <definedName name="fretesp">'[12]Capital Call'!$E$71</definedName>
    <definedName name="ftu222_1" localSheetId="3" hidden="1">{#N/A,#N/A,FALSE,"Aging Summary";#N/A,#N/A,FALSE,"Ratio Analysis";#N/A,#N/A,FALSE,"Test 120 Day Accts";#N/A,#N/A,FALSE,"Tickmarks"}</definedName>
    <definedName name="ftu222_1" localSheetId="2" hidden="1">{#N/A,#N/A,FALSE,"Aging Summary";#N/A,#N/A,FALSE,"Ratio Analysis";#N/A,#N/A,FALSE,"Test 120 Day Accts";#N/A,#N/A,FALSE,"Tickmarks"}</definedName>
    <definedName name="ftu222_1" hidden="1">{#N/A,#N/A,FALSE,"Aging Summary";#N/A,#N/A,FALSE,"Ratio Analysis";#N/A,#N/A,FALSE,"Test 120 Day Accts";#N/A,#N/A,FALSE,"Tickmarks"}</definedName>
    <definedName name="FUNCTIONALCURRENCY1">[10]CRITERIA1!$B$33</definedName>
    <definedName name="FUT_2000" localSheetId="3" hidden="1">{#N/A,#N/A,FALSE,"Aging Summary";#N/A,#N/A,FALSE,"Ratio Analysis";#N/A,#N/A,FALSE,"Test 120 Day Accts";#N/A,#N/A,FALSE,"Tickmarks"}</definedName>
    <definedName name="FUT_2000" localSheetId="2" hidden="1">{#N/A,#N/A,FALSE,"Aging Summary";#N/A,#N/A,FALSE,"Ratio Analysis";#N/A,#N/A,FALSE,"Test 120 Day Accts";#N/A,#N/A,FALSE,"Tickmarks"}</definedName>
    <definedName name="FUT_2000" hidden="1">{#N/A,#N/A,FALSE,"Aging Summary";#N/A,#N/A,FALSE,"Ratio Analysis";#N/A,#N/A,FALSE,"Test 120 Day Accts";#N/A,#N/A,FALSE,"Tickmarks"}</definedName>
    <definedName name="FUT_2000_1" localSheetId="3" hidden="1">{#N/A,#N/A,FALSE,"Aging Summary";#N/A,#N/A,FALSE,"Ratio Analysis";#N/A,#N/A,FALSE,"Test 120 Day Accts";#N/A,#N/A,FALSE,"Tickmarks"}</definedName>
    <definedName name="FUT_2000_1" localSheetId="2" hidden="1">{#N/A,#N/A,FALSE,"Aging Summary";#N/A,#N/A,FALSE,"Ratio Analysis";#N/A,#N/A,FALSE,"Test 120 Day Accts";#N/A,#N/A,FALSE,"Tickmarks"}</definedName>
    <definedName name="FUT_2000_1" hidden="1">{#N/A,#N/A,FALSE,"Aging Summary";#N/A,#N/A,FALSE,"Ratio Analysis";#N/A,#N/A,FALSE,"Test 120 Day Accts";#N/A,#N/A,FALSE,"Tickmarks"}</definedName>
    <definedName name="futxx" localSheetId="3"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utxx" localSheetId="2"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utxx"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G">#REF!</definedName>
    <definedName name="g_1" localSheetId="3" hidden="1">{#N/A,#N/A,FALSE,"Aging Summary";#N/A,#N/A,FALSE,"Ratio Analysis";#N/A,#N/A,FALSE,"Test 120 Day Accts";#N/A,#N/A,FALSE,"Tickmarks"}</definedName>
    <definedName name="g_1" localSheetId="2" hidden="1">{#N/A,#N/A,FALSE,"Aging Summary";#N/A,#N/A,FALSE,"Ratio Analysis";#N/A,#N/A,FALSE,"Test 120 Day Accts";#N/A,#N/A,FALSE,"Tickmarks"}</definedName>
    <definedName name="g_1" hidden="1">{#N/A,#N/A,FALSE,"Aging Summary";#N/A,#N/A,FALSE,"Ratio Analysis";#N/A,#N/A,FALSE,"Test 120 Day Accts";#N/A,#N/A,FALSE,"Tickmarks"}</definedName>
    <definedName name="GAFPMAPA" localSheetId="3" hidden="1">{#N/A,#N/A,FALSE,"Aging Summary";#N/A,#N/A,FALSE,"Ratio Analysis";#N/A,#N/A,FALSE,"Test 120 Day Accts";#N/A,#N/A,FALSE,"Tickmarks"}</definedName>
    <definedName name="GAFPMAPA" localSheetId="2" hidden="1">{#N/A,#N/A,FALSE,"Aging Summary";#N/A,#N/A,FALSE,"Ratio Analysis";#N/A,#N/A,FALSE,"Test 120 Day Accts";#N/A,#N/A,FALSE,"Tickmarks"}</definedName>
    <definedName name="GAFPMAPA" hidden="1">{#N/A,#N/A,FALSE,"Aging Summary";#N/A,#N/A,FALSE,"Ratio Analysis";#N/A,#N/A,FALSE,"Test 120 Day Accts";#N/A,#N/A,FALSE,"Tickmarks"}</definedName>
    <definedName name="GAFPMAPA_1" localSheetId="3" hidden="1">{#N/A,#N/A,FALSE,"Aging Summary";#N/A,#N/A,FALSE,"Ratio Analysis";#N/A,#N/A,FALSE,"Test 120 Day Accts";#N/A,#N/A,FALSE,"Tickmarks"}</definedName>
    <definedName name="GAFPMAPA_1" localSheetId="2" hidden="1">{#N/A,#N/A,FALSE,"Aging Summary";#N/A,#N/A,FALSE,"Ratio Analysis";#N/A,#N/A,FALSE,"Test 120 Day Accts";#N/A,#N/A,FALSE,"Tickmarks"}</definedName>
    <definedName name="GAFPMAPA_1" hidden="1">{#N/A,#N/A,FALSE,"Aging Summary";#N/A,#N/A,FALSE,"Ratio Analysis";#N/A,#N/A,FALSE,"Test 120 Day Accts";#N/A,#N/A,FALSE,"Tickmarks"}</definedName>
    <definedName name="gasemcomodato">'[12]Capital Call'!$D$188:$P$188</definedName>
    <definedName name="GC" localSheetId="3" hidden="1">{#N/A,#N/A,TRUE,"MEMO";#N/A,#N/A,TRUE,"PARAMETROS";#N/A,#N/A,TRUE,"RLI ";#N/A,#N/A,TRUE,"IMPTO.DET.";#N/A,#N/A,TRUE,"FUT-FUNT";#N/A,#N/A,TRUE,"CPI-PATR.";#N/A,#N/A,TRUE,"CM CPI";#N/A,#N/A,TRUE,"PROV";#N/A,#N/A,TRUE,"A FIJO";#N/A,#N/A,TRUE,"LEASING";#N/A,#N/A,TRUE,"VPP";#N/A,#N/A,TRUE,"PPM";#N/A,#N/A,TRUE,"OTROS"}</definedName>
    <definedName name="GC" localSheetId="2" hidden="1">{#N/A,#N/A,TRUE,"MEMO";#N/A,#N/A,TRUE,"PARAMETROS";#N/A,#N/A,TRUE,"RLI ";#N/A,#N/A,TRUE,"IMPTO.DET.";#N/A,#N/A,TRUE,"FUT-FUNT";#N/A,#N/A,TRUE,"CPI-PATR.";#N/A,#N/A,TRUE,"CM CPI";#N/A,#N/A,TRUE,"PROV";#N/A,#N/A,TRUE,"A FIJO";#N/A,#N/A,TRUE,"LEASING";#N/A,#N/A,TRUE,"VPP";#N/A,#N/A,TRUE,"PPM";#N/A,#N/A,TRUE,"OTROS"}</definedName>
    <definedName name="GC" hidden="1">{#N/A,#N/A,TRUE,"MEMO";#N/A,#N/A,TRUE,"PARAMETROS";#N/A,#N/A,TRUE,"RLI ";#N/A,#N/A,TRUE,"IMPTO.DET.";#N/A,#N/A,TRUE,"FUT-FUNT";#N/A,#N/A,TRUE,"CPI-PATR.";#N/A,#N/A,TRUE,"CM CPI";#N/A,#N/A,TRUE,"PROV";#N/A,#N/A,TRUE,"A FIJO";#N/A,#N/A,TRUE,"LEASING";#N/A,#N/A,TRUE,"VPP";#N/A,#N/A,TRUE,"PPM";#N/A,#N/A,TRUE,"OTROS"}</definedName>
    <definedName name="GC_1" localSheetId="3" hidden="1">{#N/A,#N/A,TRUE,"MEMO";#N/A,#N/A,TRUE,"PARAMETROS";#N/A,#N/A,TRUE,"RLI ";#N/A,#N/A,TRUE,"IMPTO.DET.";#N/A,#N/A,TRUE,"FUT-FUNT";#N/A,#N/A,TRUE,"CPI-PATR.";#N/A,#N/A,TRUE,"CM CPI";#N/A,#N/A,TRUE,"PROV";#N/A,#N/A,TRUE,"A FIJO";#N/A,#N/A,TRUE,"LEASING";#N/A,#N/A,TRUE,"VPP";#N/A,#N/A,TRUE,"PPM";#N/A,#N/A,TRUE,"OTROS"}</definedName>
    <definedName name="GC_1" localSheetId="2" hidden="1">{#N/A,#N/A,TRUE,"MEMO";#N/A,#N/A,TRUE,"PARAMETROS";#N/A,#N/A,TRUE,"RLI ";#N/A,#N/A,TRUE,"IMPTO.DET.";#N/A,#N/A,TRUE,"FUT-FUNT";#N/A,#N/A,TRUE,"CPI-PATR.";#N/A,#N/A,TRUE,"CM CPI";#N/A,#N/A,TRUE,"PROV";#N/A,#N/A,TRUE,"A FIJO";#N/A,#N/A,TRUE,"LEASING";#N/A,#N/A,TRUE,"VPP";#N/A,#N/A,TRUE,"PPM";#N/A,#N/A,TRUE,"OTROS"}</definedName>
    <definedName name="GC_1" hidden="1">{#N/A,#N/A,TRUE,"MEMO";#N/A,#N/A,TRUE,"PARAMETROS";#N/A,#N/A,TRUE,"RLI ";#N/A,#N/A,TRUE,"IMPTO.DET.";#N/A,#N/A,TRUE,"FUT-FUNT";#N/A,#N/A,TRUE,"CPI-PATR.";#N/A,#N/A,TRUE,"CM CPI";#N/A,#N/A,TRUE,"PROV";#N/A,#N/A,TRUE,"A FIJO";#N/A,#N/A,TRUE,"LEASING";#N/A,#N/A,TRUE,"VPP";#N/A,#N/A,TRUE,"PPM";#N/A,#N/A,TRUE,"OTROS"}</definedName>
    <definedName name="gfdfdgsdgfa" localSheetId="3" hidden="1">{#N/A,#N/A,FALSE,"Posição Financeira"}</definedName>
    <definedName name="gfdfdgsdgfa" localSheetId="2" hidden="1">{#N/A,#N/A,FALSE,"Posição Financeira"}</definedName>
    <definedName name="gfdfdgsdgfa" hidden="1">{#N/A,#N/A,FALSE,"Posição Financeira"}</definedName>
    <definedName name="gg">#N/A</definedName>
    <definedName name="gggggggggggggggggggggggggg" localSheetId="3" hidden="1">{#N/A,#N/A,FALSE,"Aging Summary";#N/A,#N/A,FALSE,"Ratio Analysis";#N/A,#N/A,FALSE,"Test 120 Day Accts";#N/A,#N/A,FALSE,"Tickmarks"}</definedName>
    <definedName name="gggggggggggggggggggggggggg" localSheetId="2" hidden="1">{#N/A,#N/A,FALSE,"Aging Summary";#N/A,#N/A,FALSE,"Ratio Analysis";#N/A,#N/A,FALSE,"Test 120 Day Accts";#N/A,#N/A,FALSE,"Tickmarks"}</definedName>
    <definedName name="gggggggggggggggggggggggggg" hidden="1">{#N/A,#N/A,FALSE,"Aging Summary";#N/A,#N/A,FALSE,"Ratio Analysis";#N/A,#N/A,FALSE,"Test 120 Day Accts";#N/A,#N/A,FALSE,"Tickmarks"}</definedName>
    <definedName name="gggggggggggggggggggggggggg_1" localSheetId="3" hidden="1">{#N/A,#N/A,FALSE,"Aging Summary";#N/A,#N/A,FALSE,"Ratio Analysis";#N/A,#N/A,FALSE,"Test 120 Day Accts";#N/A,#N/A,FALSE,"Tickmarks"}</definedName>
    <definedName name="gggggggggggggggggggggggggg_1" localSheetId="2" hidden="1">{#N/A,#N/A,FALSE,"Aging Summary";#N/A,#N/A,FALSE,"Ratio Analysis";#N/A,#N/A,FALSE,"Test 120 Day Accts";#N/A,#N/A,FALSE,"Tickmarks"}</definedName>
    <definedName name="gggggggggggggggggggggggggg_1" hidden="1">{#N/A,#N/A,FALSE,"Aging Summary";#N/A,#N/A,FALSE,"Ratio Analysis";#N/A,#N/A,FALSE,"Test 120 Day Accts";#N/A,#N/A,FALSE,"Tickmarks"}</definedName>
    <definedName name="Glossary">#REF!</definedName>
    <definedName name="GRAN" localSheetId="3" hidden="1">{#N/A,#N/A,FALSE,"Aging Summary";#N/A,#N/A,FALSE,"Ratio Analysis";#N/A,#N/A,FALSE,"Test 120 Day Accts";#N/A,#N/A,FALSE,"Tickmarks"}</definedName>
    <definedName name="GRAN" localSheetId="2" hidden="1">{#N/A,#N/A,FALSE,"Aging Summary";#N/A,#N/A,FALSE,"Ratio Analysis";#N/A,#N/A,FALSE,"Test 120 Day Accts";#N/A,#N/A,FALSE,"Tickmarks"}</definedName>
    <definedName name="GRAN" hidden="1">{#N/A,#N/A,FALSE,"Aging Summary";#N/A,#N/A,FALSE,"Ratio Analysis";#N/A,#N/A,FALSE,"Test 120 Day Accts";#N/A,#N/A,FALSE,"Tickmarks"}</definedName>
    <definedName name="_xlnm.Recorder">#REF!</definedName>
    <definedName name="gravador1">#REF!</definedName>
    <definedName name="grossadds">'[12]Capital Call'!$D$3:$P$3</definedName>
    <definedName name="GrpAcct1" hidden="1">"5800.1"</definedName>
    <definedName name="GrpAcct2" hidden="1">"5800.5"</definedName>
    <definedName name="GrpLevel" hidden="1">2</definedName>
    <definedName name="Grupo_R">#REF!</definedName>
    <definedName name="Gunter" hidden="1">#N/A</definedName>
    <definedName name="GVV" localSheetId="3" hidden="1">{#N/A,#N/A,FALSE,"Aging Summary";#N/A,#N/A,FALSE,"Ratio Analysis";#N/A,#N/A,FALSE,"Test 120 Day Accts";#N/A,#N/A,FALSE,"Tickmarks"}</definedName>
    <definedName name="GVV" localSheetId="2" hidden="1">{#N/A,#N/A,FALSE,"Aging Summary";#N/A,#N/A,FALSE,"Ratio Analysis";#N/A,#N/A,FALSE,"Test 120 Day Accts";#N/A,#N/A,FALSE,"Tickmarks"}</definedName>
    <definedName name="GVV" hidden="1">{#N/A,#N/A,FALSE,"Aging Summary";#N/A,#N/A,FALSE,"Ratio Analysis";#N/A,#N/A,FALSE,"Test 120 Day Accts";#N/A,#N/A,FALSE,"Tickmarks"}</definedName>
    <definedName name="GVV_1" localSheetId="3" hidden="1">{#N/A,#N/A,FALSE,"Aging Summary";#N/A,#N/A,FALSE,"Ratio Analysis";#N/A,#N/A,FALSE,"Test 120 Day Accts";#N/A,#N/A,FALSE,"Tickmarks"}</definedName>
    <definedName name="GVV_1" localSheetId="2" hidden="1">{#N/A,#N/A,FALSE,"Aging Summary";#N/A,#N/A,FALSE,"Ratio Analysis";#N/A,#N/A,FALSE,"Test 120 Day Accts";#N/A,#N/A,FALSE,"Tickmarks"}</definedName>
    <definedName name="GVV_1" hidden="1">{#N/A,#N/A,FALSE,"Aging Summary";#N/A,#N/A,FALSE,"Ratio Analysis";#N/A,#N/A,FALSE,"Test 120 Day Accts";#N/A,#N/A,FALSE,"Tickmarks"}</definedName>
    <definedName name="GWYUID1">[10]CRITERIA1!$B$13</definedName>
    <definedName name="H">#REF!</definedName>
    <definedName name="h_1" localSheetId="3" hidden="1">{#N/A,#N/A,FALSE,"Aging Summary";#N/A,#N/A,FALSE,"Ratio Analysis";#N/A,#N/A,FALSE,"Test 120 Day Accts";#N/A,#N/A,FALSE,"Tickmarks"}</definedName>
    <definedName name="h_1" localSheetId="2" hidden="1">{#N/A,#N/A,FALSE,"Aging Summary";#N/A,#N/A,FALSE,"Ratio Analysis";#N/A,#N/A,FALSE,"Test 120 Day Accts";#N/A,#N/A,FALSE,"Tickmarks"}</definedName>
    <definedName name="h_1" hidden="1">{#N/A,#N/A,FALSE,"Aging Summary";#N/A,#N/A,FALSE,"Ratio Analysis";#N/A,#N/A,FALSE,"Test 120 Day Accts";#N/A,#N/A,FALSE,"Tickmarks"}</definedName>
    <definedName name="Handset_Pricing">'[13]Handset Pricing'!$A$12:$L$86</definedName>
    <definedName name="hdhdhhd" hidden="1">48</definedName>
    <definedName name="Head_by_Area">[13]Headcount!$A$11:$W$115</definedName>
    <definedName name="hhahahah" localSheetId="3" hidden="1">{#N/A,#N/A,FALSE,"Actual"}</definedName>
    <definedName name="hhahahah" localSheetId="2" hidden="1">{#N/A,#N/A,FALSE,"Actual"}</definedName>
    <definedName name="hhahahah" hidden="1">{#N/A,#N/A,FALSE,"Actual"}</definedName>
    <definedName name="hhh" localSheetId="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hh"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hh"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hhh" localSheetId="3" hidden="1">{#N/A,#N/A,FALSE,"Aging Summary";#N/A,#N/A,FALSE,"Ratio Analysis";#N/A,#N/A,FALSE,"Test 120 Day Accts";#N/A,#N/A,FALSE,"Tickmarks"}</definedName>
    <definedName name="hhhh" localSheetId="2" hidden="1">{#N/A,#N/A,FALSE,"Aging Summary";#N/A,#N/A,FALSE,"Ratio Analysis";#N/A,#N/A,FALSE,"Test 120 Day Accts";#N/A,#N/A,FALSE,"Tickmarks"}</definedName>
    <definedName name="hhhh" hidden="1">{#N/A,#N/A,FALSE,"Aging Summary";#N/A,#N/A,FALSE,"Ratio Analysis";#N/A,#N/A,FALSE,"Test 120 Day Accts";#N/A,#N/A,FALSE,"Tickmarks"}</definedName>
    <definedName name="hhhh_1" localSheetId="3" hidden="1">{#N/A,#N/A,FALSE,"Aging Summary";#N/A,#N/A,FALSE,"Ratio Analysis";#N/A,#N/A,FALSE,"Test 120 Day Accts";#N/A,#N/A,FALSE,"Tickmarks"}</definedName>
    <definedName name="hhhh_1" localSheetId="2" hidden="1">{#N/A,#N/A,FALSE,"Aging Summary";#N/A,#N/A,FALSE,"Ratio Analysis";#N/A,#N/A,FALSE,"Test 120 Day Accts";#N/A,#N/A,FALSE,"Tickmarks"}</definedName>
    <definedName name="hhhh_1" hidden="1">{#N/A,#N/A,FALSE,"Aging Summary";#N/A,#N/A,FALSE,"Ratio Analysis";#N/A,#N/A,FALSE,"Test 120 Day Accts";#N/A,#N/A,FALSE,"Tickmarks"}</definedName>
    <definedName name="hhhhh" localSheetId="3" hidden="1">{#N/A,#N/A,FALSE,"Aging Summary";#N/A,#N/A,FALSE,"Ratio Analysis";#N/A,#N/A,FALSE,"Test 120 Day Accts";#N/A,#N/A,FALSE,"Tickmarks"}</definedName>
    <definedName name="hhhhh" localSheetId="2" hidden="1">{#N/A,#N/A,FALSE,"Aging Summary";#N/A,#N/A,FALSE,"Ratio Analysis";#N/A,#N/A,FALSE,"Test 120 Day Accts";#N/A,#N/A,FALSE,"Tickmarks"}</definedName>
    <definedName name="hhhhh" hidden="1">{#N/A,#N/A,FALSE,"Aging Summary";#N/A,#N/A,FALSE,"Ratio Analysis";#N/A,#N/A,FALSE,"Test 120 Day Accts";#N/A,#N/A,FALSE,"Tickmarks"}</definedName>
    <definedName name="hhhhh_1" localSheetId="3" hidden="1">{#N/A,#N/A,FALSE,"Aging Summary";#N/A,#N/A,FALSE,"Ratio Analysis";#N/A,#N/A,FALSE,"Test 120 Day Accts";#N/A,#N/A,FALSE,"Tickmarks"}</definedName>
    <definedName name="hhhhh_1" localSheetId="2" hidden="1">{#N/A,#N/A,FALSE,"Aging Summary";#N/A,#N/A,FALSE,"Ratio Analysis";#N/A,#N/A,FALSE,"Test 120 Day Accts";#N/A,#N/A,FALSE,"Tickmarks"}</definedName>
    <definedName name="hhhhh_1" hidden="1">{#N/A,#N/A,FALSE,"Aging Summary";#N/A,#N/A,FALSE,"Ratio Analysis";#N/A,#N/A,FALSE,"Test 120 Day Accts";#N/A,#N/A,FALSE,"Tickmarks"}</definedName>
    <definedName name="hhjjkjkj" localSheetId="3" hidden="1">{#N/A,#N/A,FALSE,"Aging Summary";#N/A,#N/A,FALSE,"Ratio Analysis";#N/A,#N/A,FALSE,"Test 120 Day Accts";#N/A,#N/A,FALSE,"Tickmarks"}</definedName>
    <definedName name="hhjjkjkj" localSheetId="2" hidden="1">{#N/A,#N/A,FALSE,"Aging Summary";#N/A,#N/A,FALSE,"Ratio Analysis";#N/A,#N/A,FALSE,"Test 120 Day Accts";#N/A,#N/A,FALSE,"Tickmarks"}</definedName>
    <definedName name="hhjjkjkj" hidden="1">{#N/A,#N/A,FALSE,"Aging Summary";#N/A,#N/A,FALSE,"Ratio Analysis";#N/A,#N/A,FALSE,"Test 120 Day Accts";#N/A,#N/A,FALSE,"Tickmarks"}</definedName>
    <definedName name="hhjjkjkj_1" localSheetId="3" hidden="1">{#N/A,#N/A,FALSE,"Aging Summary";#N/A,#N/A,FALSE,"Ratio Analysis";#N/A,#N/A,FALSE,"Test 120 Day Accts";#N/A,#N/A,FALSE,"Tickmarks"}</definedName>
    <definedName name="hhjjkjkj_1" localSheetId="2" hidden="1">{#N/A,#N/A,FALSE,"Aging Summary";#N/A,#N/A,FALSE,"Ratio Analysis";#N/A,#N/A,FALSE,"Test 120 Day Accts";#N/A,#N/A,FALSE,"Tickmarks"}</definedName>
    <definedName name="hhjjkjkj_1" hidden="1">{#N/A,#N/A,FALSE,"Aging Summary";#N/A,#N/A,FALSE,"Ratio Analysis";#N/A,#N/A,FALSE,"Test 120 Day Accts";#N/A,#N/A,FALSE,"Tickmarks"}</definedName>
    <definedName name="hhyy" localSheetId="3" hidden="1">{#N/A,#N/A,FALSE,"Aging Summary";#N/A,#N/A,FALSE,"Ratio Analysis";#N/A,#N/A,FALSE,"Test 120 Day Accts";#N/A,#N/A,FALSE,"Tickmarks"}</definedName>
    <definedName name="hhyy" localSheetId="2" hidden="1">{#N/A,#N/A,FALSE,"Aging Summary";#N/A,#N/A,FALSE,"Ratio Analysis";#N/A,#N/A,FALSE,"Test 120 Day Accts";#N/A,#N/A,FALSE,"Tickmarks"}</definedName>
    <definedName name="hhyy" hidden="1">{#N/A,#N/A,FALSE,"Aging Summary";#N/A,#N/A,FALSE,"Ratio Analysis";#N/A,#N/A,FALSE,"Test 120 Day Accts";#N/A,#N/A,FALSE,"Tickmarks"}</definedName>
    <definedName name="hhyy_1" localSheetId="3" hidden="1">{#N/A,#N/A,FALSE,"Aging Summary";#N/A,#N/A,FALSE,"Ratio Analysis";#N/A,#N/A,FALSE,"Test 120 Day Accts";#N/A,#N/A,FALSE,"Tickmarks"}</definedName>
    <definedName name="hhyy_1" localSheetId="2" hidden="1">{#N/A,#N/A,FALSE,"Aging Summary";#N/A,#N/A,FALSE,"Ratio Analysis";#N/A,#N/A,FALSE,"Test 120 Day Accts";#N/A,#N/A,FALSE,"Tickmarks"}</definedName>
    <definedName name="hhyy_1" hidden="1">{#N/A,#N/A,FALSE,"Aging Summary";#N/A,#N/A,FALSE,"Ratio Analysis";#N/A,#N/A,FALSE,"Test 120 Day Accts";#N/A,#N/A,FALSE,"Tickmarks"}</definedName>
    <definedName name="Highlights">#REF!</definedName>
    <definedName name="HIOO" localSheetId="3" hidden="1">{#N/A,#N/A,FALSE,"Aging Summary";#N/A,#N/A,FALSE,"Ratio Analysis";#N/A,#N/A,FALSE,"Test 120 Day Accts";#N/A,#N/A,FALSE,"Tickmarks"}</definedName>
    <definedName name="HIOO" localSheetId="2" hidden="1">{#N/A,#N/A,FALSE,"Aging Summary";#N/A,#N/A,FALSE,"Ratio Analysis";#N/A,#N/A,FALSE,"Test 120 Day Accts";#N/A,#N/A,FALSE,"Tickmarks"}</definedName>
    <definedName name="HIOO" hidden="1">{#N/A,#N/A,FALSE,"Aging Summary";#N/A,#N/A,FALSE,"Ratio Analysis";#N/A,#N/A,FALSE,"Test 120 Day Accts";#N/A,#N/A,FALSE,"Tickmarks"}</definedName>
    <definedName name="HIOO_1" localSheetId="3" hidden="1">{#N/A,#N/A,FALSE,"Aging Summary";#N/A,#N/A,FALSE,"Ratio Analysis";#N/A,#N/A,FALSE,"Test 120 Day Accts";#N/A,#N/A,FALSE,"Tickmarks"}</definedName>
    <definedName name="HIOO_1" localSheetId="2" hidden="1">{#N/A,#N/A,FALSE,"Aging Summary";#N/A,#N/A,FALSE,"Ratio Analysis";#N/A,#N/A,FALSE,"Test 120 Day Accts";#N/A,#N/A,FALSE,"Tickmarks"}</definedName>
    <definedName name="HIOO_1" hidden="1">{#N/A,#N/A,FALSE,"Aging Summary";#N/A,#N/A,FALSE,"Ratio Analysis";#N/A,#N/A,FALSE,"Test 120 Day Accts";#N/A,#N/A,FALSE,"Tickmarks"}</definedName>
    <definedName name="histor">[19]Matriz!$L$1,[19]Matriz!$L$1:$L$65536</definedName>
    <definedName name="Historico">#REF!,#REF!</definedName>
    <definedName name="hj" localSheetId="3" hidden="1">{#N/A,#N/A,FALSE,"Aging Summary";#N/A,#N/A,FALSE,"Ratio Analysis";#N/A,#N/A,FALSE,"Test 120 Day Accts";#N/A,#N/A,FALSE,"Tickmarks"}</definedName>
    <definedName name="hj" localSheetId="2" hidden="1">{#N/A,#N/A,FALSE,"Aging Summary";#N/A,#N/A,FALSE,"Ratio Analysis";#N/A,#N/A,FALSE,"Test 120 Day Accts";#N/A,#N/A,FALSE,"Tickmarks"}</definedName>
    <definedName name="hj" hidden="1">{#N/A,#N/A,FALSE,"Aging Summary";#N/A,#N/A,FALSE,"Ratio Analysis";#N/A,#N/A,FALSE,"Test 120 Day Accts";#N/A,#N/A,FALSE,"Tickmarks"}</definedName>
    <definedName name="hjhj">[3]L100100!#REF!</definedName>
    <definedName name="HJHJJJJ" localSheetId="3" hidden="1">{#N/A,#N/A,FALSE,"Holding";#N/A,#N/A,FALSE,"Acomp";#N/A,#N/A,FALSE,"Dre_ger";#N/A,#N/A,FALSE,"Atividade";#N/A,#N/A,FALSE,"Balancete"}</definedName>
    <definedName name="HJHJJJJ" localSheetId="2" hidden="1">{#N/A,#N/A,FALSE,"Holding";#N/A,#N/A,FALSE,"Acomp";#N/A,#N/A,FALSE,"Dre_ger";#N/A,#N/A,FALSE,"Atividade";#N/A,#N/A,FALSE,"Balancete"}</definedName>
    <definedName name="HJHJJJJ" hidden="1">{#N/A,#N/A,FALSE,"Holding";#N/A,#N/A,FALSE,"Acomp";#N/A,#N/A,FALSE,"Dre_ger";#N/A,#N/A,FALSE,"Atividade";#N/A,#N/A,FALSE,"Balancete"}</definedName>
    <definedName name="HKKKKK" localSheetId="3" hidden="1">{#N/A,#N/A,FALSE,"Aging Summary";#N/A,#N/A,FALSE,"Ratio Analysis";#N/A,#N/A,FALSE,"Test 120 Day Accts";#N/A,#N/A,FALSE,"Tickmarks"}</definedName>
    <definedName name="HKKKKK" localSheetId="2" hidden="1">{#N/A,#N/A,FALSE,"Aging Summary";#N/A,#N/A,FALSE,"Ratio Analysis";#N/A,#N/A,FALSE,"Test 120 Day Accts";#N/A,#N/A,FALSE,"Tickmarks"}</definedName>
    <definedName name="HKKKKK" hidden="1">{#N/A,#N/A,FALSE,"Aging Summary";#N/A,#N/A,FALSE,"Ratio Analysis";#N/A,#N/A,FALSE,"Test 120 Day Accts";#N/A,#N/A,FALSE,"Tickmarks"}</definedName>
    <definedName name="HKKKKK_1" localSheetId="3" hidden="1">{#N/A,#N/A,FALSE,"Aging Summary";#N/A,#N/A,FALSE,"Ratio Analysis";#N/A,#N/A,FALSE,"Test 120 Day Accts";#N/A,#N/A,FALSE,"Tickmarks"}</definedName>
    <definedName name="HKKKKK_1" localSheetId="2" hidden="1">{#N/A,#N/A,FALSE,"Aging Summary";#N/A,#N/A,FALSE,"Ratio Analysis";#N/A,#N/A,FALSE,"Test 120 Day Accts";#N/A,#N/A,FALSE,"Tickmarks"}</definedName>
    <definedName name="HKKKKK_1" hidden="1">{#N/A,#N/A,FALSE,"Aging Summary";#N/A,#N/A,FALSE,"Ratio Analysis";#N/A,#N/A,FALSE,"Test 120 Day Accts";#N/A,#N/A,FALSE,"Tickmarks"}</definedName>
    <definedName name="HOIJULOJ" localSheetId="3" hidden="1">{#N/A,#N/A,FALSE,"Aging Summary";#N/A,#N/A,FALSE,"Ratio Analysis";#N/A,#N/A,FALSE,"Test 120 Day Accts";#N/A,#N/A,FALSE,"Tickmarks"}</definedName>
    <definedName name="HOIJULOJ" localSheetId="2" hidden="1">{#N/A,#N/A,FALSE,"Aging Summary";#N/A,#N/A,FALSE,"Ratio Analysis";#N/A,#N/A,FALSE,"Test 120 Day Accts";#N/A,#N/A,FALSE,"Tickmarks"}</definedName>
    <definedName name="HOIJULOJ" hidden="1">{#N/A,#N/A,FALSE,"Aging Summary";#N/A,#N/A,FALSE,"Ratio Analysis";#N/A,#N/A,FALSE,"Test 120 Day Accts";#N/A,#N/A,FALSE,"Tickmarks"}</definedName>
    <definedName name="HOIJULOJ_1" localSheetId="3" hidden="1">{#N/A,#N/A,FALSE,"Aging Summary";#N/A,#N/A,FALSE,"Ratio Analysis";#N/A,#N/A,FALSE,"Test 120 Day Accts";#N/A,#N/A,FALSE,"Tickmarks"}</definedName>
    <definedName name="HOIJULOJ_1" localSheetId="2" hidden="1">{#N/A,#N/A,FALSE,"Aging Summary";#N/A,#N/A,FALSE,"Ratio Analysis";#N/A,#N/A,FALSE,"Test 120 Day Accts";#N/A,#N/A,FALSE,"Tickmarks"}</definedName>
    <definedName name="HOIJULOJ_1" hidden="1">{#N/A,#N/A,FALSE,"Aging Summary";#N/A,#N/A,FALSE,"Ratio Analysis";#N/A,#N/A,FALSE,"Test 120 Day Accts";#N/A,#N/A,FALSE,"Tickmarks"}</definedName>
    <definedName name="HowToUnprotect">[20]!HowToUnprotect</definedName>
    <definedName name="HTML_CodePage" hidden="1">1252</definedName>
    <definedName name="HTML_Control" localSheetId="3" hidden="1">{"'ICE  Agosto'!$A$60:$A$64","'ICE  Agosto'!$C$67"}</definedName>
    <definedName name="HTML_Control" localSheetId="2" hidden="1">{"'ICE  Agosto'!$A$60:$A$64","'ICE  Agosto'!$C$67"}</definedName>
    <definedName name="HTML_Control" hidden="1">{"'ICE  Agosto'!$A$60:$A$64","'ICE  Agosto'!$C$67"}</definedName>
    <definedName name="HTML_Description" hidden="1">""</definedName>
    <definedName name="HTML_Email" hidden="1">""</definedName>
    <definedName name="HTML_Header" hidden="1">"ICE  Agosto"</definedName>
    <definedName name="HTML_LastUpdate" hidden="1">"13-10-02"</definedName>
    <definedName name="HTML_LineAfter" hidden="1">FALSE</definedName>
    <definedName name="HTML_LineBefore" hidden="1">FALSE</definedName>
    <definedName name="HTML_Name" hidden="1">"Robinson Paz Grez"</definedName>
    <definedName name="HTML_OBDlg2" hidden="1">TRUE</definedName>
    <definedName name="HTML_OBDlg4" hidden="1">TRUE</definedName>
    <definedName name="HTML_OS" hidden="1">0</definedName>
    <definedName name="HTML_PathFile" hidden="1">"C:\MIS PROGRAMAS\Mis documentos\HTML.htm"</definedName>
    <definedName name="HTML_Title" hidden="1">"IVA Agosto 2002"</definedName>
    <definedName name="HTML1_1" hidden="1">"'[ES_97_03.xls]Comparativo R-P Abr-96'!$A$1:$J$32"</definedName>
    <definedName name="HTML1_10" hidden="1">""</definedName>
    <definedName name="HTML1_11" hidden="1">1</definedName>
    <definedName name="HTML1_12" hidden="1">"C:\Mis documentos\Archivos Excel\Estadisticas Mensuales\EST_MENS\MyHTML.htm"</definedName>
    <definedName name="HTML1_2" hidden="1">1</definedName>
    <definedName name="HTML1_3" hidden="1">"Estadìstica Mensual"</definedName>
    <definedName name="HTML1_4" hidden="1">"Comparativo Real Vs Presupuesto"</definedName>
    <definedName name="HTML1_5" hidden="1">""</definedName>
    <definedName name="HTML1_6" hidden="1">-4146</definedName>
    <definedName name="HTML1_7" hidden="1">1</definedName>
    <definedName name="HTML1_8" hidden="1">"10/04/1997"</definedName>
    <definedName name="HTML1_9" hidden="1">"Gerencia de Planeamiento"</definedName>
    <definedName name="HTMLCount" hidden="1">1</definedName>
    <definedName name="HUJ" hidden="1">#N/A</definedName>
    <definedName name="hvhjjj" localSheetId="3" hidden="1">{#N/A,#N/A,FALSE,"Aging Summary";#N/A,#N/A,FALSE,"Ratio Analysis";#N/A,#N/A,FALSE,"Test 120 Day Accts";#N/A,#N/A,FALSE,"Tickmarks"}</definedName>
    <definedName name="hvhjjj" localSheetId="2" hidden="1">{#N/A,#N/A,FALSE,"Aging Summary";#N/A,#N/A,FALSE,"Ratio Analysis";#N/A,#N/A,FALSE,"Test 120 Day Accts";#N/A,#N/A,FALSE,"Tickmarks"}</definedName>
    <definedName name="hvhjjj" hidden="1">{#N/A,#N/A,FALSE,"Aging Summary";#N/A,#N/A,FALSE,"Ratio Analysis";#N/A,#N/A,FALSE,"Test 120 Day Accts";#N/A,#N/A,FALSE,"Tickmarks"}</definedName>
    <definedName name="hvhjjj_1" localSheetId="3" hidden="1">{#N/A,#N/A,FALSE,"Aging Summary";#N/A,#N/A,FALSE,"Ratio Analysis";#N/A,#N/A,FALSE,"Test 120 Day Accts";#N/A,#N/A,FALSE,"Tickmarks"}</definedName>
    <definedName name="hvhjjj_1" localSheetId="2" hidden="1">{#N/A,#N/A,FALSE,"Aging Summary";#N/A,#N/A,FALSE,"Ratio Analysis";#N/A,#N/A,FALSE,"Test 120 Day Accts";#N/A,#N/A,FALSE,"Tickmarks"}</definedName>
    <definedName name="hvhjjj_1" hidden="1">{#N/A,#N/A,FALSE,"Aging Summary";#N/A,#N/A,FALSE,"Ratio Analysis";#N/A,#N/A,FALSE,"Test 120 Day Accts";#N/A,#N/A,FALSE,"Tickmarks"}</definedName>
    <definedName name="hyyy" hidden="1">#N/A</definedName>
    <definedName name="I">#REF!</definedName>
    <definedName name="i_1" localSheetId="3" hidden="1">{#N/A,#N/A,FALSE,"Aging Summary";#N/A,#N/A,FALSE,"Ratio Analysis";#N/A,#N/A,FALSE,"Test 120 Day Accts";#N/A,#N/A,FALSE,"Tickmarks"}</definedName>
    <definedName name="i_1" localSheetId="2" hidden="1">{#N/A,#N/A,FALSE,"Aging Summary";#N/A,#N/A,FALSE,"Ratio Analysis";#N/A,#N/A,FALSE,"Test 120 Day Accts";#N/A,#N/A,FALSE,"Tickmarks"}</definedName>
    <definedName name="i_1" hidden="1">{#N/A,#N/A,FALSE,"Aging Summary";#N/A,#N/A,FALSE,"Ratio Analysis";#N/A,#N/A,FALSE,"Test 120 Day Accts";#N/A,#N/A,FALSE,"Tickmarks"}</definedName>
    <definedName name="iaUSOIAS" localSheetId="3" hidden="1">{#N/A,#N/A,FALSE,"Aging Summary";#N/A,#N/A,FALSE,"Ratio Analysis";#N/A,#N/A,FALSE,"Test 120 Day Accts";#N/A,#N/A,FALSE,"Tickmarks"}</definedName>
    <definedName name="iaUSOIAS" localSheetId="2" hidden="1">{#N/A,#N/A,FALSE,"Aging Summary";#N/A,#N/A,FALSE,"Ratio Analysis";#N/A,#N/A,FALSE,"Test 120 Day Accts";#N/A,#N/A,FALSE,"Tickmarks"}</definedName>
    <definedName name="iaUSOIAS" hidden="1">{#N/A,#N/A,FALSE,"Aging Summary";#N/A,#N/A,FALSE,"Ratio Analysis";#N/A,#N/A,FALSE,"Test 120 Day Accts";#N/A,#N/A,FALSE,"Tickmarks"}</definedName>
    <definedName name="iaUSOIAS_1" localSheetId="3" hidden="1">{#N/A,#N/A,FALSE,"Aging Summary";#N/A,#N/A,FALSE,"Ratio Analysis";#N/A,#N/A,FALSE,"Test 120 Day Accts";#N/A,#N/A,FALSE,"Tickmarks"}</definedName>
    <definedName name="iaUSOIAS_1" localSheetId="2" hidden="1">{#N/A,#N/A,FALSE,"Aging Summary";#N/A,#N/A,FALSE,"Ratio Analysis";#N/A,#N/A,FALSE,"Test 120 Day Accts";#N/A,#N/A,FALSE,"Tickmarks"}</definedName>
    <definedName name="iaUSOIAS_1" hidden="1">{#N/A,#N/A,FALSE,"Aging Summary";#N/A,#N/A,FALSE,"Ratio Analysis";#N/A,#N/A,FALSE,"Test 120 Day Accts";#N/A,#N/A,FALSE,"Tickmarks"}</definedName>
    <definedName name="IB" localSheetId="3" hidden="1">{#N/A,#N/A,FALSE,"Aging Summary";#N/A,#N/A,FALSE,"Ratio Analysis";#N/A,#N/A,FALSE,"Test 120 Day Accts";#N/A,#N/A,FALSE,"Tickmarks"}</definedName>
    <definedName name="IB" localSheetId="2" hidden="1">{#N/A,#N/A,FALSE,"Aging Summary";#N/A,#N/A,FALSE,"Ratio Analysis";#N/A,#N/A,FALSE,"Test 120 Day Accts";#N/A,#N/A,FALSE,"Tickmarks"}</definedName>
    <definedName name="IB" hidden="1">{#N/A,#N/A,FALSE,"Aging Summary";#N/A,#N/A,FALSE,"Ratio Analysis";#N/A,#N/A,FALSE,"Test 120 Day Accts";#N/A,#N/A,FALSE,"Tickmarks"}</definedName>
    <definedName name="icms">'[12]Capital Call'!$D$73:$O$73</definedName>
    <definedName name="icmsrj">'[12]Capital Call'!$M$71</definedName>
    <definedName name="icmssp">'[12]Capital Call'!$K$71</definedName>
    <definedName name="ii" localSheetId="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ii" localSheetId="3" hidden="1">{#N/A,#N/A,FALSE,"Aging Summary";#N/A,#N/A,FALSE,"Ratio Analysis";#N/A,#N/A,FALSE,"Test 120 Day Accts";#N/A,#N/A,FALSE,"Tickmarks"}</definedName>
    <definedName name="iiii" localSheetId="2" hidden="1">{#N/A,#N/A,FALSE,"Aging Summary";#N/A,#N/A,FALSE,"Ratio Analysis";#N/A,#N/A,FALSE,"Test 120 Day Accts";#N/A,#N/A,FALSE,"Tickmarks"}</definedName>
    <definedName name="iiii" hidden="1">{#N/A,#N/A,FALSE,"Aging Summary";#N/A,#N/A,FALSE,"Ratio Analysis";#N/A,#N/A,FALSE,"Test 120 Day Accts";#N/A,#N/A,FALSE,"Tickmarks"}</definedName>
    <definedName name="iiii_1" localSheetId="3" hidden="1">{#N/A,#N/A,FALSE,"Aging Summary";#N/A,#N/A,FALSE,"Ratio Analysis";#N/A,#N/A,FALSE,"Test 120 Day Accts";#N/A,#N/A,FALSE,"Tickmarks"}</definedName>
    <definedName name="iiii_1" localSheetId="2" hidden="1">{#N/A,#N/A,FALSE,"Aging Summary";#N/A,#N/A,FALSE,"Ratio Analysis";#N/A,#N/A,FALSE,"Test 120 Day Accts";#N/A,#N/A,FALSE,"Tickmarks"}</definedName>
    <definedName name="iiii_1" hidden="1">{#N/A,#N/A,FALSE,"Aging Summary";#N/A,#N/A,FALSE,"Ratio Analysis";#N/A,#N/A,FALSE,"Test 120 Day Accts";#N/A,#N/A,FALSE,"Tickmarks"}</definedName>
    <definedName name="IIIII" localSheetId="3" hidden="1">{#N/A,#N/A,FALSE,"Aging Summary";#N/A,#N/A,FALSE,"Ratio Analysis";#N/A,#N/A,FALSE,"Test 120 Day Accts";#N/A,#N/A,FALSE,"Tickmarks"}</definedName>
    <definedName name="IIIII" localSheetId="2" hidden="1">{#N/A,#N/A,FALSE,"Aging Summary";#N/A,#N/A,FALSE,"Ratio Analysis";#N/A,#N/A,FALSE,"Test 120 Day Accts";#N/A,#N/A,FALSE,"Tickmarks"}</definedName>
    <definedName name="IIIII" hidden="1">{#N/A,#N/A,FALSE,"Aging Summary";#N/A,#N/A,FALSE,"Ratio Analysis";#N/A,#N/A,FALSE,"Test 120 Day Accts";#N/A,#N/A,FALSE,"Tickmarks"}</definedName>
    <definedName name="IIIII_1" localSheetId="3" hidden="1">{#N/A,#N/A,FALSE,"Aging Summary";#N/A,#N/A,FALSE,"Ratio Analysis";#N/A,#N/A,FALSE,"Test 120 Day Accts";#N/A,#N/A,FALSE,"Tickmarks"}</definedName>
    <definedName name="IIIII_1" localSheetId="2" hidden="1">{#N/A,#N/A,FALSE,"Aging Summary";#N/A,#N/A,FALSE,"Ratio Analysis";#N/A,#N/A,FALSE,"Test 120 Day Accts";#N/A,#N/A,FALSE,"Tickmarks"}</definedName>
    <definedName name="IIIII_1" hidden="1">{#N/A,#N/A,FALSE,"Aging Summary";#N/A,#N/A,FALSE,"Ratio Analysis";#N/A,#N/A,FALSE,"Test 120 Day Accts";#N/A,#N/A,FALSE,"Tickmarks"}</definedName>
    <definedName name="iiiiii" localSheetId="3" hidden="1">{"RESULTADOS REAIS",#N/A,FALSE,"Dem.Res.R$";"RESULTADOS DOLARES",#N/A,FALSE,"Dem.Res.US$";"PERCENTUAIS REAIS",#N/A,FALSE,"Percentuais R$";"PERCENTUAIS DOLARES",#N/A,FALSE,"Percentuais US$"}</definedName>
    <definedName name="iiiiii" localSheetId="2" hidden="1">{"RESULTADOS REAIS",#N/A,FALSE,"Dem.Res.R$";"RESULTADOS DOLARES",#N/A,FALSE,"Dem.Res.US$";"PERCENTUAIS REAIS",#N/A,FALSE,"Percentuais R$";"PERCENTUAIS DOLARES",#N/A,FALSE,"Percentuais US$"}</definedName>
    <definedName name="iiiiii" hidden="1">{"RESULTADOS REAIS",#N/A,FALSE,"Dem.Res.R$";"RESULTADOS DOLARES",#N/A,FALSE,"Dem.Res.US$";"PERCENTUAIS REAIS",#N/A,FALSE,"Percentuais R$";"PERCENTUAIS DOLARES",#N/A,FALSE,"Percentuais US$"}</definedName>
    <definedName name="iiiiii_1" localSheetId="3" hidden="1">{"RESULTADOS REAIS",#N/A,FALSE,"Dem.Res.R$";"RESULTADOS DOLARES",#N/A,FALSE,"Dem.Res.US$";"PERCENTUAIS REAIS",#N/A,FALSE,"Percentuais R$";"PERCENTUAIS DOLARES",#N/A,FALSE,"Percentuais US$"}</definedName>
    <definedName name="iiiiii_1" localSheetId="2" hidden="1">{"RESULTADOS REAIS",#N/A,FALSE,"Dem.Res.R$";"RESULTADOS DOLARES",#N/A,FALSE,"Dem.Res.US$";"PERCENTUAIS REAIS",#N/A,FALSE,"Percentuais R$";"PERCENTUAIS DOLARES",#N/A,FALSE,"Percentuais US$"}</definedName>
    <definedName name="iiiiii_1" hidden="1">{"RESULTADOS REAIS",#N/A,FALSE,"Dem.Res.R$";"RESULTADOS DOLARES",#N/A,FALSE,"Dem.Res.US$";"PERCENTUAIS REAIS",#N/A,FALSE,"Percentuais R$";"PERCENTUAIS DOLARES",#N/A,FALSE,"Percentuais US$"}</definedName>
    <definedName name="IIOJUAOI" localSheetId="3" hidden="1">{#N/A,#N/A,FALSE,"Aging Summary";#N/A,#N/A,FALSE,"Ratio Analysis";#N/A,#N/A,FALSE,"Test 120 Day Accts";#N/A,#N/A,FALSE,"Tickmarks"}</definedName>
    <definedName name="IIOJUAOI" localSheetId="2" hidden="1">{#N/A,#N/A,FALSE,"Aging Summary";#N/A,#N/A,FALSE,"Ratio Analysis";#N/A,#N/A,FALSE,"Test 120 Day Accts";#N/A,#N/A,FALSE,"Tickmarks"}</definedName>
    <definedName name="IIOJUAOI" hidden="1">{#N/A,#N/A,FALSE,"Aging Summary";#N/A,#N/A,FALSE,"Ratio Analysis";#N/A,#N/A,FALSE,"Test 120 Day Accts";#N/A,#N/A,FALSE,"Tickmarks"}</definedName>
    <definedName name="IIOJUAOI_1" localSheetId="3" hidden="1">{#N/A,#N/A,FALSE,"Aging Summary";#N/A,#N/A,FALSE,"Ratio Analysis";#N/A,#N/A,FALSE,"Test 120 Day Accts";#N/A,#N/A,FALSE,"Tickmarks"}</definedName>
    <definedName name="IIOJUAOI_1" localSheetId="2" hidden="1">{#N/A,#N/A,FALSE,"Aging Summary";#N/A,#N/A,FALSE,"Ratio Analysis";#N/A,#N/A,FALSE,"Test 120 Day Accts";#N/A,#N/A,FALSE,"Tickmarks"}</definedName>
    <definedName name="IIOJUAOI_1" hidden="1">{#N/A,#N/A,FALSE,"Aging Summary";#N/A,#N/A,FALSE,"Ratio Analysis";#N/A,#N/A,FALSE,"Test 120 Day Accts";#N/A,#N/A,FALSE,"Tickmarks"}</definedName>
    <definedName name="IJUOIJLO" localSheetId="3" hidden="1">{#N/A,#N/A,FALSE,"Aging Summary";#N/A,#N/A,FALSE,"Ratio Analysis";#N/A,#N/A,FALSE,"Test 120 Day Accts";#N/A,#N/A,FALSE,"Tickmarks"}</definedName>
    <definedName name="IJUOIJLO" localSheetId="2" hidden="1">{#N/A,#N/A,FALSE,"Aging Summary";#N/A,#N/A,FALSE,"Ratio Analysis";#N/A,#N/A,FALSE,"Test 120 Day Accts";#N/A,#N/A,FALSE,"Tickmarks"}</definedName>
    <definedName name="IJUOIJLO" hidden="1">{#N/A,#N/A,FALSE,"Aging Summary";#N/A,#N/A,FALSE,"Ratio Analysis";#N/A,#N/A,FALSE,"Test 120 Day Accts";#N/A,#N/A,FALSE,"Tickmarks"}</definedName>
    <definedName name="IJUOIJLO_1" localSheetId="3" hidden="1">{#N/A,#N/A,FALSE,"Aging Summary";#N/A,#N/A,FALSE,"Ratio Analysis";#N/A,#N/A,FALSE,"Test 120 Day Accts";#N/A,#N/A,FALSE,"Tickmarks"}</definedName>
    <definedName name="IJUOIJLO_1" localSheetId="2" hidden="1">{#N/A,#N/A,FALSE,"Aging Summary";#N/A,#N/A,FALSE,"Ratio Analysis";#N/A,#N/A,FALSE,"Test 120 Day Accts";#N/A,#N/A,FALSE,"Tickmarks"}</definedName>
    <definedName name="IJUOIJLO_1" hidden="1">{#N/A,#N/A,FALSE,"Aging Summary";#N/A,#N/A,FALSE,"Ratio Analysis";#N/A,#N/A,FALSE,"Test 120 Day Accts";#N/A,#N/A,FALSE,"Tickmarks"}</definedName>
    <definedName name="ikol" localSheetId="3" hidden="1">{#N/A,#N/A,FALSE,"Aging Summary";#N/A,#N/A,FALSE,"Ratio Analysis";#N/A,#N/A,FALSE,"Test 120 Day Accts";#N/A,#N/A,FALSE,"Tickmarks"}</definedName>
    <definedName name="ikol" localSheetId="2" hidden="1">{#N/A,#N/A,FALSE,"Aging Summary";#N/A,#N/A,FALSE,"Ratio Analysis";#N/A,#N/A,FALSE,"Test 120 Day Accts";#N/A,#N/A,FALSE,"Tickmarks"}</definedName>
    <definedName name="ikol" hidden="1">{#N/A,#N/A,FALSE,"Aging Summary";#N/A,#N/A,FALSE,"Ratio Analysis";#N/A,#N/A,FALSE,"Test 120 Day Accts";#N/A,#N/A,FALSE,"Tickmarks"}</definedName>
    <definedName name="ikol_1" localSheetId="3" hidden="1">{#N/A,#N/A,FALSE,"Aging Summary";#N/A,#N/A,FALSE,"Ratio Analysis";#N/A,#N/A,FALSE,"Test 120 Day Accts";#N/A,#N/A,FALSE,"Tickmarks"}</definedName>
    <definedName name="ikol_1" localSheetId="2" hidden="1">{#N/A,#N/A,FALSE,"Aging Summary";#N/A,#N/A,FALSE,"Ratio Analysis";#N/A,#N/A,FALSE,"Test 120 Day Accts";#N/A,#N/A,FALSE,"Tickmarks"}</definedName>
    <definedName name="ikol_1" hidden="1">{#N/A,#N/A,FALSE,"Aging Summary";#N/A,#N/A,FALSE,"Ratio Analysis";#N/A,#N/A,FALSE,"Test 120 Day Accts";#N/A,#N/A,FALSE,"Tickmarks"}</definedName>
    <definedName name="ILOJLKJL" localSheetId="3" hidden="1">{#N/A,#N/A,FALSE,"Aging Summary";#N/A,#N/A,FALSE,"Ratio Analysis";#N/A,#N/A,FALSE,"Test 120 Day Accts";#N/A,#N/A,FALSE,"Tickmarks"}</definedName>
    <definedName name="ILOJLKJL" localSheetId="2" hidden="1">{#N/A,#N/A,FALSE,"Aging Summary";#N/A,#N/A,FALSE,"Ratio Analysis";#N/A,#N/A,FALSE,"Test 120 Day Accts";#N/A,#N/A,FALSE,"Tickmarks"}</definedName>
    <definedName name="ILOJLKJL" hidden="1">{#N/A,#N/A,FALSE,"Aging Summary";#N/A,#N/A,FALSE,"Ratio Analysis";#N/A,#N/A,FALSE,"Test 120 Day Accts";#N/A,#N/A,FALSE,"Tickmarks"}</definedName>
    <definedName name="ILOJLKJL_1" localSheetId="3" hidden="1">{#N/A,#N/A,FALSE,"Aging Summary";#N/A,#N/A,FALSE,"Ratio Analysis";#N/A,#N/A,FALSE,"Test 120 Day Accts";#N/A,#N/A,FALSE,"Tickmarks"}</definedName>
    <definedName name="ILOJLKJL_1" localSheetId="2" hidden="1">{#N/A,#N/A,FALSE,"Aging Summary";#N/A,#N/A,FALSE,"Ratio Analysis";#N/A,#N/A,FALSE,"Test 120 Day Accts";#N/A,#N/A,FALSE,"Tickmarks"}</definedName>
    <definedName name="ILOJLKJL_1" hidden="1">{#N/A,#N/A,FALSE,"Aging Summary";#N/A,#N/A,FALSE,"Ratio Analysis";#N/A,#N/A,FALSE,"Test 120 Day Accts";#N/A,#N/A,FALSE,"Tickmarks"}</definedName>
    <definedName name="IMPABR1">[4]ABR!$G$599</definedName>
    <definedName name="IMPABR2">[4]ABR!$G$613</definedName>
    <definedName name="IMPABR3">[4]ABR!$G$638</definedName>
    <definedName name="IMPAGO1">[4]AGO!$G$720</definedName>
    <definedName name="IMPAGO2">[4]AGO!$G$736</definedName>
    <definedName name="IMPAGO3">[4]AGO!$G$792</definedName>
    <definedName name="IMPDEZ1">[4]DEZ!$G$6</definedName>
    <definedName name="IMPDEZ2">[4]DEZ!$G$13</definedName>
    <definedName name="IMPDEZ3">[4]DEZ!$G$20</definedName>
    <definedName name="IMPFEV1">[4]FEV!$G$448</definedName>
    <definedName name="IMPFEV2">[4]FEV!$G$461</definedName>
    <definedName name="IMPFEV3">[4]FEV!$G$477</definedName>
    <definedName name="IMPJAN1">[4]JAN!$G$435</definedName>
    <definedName name="IMPJAN2">[4]JAN!$G$450</definedName>
    <definedName name="IMPJAN3">[4]JAN!$G$467</definedName>
    <definedName name="IMPJUL1">[4]JUL!$G$523</definedName>
    <definedName name="IMPJUL2">[4]JUL!$G$538</definedName>
    <definedName name="IMPJUL3">[4]JUL!$G$566</definedName>
    <definedName name="IMPJUN1">[4]JUN!$G$533</definedName>
    <definedName name="IMPJUN2">[4]JUN!$G$549</definedName>
    <definedName name="IMPJUN3">[4]JUN!$G$582</definedName>
    <definedName name="IMPMAI1">[4]MAI!$G$496</definedName>
    <definedName name="IMPMAI2">[4]MAI!$G$510</definedName>
    <definedName name="IMPMAI3">[4]MAI!$G$524</definedName>
    <definedName name="IMPMAR1">[4]MAR!$G$673</definedName>
    <definedName name="IMPMAR2">[4]MAR!$G$681</definedName>
    <definedName name="IMPMAR3">[4]MAR!$G$699</definedName>
    <definedName name="IMPNOV1">[4]NOV!$G$6</definedName>
    <definedName name="IMPNOV2">[4]NOV!$G$13</definedName>
    <definedName name="IMPNOV3">[4]NOV!$G$20</definedName>
    <definedName name="IMPORTDFF1">[10]CRITERIA1!$B$36</definedName>
    <definedName name="IMPOUT1">[4]OUT!$G$6</definedName>
    <definedName name="IMPOUT2">[4]OUT!$G$13</definedName>
    <definedName name="IMPOUT3">[4]OUT!$G$20</definedName>
    <definedName name="IMPR1">[4]VOUCHER!$H$2:$T$36</definedName>
    <definedName name="IMPR10">[4]VOUCHER!$H$326:$T$360</definedName>
    <definedName name="IMPR11">[4]VOUCHER!$H$362:$T$396</definedName>
    <definedName name="IMPR12">[4]VOUCHER!$H$398:$T$432</definedName>
    <definedName name="IMPR13">[4]VOUCHER!$H$434:$T$468</definedName>
    <definedName name="IMPR14">[4]VOUCHER!$H$470:$T$504</definedName>
    <definedName name="IMPR15">[4]VOUCHER!$H$506:$T$540</definedName>
    <definedName name="IMPR16">[4]VOUCHER!$H$542:$T$576</definedName>
    <definedName name="IMPR17">[4]VOUCHER!$H$578:$T$612</definedName>
    <definedName name="IMPR18">[4]VOUCHER!$H$614:$T$648</definedName>
    <definedName name="IMPR2">[4]VOUCHER!$H$38:$T$72</definedName>
    <definedName name="IMPR3">[4]VOUCHER!$H$74:$T$108</definedName>
    <definedName name="IMPR4">[4]VOUCHER!$H$110:$T$144</definedName>
    <definedName name="IMPR5">[4]VOUCHER!$H$146:$T$180</definedName>
    <definedName name="IMPR6">[4]VOUCHER!$H$182:$T$216</definedName>
    <definedName name="IMPR7">[4]VOUCHER!$H$218:$T$252</definedName>
    <definedName name="IMPR8">[4]VOUCHER!$H$254:$T$288</definedName>
    <definedName name="IMPR9">[4]VOUCHER!$H$290:$T$324</definedName>
    <definedName name="IMPSET1">[4]SET!$G$801</definedName>
    <definedName name="IMPSET2">[4]SET!$G$812</definedName>
    <definedName name="IMPSET3">[4]SET!$G$850</definedName>
    <definedName name="INALF">[4]APOIO!$F$38</definedName>
    <definedName name="INCC">[4]APOIO!$M$38</definedName>
    <definedName name="Incidents" localSheetId="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localSheetId="2"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OM">[4]APOIO!$E$38</definedName>
    <definedName name="IncSum">#REF!</definedName>
    <definedName name="INDES">[4]APOIO!$H$38</definedName>
    <definedName name="INFOB">[4]APOIO!$I$38</definedName>
    <definedName name="INFOR">[4]APOIO!$J$38</definedName>
    <definedName name="INFRE">[4]APOIO!$C$38</definedName>
    <definedName name="ING" localSheetId="3" hidden="1">{#N/A,#N/A,FALSE,"Aging Summary";#N/A,#N/A,FALSE,"Ratio Analysis";#N/A,#N/A,FALSE,"Test 120 Day Accts";#N/A,#N/A,FALSE,"Tickmarks"}</definedName>
    <definedName name="ING" localSheetId="2" hidden="1">{#N/A,#N/A,FALSE,"Aging Summary";#N/A,#N/A,FALSE,"Ratio Analysis";#N/A,#N/A,FALSE,"Test 120 Day Accts";#N/A,#N/A,FALSE,"Tickmarks"}</definedName>
    <definedName name="ING" hidden="1">{#N/A,#N/A,FALSE,"Aging Summary";#N/A,#N/A,FALSE,"Ratio Analysis";#N/A,#N/A,FALSE,"Test 120 Day Accts";#N/A,#N/A,FALSE,"Tickmarks"}</definedName>
    <definedName name="INICDP">[4]APOIO!$L$38</definedName>
    <definedName name="INICMS1">[4]APOIO!$O$38</definedName>
    <definedName name="INIMP">[4]APOIO!$G$38</definedName>
    <definedName name="INIPI">[4]APOIO!$N$38</definedName>
    <definedName name="INPRO">[4]APOIO!$A$38</definedName>
    <definedName name="INR" localSheetId="3" hidden="1">{#N/A,#N/A,FALSE,"Aging Summary";#N/A,#N/A,FALSE,"Ratio Analysis";#N/A,#N/A,FALSE,"Test 120 Day Accts";#N/A,#N/A,FALSE,"Tickmarks"}</definedName>
    <definedName name="INR" localSheetId="2" hidden="1">{#N/A,#N/A,FALSE,"Aging Summary";#N/A,#N/A,FALSE,"Ratio Analysis";#N/A,#N/A,FALSE,"Test 120 Day Accts";#N/A,#N/A,FALSE,"Tickmarks"}</definedName>
    <definedName name="INR" hidden="1">{#N/A,#N/A,FALSE,"Aging Summary";#N/A,#N/A,FALSE,"Ratio Analysis";#N/A,#N/A,FALSE,"Test 120 Day Accts";#N/A,#N/A,FALSE,"Tickmarks"}</definedName>
    <definedName name="INSEG">[4]APOIO!$D$38</definedName>
    <definedName name="INTIP">[4]APOIO!$K$38</definedName>
    <definedName name="Inv" localSheetId="3" hidden="1">{#N/A,#N/A,FALSE,"Aging Summary";#N/A,#N/A,FALSE,"Ratio Analysis";#N/A,#N/A,FALSE,"Test 120 Day Accts";#N/A,#N/A,FALSE,"Tickmarks"}</definedName>
    <definedName name="Inv" localSheetId="2" hidden="1">{#N/A,#N/A,FALSE,"Aging Summary";#N/A,#N/A,FALSE,"Ratio Analysis";#N/A,#N/A,FALSE,"Test 120 Day Accts";#N/A,#N/A,FALSE,"Tickmarks"}</definedName>
    <definedName name="Inv" hidden="1">{#N/A,#N/A,FALSE,"Aging Summary";#N/A,#N/A,FALSE,"Ratio Analysis";#N/A,#N/A,FALSE,"Test 120 Day Accts";#N/A,#N/A,FALSE,"Tickmarks"}</definedName>
    <definedName name="Inv_1" localSheetId="3" hidden="1">{#N/A,#N/A,FALSE,"Aging Summary";#N/A,#N/A,FALSE,"Ratio Analysis";#N/A,#N/A,FALSE,"Test 120 Day Accts";#N/A,#N/A,FALSE,"Tickmarks"}</definedName>
    <definedName name="Inv_1" localSheetId="2" hidden="1">{#N/A,#N/A,FALSE,"Aging Summary";#N/A,#N/A,FALSE,"Ratio Analysis";#N/A,#N/A,FALSE,"Test 120 Day Accts";#N/A,#N/A,FALSE,"Tickmarks"}</definedName>
    <definedName name="Inv_1" hidden="1">{#N/A,#N/A,FALSE,"Aging Summary";#N/A,#N/A,FALSE,"Ratio Analysis";#N/A,#N/A,FALSE,"Test 120 Day Accts";#N/A,#N/A,FALSE,"Tickmarks"}</definedName>
    <definedName name="ipi">'[12]Capital Call'!$I$71</definedName>
    <definedName name="ISA03CONSOLIDADO" localSheetId="3" hidden="1">{#N/A,#N/A,FALSE,"Aging Summary";#N/A,#N/A,FALSE,"Ratio Analysis";#N/A,#N/A,FALSE,"Test 120 Day Accts";#N/A,#N/A,FALSE,"Tickmarks"}</definedName>
    <definedName name="ISA03CONSOLIDADO" localSheetId="2" hidden="1">{#N/A,#N/A,FALSE,"Aging Summary";#N/A,#N/A,FALSE,"Ratio Analysis";#N/A,#N/A,FALSE,"Test 120 Day Accts";#N/A,#N/A,FALSE,"Tickmarks"}</definedName>
    <definedName name="ISA03CONSOLIDADO" hidden="1">{#N/A,#N/A,FALSE,"Aging Summary";#N/A,#N/A,FALSE,"Ratio Analysis";#N/A,#N/A,FALSE,"Test 120 Day Accts";#N/A,#N/A,FALSE,"Tickmarks"}</definedName>
    <definedName name="istoe">#REF!</definedName>
    <definedName name="itu" localSheetId="3" hidden="1">{#N/A,#N/A,FALSE,"Aging Summary";#N/A,#N/A,FALSE,"Ratio Analysis";#N/A,#N/A,FALSE,"Test 120 Day Accts";#N/A,#N/A,FALSE,"Tickmarks"}</definedName>
    <definedName name="itu" localSheetId="2" hidden="1">{#N/A,#N/A,FALSE,"Aging Summary";#N/A,#N/A,FALSE,"Ratio Analysis";#N/A,#N/A,FALSE,"Test 120 Day Accts";#N/A,#N/A,FALSE,"Tickmarks"}</definedName>
    <definedName name="itu" hidden="1">{#N/A,#N/A,FALSE,"Aging Summary";#N/A,#N/A,FALSE,"Ratio Analysis";#N/A,#N/A,FALSE,"Test 120 Day Accts";#N/A,#N/A,FALSE,"Tickmarks"}</definedName>
    <definedName name="IUUIIU" localSheetId="3" hidden="1">{#N/A,#N/A,FALSE,"Aging Summary";#N/A,#N/A,FALSE,"Ratio Analysis";#N/A,#N/A,FALSE,"Test 120 Day Accts";#N/A,#N/A,FALSE,"Tickmarks"}</definedName>
    <definedName name="IUUIIU" localSheetId="2" hidden="1">{#N/A,#N/A,FALSE,"Aging Summary";#N/A,#N/A,FALSE,"Ratio Analysis";#N/A,#N/A,FALSE,"Test 120 Day Accts";#N/A,#N/A,FALSE,"Tickmarks"}</definedName>
    <definedName name="IUUIIU" hidden="1">{#N/A,#N/A,FALSE,"Aging Summary";#N/A,#N/A,FALSE,"Ratio Analysis";#N/A,#N/A,FALSE,"Test 120 Day Accts";#N/A,#N/A,FALSE,"Tickmarks"}</definedName>
    <definedName name="IUUIIU_1" localSheetId="3" hidden="1">{#N/A,#N/A,FALSE,"Aging Summary";#N/A,#N/A,FALSE,"Ratio Analysis";#N/A,#N/A,FALSE,"Test 120 Day Accts";#N/A,#N/A,FALSE,"Tickmarks"}</definedName>
    <definedName name="IUUIIU_1" localSheetId="2" hidden="1">{#N/A,#N/A,FALSE,"Aging Summary";#N/A,#N/A,FALSE,"Ratio Analysis";#N/A,#N/A,FALSE,"Test 120 Day Accts";#N/A,#N/A,FALSE,"Tickmarks"}</definedName>
    <definedName name="IUUIIU_1" hidden="1">{#N/A,#N/A,FALSE,"Aging Summary";#N/A,#N/A,FALSE,"Ratio Analysis";#N/A,#N/A,FALSE,"Test 120 Day Accts";#N/A,#N/A,FALSE,"Tickmarks"}</definedName>
    <definedName name="IV" localSheetId="3" hidden="1">{#N/A,#N/A,FALSE,"Aging Summary";#N/A,#N/A,FALSE,"Ratio Analysis";#N/A,#N/A,FALSE,"Test 120 Day Accts";#N/A,#N/A,FALSE,"Tickmarks"}</definedName>
    <definedName name="IV" localSheetId="2" hidden="1">{#N/A,#N/A,FALSE,"Aging Summary";#N/A,#N/A,FALSE,"Ratio Analysis";#N/A,#N/A,FALSE,"Test 120 Day Accts";#N/A,#N/A,FALSE,"Tickmarks"}</definedName>
    <definedName name="IV" hidden="1">{#N/A,#N/A,FALSE,"Aging Summary";#N/A,#N/A,FALSE,"Ratio Analysis";#N/A,#N/A,FALSE,"Test 120 Day Accts";#N/A,#N/A,FALSE,"Tickmarks"}</definedName>
    <definedName name="IVIC" localSheetId="3" hidden="1">{#N/A,#N/A,FALSE,"Aging Summary";#N/A,#N/A,FALSE,"Ratio Analysis";#N/A,#N/A,FALSE,"Test 120 Day Accts";#N/A,#N/A,FALSE,"Tickmarks"}</definedName>
    <definedName name="IVIC" localSheetId="2" hidden="1">{#N/A,#N/A,FALSE,"Aging Summary";#N/A,#N/A,FALSE,"Ratio Analysis";#N/A,#N/A,FALSE,"Test 120 Day Accts";#N/A,#N/A,FALSE,"Tickmarks"}</definedName>
    <definedName name="IVIC" hidden="1">{#N/A,#N/A,FALSE,"Aging Summary";#N/A,#N/A,FALSE,"Ratio Analysis";#N/A,#N/A,FALSE,"Test 120 Day Accts";#N/A,#N/A,FALSE,"Tickmarks"}</definedName>
    <definedName name="j" localSheetId="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am" localSheetId="3" hidden="1">{#N/A,#N/A,FALSE,"Posição Financeira"}</definedName>
    <definedName name="jam" localSheetId="2" hidden="1">{#N/A,#N/A,FALSE,"Posição Financeira"}</definedName>
    <definedName name="jam" hidden="1">{#N/A,#N/A,FALSE,"Posição Financeira"}</definedName>
    <definedName name="JAN2A">[4]JAN!$A$439:$L$449</definedName>
    <definedName name="JANCONF">[4]JAN!$G$471:$I$920</definedName>
    <definedName name="jj" localSheetId="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J" localSheetId="3" hidden="1">{#N/A,#N/A,FALSE,"Aging Summary";#N/A,#N/A,FALSE,"Ratio Analysis";#N/A,#N/A,FALSE,"Test 120 Day Accts";#N/A,#N/A,FALSE,"Tickmarks"}</definedName>
    <definedName name="JJJ" localSheetId="2" hidden="1">{#N/A,#N/A,FALSE,"Aging Summary";#N/A,#N/A,FALSE,"Ratio Analysis";#N/A,#N/A,FALSE,"Test 120 Day Accts";#N/A,#N/A,FALSE,"Tickmarks"}</definedName>
    <definedName name="JJJ" hidden="1">{#N/A,#N/A,FALSE,"Aging Summary";#N/A,#N/A,FALSE,"Ratio Analysis";#N/A,#N/A,FALSE,"Test 120 Day Accts";#N/A,#N/A,FALSE,"Tickmarks"}</definedName>
    <definedName name="jjjj" localSheetId="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kjhkjk" localSheetId="3" hidden="1">{#N/A,#N/A,FALSE,"Aging Summary";#N/A,#N/A,FALSE,"Ratio Analysis";#N/A,#N/A,FALSE,"Test 120 Day Accts";#N/A,#N/A,FALSE,"Tickmarks"}</definedName>
    <definedName name="jjkjhkjk" localSheetId="2" hidden="1">{#N/A,#N/A,FALSE,"Aging Summary";#N/A,#N/A,FALSE,"Ratio Analysis";#N/A,#N/A,FALSE,"Test 120 Day Accts";#N/A,#N/A,FALSE,"Tickmarks"}</definedName>
    <definedName name="jjkjhkjk" hidden="1">{#N/A,#N/A,FALSE,"Aging Summary";#N/A,#N/A,FALSE,"Ratio Analysis";#N/A,#N/A,FALSE,"Test 120 Day Accts";#N/A,#N/A,FALSE,"Tickmarks"}</definedName>
    <definedName name="jjkjhkjk_1" localSheetId="3" hidden="1">{#N/A,#N/A,FALSE,"Aging Summary";#N/A,#N/A,FALSE,"Ratio Analysis";#N/A,#N/A,FALSE,"Test 120 Day Accts";#N/A,#N/A,FALSE,"Tickmarks"}</definedName>
    <definedName name="jjkjhkjk_1" localSheetId="2" hidden="1">{#N/A,#N/A,FALSE,"Aging Summary";#N/A,#N/A,FALSE,"Ratio Analysis";#N/A,#N/A,FALSE,"Test 120 Day Accts";#N/A,#N/A,FALSE,"Tickmarks"}</definedName>
    <definedName name="jjkjhkjk_1" hidden="1">{#N/A,#N/A,FALSE,"Aging Summary";#N/A,#N/A,FALSE,"Ratio Analysis";#N/A,#N/A,FALSE,"Test 120 Day Accts";#N/A,#N/A,FALSE,"Tickmarks"}</definedName>
    <definedName name="JKJKLKJLKLÑL" localSheetId="3" hidden="1">{#N/A,#N/A,FALSE,"Aging Summary";#N/A,#N/A,FALSE,"Ratio Analysis";#N/A,#N/A,FALSE,"Test 120 Day Accts";#N/A,#N/A,FALSE,"Tickmarks"}</definedName>
    <definedName name="JKJKLKJLKLÑL" localSheetId="2" hidden="1">{#N/A,#N/A,FALSE,"Aging Summary";#N/A,#N/A,FALSE,"Ratio Analysis";#N/A,#N/A,FALSE,"Test 120 Day Accts";#N/A,#N/A,FALSE,"Tickmarks"}</definedName>
    <definedName name="JKJKLKJLKLÑL" hidden="1">{#N/A,#N/A,FALSE,"Aging Summary";#N/A,#N/A,FALSE,"Ratio Analysis";#N/A,#N/A,FALSE,"Test 120 Day Accts";#N/A,#N/A,FALSE,"Tickmarks"}</definedName>
    <definedName name="JKJKLKJLKLÑL_1" localSheetId="3" hidden="1">{#N/A,#N/A,FALSE,"Aging Summary";#N/A,#N/A,FALSE,"Ratio Analysis";#N/A,#N/A,FALSE,"Test 120 Day Accts";#N/A,#N/A,FALSE,"Tickmarks"}</definedName>
    <definedName name="JKJKLKJLKLÑL_1" localSheetId="2" hidden="1">{#N/A,#N/A,FALSE,"Aging Summary";#N/A,#N/A,FALSE,"Ratio Analysis";#N/A,#N/A,FALSE,"Test 120 Day Accts";#N/A,#N/A,FALSE,"Tickmarks"}</definedName>
    <definedName name="JKJKLKJLKLÑL_1" hidden="1">{#N/A,#N/A,FALSE,"Aging Summary";#N/A,#N/A,FALSE,"Ratio Analysis";#N/A,#N/A,FALSE,"Test 120 Day Accts";#N/A,#N/A,FALSE,"Tickmarks"}</definedName>
    <definedName name="jkl" hidden="1">#N/A</definedName>
    <definedName name="jlkjlklkn" localSheetId="3" hidden="1">{#N/A,#N/A,FALSE,"Aging Summary";#N/A,#N/A,FALSE,"Ratio Analysis";#N/A,#N/A,FALSE,"Test 120 Day Accts";#N/A,#N/A,FALSE,"Tickmarks"}</definedName>
    <definedName name="jlkjlklkn" localSheetId="2" hidden="1">{#N/A,#N/A,FALSE,"Aging Summary";#N/A,#N/A,FALSE,"Ratio Analysis";#N/A,#N/A,FALSE,"Test 120 Day Accts";#N/A,#N/A,FALSE,"Tickmarks"}</definedName>
    <definedName name="jlkjlklkn" hidden="1">{#N/A,#N/A,FALSE,"Aging Summary";#N/A,#N/A,FALSE,"Ratio Analysis";#N/A,#N/A,FALSE,"Test 120 Day Accts";#N/A,#N/A,FALSE,"Tickmarks"}</definedName>
    <definedName name="jo" localSheetId="3" hidden="1">{#N/A,#N/A,FALSE,"Aging Summary";#N/A,#N/A,FALSE,"Ratio Analysis";#N/A,#N/A,FALSE,"Test 120 Day Accts";#N/A,#N/A,FALSE,"Tickmarks"}</definedName>
    <definedName name="jo" localSheetId="2" hidden="1">{#N/A,#N/A,FALSE,"Aging Summary";#N/A,#N/A,FALSE,"Ratio Analysis";#N/A,#N/A,FALSE,"Test 120 Day Accts";#N/A,#N/A,FALSE,"Tickmarks"}</definedName>
    <definedName name="jo" hidden="1">{#N/A,#N/A,FALSE,"Aging Summary";#N/A,#N/A,FALSE,"Ratio Analysis";#N/A,#N/A,FALSE,"Test 120 Day Accts";#N/A,#N/A,FALSE,"Tickmarks"}</definedName>
    <definedName name="JOIKHKK" localSheetId="3" hidden="1">{#N/A,#N/A,FALSE,"Aging Summary";#N/A,#N/A,FALSE,"Ratio Analysis";#N/A,#N/A,FALSE,"Test 120 Day Accts";#N/A,#N/A,FALSE,"Tickmarks"}</definedName>
    <definedName name="JOIKHKK" localSheetId="2" hidden="1">{#N/A,#N/A,FALSE,"Aging Summary";#N/A,#N/A,FALSE,"Ratio Analysis";#N/A,#N/A,FALSE,"Test 120 Day Accts";#N/A,#N/A,FALSE,"Tickmarks"}</definedName>
    <definedName name="JOIKHKK" hidden="1">{#N/A,#N/A,FALSE,"Aging Summary";#N/A,#N/A,FALSE,"Ratio Analysis";#N/A,#N/A,FALSE,"Test 120 Day Accts";#N/A,#N/A,FALSE,"Tickmarks"}</definedName>
    <definedName name="JOIKHKK_1" localSheetId="3" hidden="1">{#N/A,#N/A,FALSE,"Aging Summary";#N/A,#N/A,FALSE,"Ratio Analysis";#N/A,#N/A,FALSE,"Test 120 Day Accts";#N/A,#N/A,FALSE,"Tickmarks"}</definedName>
    <definedName name="JOIKHKK_1" localSheetId="2" hidden="1">{#N/A,#N/A,FALSE,"Aging Summary";#N/A,#N/A,FALSE,"Ratio Analysis";#N/A,#N/A,FALSE,"Test 120 Day Accts";#N/A,#N/A,FALSE,"Tickmarks"}</definedName>
    <definedName name="JOIKHKK_1" hidden="1">{#N/A,#N/A,FALSE,"Aging Summary";#N/A,#N/A,FALSE,"Ratio Analysis";#N/A,#N/A,FALSE,"Test 120 Day Accts";#N/A,#N/A,FALSE,"Tickmarks"}</definedName>
    <definedName name="JUD">#N/A</definedName>
    <definedName name="jud_ju">#N/A</definedName>
    <definedName name="JUL2A">[4]JUL!$A$527:$L$537</definedName>
    <definedName name="JULCONF">[4]JUL!$G$570:$I$571</definedName>
    <definedName name="JUN2A">[4]JUN!$A$537:$L$548</definedName>
    <definedName name="JUNCONF">[4]JUN!$G$586:$I$587</definedName>
    <definedName name="k" localSheetId="3" hidden="1">{#N/A,#N/A,FALSE,"Aging Summary";#N/A,#N/A,FALSE,"Ratio Analysis";#N/A,#N/A,FALSE,"Test 120 Day Accts";#N/A,#N/A,FALSE,"Tickmarks"}</definedName>
    <definedName name="k" localSheetId="2" hidden="1">{#N/A,#N/A,FALSE,"Aging Summary";#N/A,#N/A,FALSE,"Ratio Analysis";#N/A,#N/A,FALSE,"Test 120 Day Accts";#N/A,#N/A,FALSE,"Tickmarks"}</definedName>
    <definedName name="k" hidden="1">{#N/A,#N/A,FALSE,"Aging Summary";#N/A,#N/A,FALSE,"Ratio Analysis";#N/A,#N/A,FALSE,"Test 120 Day Accts";#N/A,#N/A,FALSE,"Tickmarks"}</definedName>
    <definedName name="K_100.001">[6]L100100!#REF!</definedName>
    <definedName name="K_100.009">[6]L100100!#REF!</definedName>
    <definedName name="K_100.016">[6]L100100!#REF!</definedName>
    <definedName name="K_100.022">[6]L100100!#REF!</definedName>
    <definedName name="K_100.033">[6]L100100!#REF!</definedName>
    <definedName name="K_103">[6]L100100!#REF!</definedName>
    <definedName name="K_106">[6]L100100!#REF!</definedName>
    <definedName name="K_117">[6]L100100!#REF!</definedName>
    <definedName name="Katia" localSheetId="3" hidden="1">{#N/A,#N/A,FALSE,"Posição Financeira"}</definedName>
    <definedName name="Katia" localSheetId="2" hidden="1">{#N/A,#N/A,FALSE,"Posição Financeira"}</definedName>
    <definedName name="Katia" hidden="1">{#N/A,#N/A,FALSE,"Posição Financeira"}</definedName>
    <definedName name="kfh" localSheetId="3" hidden="1">{#N/A,#N/A,FALSE,"Aging Summary";#N/A,#N/A,FALSE,"Ratio Analysis";#N/A,#N/A,FALSE,"Test 120 Day Accts";#N/A,#N/A,FALSE,"Tickmarks"}</definedName>
    <definedName name="kfh" localSheetId="2" hidden="1">{#N/A,#N/A,FALSE,"Aging Summary";#N/A,#N/A,FALSE,"Ratio Analysis";#N/A,#N/A,FALSE,"Test 120 Day Accts";#N/A,#N/A,FALSE,"Tickmarks"}</definedName>
    <definedName name="kfh" hidden="1">{#N/A,#N/A,FALSE,"Aging Summary";#N/A,#N/A,FALSE,"Ratio Analysis";#N/A,#N/A,FALSE,"Test 120 Day Accts";#N/A,#N/A,FALSE,"Tickmarks"}</definedName>
    <definedName name="kfh_1" localSheetId="3" hidden="1">{#N/A,#N/A,FALSE,"Aging Summary";#N/A,#N/A,FALSE,"Ratio Analysis";#N/A,#N/A,FALSE,"Test 120 Day Accts";#N/A,#N/A,FALSE,"Tickmarks"}</definedName>
    <definedName name="kfh_1" localSheetId="2" hidden="1">{#N/A,#N/A,FALSE,"Aging Summary";#N/A,#N/A,FALSE,"Ratio Analysis";#N/A,#N/A,FALSE,"Test 120 Day Accts";#N/A,#N/A,FALSE,"Tickmarks"}</definedName>
    <definedName name="kfh_1" hidden="1">{#N/A,#N/A,FALSE,"Aging Summary";#N/A,#N/A,FALSE,"Ratio Analysis";#N/A,#N/A,FALSE,"Test 120 Day Accts";#N/A,#N/A,FALSE,"Tickmarks"}</definedName>
    <definedName name="KKK" localSheetId="3" hidden="1">{#N/A,#N/A,TRUE,"MEMO";#N/A,#N/A,TRUE,"PARAMETROS";#N/A,#N/A,TRUE,"RLI ";#N/A,#N/A,TRUE,"IMPTO.DET.";#N/A,#N/A,TRUE,"FUT-FUNT";#N/A,#N/A,TRUE,"CPI-PATR.";#N/A,#N/A,TRUE,"CM CPI";#N/A,#N/A,TRUE,"PROV";#N/A,#N/A,TRUE,"A FIJO";#N/A,#N/A,TRUE,"LEASING";#N/A,#N/A,TRUE,"VPP";#N/A,#N/A,TRUE,"PPM";#N/A,#N/A,TRUE,"OTROS"}</definedName>
    <definedName name="KKK" localSheetId="2" hidden="1">{#N/A,#N/A,TRUE,"MEMO";#N/A,#N/A,TRUE,"PARAMETROS";#N/A,#N/A,TRUE,"RLI ";#N/A,#N/A,TRUE,"IMPTO.DET.";#N/A,#N/A,TRUE,"FUT-FUNT";#N/A,#N/A,TRUE,"CPI-PATR.";#N/A,#N/A,TRUE,"CM CPI";#N/A,#N/A,TRUE,"PROV";#N/A,#N/A,TRUE,"A FIJO";#N/A,#N/A,TRUE,"LEASING";#N/A,#N/A,TRUE,"VPP";#N/A,#N/A,TRUE,"PPM";#N/A,#N/A,TRUE,"OTROS"}</definedName>
    <definedName name="KKK" hidden="1">{#N/A,#N/A,TRUE,"MEMO";#N/A,#N/A,TRUE,"PARAMETROS";#N/A,#N/A,TRUE,"RLI ";#N/A,#N/A,TRUE,"IMPTO.DET.";#N/A,#N/A,TRUE,"FUT-FUNT";#N/A,#N/A,TRUE,"CPI-PATR.";#N/A,#N/A,TRUE,"CM CPI";#N/A,#N/A,TRUE,"PROV";#N/A,#N/A,TRUE,"A FIJO";#N/A,#N/A,TRUE,"LEASING";#N/A,#N/A,TRUE,"VPP";#N/A,#N/A,TRUE,"PPM";#N/A,#N/A,TRUE,"OTROS"}</definedName>
    <definedName name="L_100.002">[6]L100100!#REF!</definedName>
    <definedName name="L_100.007">[6]L100100!#REF!</definedName>
    <definedName name="L_100.020">[6]L100100!#REF!</definedName>
    <definedName name="L_100.074">[6]L100100!#REF!</definedName>
    <definedName name="L_100.096">[6]L100100!#REF!</definedName>
    <definedName name="L_100.101">[6]L100100!#REF!</definedName>
    <definedName name="L_100.102">[6]L100100!#REF!</definedName>
    <definedName name="L_100.107">[6]L100100!#REF!</definedName>
    <definedName name="L_100.110">[6]L100100!#REF!</definedName>
    <definedName name="L_100.113">[6]L100100!#REF!</definedName>
    <definedName name="L_100.116">[6]L100100!#REF!</definedName>
    <definedName name="L_100.119">[6]L100100!#REF!</definedName>
    <definedName name="L_102">#REF!</definedName>
    <definedName name="L_103">#REF!</definedName>
    <definedName name="L_104">#REF!</definedName>
    <definedName name="L_110">[6]L100100!#REF!</definedName>
    <definedName name="L_115">[6]L100100!#REF!</definedName>
    <definedName name="L_116">[6]L100100!#REF!</definedName>
    <definedName name="L_118">#REF!</definedName>
    <definedName name="L_119">#REF!</definedName>
    <definedName name="L_124">[6]L100100!#REF!</definedName>
    <definedName name="L_125">[6]L100100!#REF!</definedName>
    <definedName name="L_126">[6]L100100!#REF!</definedName>
    <definedName name="L_127">[6]L100100!#REF!</definedName>
    <definedName name="L_128">[6]L100100!#REF!</definedName>
    <definedName name="L_129">[6]L100100!#REF!</definedName>
    <definedName name="L_133">#REF!</definedName>
    <definedName name="LAB" localSheetId="3" hidden="1">{#N/A,#N/A,FALSE,"Aging Summary";#N/A,#N/A,FALSE,"Ratio Analysis";#N/A,#N/A,FALSE,"Test 120 Day Accts";#N/A,#N/A,FALSE,"Tickmarks"}</definedName>
    <definedName name="LAB" localSheetId="2" hidden="1">{#N/A,#N/A,FALSE,"Aging Summary";#N/A,#N/A,FALSE,"Ratio Analysis";#N/A,#N/A,FALSE,"Test 120 Day Accts";#N/A,#N/A,FALSE,"Tickmarks"}</definedName>
    <definedName name="LAB" hidden="1">{#N/A,#N/A,FALSE,"Aging Summary";#N/A,#N/A,FALSE,"Ratio Analysis";#N/A,#N/A,FALSE,"Test 120 Day Accts";#N/A,#N/A,FALSE,"Tickmarks"}</definedName>
    <definedName name="LABELTEXTCOLUMN1">[10]CRITERIA1!$B$24</definedName>
    <definedName name="LABELTEXTROW1">[10]CRITERIA1!$B$23</definedName>
    <definedName name="LABOCLINICO" localSheetId="3" hidden="1">{#N/A,#N/A,FALSE,"Aging Summary";#N/A,#N/A,FALSE,"Ratio Analysis";#N/A,#N/A,FALSE,"Test 120 Day Accts";#N/A,#N/A,FALSE,"Tickmarks"}</definedName>
    <definedName name="LABOCLINICO" localSheetId="2" hidden="1">{#N/A,#N/A,FALSE,"Aging Summary";#N/A,#N/A,FALSE,"Ratio Analysis";#N/A,#N/A,FALSE,"Test 120 Day Accts";#N/A,#N/A,FALSE,"Tickmarks"}</definedName>
    <definedName name="LABOCLINICO" hidden="1">{#N/A,#N/A,FALSE,"Aging Summary";#N/A,#N/A,FALSE,"Ratio Analysis";#N/A,#N/A,FALSE,"Test 120 Day Accts";#N/A,#N/A,FALSE,"Tickmarks"}</definedName>
    <definedName name="LABOCLINICO1" localSheetId="3" hidden="1">{#N/A,#N/A,FALSE,"Aging Summary";#N/A,#N/A,FALSE,"Ratio Analysis";#N/A,#N/A,FALSE,"Test 120 Day Accts";#N/A,#N/A,FALSE,"Tickmarks"}</definedName>
    <definedName name="LABOCLINICO1" localSheetId="2" hidden="1">{#N/A,#N/A,FALSE,"Aging Summary";#N/A,#N/A,FALSE,"Ratio Analysis";#N/A,#N/A,FALSE,"Test 120 Day Accts";#N/A,#N/A,FALSE,"Tickmarks"}</definedName>
    <definedName name="LABOCLINICO1" hidden="1">{#N/A,#N/A,FALSE,"Aging Summary";#N/A,#N/A,FALSE,"Ratio Analysis";#N/A,#N/A,FALSE,"Test 120 Day Accts";#N/A,#N/A,FALSE,"Tickmarks"}</definedName>
    <definedName name="LABORATORIO" localSheetId="3" hidden="1">{#N/A,#N/A,FALSE,"Aging Summary";#N/A,#N/A,FALSE,"Ratio Analysis";#N/A,#N/A,FALSE,"Test 120 Day Accts";#N/A,#N/A,FALSE,"Tickmarks"}</definedName>
    <definedName name="LABORATORIO" localSheetId="2" hidden="1">{#N/A,#N/A,FALSE,"Aging Summary";#N/A,#N/A,FALSE,"Ratio Analysis";#N/A,#N/A,FALSE,"Test 120 Day Accts";#N/A,#N/A,FALSE,"Tickmarks"}</definedName>
    <definedName name="LABORATORIO" hidden="1">{#N/A,#N/A,FALSE,"Aging Summary";#N/A,#N/A,FALSE,"Ratio Analysis";#N/A,#N/A,FALSE,"Test 120 Day Accts";#N/A,#N/A,FALSE,"Tickmarks"}</definedName>
    <definedName name="lala" hidden="1">#N/A</definedName>
    <definedName name="LCTOVCH">[4]VOUCHER!$T$10</definedName>
    <definedName name="LE">#REF!</definedName>
    <definedName name="Legal">'[21]TM1.Settings'!$C$20</definedName>
    <definedName name="LETI" localSheetId="3" hidden="1">{#N/A,#N/A,FALSE,"Posição Financeira"}</definedName>
    <definedName name="LETI" localSheetId="2" hidden="1">{#N/A,#N/A,FALSE,"Posição Financeira"}</definedName>
    <definedName name="LETI" hidden="1">{#N/A,#N/A,FALSE,"Posição Financeira"}</definedName>
    <definedName name="Letícia" localSheetId="3" hidden="1">{#N/A,#N/A,FALSE,"Posição Financeira"}</definedName>
    <definedName name="Letícia" localSheetId="2" hidden="1">{#N/A,#N/A,FALSE,"Posição Financeira"}</definedName>
    <definedName name="Letícia" hidden="1">{#N/A,#N/A,FALSE,"Posição Financeira"}</definedName>
    <definedName name="Letícia1" localSheetId="3" hidden="1">{#N/A,#N/A,FALSE,"Posição Financeira"}</definedName>
    <definedName name="Letícia1" localSheetId="2" hidden="1">{#N/A,#N/A,FALSE,"Posição Financeira"}</definedName>
    <definedName name="Letícia1" hidden="1">{#N/A,#N/A,FALSE,"Posição Financeira"}</definedName>
    <definedName name="limcount" hidden="1">1</definedName>
    <definedName name="LL" hidden="1">#N/A</definedName>
    <definedName name="LLL" localSheetId="3" hidden="1">{#N/A,#N/A,FALSE,"Aging Summary";#N/A,#N/A,FALSE,"Ratio Analysis";#N/A,#N/A,FALSE,"Test 120 Day Accts";#N/A,#N/A,FALSE,"Tickmarks"}</definedName>
    <definedName name="LLL" localSheetId="2" hidden="1">{#N/A,#N/A,FALSE,"Aging Summary";#N/A,#N/A,FALSE,"Ratio Analysis";#N/A,#N/A,FALSE,"Test 120 Day Accts";#N/A,#N/A,FALSE,"Tickmarks"}</definedName>
    <definedName name="LLL" hidden="1">{#N/A,#N/A,FALSE,"Aging Summary";#N/A,#N/A,FALSE,"Ratio Analysis";#N/A,#N/A,FALSE,"Test 120 Day Accts";#N/A,#N/A,FALSE,"Tickmarks"}</definedName>
    <definedName name="llll" localSheetId="3" hidden="1">{#N/A,#N/A,TRUE,"ComparativoII"}</definedName>
    <definedName name="llll" localSheetId="2" hidden="1">{#N/A,#N/A,TRUE,"ComparativoII"}</definedName>
    <definedName name="llll" hidden="1">{#N/A,#N/A,TRUE,"ComparativoII"}</definedName>
    <definedName name="llll_1" localSheetId="3" hidden="1">{#N/A,#N/A,TRUE,"ComparativoII"}</definedName>
    <definedName name="llll_1" localSheetId="2" hidden="1">{#N/A,#N/A,TRUE,"ComparativoII"}</definedName>
    <definedName name="llll_1" hidden="1">{#N/A,#N/A,TRUE,"ComparativoII"}</definedName>
    <definedName name="llllll" localSheetId="3" hidden="1">{"balanço dolares",#N/A,FALSE,"SIGADR$";"AUT BAL REAIS",#N/A,FALSE,"SIGADR$";"QUOCIENTES REAIS",#N/A,FALSE,"QUOCIENTES";"JUNH QUOCI DOLARES",#N/A,FALSE,"QUOCIENTES"}</definedName>
    <definedName name="llllll" localSheetId="2" hidden="1">{"balanço dolares",#N/A,FALSE,"SIGADR$";"AUT BAL REAIS",#N/A,FALSE,"SIGADR$";"QUOCIENTES REAIS",#N/A,FALSE,"QUOCIENTES";"JUNH QUOCI DOLARES",#N/A,FALSE,"QUOCIENTES"}</definedName>
    <definedName name="llllll" hidden="1">{"balanço dolares",#N/A,FALSE,"SIGADR$";"AUT BAL REAIS",#N/A,FALSE,"SIGADR$";"QUOCIENTES REAIS",#N/A,FALSE,"QUOCIENTES";"JUNH QUOCI DOLARES",#N/A,FALSE,"QUOCIENTES"}</definedName>
    <definedName name="llllll_1" localSheetId="3" hidden="1">{"balanço dolares",#N/A,FALSE,"SIGADR$";"AUT BAL REAIS",#N/A,FALSE,"SIGADR$";"QUOCIENTES REAIS",#N/A,FALSE,"QUOCIENTES";"JUNH QUOCI DOLARES",#N/A,FALSE,"QUOCIENTES"}</definedName>
    <definedName name="llllll_1" localSheetId="2" hidden="1">{"balanço dolares",#N/A,FALSE,"SIGADR$";"AUT BAL REAIS",#N/A,FALSE,"SIGADR$";"QUOCIENTES REAIS",#N/A,FALSE,"QUOCIENTES";"JUNH QUOCI DOLARES",#N/A,FALSE,"QUOCIENTES"}</definedName>
    <definedName name="llllll_1" hidden="1">{"balanço dolares",#N/A,FALSE,"SIGADR$";"AUT BAL REAIS",#N/A,FALSE,"SIGADR$";"QUOCIENTES REAIS",#N/A,FALSE,"QUOCIENTES";"JUNH QUOCI DOLARES",#N/A,FALSE,"QUOCIENTES"}</definedName>
    <definedName name="llllllllll" localSheetId="3" hidden="1">{"RESULTADOS REAIS",#N/A,FALSE,"Dem.Res.R$";"RESULTADOS DOLARES",#N/A,FALSE,"Dem.Res.US$";"PERCENTUAIS REAIS",#N/A,FALSE,"Percentuais R$";"PERCENTUAIS DOLARES",#N/A,FALSE,"Percentuais US$"}</definedName>
    <definedName name="llllllllll" localSheetId="2" hidden="1">{"RESULTADOS REAIS",#N/A,FALSE,"Dem.Res.R$";"RESULTADOS DOLARES",#N/A,FALSE,"Dem.Res.US$";"PERCENTUAIS REAIS",#N/A,FALSE,"Percentuais R$";"PERCENTUAIS DOLARES",#N/A,FALSE,"Percentuais US$"}</definedName>
    <definedName name="llllllllll" hidden="1">{"RESULTADOS REAIS",#N/A,FALSE,"Dem.Res.R$";"RESULTADOS DOLARES",#N/A,FALSE,"Dem.Res.US$";"PERCENTUAIS REAIS",#N/A,FALSE,"Percentuais R$";"PERCENTUAIS DOLARES",#N/A,FALSE,"Percentuais US$"}</definedName>
    <definedName name="llllllllll_1" localSheetId="3" hidden="1">{"RESULTADOS REAIS",#N/A,FALSE,"Dem.Res.R$";"RESULTADOS DOLARES",#N/A,FALSE,"Dem.Res.US$";"PERCENTUAIS REAIS",#N/A,FALSE,"Percentuais R$";"PERCENTUAIS DOLARES",#N/A,FALSE,"Percentuais US$"}</definedName>
    <definedName name="llllllllll_1" localSheetId="2" hidden="1">{"RESULTADOS REAIS",#N/A,FALSE,"Dem.Res.R$";"RESULTADOS DOLARES",#N/A,FALSE,"Dem.Res.US$";"PERCENTUAIS REAIS",#N/A,FALSE,"Percentuais R$";"PERCENTUAIS DOLARES",#N/A,FALSE,"Percentuais US$"}</definedName>
    <definedName name="llllllllll_1" hidden="1">{"RESULTADOS REAIS",#N/A,FALSE,"Dem.Res.R$";"RESULTADOS DOLARES",#N/A,FALSE,"Dem.Res.US$";"PERCENTUAIS REAIS",#N/A,FALSE,"Percentuais R$";"PERCENTUAIS DOLARES",#N/A,FALSE,"Percentuais US$"}</definedName>
    <definedName name="llss" localSheetId="3" hidden="1">{#N/A,#N/A,FALSE,"Aging Summary";#N/A,#N/A,FALSE,"Ratio Analysis";#N/A,#N/A,FALSE,"Test 120 Day Accts";#N/A,#N/A,FALSE,"Tickmarks"}</definedName>
    <definedName name="llss" localSheetId="2" hidden="1">{#N/A,#N/A,FALSE,"Aging Summary";#N/A,#N/A,FALSE,"Ratio Analysis";#N/A,#N/A,FALSE,"Test 120 Day Accts";#N/A,#N/A,FALSE,"Tickmarks"}</definedName>
    <definedName name="llss" hidden="1">{#N/A,#N/A,FALSE,"Aging Summary";#N/A,#N/A,FALSE,"Ratio Analysis";#N/A,#N/A,FALSE,"Test 120 Day Accts";#N/A,#N/A,FALSE,"Tickmarks"}</definedName>
    <definedName name="LOCAL">[4]VOUCHER!$R$10</definedName>
    <definedName name="LOCAL_MYSQL_DATE_FORMAT" hidden="1">" "</definedName>
    <definedName name="Lojas">#REF!</definedName>
    <definedName name="LongMGMT">'[22]TM1.Settings'!$C$23</definedName>
    <definedName name="LORE" localSheetId="3" hidden="1">{#N/A,#N/A,FALSE,"Aging Summary";#N/A,#N/A,FALSE,"Ratio Analysis";#N/A,#N/A,FALSE,"Test 120 Day Accts";#N/A,#N/A,FALSE,"Tickmarks"}</definedName>
    <definedName name="LORE" localSheetId="2" hidden="1">{#N/A,#N/A,FALSE,"Aging Summary";#N/A,#N/A,FALSE,"Ratio Analysis";#N/A,#N/A,FALSE,"Test 120 Day Accts";#N/A,#N/A,FALSE,"Tickmarks"}</definedName>
    <definedName name="LORE" hidden="1">{#N/A,#N/A,FALSE,"Aging Summary";#N/A,#N/A,FALSE,"Ratio Analysis";#N/A,#N/A,FALSE,"Test 120 Day Accts";#N/A,#N/A,FALSE,"Tickmarks"}</definedName>
    <definedName name="LORE_1" localSheetId="3" hidden="1">{#N/A,#N/A,FALSE,"Aging Summary";#N/A,#N/A,FALSE,"Ratio Analysis";#N/A,#N/A,FALSE,"Test 120 Day Accts";#N/A,#N/A,FALSE,"Tickmarks"}</definedName>
    <definedName name="LORE_1" localSheetId="2" hidden="1">{#N/A,#N/A,FALSE,"Aging Summary";#N/A,#N/A,FALSE,"Ratio Analysis";#N/A,#N/A,FALSE,"Test 120 Day Accts";#N/A,#N/A,FALSE,"Tickmarks"}</definedName>
    <definedName name="LORE_1" hidden="1">{#N/A,#N/A,FALSE,"Aging Summary";#N/A,#N/A,FALSE,"Ratio Analysis";#N/A,#N/A,FALSE,"Test 120 Day Accts";#N/A,#N/A,FALSE,"Tickmarks"}</definedName>
    <definedName name="lorenaortiz" localSheetId="3" hidden="1">{#N/A,#N/A,FALSE,"Aging Summary";#N/A,#N/A,FALSE,"Ratio Analysis";#N/A,#N/A,FALSE,"Test 120 Day Accts";#N/A,#N/A,FALSE,"Tickmarks"}</definedName>
    <definedName name="lorenaortiz" localSheetId="2" hidden="1">{#N/A,#N/A,FALSE,"Aging Summary";#N/A,#N/A,FALSE,"Ratio Analysis";#N/A,#N/A,FALSE,"Test 120 Day Accts";#N/A,#N/A,FALSE,"Tickmarks"}</definedName>
    <definedName name="lorenaortiz" hidden="1">{#N/A,#N/A,FALSE,"Aging Summary";#N/A,#N/A,FALSE,"Ratio Analysis";#N/A,#N/A,FALSE,"Test 120 Day Accts";#N/A,#N/A,FALSE,"Tickmarks"}</definedName>
    <definedName name="lorenaortiz_1" localSheetId="3" hidden="1">{#N/A,#N/A,FALSE,"Aging Summary";#N/A,#N/A,FALSE,"Ratio Analysis";#N/A,#N/A,FALSE,"Test 120 Day Accts";#N/A,#N/A,FALSE,"Tickmarks"}</definedName>
    <definedName name="lorenaortiz_1" localSheetId="2" hidden="1">{#N/A,#N/A,FALSE,"Aging Summary";#N/A,#N/A,FALSE,"Ratio Analysis";#N/A,#N/A,FALSE,"Test 120 Day Accts";#N/A,#N/A,FALSE,"Tickmarks"}</definedName>
    <definedName name="lorenaortiz_1" hidden="1">{#N/A,#N/A,FALSE,"Aging Summary";#N/A,#N/A,FALSE,"Ratio Analysis";#N/A,#N/A,FALSE,"Test 120 Day Accts";#N/A,#N/A,FALSE,"Tickmarks"}</definedName>
    <definedName name="Loss_Anexo" localSheetId="3" hidden="1">{#N/A,#N/A,FALSE,"SIM95"}</definedName>
    <definedName name="Loss_Anexo" localSheetId="2" hidden="1">{#N/A,#N/A,FALSE,"SIM95"}</definedName>
    <definedName name="Loss_Anexo" hidden="1">{#N/A,#N/A,FALSE,"SIM95"}</definedName>
    <definedName name="lstBase">[23]Controle!$G$1</definedName>
    <definedName name="lstPrincipal">[23]Controle!$B$1</definedName>
    <definedName name="m" localSheetId="3" hidden="1">{#N/A,#N/A,FALSE,"Services"}</definedName>
    <definedName name="m" localSheetId="2" hidden="1">{#N/A,#N/A,FALSE,"Services"}</definedName>
    <definedName name="m" hidden="1">{#N/A,#N/A,FALSE,"Services"}</definedName>
    <definedName name="M136001_1"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136001_1"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136001_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aca" localSheetId="3" hidden="1">{#N/A,#N/A,FALSE,"Aging Summary";#N/A,#N/A,FALSE,"Ratio Analysis";#N/A,#N/A,FALSE,"Test 120 Day Accts";#N/A,#N/A,FALSE,"Tickmarks"}</definedName>
    <definedName name="maca" localSheetId="2" hidden="1">{#N/A,#N/A,FALSE,"Aging Summary";#N/A,#N/A,FALSE,"Ratio Analysis";#N/A,#N/A,FALSE,"Test 120 Day Accts";#N/A,#N/A,FALSE,"Tickmarks"}</definedName>
    <definedName name="maca" hidden="1">{#N/A,#N/A,FALSE,"Aging Summary";#N/A,#N/A,FALSE,"Ratio Analysis";#N/A,#N/A,FALSE,"Test 120 Day Accts";#N/A,#N/A,FALSE,"Tickmarks"}</definedName>
    <definedName name="MAI2A">[4]MAI!$A$500:$L$509</definedName>
    <definedName name="MAICONF">[4]MAI!$G$528:$I$529</definedName>
    <definedName name="MAIO" hidden="1">#N/A</definedName>
    <definedName name="manequim">#REF!</definedName>
    <definedName name="MAR2A">[4]MAR!$A$677:$L$680</definedName>
    <definedName name="marcel" localSheetId="3" hidden="1">{#N/A,#N/A,FALSE,"Posição Financeira"}</definedName>
    <definedName name="marcel" localSheetId="2" hidden="1">{#N/A,#N/A,FALSE,"Posição Financeira"}</definedName>
    <definedName name="marcel" hidden="1">{#N/A,#N/A,FALSE,"Posição Financeira"}</definedName>
    <definedName name="Marcelo" localSheetId="3" hidden="1">{#N/A,#N/A,FALSE,"Posição Financeira"}</definedName>
    <definedName name="Marcelo" localSheetId="2" hidden="1">{#N/A,#N/A,FALSE,"Posição Financeira"}</definedName>
    <definedName name="Marcelo" hidden="1">{#N/A,#N/A,FALSE,"Posição Financeira"}</definedName>
    <definedName name="MARCONF">[4]MAR!$G$703:$I$1383</definedName>
    <definedName name="MARIA" localSheetId="3" hidden="1">{#N/A,#N/A,FALSE,"Aging Summary";#N/A,#N/A,FALSE,"Ratio Analysis";#N/A,#N/A,FALSE,"Test 120 Day Accts";#N/A,#N/A,FALSE,"Tickmarks"}</definedName>
    <definedName name="MARIA" localSheetId="2" hidden="1">{#N/A,#N/A,FALSE,"Aging Summary";#N/A,#N/A,FALSE,"Ratio Analysis";#N/A,#N/A,FALSE,"Test 120 Day Accts";#N/A,#N/A,FALSE,"Tickmarks"}</definedName>
    <definedName name="MARIA" hidden="1">{#N/A,#N/A,FALSE,"Aging Summary";#N/A,#N/A,FALSE,"Ratio Analysis";#N/A,#N/A,FALSE,"Test 120 Day Accts";#N/A,#N/A,FALSE,"Tickmarks"}</definedName>
    <definedName name="marieclaire">#REF!</definedName>
    <definedName name="Market">#REF!</definedName>
    <definedName name="MarketTrend">#REF!</definedName>
    <definedName name="MATERIAL_DE_LIMPEZA">#REF!</definedName>
    <definedName name="mayo" localSheetId="3" hidden="1">{#N/A,#N/A,FALSE,"Aging Summary";#N/A,#N/A,FALSE,"Ratio Analysis";#N/A,#N/A,FALSE,"Test 120 Day Accts";#N/A,#N/A,FALSE,"Tickmarks"}</definedName>
    <definedName name="mayo" localSheetId="2" hidden="1">{#N/A,#N/A,FALSE,"Aging Summary";#N/A,#N/A,FALSE,"Ratio Analysis";#N/A,#N/A,FALSE,"Test 120 Day Accts";#N/A,#N/A,FALSE,"Tickmarks"}</definedName>
    <definedName name="mayo" hidden="1">{#N/A,#N/A,FALSE,"Aging Summary";#N/A,#N/A,FALSE,"Ratio Analysis";#N/A,#N/A,FALSE,"Test 120 Day Accts";#N/A,#N/A,FALSE,"Tickmarks"}</definedName>
    <definedName name="mayo_1" localSheetId="3" hidden="1">{#N/A,#N/A,FALSE,"Aging Summary";#N/A,#N/A,FALSE,"Ratio Analysis";#N/A,#N/A,FALSE,"Test 120 Day Accts";#N/A,#N/A,FALSE,"Tickmarks"}</definedName>
    <definedName name="mayo_1" localSheetId="2" hidden="1">{#N/A,#N/A,FALSE,"Aging Summary";#N/A,#N/A,FALSE,"Ratio Analysis";#N/A,#N/A,FALSE,"Test 120 Day Accts";#N/A,#N/A,FALSE,"Tickmarks"}</definedName>
    <definedName name="mayo_1" hidden="1">{#N/A,#N/A,FALSE,"Aging Summary";#N/A,#N/A,FALSE,"Ratio Analysis";#N/A,#N/A,FALSE,"Test 120 Day Accts";#N/A,#N/A,FALSE,"Tickmarks"}</definedName>
    <definedName name="MENSAL">[4]APOIO!$E$10:$P$16</definedName>
    <definedName name="MENSAL_AF">[4]APOIO!$S$10:$AD$16</definedName>
    <definedName name="MES">[4]RESUMO!$O$9</definedName>
    <definedName name="MÊS">[4]RESUMO!$O$9</definedName>
    <definedName name="mesanterior">[24]MARECTR!$N$8</definedName>
    <definedName name="meses">[4]APOIO!$A$1:$B$12</definedName>
    <definedName name="Mgmt">'[21]TM1.Settings'!$C$18</definedName>
    <definedName name="MgtDisc">#REF!</definedName>
    <definedName name="mio" localSheetId="3" hidden="1">{#N/A,#N/A,FALSE,"Aging Summary";#N/A,#N/A,FALSE,"Ratio Analysis";#N/A,#N/A,FALSE,"Test 120 Day Accts";#N/A,#N/A,FALSE,"Tickmarks"}</definedName>
    <definedName name="mio" localSheetId="2" hidden="1">{#N/A,#N/A,FALSE,"Aging Summary";#N/A,#N/A,FALSE,"Ratio Analysis";#N/A,#N/A,FALSE,"Test 120 Day Accts";#N/A,#N/A,FALSE,"Tickmarks"}</definedName>
    <definedName name="mio" hidden="1">{#N/A,#N/A,FALSE,"Aging Summary";#N/A,#N/A,FALSE,"Ratio Analysis";#N/A,#N/A,FALSE,"Test 120 Day Accts";#N/A,#N/A,FALSE,"Tickmarks"}</definedName>
    <definedName name="mio_1" localSheetId="3" hidden="1">{#N/A,#N/A,FALSE,"Aging Summary";#N/A,#N/A,FALSE,"Ratio Analysis";#N/A,#N/A,FALSE,"Test 120 Day Accts";#N/A,#N/A,FALSE,"Tickmarks"}</definedName>
    <definedName name="mio_1" localSheetId="2" hidden="1">{#N/A,#N/A,FALSE,"Aging Summary";#N/A,#N/A,FALSE,"Ratio Analysis";#N/A,#N/A,FALSE,"Test 120 Day Accts";#N/A,#N/A,FALSE,"Tickmarks"}</definedName>
    <definedName name="mio_1" hidden="1">{#N/A,#N/A,FALSE,"Aging Summary";#N/A,#N/A,FALSE,"Ratio Analysis";#N/A,#N/A,FALSE,"Test 120 Day Accts";#N/A,#N/A,FALSE,"Tickmarks"}</definedName>
    <definedName name="mklkl" localSheetId="3" hidden="1">{#N/A,#N/A,FALSE,"Aging Summary";#N/A,#N/A,FALSE,"Ratio Analysis";#N/A,#N/A,FALSE,"Test 120 Day Accts";#N/A,#N/A,FALSE,"Tickmarks"}</definedName>
    <definedName name="mklkl" localSheetId="2" hidden="1">{#N/A,#N/A,FALSE,"Aging Summary";#N/A,#N/A,FALSE,"Ratio Analysis";#N/A,#N/A,FALSE,"Test 120 Day Accts";#N/A,#N/A,FALSE,"Tickmarks"}</definedName>
    <definedName name="mklkl" hidden="1">{#N/A,#N/A,FALSE,"Aging Summary";#N/A,#N/A,FALSE,"Ratio Analysis";#N/A,#N/A,FALSE,"Test 120 Day Accts";#N/A,#N/A,FALSE,"Tickmarks"}</definedName>
    <definedName name="mklkl_1" localSheetId="3" hidden="1">{#N/A,#N/A,FALSE,"Aging Summary";#N/A,#N/A,FALSE,"Ratio Analysis";#N/A,#N/A,FALSE,"Test 120 Day Accts";#N/A,#N/A,FALSE,"Tickmarks"}</definedName>
    <definedName name="mklkl_1" localSheetId="2" hidden="1">{#N/A,#N/A,FALSE,"Aging Summary";#N/A,#N/A,FALSE,"Ratio Analysis";#N/A,#N/A,FALSE,"Test 120 Day Accts";#N/A,#N/A,FALSE,"Tickmarks"}</definedName>
    <definedName name="mklkl_1" hidden="1">{#N/A,#N/A,FALSE,"Aging Summary";#N/A,#N/A,FALSE,"Ratio Analysis";#N/A,#N/A,FALSE,"Test 120 Day Accts";#N/A,#N/A,FALSE,"Tickmarks"}</definedName>
    <definedName name="mmm" localSheetId="3" hidden="1">{#N/A,#N/A,FALSE,"1321";#N/A,#N/A,FALSE,"1324";#N/A,#N/A,FALSE,"1333";#N/A,#N/A,FALSE,"1371"}</definedName>
    <definedName name="mmm" localSheetId="2" hidden="1">{#N/A,#N/A,FALSE,"1321";#N/A,#N/A,FALSE,"1324";#N/A,#N/A,FALSE,"1333";#N/A,#N/A,FALSE,"1371"}</definedName>
    <definedName name="mmm" hidden="1">{#N/A,#N/A,FALSE,"1321";#N/A,#N/A,FALSE,"1324";#N/A,#N/A,FALSE,"1333";#N/A,#N/A,FALSE,"1371"}</definedName>
    <definedName name="mn" localSheetId="3" hidden="1">{#N/A,#N/A,FALSE,"Aging Summary";#N/A,#N/A,FALSE,"Ratio Analysis";#N/A,#N/A,FALSE,"Test 120 Day Accts";#N/A,#N/A,FALSE,"Tickmarks"}</definedName>
    <definedName name="mn" localSheetId="2" hidden="1">{#N/A,#N/A,FALSE,"Aging Summary";#N/A,#N/A,FALSE,"Ratio Analysis";#N/A,#N/A,FALSE,"Test 120 Day Accts";#N/A,#N/A,FALSE,"Tickmarks"}</definedName>
    <definedName name="mn" hidden="1">{#N/A,#N/A,FALSE,"Aging Summary";#N/A,#N/A,FALSE,"Ratio Analysis";#N/A,#N/A,FALSE,"Test 120 Day Accts";#N/A,#N/A,FALSE,"Tickmarks"}</definedName>
    <definedName name="mobra">#REF!</definedName>
    <definedName name="mod" hidden="1">[7]Plan3!#REF!</definedName>
    <definedName name="modamoldes">#REF!</definedName>
    <definedName name="modPickElements.PickElement">[20]!modPickElements.PickElement</definedName>
    <definedName name="Month">'[25]Junho_R$'!#REF!</definedName>
    <definedName name="MOUCube">#REF!</definedName>
    <definedName name="mrebate">'[12]Capital Call'!$C$71</definedName>
    <definedName name="mt" localSheetId="3" hidden="1">{#N/A,#N/A,FALSE,"SIM95"}</definedName>
    <definedName name="mt" localSheetId="2" hidden="1">{#N/A,#N/A,FALSE,"SIM95"}</definedName>
    <definedName name="mt" hidden="1">{#N/A,#N/A,FALSE,"SIM95"}</definedName>
    <definedName name="ñ" localSheetId="3" hidden="1">{#N/A,#N/A,FALSE,"Aging Summary";#N/A,#N/A,FALSE,"Ratio Analysis";#N/A,#N/A,FALSE,"Test 120 Day Accts";#N/A,#N/A,FALSE,"Tickmarks"}</definedName>
    <definedName name="ñ" localSheetId="2" hidden="1">{#N/A,#N/A,FALSE,"Aging Summary";#N/A,#N/A,FALSE,"Ratio Analysis";#N/A,#N/A,FALSE,"Test 120 Day Accts";#N/A,#N/A,FALSE,"Tickmarks"}</definedName>
    <definedName name="ñ" hidden="1">{#N/A,#N/A,FALSE,"Aging Summary";#N/A,#N/A,FALSE,"Ratio Analysis";#N/A,#N/A,FALSE,"Test 120 Day Accts";#N/A,#N/A,FALSE,"Tickmarks"}</definedName>
    <definedName name="n6.2"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n6.2"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n6.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NetInc">#REF!</definedName>
    <definedName name="Neto" hidden="1">#N/A</definedName>
    <definedName name="Network">#REF!</definedName>
    <definedName name="NEW" hidden="1">#REF!</definedName>
    <definedName name="ñkklk" localSheetId="3" hidden="1">{#N/A,#N/A,FALSE,"Aging Summary";#N/A,#N/A,FALSE,"Ratio Analysis";#N/A,#N/A,FALSE,"Test 120 Day Accts";#N/A,#N/A,FALSE,"Tickmarks"}</definedName>
    <definedName name="ñkklk" localSheetId="2" hidden="1">{#N/A,#N/A,FALSE,"Aging Summary";#N/A,#N/A,FALSE,"Ratio Analysis";#N/A,#N/A,FALSE,"Test 120 Day Accts";#N/A,#N/A,FALSE,"Tickmarks"}</definedName>
    <definedName name="ñkklk" hidden="1">{#N/A,#N/A,FALSE,"Aging Summary";#N/A,#N/A,FALSE,"Ratio Analysis";#N/A,#N/A,FALSE,"Test 120 Day Accts";#N/A,#N/A,FALSE,"Tickmarks"}</definedName>
    <definedName name="ñkklk_1" localSheetId="3" hidden="1">{#N/A,#N/A,FALSE,"Aging Summary";#N/A,#N/A,FALSE,"Ratio Analysis";#N/A,#N/A,FALSE,"Test 120 Day Accts";#N/A,#N/A,FALSE,"Tickmarks"}</definedName>
    <definedName name="ñkklk_1" localSheetId="2" hidden="1">{#N/A,#N/A,FALSE,"Aging Summary";#N/A,#N/A,FALSE,"Ratio Analysis";#N/A,#N/A,FALSE,"Test 120 Day Accts";#N/A,#N/A,FALSE,"Tickmarks"}</definedName>
    <definedName name="ñkklk_1" hidden="1">{#N/A,#N/A,FALSE,"Aging Summary";#N/A,#N/A,FALSE,"Ratio Analysis";#N/A,#N/A,FALSE,"Test 120 Day Accts";#N/A,#N/A,FALSE,"Tickmarks"}</definedName>
    <definedName name="ÑLKLÑ" hidden="1">#REF!</definedName>
    <definedName name="nnn" localSheetId="3" hidden="1">{#N/A,#N/A,FALSE,"1321";#N/A,#N/A,FALSE,"1324";#N/A,#N/A,FALSE,"1333";#N/A,#N/A,FALSE,"1371"}</definedName>
    <definedName name="nnn" localSheetId="2" hidden="1">{#N/A,#N/A,FALSE,"1321";#N/A,#N/A,FALSE,"1324";#N/A,#N/A,FALSE,"1333";#N/A,#N/A,FALSE,"1371"}</definedName>
    <definedName name="nnn" hidden="1">{#N/A,#N/A,FALSE,"1321";#N/A,#N/A,FALSE,"1324";#N/A,#N/A,FALSE,"1333";#N/A,#N/A,FALSE,"1371"}</definedName>
    <definedName name="nnnnnn" localSheetId="3" hidden="1">{#N/A,#N/A,FALSE,"1321";#N/A,#N/A,FALSE,"1324";#N/A,#N/A,FALSE,"1333";#N/A,#N/A,FALSE,"1371"}</definedName>
    <definedName name="nnnnnn" localSheetId="2" hidden="1">{#N/A,#N/A,FALSE,"1321";#N/A,#N/A,FALSE,"1324";#N/A,#N/A,FALSE,"1333";#N/A,#N/A,FALSE,"1371"}</definedName>
    <definedName name="nnnnnn" hidden="1">{#N/A,#N/A,FALSE,"1321";#N/A,#N/A,FALSE,"1324";#N/A,#N/A,FALSE,"1333";#N/A,#N/A,FALSE,"1371"}</definedName>
    <definedName name="ññññññ" localSheetId="3" hidden="1">{"balanço dolares",#N/A,FALSE,"SIGADR$";"AUT BAL REAIS",#N/A,FALSE,"SIGADR$";"QUOCIENTES REAIS",#N/A,FALSE,"QUOCIENTES";"JUNH QUOCI DOLARES",#N/A,FALSE,"QUOCIENTES"}</definedName>
    <definedName name="ññññññ" localSheetId="2" hidden="1">{"balanço dolares",#N/A,FALSE,"SIGADR$";"AUT BAL REAIS",#N/A,FALSE,"SIGADR$";"QUOCIENTES REAIS",#N/A,FALSE,"QUOCIENTES";"JUNH QUOCI DOLARES",#N/A,FALSE,"QUOCIENTES"}</definedName>
    <definedName name="ññññññ" hidden="1">{"balanço dolares",#N/A,FALSE,"SIGADR$";"AUT BAL REAIS",#N/A,FALSE,"SIGADR$";"QUOCIENTES REAIS",#N/A,FALSE,"QUOCIENTES";"JUNH QUOCI DOLARES",#N/A,FALSE,"QUOCIENTES"}</definedName>
    <definedName name="ññññññ_1" localSheetId="3" hidden="1">{"balanço dolares",#N/A,FALSE,"SIGADR$";"AUT BAL REAIS",#N/A,FALSE,"SIGADR$";"QUOCIENTES REAIS",#N/A,FALSE,"QUOCIENTES";"JUNH QUOCI DOLARES",#N/A,FALSE,"QUOCIENTES"}</definedName>
    <definedName name="ññññññ_1" localSheetId="2" hidden="1">{"balanço dolares",#N/A,FALSE,"SIGADR$";"AUT BAL REAIS",#N/A,FALSE,"SIGADR$";"QUOCIENTES REAIS",#N/A,FALSE,"QUOCIENTES";"JUNH QUOCI DOLARES",#N/A,FALSE,"QUOCIENTES"}</definedName>
    <definedName name="ññññññ_1" hidden="1">{"balanço dolares",#N/A,FALSE,"SIGADR$";"AUT BAL REAIS",#N/A,FALSE,"SIGADR$";"QUOCIENTES REAIS",#N/A,FALSE,"QUOCIENTES";"JUNH QUOCI DOLARES",#N/A,FALSE,"QUOCIENTES"}</definedName>
    <definedName name="no" localSheetId="3" hidden="1">{#N/A,#N/A,TRUE,"MEMO";#N/A,#N/A,TRUE,"PARAMETROS";#N/A,#N/A,TRUE,"RLI ";#N/A,#N/A,TRUE,"IMPTO.DET.";#N/A,#N/A,TRUE,"FUT-FUNT";#N/A,#N/A,TRUE,"CPI-PATR.";#N/A,#N/A,TRUE,"CM CPI";#N/A,#N/A,TRUE,"PROV";#N/A,#N/A,TRUE,"A FIJO";#N/A,#N/A,TRUE,"LEASING";#N/A,#N/A,TRUE,"VPP";#N/A,#N/A,TRUE,"PPM";#N/A,#N/A,TRUE,"OTROS"}</definedName>
    <definedName name="no" localSheetId="2" hidden="1">{#N/A,#N/A,TRUE,"MEMO";#N/A,#N/A,TRUE,"PARAMETROS";#N/A,#N/A,TRUE,"RLI ";#N/A,#N/A,TRUE,"IMPTO.DET.";#N/A,#N/A,TRUE,"FUT-FUNT";#N/A,#N/A,TRUE,"CPI-PATR.";#N/A,#N/A,TRUE,"CM CPI";#N/A,#N/A,TRUE,"PROV";#N/A,#N/A,TRUE,"A FIJO";#N/A,#N/A,TRUE,"LEASING";#N/A,#N/A,TRUE,"VPP";#N/A,#N/A,TRUE,"PPM";#N/A,#N/A,TRUE,"OTROS"}</definedName>
    <definedName name="no" hidden="1">{#N/A,#N/A,TRUE,"MEMO";#N/A,#N/A,TRUE,"PARAMETROS";#N/A,#N/A,TRUE,"RLI ";#N/A,#N/A,TRUE,"IMPTO.DET.";#N/A,#N/A,TRUE,"FUT-FUNT";#N/A,#N/A,TRUE,"CPI-PATR.";#N/A,#N/A,TRUE,"CM CPI";#N/A,#N/A,TRUE,"PROV";#N/A,#N/A,TRUE,"A FIJO";#N/A,#N/A,TRUE,"LEASING";#N/A,#N/A,TRUE,"VPP";#N/A,#N/A,TRUE,"PPM";#N/A,#N/A,TRUE,"OTROS"}</definedName>
    <definedName name="NOOFFFSEGMENTS1">[10]CRITERIA1!$B$18</definedName>
    <definedName name="NOV2A">[4]NOV!$A$10:$L$12</definedName>
    <definedName name="nova">#REF!</definedName>
    <definedName name="NOVCONF">[4]NOV!$G$24:$I$25</definedName>
    <definedName name="NSysCube">#REF!</definedName>
    <definedName name="Nuevo" localSheetId="3" hidden="1">{#N/A,#N/A,FALSE,"Aging Summary";#N/A,#N/A,FALSE,"Ratio Analysis";#N/A,#N/A,FALSE,"Test 120 Day Accts";#N/A,#N/A,FALSE,"Tickmarks"}</definedName>
    <definedName name="Nuevo" localSheetId="2" hidden="1">{#N/A,#N/A,FALSE,"Aging Summary";#N/A,#N/A,FALSE,"Ratio Analysis";#N/A,#N/A,FALSE,"Test 120 Day Accts";#N/A,#N/A,FALSE,"Tickmarks"}</definedName>
    <definedName name="Nuevo" hidden="1">{#N/A,#N/A,FALSE,"Aging Summary";#N/A,#N/A,FALSE,"Ratio Analysis";#N/A,#N/A,FALSE,"Test 120 Day Accts";#N/A,#N/A,FALSE,"Tickmarks"}</definedName>
    <definedName name="Nuevo_1" localSheetId="3" hidden="1">{#N/A,#N/A,FALSE,"Aging Summary";#N/A,#N/A,FALSE,"Ratio Analysis";#N/A,#N/A,FALSE,"Test 120 Day Accts";#N/A,#N/A,FALSE,"Tickmarks"}</definedName>
    <definedName name="Nuevo_1" localSheetId="2" hidden="1">{#N/A,#N/A,FALSE,"Aging Summary";#N/A,#N/A,FALSE,"Ratio Analysis";#N/A,#N/A,FALSE,"Test 120 Day Accts";#N/A,#N/A,FALSE,"Tickmarks"}</definedName>
    <definedName name="Nuevo_1" hidden="1">{#N/A,#N/A,FALSE,"Aging Summary";#N/A,#N/A,FALSE,"Ratio Analysis";#N/A,#N/A,FALSE,"Test 120 Day Accts";#N/A,#N/A,FALSE,"Tickmarks"}</definedName>
    <definedName name="nuevo2" localSheetId="3" hidden="1">{#N/A,#N/A,FALSE,"Aging Summary";#N/A,#N/A,FALSE,"Ratio Analysis";#N/A,#N/A,FALSE,"Test 120 Day Accts";#N/A,#N/A,FALSE,"Tickmarks"}</definedName>
    <definedName name="nuevo2" localSheetId="2" hidden="1">{#N/A,#N/A,FALSE,"Aging Summary";#N/A,#N/A,FALSE,"Ratio Analysis";#N/A,#N/A,FALSE,"Test 120 Day Accts";#N/A,#N/A,FALSE,"Tickmarks"}</definedName>
    <definedName name="nuevo2" hidden="1">{#N/A,#N/A,FALSE,"Aging Summary";#N/A,#N/A,FALSE,"Ratio Analysis";#N/A,#N/A,FALSE,"Test 120 Day Accts";#N/A,#N/A,FALSE,"Tickmarks"}</definedName>
    <definedName name="nuevo2_1" localSheetId="3" hidden="1">{#N/A,#N/A,FALSE,"Aging Summary";#N/A,#N/A,FALSE,"Ratio Analysis";#N/A,#N/A,FALSE,"Test 120 Day Accts";#N/A,#N/A,FALSE,"Tickmarks"}</definedName>
    <definedName name="nuevo2_1" localSheetId="2" hidden="1">{#N/A,#N/A,FALSE,"Aging Summary";#N/A,#N/A,FALSE,"Ratio Analysis";#N/A,#N/A,FALSE,"Test 120 Day Accts";#N/A,#N/A,FALSE,"Tickmarks"}</definedName>
    <definedName name="nuevo2_1" hidden="1">{#N/A,#N/A,FALSE,"Aging Summary";#N/A,#N/A,FALSE,"Ratio Analysis";#N/A,#N/A,FALSE,"Test 120 Day Accts";#N/A,#N/A,FALSE,"Tickmarks"}</definedName>
    <definedName name="nuevo3" localSheetId="3" hidden="1">{#N/A,#N/A,FALSE,"Aging Summary";#N/A,#N/A,FALSE,"Ratio Analysis";#N/A,#N/A,FALSE,"Test 120 Day Accts";#N/A,#N/A,FALSE,"Tickmarks"}</definedName>
    <definedName name="nuevo3" localSheetId="2" hidden="1">{#N/A,#N/A,FALSE,"Aging Summary";#N/A,#N/A,FALSE,"Ratio Analysis";#N/A,#N/A,FALSE,"Test 120 Day Accts";#N/A,#N/A,FALSE,"Tickmarks"}</definedName>
    <definedName name="nuevo3" hidden="1">{#N/A,#N/A,FALSE,"Aging Summary";#N/A,#N/A,FALSE,"Ratio Analysis";#N/A,#N/A,FALSE,"Test 120 Day Accts";#N/A,#N/A,FALSE,"Tickmarks"}</definedName>
    <definedName name="nuevo3_1" localSheetId="3" hidden="1">{#N/A,#N/A,FALSE,"Aging Summary";#N/A,#N/A,FALSE,"Ratio Analysis";#N/A,#N/A,FALSE,"Test 120 Day Accts";#N/A,#N/A,FALSE,"Tickmarks"}</definedName>
    <definedName name="nuevo3_1" localSheetId="2" hidden="1">{#N/A,#N/A,FALSE,"Aging Summary";#N/A,#N/A,FALSE,"Ratio Analysis";#N/A,#N/A,FALSE,"Test 120 Day Accts";#N/A,#N/A,FALSE,"Tickmarks"}</definedName>
    <definedName name="nuevo3_1" hidden="1">{#N/A,#N/A,FALSE,"Aging Summary";#N/A,#N/A,FALSE,"Ratio Analysis";#N/A,#N/A,FALSE,"Test 120 Day Accts";#N/A,#N/A,FALSE,"Tickmarks"}</definedName>
    <definedName name="Nuevo4" localSheetId="3" hidden="1">{#N/A,#N/A,FALSE,"Aging Summary";#N/A,#N/A,FALSE,"Ratio Analysis";#N/A,#N/A,FALSE,"Test 120 Day Accts";#N/A,#N/A,FALSE,"Tickmarks"}</definedName>
    <definedName name="Nuevo4" localSheetId="2" hidden="1">{#N/A,#N/A,FALSE,"Aging Summary";#N/A,#N/A,FALSE,"Ratio Analysis";#N/A,#N/A,FALSE,"Test 120 Day Accts";#N/A,#N/A,FALSE,"Tickmarks"}</definedName>
    <definedName name="Nuevo4" hidden="1">{#N/A,#N/A,FALSE,"Aging Summary";#N/A,#N/A,FALSE,"Ratio Analysis";#N/A,#N/A,FALSE,"Test 120 Day Accts";#N/A,#N/A,FALSE,"Tickmarks"}</definedName>
    <definedName name="Nuevo4_1" localSheetId="3" hidden="1">{#N/A,#N/A,FALSE,"Aging Summary";#N/A,#N/A,FALSE,"Ratio Analysis";#N/A,#N/A,FALSE,"Test 120 Day Accts";#N/A,#N/A,FALSE,"Tickmarks"}</definedName>
    <definedName name="Nuevo4_1" localSheetId="2" hidden="1">{#N/A,#N/A,FALSE,"Aging Summary";#N/A,#N/A,FALSE,"Ratio Analysis";#N/A,#N/A,FALSE,"Test 120 Day Accts";#N/A,#N/A,FALSE,"Tickmarks"}</definedName>
    <definedName name="Nuevo4_1" hidden="1">{#N/A,#N/A,FALSE,"Aging Summary";#N/A,#N/A,FALSE,"Ratio Analysis";#N/A,#N/A,FALSE,"Test 120 Day Accts";#N/A,#N/A,FALSE,"Tickmarks"}</definedName>
    <definedName name="NUMBEROFDETAILFIELDS1">[10]CRITERIA1!$B$29</definedName>
    <definedName name="NUMBEROFHEADERFIELDS1">[10]CRITERIA1!$B$28</definedName>
    <definedName name="NumofGrpAccts" hidden="1">2</definedName>
    <definedName name="NUMVCH">[4]VOUCHER!$Q$10</definedName>
    <definedName name="o_" hidden="1">#REF!</definedName>
    <definedName name="OCTUBRE" localSheetId="3" hidden="1">{"'ICE  Agosto'!$A$60:$A$64","'ICE  Agosto'!$C$67"}</definedName>
    <definedName name="OCTUBRE" localSheetId="2" hidden="1">{"'ICE  Agosto'!$A$60:$A$64","'ICE  Agosto'!$C$67"}</definedName>
    <definedName name="OCTUBRE" hidden="1">{"'ICE  Agosto'!$A$60:$A$64","'ICE  Agosto'!$C$67"}</definedName>
    <definedName name="ODONTOPREV">#REF!</definedName>
    <definedName name="oiuhe80" localSheetId="3" hidden="1">{#N/A,#N/A,TRUE,"MEMO";#N/A,#N/A,TRUE,"PARAMETROS";#N/A,#N/A,TRUE,"RLI ";#N/A,#N/A,TRUE,"IMPTO.DET.";#N/A,#N/A,TRUE,"FUT-FUNT";#N/A,#N/A,TRUE,"CPI-PATR.";#N/A,#N/A,TRUE,"CM CPI";#N/A,#N/A,TRUE,"PROV";#N/A,#N/A,TRUE,"A FIJO";#N/A,#N/A,TRUE,"LEASING";#N/A,#N/A,TRUE,"VPP";#N/A,#N/A,TRUE,"PPM";#N/A,#N/A,TRUE,"OTROS"}</definedName>
    <definedName name="oiuhe80" localSheetId="2" hidden="1">{#N/A,#N/A,TRUE,"MEMO";#N/A,#N/A,TRUE,"PARAMETROS";#N/A,#N/A,TRUE,"RLI ";#N/A,#N/A,TRUE,"IMPTO.DET.";#N/A,#N/A,TRUE,"FUT-FUNT";#N/A,#N/A,TRUE,"CPI-PATR.";#N/A,#N/A,TRUE,"CM CPI";#N/A,#N/A,TRUE,"PROV";#N/A,#N/A,TRUE,"A FIJO";#N/A,#N/A,TRUE,"LEASING";#N/A,#N/A,TRUE,"VPP";#N/A,#N/A,TRUE,"PPM";#N/A,#N/A,TRUE,"OTROS"}</definedName>
    <definedName name="oiuhe80" hidden="1">{#N/A,#N/A,TRUE,"MEMO";#N/A,#N/A,TRUE,"PARAMETROS";#N/A,#N/A,TRUE,"RLI ";#N/A,#N/A,TRUE,"IMPTO.DET.";#N/A,#N/A,TRUE,"FUT-FUNT";#N/A,#N/A,TRUE,"CPI-PATR.";#N/A,#N/A,TRUE,"CM CPI";#N/A,#N/A,TRUE,"PROV";#N/A,#N/A,TRUE,"A FIJO";#N/A,#N/A,TRUE,"LEASING";#N/A,#N/A,TRUE,"VPP";#N/A,#N/A,TRUE,"PPM";#N/A,#N/A,TRUE,"OTROS"}</definedName>
    <definedName name="oja" localSheetId="3" hidden="1">{#N/A,#N/A,FALSE,"Aging Summary";#N/A,#N/A,FALSE,"Ratio Analysis";#N/A,#N/A,FALSE,"Test 120 Day Accts";#N/A,#N/A,FALSE,"Tickmarks"}</definedName>
    <definedName name="oja" localSheetId="2" hidden="1">{#N/A,#N/A,FALSE,"Aging Summary";#N/A,#N/A,FALSE,"Ratio Analysis";#N/A,#N/A,FALSE,"Test 120 Day Accts";#N/A,#N/A,FALSE,"Tickmarks"}</definedName>
    <definedName name="oja" hidden="1">{#N/A,#N/A,FALSE,"Aging Summary";#N/A,#N/A,FALSE,"Ratio Analysis";#N/A,#N/A,FALSE,"Test 120 Day Accts";#N/A,#N/A,FALSE,"Tickmarks"}</definedName>
    <definedName name="oja_1" localSheetId="3" hidden="1">{#N/A,#N/A,FALSE,"Aging Summary";#N/A,#N/A,FALSE,"Ratio Analysis";#N/A,#N/A,FALSE,"Test 120 Day Accts";#N/A,#N/A,FALSE,"Tickmarks"}</definedName>
    <definedName name="oja_1" localSheetId="2" hidden="1">{#N/A,#N/A,FALSE,"Aging Summary";#N/A,#N/A,FALSE,"Ratio Analysis";#N/A,#N/A,FALSE,"Test 120 Day Accts";#N/A,#N/A,FALSE,"Tickmarks"}</definedName>
    <definedName name="oja_1" hidden="1">{#N/A,#N/A,FALSE,"Aging Summary";#N/A,#N/A,FALSE,"Ratio Analysis";#N/A,#N/A,FALSE,"Test 120 Day Accts";#N/A,#N/A,FALSE,"Tickmarks"}</definedName>
    <definedName name="OO" hidden="1">#N/A</definedName>
    <definedName name="oojop" localSheetId="3" hidden="1">{#N/A,#N/A,FALSE,"Aging Summary";#N/A,#N/A,FALSE,"Ratio Analysis";#N/A,#N/A,FALSE,"Test 120 Day Accts";#N/A,#N/A,FALSE,"Tickmarks"}</definedName>
    <definedName name="oojop" localSheetId="2" hidden="1">{#N/A,#N/A,FALSE,"Aging Summary";#N/A,#N/A,FALSE,"Ratio Analysis";#N/A,#N/A,FALSE,"Test 120 Day Accts";#N/A,#N/A,FALSE,"Tickmarks"}</definedName>
    <definedName name="oojop" hidden="1">{#N/A,#N/A,FALSE,"Aging Summary";#N/A,#N/A,FALSE,"Ratio Analysis";#N/A,#N/A,FALSE,"Test 120 Day Accts";#N/A,#N/A,FALSE,"Tickmarks"}</definedName>
    <definedName name="oojop_1" localSheetId="3" hidden="1">{#N/A,#N/A,FALSE,"Aging Summary";#N/A,#N/A,FALSE,"Ratio Analysis";#N/A,#N/A,FALSE,"Test 120 Day Accts";#N/A,#N/A,FALSE,"Tickmarks"}</definedName>
    <definedName name="oojop_1" localSheetId="2" hidden="1">{#N/A,#N/A,FALSE,"Aging Summary";#N/A,#N/A,FALSE,"Ratio Analysis";#N/A,#N/A,FALSE,"Test 120 Day Accts";#N/A,#N/A,FALSE,"Tickmarks"}</definedName>
    <definedName name="oojop_1" hidden="1">{#N/A,#N/A,FALSE,"Aging Summary";#N/A,#N/A,FALSE,"Ratio Analysis";#N/A,#N/A,FALSE,"Test 120 Day Accts";#N/A,#N/A,FALSE,"Tickmarks"}</definedName>
    <definedName name="OOO" localSheetId="3" hidden="1">{"balanço dolares",#N/A,FALSE,"SIGADR$";"AUT BAL REAIS",#N/A,FALSE,"SIGADR$";"QUOCIENTES REAIS",#N/A,FALSE,"QUOCIENTES";"JUNH QUOCI DOLARES",#N/A,FALSE,"QUOCIENTES"}</definedName>
    <definedName name="OOO" localSheetId="2" hidden="1">{"balanço dolares",#N/A,FALSE,"SIGADR$";"AUT BAL REAIS",#N/A,FALSE,"SIGADR$";"QUOCIENTES REAIS",#N/A,FALSE,"QUOCIENTES";"JUNH QUOCI DOLARES",#N/A,FALSE,"QUOCIENTES"}</definedName>
    <definedName name="OOO" hidden="1">{"balanço dolares",#N/A,FALSE,"SIGADR$";"AUT BAL REAIS",#N/A,FALSE,"SIGADR$";"QUOCIENTES REAIS",#N/A,FALSE,"QUOCIENTES";"JUNH QUOCI DOLARES",#N/A,FALSE,"QUOCIENTES"}</definedName>
    <definedName name="OOO_1" localSheetId="3" hidden="1">{"balanço dolares",#N/A,FALSE,"SIGADR$";"AUT BAL REAIS",#N/A,FALSE,"SIGADR$";"QUOCIENTES REAIS",#N/A,FALSE,"QUOCIENTES";"JUNH QUOCI DOLARES",#N/A,FALSE,"QUOCIENTES"}</definedName>
    <definedName name="OOO_1" localSheetId="2" hidden="1">{"balanço dolares",#N/A,FALSE,"SIGADR$";"AUT BAL REAIS",#N/A,FALSE,"SIGADR$";"QUOCIENTES REAIS",#N/A,FALSE,"QUOCIENTES";"JUNH QUOCI DOLARES",#N/A,FALSE,"QUOCIENTES"}</definedName>
    <definedName name="OOO_1" hidden="1">{"balanço dolares",#N/A,FALSE,"SIGADR$";"AUT BAL REAIS",#N/A,FALSE,"SIGADR$";"QUOCIENTES REAIS",#N/A,FALSE,"QUOCIENTES";"JUNH QUOCI DOLARES",#N/A,FALSE,"QUOCIENTES"}</definedName>
    <definedName name="OOOO" localSheetId="3" hidden="1">{#N/A,#N/A,FALSE,"Aging Summary";#N/A,#N/A,FALSE,"Ratio Analysis";#N/A,#N/A,FALSE,"Test 120 Day Accts";#N/A,#N/A,FALSE,"Tickmarks"}</definedName>
    <definedName name="OOOO" localSheetId="2" hidden="1">{#N/A,#N/A,FALSE,"Aging Summary";#N/A,#N/A,FALSE,"Ratio Analysis";#N/A,#N/A,FALSE,"Test 120 Day Accts";#N/A,#N/A,FALSE,"Tickmarks"}</definedName>
    <definedName name="OOOO" hidden="1">{#N/A,#N/A,FALSE,"Aging Summary";#N/A,#N/A,FALSE,"Ratio Analysis";#N/A,#N/A,FALSE,"Test 120 Day Accts";#N/A,#N/A,FALSE,"Tickmarks"}</definedName>
    <definedName name="OOOO_1" localSheetId="3" hidden="1">{#N/A,#N/A,FALSE,"Aging Summary";#N/A,#N/A,FALSE,"Ratio Analysis";#N/A,#N/A,FALSE,"Test 120 Day Accts";#N/A,#N/A,FALSE,"Tickmarks"}</definedName>
    <definedName name="OOOO_1" localSheetId="2" hidden="1">{#N/A,#N/A,FALSE,"Aging Summary";#N/A,#N/A,FALSE,"Ratio Analysis";#N/A,#N/A,FALSE,"Test 120 Day Accts";#N/A,#N/A,FALSE,"Tickmarks"}</definedName>
    <definedName name="OOOO_1" hidden="1">{#N/A,#N/A,FALSE,"Aging Summary";#N/A,#N/A,FALSE,"Ratio Analysis";#N/A,#N/A,FALSE,"Test 120 Day Accts";#N/A,#N/A,FALSE,"Tickmarks"}</definedName>
    <definedName name="OOOOO" localSheetId="3" hidden="1">{#N/A,#N/A,FALSE,"Aging Summary";#N/A,#N/A,FALSE,"Ratio Analysis";#N/A,#N/A,FALSE,"Test 120 Day Accts";#N/A,#N/A,FALSE,"Tickmarks"}</definedName>
    <definedName name="OOOOO" localSheetId="2" hidden="1">{#N/A,#N/A,FALSE,"Aging Summary";#N/A,#N/A,FALSE,"Ratio Analysis";#N/A,#N/A,FALSE,"Test 120 Day Accts";#N/A,#N/A,FALSE,"Tickmarks"}</definedName>
    <definedName name="OOOOO" hidden="1">{#N/A,#N/A,FALSE,"Aging Summary";#N/A,#N/A,FALSE,"Ratio Analysis";#N/A,#N/A,FALSE,"Test 120 Day Accts";#N/A,#N/A,FALSE,"Tickmarks"}</definedName>
    <definedName name="OOOOO_1" localSheetId="3" hidden="1">{#N/A,#N/A,FALSE,"Aging Summary";#N/A,#N/A,FALSE,"Ratio Analysis";#N/A,#N/A,FALSE,"Test 120 Day Accts";#N/A,#N/A,FALSE,"Tickmarks"}</definedName>
    <definedName name="OOOOO_1" localSheetId="2" hidden="1">{#N/A,#N/A,FALSE,"Aging Summary";#N/A,#N/A,FALSE,"Ratio Analysis";#N/A,#N/A,FALSE,"Test 120 Day Accts";#N/A,#N/A,FALSE,"Tickmarks"}</definedName>
    <definedName name="OOOOO_1" hidden="1">{#N/A,#N/A,FALSE,"Aging Summary";#N/A,#N/A,FALSE,"Ratio Analysis";#N/A,#N/A,FALSE,"Test 120 Day Accts";#N/A,#N/A,FALSE,"Tickmarks"}</definedName>
    <definedName name="OUT2A">[4]OUT!$A$10:$L$12</definedName>
    <definedName name="OUTAFFEV">[4]FEV!$O$1188</definedName>
    <definedName name="OUTAFJAN">[4]JAN!$O$751</definedName>
    <definedName name="OUTAFMAR">[4]MAR!$O$1338</definedName>
    <definedName name="OUTCONF">[4]OUT!$G$24:$I$25</definedName>
    <definedName name="OUTMCFEV">[4]FEV!$R$791</definedName>
    <definedName name="OUTMCJAN">[4]JAN!$R$721</definedName>
    <definedName name="OUTMCMAR">[4]MAR!$R$646</definedName>
    <definedName name="OUTMPFEV">[4]FEV!$I$1687</definedName>
    <definedName name="OUTMPJAN">[4]JAN!$I$1633</definedName>
    <definedName name="OUTMPMAR">[4]MAR!$I$2077</definedName>
    <definedName name="ºvbnsçogb"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ºvbnsçogb"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ºvbnsçogb"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p_1" localSheetId="3" hidden="1">{#N/A,#N/A,FALSE,"Aging Summary";#N/A,#N/A,FALSE,"Ratio Analysis";#N/A,#N/A,FALSE,"Test 120 Day Accts";#N/A,#N/A,FALSE,"Tickmarks"}</definedName>
    <definedName name="p_1" localSheetId="2" hidden="1">{#N/A,#N/A,FALSE,"Aging Summary";#N/A,#N/A,FALSE,"Ratio Analysis";#N/A,#N/A,FALSE,"Test 120 Day Accts";#N/A,#N/A,FALSE,"Tickmarks"}</definedName>
    <definedName name="p_1" hidden="1">{#N/A,#N/A,FALSE,"Aging Summary";#N/A,#N/A,FALSE,"Ratio Analysis";#N/A,#N/A,FALSE,"Test 120 Day Accts";#N/A,#N/A,FALSE,"Tickmarks"}</definedName>
    <definedName name="P_60054">#REF!</definedName>
    <definedName name="pajfhaj" localSheetId="3" hidden="1">{#N/A,#N/A,TRUE,"MEMO";#N/A,#N/A,TRUE,"PARAMETROS";#N/A,#N/A,TRUE,"RLI ";#N/A,#N/A,TRUE,"IMPTO.DET.";#N/A,#N/A,TRUE,"FUT-FUNT";#N/A,#N/A,TRUE,"CPI-PATR.";#N/A,#N/A,TRUE,"CM CPI";#N/A,#N/A,TRUE,"PROV";#N/A,#N/A,TRUE,"A FIJO";#N/A,#N/A,TRUE,"LEASING";#N/A,#N/A,TRUE,"VPP";#N/A,#N/A,TRUE,"PPM";#N/A,#N/A,TRUE,"OTROS"}</definedName>
    <definedName name="pajfhaj" localSheetId="2" hidden="1">{#N/A,#N/A,TRUE,"MEMO";#N/A,#N/A,TRUE,"PARAMETROS";#N/A,#N/A,TRUE,"RLI ";#N/A,#N/A,TRUE,"IMPTO.DET.";#N/A,#N/A,TRUE,"FUT-FUNT";#N/A,#N/A,TRUE,"CPI-PATR.";#N/A,#N/A,TRUE,"CM CPI";#N/A,#N/A,TRUE,"PROV";#N/A,#N/A,TRUE,"A FIJO";#N/A,#N/A,TRUE,"LEASING";#N/A,#N/A,TRUE,"VPP";#N/A,#N/A,TRUE,"PPM";#N/A,#N/A,TRUE,"OTROS"}</definedName>
    <definedName name="pajfhaj" hidden="1">{#N/A,#N/A,TRUE,"MEMO";#N/A,#N/A,TRUE,"PARAMETROS";#N/A,#N/A,TRUE,"RLI ";#N/A,#N/A,TRUE,"IMPTO.DET.";#N/A,#N/A,TRUE,"FUT-FUNT";#N/A,#N/A,TRUE,"CPI-PATR.";#N/A,#N/A,TRUE,"CM CPI";#N/A,#N/A,TRUE,"PROV";#N/A,#N/A,TRUE,"A FIJO";#N/A,#N/A,TRUE,"LEASING";#N/A,#N/A,TRUE,"VPP";#N/A,#N/A,TRUE,"PPM";#N/A,#N/A,TRUE,"OTROS"}</definedName>
    <definedName name="partida">#REF!</definedName>
    <definedName name="pasta" localSheetId="3" hidden="1">{#N/A,#N/A,FALSE,"pedido"}</definedName>
    <definedName name="pasta" localSheetId="2" hidden="1">{#N/A,#N/A,FALSE,"pedido"}</definedName>
    <definedName name="pasta" hidden="1">{#N/A,#N/A,FALSE,"pedido"}</definedName>
    <definedName name="paulo" hidden="1">#N/A</definedName>
    <definedName name="PD">#REF!</definedName>
    <definedName name="pegn">#REF!</definedName>
    <definedName name="PENSÃO">#REF!</definedName>
    <definedName name="PERIODSETNAME1">[10]CRITERIA1!$B$4</definedName>
    <definedName name="PickCube">[20]!PickCube</definedName>
    <definedName name="PickElement">[20]!PickElement</definedName>
    <definedName name="pinco" hidden="1">[26]ce!#REF!</definedName>
    <definedName name="pippo" hidden="1">[27]ce!#REF!</definedName>
    <definedName name="piscofins">'[12]Capital Call'!$O$71</definedName>
    <definedName name="PL">#REF!</definedName>
    <definedName name="PLAN1">[28]CRITERIA1!$B$5</definedName>
    <definedName name="PLAN2">[28]CRITERIA2!$B$5</definedName>
    <definedName name="PLAN3">[28]CRITERIA1!$B$14</definedName>
    <definedName name="playboy">#REF!</definedName>
    <definedName name="pmm">[24]MARECTR!$A$10:$M$511</definedName>
    <definedName name="pñ" localSheetId="3" hidden="1">{"AUT ANALISE DESP",#N/A,TRUE,"AN.DESP. MR$"}</definedName>
    <definedName name="pñ" localSheetId="2" hidden="1">{"AUT ANALISE DESP",#N/A,TRUE,"AN.DESP. MR$"}</definedName>
    <definedName name="pñ" hidden="1">{"AUT ANALISE DESP",#N/A,TRUE,"AN.DESP. MR$"}</definedName>
    <definedName name="pñ_1" localSheetId="3" hidden="1">{"AUT ANALISE DESP",#N/A,TRUE,"AN.DESP. MR$"}</definedName>
    <definedName name="pñ_1" localSheetId="2" hidden="1">{"AUT ANALISE DESP",#N/A,TRUE,"AN.DESP. MR$"}</definedName>
    <definedName name="pñ_1" hidden="1">{"AUT ANALISE DESP",#N/A,TRUE,"AN.DESP. MR$"}</definedName>
    <definedName name="pñkj" localSheetId="3" hidden="1">{#N/A,#N/A,TRUE,"ComparativoII"}</definedName>
    <definedName name="pñkj" localSheetId="2" hidden="1">{#N/A,#N/A,TRUE,"ComparativoII"}</definedName>
    <definedName name="pñkj" hidden="1">{#N/A,#N/A,TRUE,"ComparativoII"}</definedName>
    <definedName name="pñkj_1" localSheetId="3" hidden="1">{#N/A,#N/A,TRUE,"ComparativoII"}</definedName>
    <definedName name="pñkj_1" localSheetId="2" hidden="1">{#N/A,#N/A,TRUE,"ComparativoII"}</definedName>
    <definedName name="pñkj_1" hidden="1">{#N/A,#N/A,TRUE,"ComparativoII"}</definedName>
    <definedName name="PopCube">#REF!</definedName>
    <definedName name="POSTERRORSTOSUSP1">[10]CRITERIA1!$B$34</definedName>
    <definedName name="poto_1" localSheetId="3" hidden="1">{#N/A,#N/A,FALSE,"Aging Summary";#N/A,#N/A,FALSE,"Ratio Analysis";#N/A,#N/A,FALSE,"Test 120 Day Accts";#N/A,#N/A,FALSE,"Tickmarks"}</definedName>
    <definedName name="poto_1" localSheetId="2" hidden="1">{#N/A,#N/A,FALSE,"Aging Summary";#N/A,#N/A,FALSE,"Ratio Analysis";#N/A,#N/A,FALSE,"Test 120 Day Accts";#N/A,#N/A,FALSE,"Tickmarks"}</definedName>
    <definedName name="poto_1" hidden="1">{#N/A,#N/A,FALSE,"Aging Summary";#N/A,#N/A,FALSE,"Ratio Analysis";#N/A,#N/A,FALSE,"Test 120 Day Accts";#N/A,#N/A,FALSE,"Tickmarks"}</definedName>
    <definedName name="pp" localSheetId="3" hidden="1">{#N/A,#N/A,FALSE,"Aging Summary";#N/A,#N/A,FALSE,"Ratio Analysis";#N/A,#N/A,FALSE,"Test 120 Day Accts";#N/A,#N/A,FALSE,"Tickmarks"}</definedName>
    <definedName name="pp" localSheetId="2" hidden="1">{#N/A,#N/A,FALSE,"Aging Summary";#N/A,#N/A,FALSE,"Ratio Analysis";#N/A,#N/A,FALSE,"Test 120 Day Accts";#N/A,#N/A,FALSE,"Tickmarks"}</definedName>
    <definedName name="pp" hidden="1">{#N/A,#N/A,FALSE,"Aging Summary";#N/A,#N/A,FALSE,"Ratio Analysis";#N/A,#N/A,FALSE,"Test 120 Day Accts";#N/A,#N/A,FALSE,"Tickmarks"}</definedName>
    <definedName name="ppm" localSheetId="3" hidden="1">{#N/A,#N/A,FALSE,"Aging Summary";#N/A,#N/A,FALSE,"Ratio Analysis";#N/A,#N/A,FALSE,"Test 120 Day Accts";#N/A,#N/A,FALSE,"Tickmarks"}</definedName>
    <definedName name="ppm" localSheetId="2" hidden="1">{#N/A,#N/A,FALSE,"Aging Summary";#N/A,#N/A,FALSE,"Ratio Analysis";#N/A,#N/A,FALSE,"Test 120 Day Accts";#N/A,#N/A,FALSE,"Tickmarks"}</definedName>
    <definedName name="ppm" hidden="1">{#N/A,#N/A,FALSE,"Aging Summary";#N/A,#N/A,FALSE,"Ratio Analysis";#N/A,#N/A,FALSE,"Test 120 Day Accts";#N/A,#N/A,FALSE,"Tickmarks"}</definedName>
    <definedName name="PPM1_1" localSheetId="3" hidden="1">{#N/A,#N/A,FALSE,"Aging Summary";#N/A,#N/A,FALSE,"Ratio Analysis";#N/A,#N/A,FALSE,"Test 120 Day Accts";#N/A,#N/A,FALSE,"Tickmarks"}</definedName>
    <definedName name="PPM1_1" localSheetId="2" hidden="1">{#N/A,#N/A,FALSE,"Aging Summary";#N/A,#N/A,FALSE,"Ratio Analysis";#N/A,#N/A,FALSE,"Test 120 Day Accts";#N/A,#N/A,FALSE,"Tickmarks"}</definedName>
    <definedName name="PPM1_1" hidden="1">{#N/A,#N/A,FALSE,"Aging Summary";#N/A,#N/A,FALSE,"Ratio Analysis";#N/A,#N/A,FALSE,"Test 120 Day Accts";#N/A,#N/A,FALSE,"Tickmarks"}</definedName>
    <definedName name="ppmxxx" localSheetId="3" hidden="1">{#N/A,#N/A,FALSE,"Aging Summary";#N/A,#N/A,FALSE,"Ratio Analysis";#N/A,#N/A,FALSE,"Test 120 Day Accts";#N/A,#N/A,FALSE,"Tickmarks"}</definedName>
    <definedName name="ppmxxx" localSheetId="2" hidden="1">{#N/A,#N/A,FALSE,"Aging Summary";#N/A,#N/A,FALSE,"Ratio Analysis";#N/A,#N/A,FALSE,"Test 120 Day Accts";#N/A,#N/A,FALSE,"Tickmarks"}</definedName>
    <definedName name="ppmxxx" hidden="1">{#N/A,#N/A,FALSE,"Aging Summary";#N/A,#N/A,FALSE,"Ratio Analysis";#N/A,#N/A,FALSE,"Test 120 Day Accts";#N/A,#N/A,FALSE,"Tickmarks"}</definedName>
    <definedName name="ppmxxx_1" localSheetId="3" hidden="1">{#N/A,#N/A,FALSE,"Aging Summary";#N/A,#N/A,FALSE,"Ratio Analysis";#N/A,#N/A,FALSE,"Test 120 Day Accts";#N/A,#N/A,FALSE,"Tickmarks"}</definedName>
    <definedName name="ppmxxx_1" localSheetId="2" hidden="1">{#N/A,#N/A,FALSE,"Aging Summary";#N/A,#N/A,FALSE,"Ratio Analysis";#N/A,#N/A,FALSE,"Test 120 Day Accts";#N/A,#N/A,FALSE,"Tickmarks"}</definedName>
    <definedName name="ppmxxx_1" hidden="1">{#N/A,#N/A,FALSE,"Aging Summary";#N/A,#N/A,FALSE,"Ratio Analysis";#N/A,#N/A,FALSE,"Test 120 Day Accts";#N/A,#N/A,FALSE,"Tickmarks"}</definedName>
    <definedName name="ppp" localSheetId="3" hidden="1">{"AUT ANALISE DESP",#N/A,TRUE,"AN.DESP. MR$"}</definedName>
    <definedName name="ppp" localSheetId="2" hidden="1">{"AUT ANALISE DESP",#N/A,TRUE,"AN.DESP. MR$"}</definedName>
    <definedName name="ppp" hidden="1">{"AUT ANALISE DESP",#N/A,TRUE,"AN.DESP. MR$"}</definedName>
    <definedName name="ppp_1" localSheetId="3" hidden="1">{"AUT ANALISE DESP",#N/A,TRUE,"AN.DESP. MR$"}</definedName>
    <definedName name="ppp_1" localSheetId="2" hidden="1">{"AUT ANALISE DESP",#N/A,TRUE,"AN.DESP. MR$"}</definedName>
    <definedName name="ppp_1" hidden="1">{"AUT ANALISE DESP",#N/A,TRUE,"AN.DESP. MR$"}</definedName>
    <definedName name="PPPP1" localSheetId="3" hidden="1">{#N/A,#N/A,FALSE,"Aging Summary";#N/A,#N/A,FALSE,"Ratio Analysis";#N/A,#N/A,FALSE,"Test 120 Day Accts";#N/A,#N/A,FALSE,"Tickmarks"}</definedName>
    <definedName name="PPPP1" localSheetId="2" hidden="1">{#N/A,#N/A,FALSE,"Aging Summary";#N/A,#N/A,FALSE,"Ratio Analysis";#N/A,#N/A,FALSE,"Test 120 Day Accts";#N/A,#N/A,FALSE,"Tickmarks"}</definedName>
    <definedName name="PPPP1" hidden="1">{#N/A,#N/A,FALSE,"Aging Summary";#N/A,#N/A,FALSE,"Ratio Analysis";#N/A,#N/A,FALSE,"Test 120 Day Accts";#N/A,#N/A,FALSE,"Tickmarks"}</definedName>
    <definedName name="PPPPP" localSheetId="3" hidden="1">{#N/A,#N/A,FALSE,"Aging Summary";#N/A,#N/A,FALSE,"Ratio Analysis";#N/A,#N/A,FALSE,"Test 120 Day Accts";#N/A,#N/A,FALSE,"Tickmarks"}</definedName>
    <definedName name="PPPPP" localSheetId="2" hidden="1">{#N/A,#N/A,FALSE,"Aging Summary";#N/A,#N/A,FALSE,"Ratio Analysis";#N/A,#N/A,FALSE,"Test 120 Day Accts";#N/A,#N/A,FALSE,"Tickmarks"}</definedName>
    <definedName name="PPPPP" hidden="1">{#N/A,#N/A,FALSE,"Aging Summary";#N/A,#N/A,FALSE,"Ratio Analysis";#N/A,#N/A,FALSE,"Test 120 Day Accts";#N/A,#N/A,FALSE,"Tickmarks"}</definedName>
    <definedName name="ppppp_1" localSheetId="3" hidden="1">{#N/A,#N/A,FALSE,"Aging Summary";#N/A,#N/A,FALSE,"Ratio Analysis";#N/A,#N/A,FALSE,"Test 120 Day Accts";#N/A,#N/A,FALSE,"Tickmarks"}</definedName>
    <definedName name="ppppp_1" localSheetId="2" hidden="1">{#N/A,#N/A,FALSE,"Aging Summary";#N/A,#N/A,FALSE,"Ratio Analysis";#N/A,#N/A,FALSE,"Test 120 Day Accts";#N/A,#N/A,FALSE,"Tickmarks"}</definedName>
    <definedName name="ppppp_1" hidden="1">{#N/A,#N/A,FALSE,"Aging Summary";#N/A,#N/A,FALSE,"Ratio Analysis";#N/A,#N/A,FALSE,"Test 120 Day Accts";#N/A,#N/A,FALSE,"Tickmarks"}</definedName>
    <definedName name="PPPPPP" localSheetId="3" hidden="1">{#N/A,#N/A,FALSE,"Aging Summary";#N/A,#N/A,FALSE,"Ratio Analysis";#N/A,#N/A,FALSE,"Test 120 Day Accts";#N/A,#N/A,FALSE,"Tickmarks"}</definedName>
    <definedName name="PPPPPP" localSheetId="2" hidden="1">{#N/A,#N/A,FALSE,"Aging Summary";#N/A,#N/A,FALSE,"Ratio Analysis";#N/A,#N/A,FALSE,"Test 120 Day Accts";#N/A,#N/A,FALSE,"Tickmarks"}</definedName>
    <definedName name="PPPPPP" hidden="1">{#N/A,#N/A,FALSE,"Aging Summary";#N/A,#N/A,FALSE,"Ratio Analysis";#N/A,#N/A,FALSE,"Test 120 Day Accts";#N/A,#N/A,FALSE,"Tickmarks"}</definedName>
    <definedName name="PPPPPP_1" localSheetId="3" hidden="1">{#N/A,#N/A,FALSE,"Aging Summary";#N/A,#N/A,FALSE,"Ratio Analysis";#N/A,#N/A,FALSE,"Test 120 Day Accts";#N/A,#N/A,FALSE,"Tickmarks"}</definedName>
    <definedName name="PPPPPP_1" localSheetId="2" hidden="1">{#N/A,#N/A,FALSE,"Aging Summary";#N/A,#N/A,FALSE,"Ratio Analysis";#N/A,#N/A,FALSE,"Test 120 Day Accts";#N/A,#N/A,FALSE,"Tickmarks"}</definedName>
    <definedName name="PPPPPP_1" hidden="1">{#N/A,#N/A,FALSE,"Aging Summary";#N/A,#N/A,FALSE,"Ratio Analysis";#N/A,#N/A,FALSE,"Test 120 Day Accts";#N/A,#N/A,FALSE,"Tickmarks"}</definedName>
    <definedName name="Prep_PostpCPGA">'[13]Post-paid &amp; Pre-paid'!$A$12:$AA$103</definedName>
    <definedName name="PREP1" localSheetId="2">Capa!#REF!</definedName>
    <definedName name="PREP1">#REF!</definedName>
    <definedName name="PREP2" localSheetId="2">Capa!#REF!</definedName>
    <definedName name="PREP2">#REF!</definedName>
    <definedName name="PREP3" localSheetId="2">Capa!#REF!</definedName>
    <definedName name="PREP3">#REF!</definedName>
    <definedName name="PREP4" localSheetId="2">Capa!#REF!</definedName>
    <definedName name="PREP4">#REF!</definedName>
    <definedName name="PREP5" localSheetId="2">Capa!#REF!</definedName>
    <definedName name="PREP5">#REF!</definedName>
    <definedName name="PREP6" localSheetId="2">Capa!#REF!</definedName>
    <definedName name="PREP6">#REF!</definedName>
    <definedName name="PREPVCH">[4]VOUCHER!$P$36</definedName>
    <definedName name="Print">#REF!</definedName>
    <definedName name="PRINTABR">[4]ABR!$A$2:$K$638</definedName>
    <definedName name="PRINTAGO">[4]AGO!$A$2:$K$792</definedName>
    <definedName name="PRINTDEZ">[4]DEZ!$A$2:$K$20</definedName>
    <definedName name="PRINTFEV">[4]FEV!$A$2:$K$477</definedName>
    <definedName name="PRINTJAN">[4]JAN!$A$2:$K$467</definedName>
    <definedName name="PRINTJUL">[4]JUL!$A$2:$K$566</definedName>
    <definedName name="PRINTJUN">[4]JUN!$A$2:$K$583</definedName>
    <definedName name="PRINTMAI">[4]MAI!$A$2:$K$524</definedName>
    <definedName name="PRINTMAR">[4]MAR!$A$2:$K$699</definedName>
    <definedName name="PRINTNOV">[4]NOV!$A$2:$K$20</definedName>
    <definedName name="PRINTOUT">[4]OUT!$A$2:$K$20</definedName>
    <definedName name="PRINTSET">[4]SET!$A$2:$K$850</definedName>
    <definedName name="PROABR1">[4]ABR!$A$3</definedName>
    <definedName name="PROABR2">[4]ABR!$A$603</definedName>
    <definedName name="PROABR3">[4]ABR!$A$617</definedName>
    <definedName name="PROAGO1">[4]AGO!$A$3</definedName>
    <definedName name="PROAGO2">[4]AGO!$A$724</definedName>
    <definedName name="PROAGO3">[4]AGO!$A$740</definedName>
    <definedName name="Prod">[12]Collection!$R$25</definedName>
    <definedName name="PRODEZ1">[4]DEZ!$A$3</definedName>
    <definedName name="PRODEZ2">[4]DEZ!$A$10</definedName>
    <definedName name="PRODEZ3">[4]DEZ!$A$17</definedName>
    <definedName name="Product">#REF!</definedName>
    <definedName name="ProductCode">[21]Sys.Cap!$D$1</definedName>
    <definedName name="ProductList">[21]Sys.Cap!$AM$1:$AM$14</definedName>
    <definedName name="ProductTable">#REF!</definedName>
    <definedName name="PROFEV1">[4]FEV!$A$3</definedName>
    <definedName name="PROFEV2">[4]FEV!$A$452</definedName>
    <definedName name="PROFEV3">[4]FEV!$A$465</definedName>
    <definedName name="PROJAN1">[4]JAN!$A$3</definedName>
    <definedName name="PROJAN2">[4]JAN!$A$439</definedName>
    <definedName name="PROJAN3">[4]JAN!$A$454</definedName>
    <definedName name="Project">#REF!</definedName>
    <definedName name="ProjName">[12]Collection!$C$28</definedName>
    <definedName name="ProjNameDB">[12]Collection!$C$20</definedName>
    <definedName name="PROJUL1">[4]JUL!$A$3</definedName>
    <definedName name="PROJUL2">[4]JUL!$A$527</definedName>
    <definedName name="PROJUL3">[4]JUL!$A$542</definedName>
    <definedName name="PROJUN1">[4]JUN!$A$3</definedName>
    <definedName name="PROJUN2">[4]JUN!$A$537</definedName>
    <definedName name="PROJUN3">[4]JUN!$A$554</definedName>
    <definedName name="PROMAI1">[4]MAI!$A$3</definedName>
    <definedName name="PROMAI2">[4]MAI!$A$500</definedName>
    <definedName name="PROMAI3">[4]MAI!$A$514</definedName>
    <definedName name="PROMAR1">[4]MAR!$A$3</definedName>
    <definedName name="PROMAR2">[4]MAR!$A$677</definedName>
    <definedName name="PROMAR3">[4]MAR!$A$685</definedName>
    <definedName name="PRONOV1">[4]NOV!$A$3</definedName>
    <definedName name="PRONOV2">[4]NOV!$A$10</definedName>
    <definedName name="PRONOV3">[4]NOV!$A$17</definedName>
    <definedName name="PROOUT1">[4]OUT!$A$3</definedName>
    <definedName name="PROOUT2">[4]OUT!$A$10</definedName>
    <definedName name="PROOUT3">[4]OUT!$A$17</definedName>
    <definedName name="PROSET1">[4]SET!$A$3</definedName>
    <definedName name="PROSET2">[4]SET!$A$805</definedName>
    <definedName name="PROSET3">[4]SET!$A$816</definedName>
    <definedName name="PROTECCION" localSheetId="3" hidden="1">{#N/A,#N/A,FALSE,"Aging Summary";#N/A,#N/A,FALSE,"Ratio Analysis";#N/A,#N/A,FALSE,"Test 120 Day Accts";#N/A,#N/A,FALSE,"Tickmarks"}</definedName>
    <definedName name="PROTECCION" localSheetId="2" hidden="1">{#N/A,#N/A,FALSE,"Aging Summary";#N/A,#N/A,FALSE,"Ratio Analysis";#N/A,#N/A,FALSE,"Test 120 Day Accts";#N/A,#N/A,FALSE,"Tickmarks"}</definedName>
    <definedName name="PROTECCION" hidden="1">{#N/A,#N/A,FALSE,"Aging Summary";#N/A,#N/A,FALSE,"Ratio Analysis";#N/A,#N/A,FALSE,"Test 120 Day Accts";#N/A,#N/A,FALSE,"Tickmarks"}</definedName>
    <definedName name="Prov.Bsrecuperados" localSheetId="3" hidden="1">{#N/A,#N/A,FALSE,"Aging Summary";#N/A,#N/A,FALSE,"Ratio Analysis";#N/A,#N/A,FALSE,"Test 120 Day Accts";#N/A,#N/A,FALSE,"Tickmarks"}</definedName>
    <definedName name="Prov.Bsrecuperados" localSheetId="2" hidden="1">{#N/A,#N/A,FALSE,"Aging Summary";#N/A,#N/A,FALSE,"Ratio Analysis";#N/A,#N/A,FALSE,"Test 120 Day Accts";#N/A,#N/A,FALSE,"Tickmarks"}</definedName>
    <definedName name="Prov.Bsrecuperados" hidden="1">{#N/A,#N/A,FALSE,"Aging Summary";#N/A,#N/A,FALSE,"Ratio Analysis";#N/A,#N/A,FALSE,"Test 120 Day Accts";#N/A,#N/A,FALSE,"Tickmarks"}</definedName>
    <definedName name="provision" localSheetId="3" hidden="1">{#N/A,#N/A,FALSE,"Aging Summary";#N/A,#N/A,FALSE,"Ratio Analysis";#N/A,#N/A,FALSE,"Test 120 Day Accts";#N/A,#N/A,FALSE,"Tickmarks"}</definedName>
    <definedName name="provision" localSheetId="2" hidden="1">{#N/A,#N/A,FALSE,"Aging Summary";#N/A,#N/A,FALSE,"Ratio Analysis";#N/A,#N/A,FALSE,"Test 120 Day Accts";#N/A,#N/A,FALSE,"Tickmarks"}</definedName>
    <definedName name="provision" hidden="1">{#N/A,#N/A,FALSE,"Aging Summary";#N/A,#N/A,FALSE,"Ratio Analysis";#N/A,#N/A,FALSE,"Test 120 Day Accts";#N/A,#N/A,FALSE,"Tickmarks"}</definedName>
    <definedName name="provision_1" localSheetId="3" hidden="1">{#N/A,#N/A,FALSE,"Aging Summary";#N/A,#N/A,FALSE,"Ratio Analysis";#N/A,#N/A,FALSE,"Test 120 Day Accts";#N/A,#N/A,FALSE,"Tickmarks"}</definedName>
    <definedName name="provision_1" localSheetId="2" hidden="1">{#N/A,#N/A,FALSE,"Aging Summary";#N/A,#N/A,FALSE,"Ratio Analysis";#N/A,#N/A,FALSE,"Test 120 Day Accts";#N/A,#N/A,FALSE,"Tickmarks"}</definedName>
    <definedName name="provision_1" hidden="1">{#N/A,#N/A,FALSE,"Aging Summary";#N/A,#N/A,FALSE,"Ratio Analysis";#N/A,#N/A,FALSE,"Test 120 Day Accts";#N/A,#N/A,FALSE,"Tickmarks"}</definedName>
    <definedName name="Provisionamento">#REF!</definedName>
    <definedName name="q" localSheetId="3" hidden="1">{#N/A,#N/A,FALSE,"Posição Financeira"}</definedName>
    <definedName name="q" localSheetId="2" hidden="1">{#N/A,#N/A,FALSE,"Posição Financeira"}</definedName>
    <definedName name="q" hidden="1">{#N/A,#N/A,FALSE,"Posição Financeira"}</definedName>
    <definedName name="Q_100.000">[6]L100100!#REF!</definedName>
    <definedName name="Q_100.005">[6]L100100!#REF!</definedName>
    <definedName name="Q_100.006">[6]L100100!#REF!</definedName>
    <definedName name="Q_100.015">[6]L100100!#REF!</definedName>
    <definedName name="Q_100.016">[6]L100100!#REF!</definedName>
    <definedName name="QAXSDE" localSheetId="3" hidden="1">{#N/A,#N/A,FALSE,"SIM95"}</definedName>
    <definedName name="QAXSDE" localSheetId="2" hidden="1">{#N/A,#N/A,FALSE,"SIM95"}</definedName>
    <definedName name="QAXSDE" hidden="1">{#N/A,#N/A,FALSE,"SIM95"}</definedName>
    <definedName name="QQ" localSheetId="3" hidden="1">{#N/A,#N/A,FALSE,"Aging Summary";#N/A,#N/A,FALSE,"Ratio Analysis";#N/A,#N/A,FALSE,"Test 120 Day Accts";#N/A,#N/A,FALSE,"Tickmarks"}</definedName>
    <definedName name="QQ" localSheetId="2" hidden="1">{#N/A,#N/A,FALSE,"Aging Summary";#N/A,#N/A,FALSE,"Ratio Analysis";#N/A,#N/A,FALSE,"Test 120 Day Accts";#N/A,#N/A,FALSE,"Tickmarks"}</definedName>
    <definedName name="QQ" hidden="1">{#N/A,#N/A,FALSE,"Aging Summary";#N/A,#N/A,FALSE,"Ratio Analysis";#N/A,#N/A,FALSE,"Test 120 Day Accts";#N/A,#N/A,FALSE,"Tickmarks"}</definedName>
    <definedName name="qqq" localSheetId="3" hidden="1">{#N/A,#N/A,FALSE,"1321";#N/A,#N/A,FALSE,"1324";#N/A,#N/A,FALSE,"1333";#N/A,#N/A,FALSE,"1371"}</definedName>
    <definedName name="qqq" localSheetId="2" hidden="1">{#N/A,#N/A,FALSE,"1321";#N/A,#N/A,FALSE,"1324";#N/A,#N/A,FALSE,"1333";#N/A,#N/A,FALSE,"1371"}</definedName>
    <definedName name="qqq" hidden="1">{#N/A,#N/A,FALSE,"1321";#N/A,#N/A,FALSE,"1324";#N/A,#N/A,FALSE,"1333";#N/A,#N/A,FALSE,"1371"}</definedName>
    <definedName name="R.L.I.2000.1" localSheetId="3" hidden="1">{#N/A,#N/A,FALSE,"Aging Summary";#N/A,#N/A,FALSE,"Ratio Analysis";#N/A,#N/A,FALSE,"Test 120 Day Accts";#N/A,#N/A,FALSE,"Tickmarks"}</definedName>
    <definedName name="R.L.I.2000.1" localSheetId="2" hidden="1">{#N/A,#N/A,FALSE,"Aging Summary";#N/A,#N/A,FALSE,"Ratio Analysis";#N/A,#N/A,FALSE,"Test 120 Day Accts";#N/A,#N/A,FALSE,"Tickmarks"}</definedName>
    <definedName name="R.L.I.2000.1" hidden="1">{#N/A,#N/A,FALSE,"Aging Summary";#N/A,#N/A,FALSE,"Ratio Analysis";#N/A,#N/A,FALSE,"Test 120 Day Accts";#N/A,#N/A,FALSE,"Tickmarks"}</definedName>
    <definedName name="R.L.I.2000.1_1" localSheetId="3" hidden="1">{#N/A,#N/A,FALSE,"Aging Summary";#N/A,#N/A,FALSE,"Ratio Analysis";#N/A,#N/A,FALSE,"Test 120 Day Accts";#N/A,#N/A,FALSE,"Tickmarks"}</definedName>
    <definedName name="R.L.I.2000.1_1" localSheetId="2" hidden="1">{#N/A,#N/A,FALSE,"Aging Summary";#N/A,#N/A,FALSE,"Ratio Analysis";#N/A,#N/A,FALSE,"Test 120 Day Accts";#N/A,#N/A,FALSE,"Tickmarks"}</definedName>
    <definedName name="R.L.I.2000.1_1" hidden="1">{#N/A,#N/A,FALSE,"Aging Summary";#N/A,#N/A,FALSE,"Ratio Analysis";#N/A,#N/A,FALSE,"Test 120 Day Accts";#N/A,#N/A,FALSE,"Tickmarks"}</definedName>
    <definedName name="ramiro" localSheetId="3" hidden="1">{#N/A,#N/A,FALSE,"Aging Summary";#N/A,#N/A,FALSE,"Ratio Analysis";#N/A,#N/A,FALSE,"Test 120 Day Accts";#N/A,#N/A,FALSE,"Tickmarks"}</definedName>
    <definedName name="ramiro" localSheetId="2" hidden="1">{#N/A,#N/A,FALSE,"Aging Summary";#N/A,#N/A,FALSE,"Ratio Analysis";#N/A,#N/A,FALSE,"Test 120 Day Accts";#N/A,#N/A,FALSE,"Tickmarks"}</definedName>
    <definedName name="ramiro" hidden="1">{#N/A,#N/A,FALSE,"Aging Summary";#N/A,#N/A,FALSE,"Ratio Analysis";#N/A,#N/A,FALSE,"Test 120 Day Accts";#N/A,#N/A,FALSE,"Tickmarks"}</definedName>
    <definedName name="rdf" hidden="1">#N/A</definedName>
    <definedName name="RDT" hidden="1">#N/A</definedName>
    <definedName name="RDTU" hidden="1">#N/A</definedName>
    <definedName name="reais">#REF!</definedName>
    <definedName name="RecalcCurrentSheet">[20]!RecalcCurrentSheet</definedName>
    <definedName name="REF._A_REEMBOLSO_DE_FUNDO_FIXO_DE_CAIXA">#REF!</definedName>
    <definedName name="RELATINC">[4]INCONSIST!$V$1:$W$2000</definedName>
    <definedName name="relatório">#REF!</definedName>
    <definedName name="RELINCON">[4]INCONSIST!$Y$1:$Z$2000</definedName>
    <definedName name="REPT1">#REF!</definedName>
    <definedName name="REPT2">#REF!</definedName>
    <definedName name="REPT3">#REF!</definedName>
    <definedName name="REPT4">#REF!</definedName>
    <definedName name="REPT5">#REF!</definedName>
    <definedName name="REPT6">#REF!</definedName>
    <definedName name="REPT7.1">#REF!</definedName>
    <definedName name="REPT7.2">#REF!</definedName>
    <definedName name="REPT7.3">#REF!</definedName>
    <definedName name="rer" localSheetId="3" hidden="1">{#N/A,#N/A,FALSE,"Aging Summary";#N/A,#N/A,FALSE,"Ratio Analysis";#N/A,#N/A,FALSE,"Test 120 Day Accts";#N/A,#N/A,FALSE,"Tickmarks"}</definedName>
    <definedName name="rer" localSheetId="2" hidden="1">{#N/A,#N/A,FALSE,"Aging Summary";#N/A,#N/A,FALSE,"Ratio Analysis";#N/A,#N/A,FALSE,"Test 120 Day Accts";#N/A,#N/A,FALSE,"Tickmarks"}</definedName>
    <definedName name="rer" hidden="1">{#N/A,#N/A,FALSE,"Aging Summary";#N/A,#N/A,FALSE,"Ratio Analysis";#N/A,#N/A,FALSE,"Test 120 Day Accts";#N/A,#N/A,FALSE,"Tickmarks"}</definedName>
    <definedName name="resant" localSheetId="3" hidden="1">{#N/A,#N/A,FALSE,"BALANCE";#N/A,#N/A,FALSE,"BALACOMP"}</definedName>
    <definedName name="resant" localSheetId="2" hidden="1">{#N/A,#N/A,FALSE,"BALANCE";#N/A,#N/A,FALSE,"BALACOMP"}</definedName>
    <definedName name="resant" hidden="1">{#N/A,#N/A,FALSE,"BALANCE";#N/A,#N/A,FALSE,"BALACOMP"}</definedName>
    <definedName name="resant_1" localSheetId="3" hidden="1">{#N/A,#N/A,FALSE,"BALANCE";#N/A,#N/A,FALSE,"BALACOMP"}</definedName>
    <definedName name="resant_1" localSheetId="2" hidden="1">{#N/A,#N/A,FALSE,"BALANCE";#N/A,#N/A,FALSE,"BALACOMP"}</definedName>
    <definedName name="resant_1" hidden="1">{#N/A,#N/A,FALSE,"BALANCE";#N/A,#N/A,FALSE,"BALACOMP"}</definedName>
    <definedName name="RESCISÃO">#REF!</definedName>
    <definedName name="RESPONSIBILITYAPPLICATIONID1">[10]CRITERIA1!$B$7</definedName>
    <definedName name="RESPONSIBILITYID1">[10]CRITERIA1!$B$8</definedName>
    <definedName name="RESPONSIBILITYNAME1">[10]CRITERIA1!$B$6</definedName>
    <definedName name="RevExp">#REF!</definedName>
    <definedName name="RevExpTrend">#REF!</definedName>
    <definedName name="rjr">[24]MARECTR!$A$522:$M$567</definedName>
    <definedName name="RMP" localSheetId="3" hidden="1">{#N/A,#N/A,FALSE,"Aging Summary";#N/A,#N/A,FALSE,"Ratio Analysis";#N/A,#N/A,FALSE,"Test 120 Day Accts";#N/A,#N/A,FALSE,"Tickmarks"}</definedName>
    <definedName name="RMP" localSheetId="2" hidden="1">{#N/A,#N/A,FALSE,"Aging Summary";#N/A,#N/A,FALSE,"Ratio Analysis";#N/A,#N/A,FALSE,"Test 120 Day Accts";#N/A,#N/A,FALSE,"Tickmarks"}</definedName>
    <definedName name="RMP" hidden="1">{#N/A,#N/A,FALSE,"Aging Summary";#N/A,#N/A,FALSE,"Ratio Analysis";#N/A,#N/A,FALSE,"Test 120 Day Accts";#N/A,#N/A,FALSE,"Tickmarks"}</definedName>
    <definedName name="RowLevel" hidden="1">1</definedName>
    <definedName name="ROWSTOUPLOAD1">[10]CRITERIA1!$B$20</definedName>
    <definedName name="rr" localSheetId="3" hidden="1">{#N/A,#N/A,FALSE,"Aging Summary";#N/A,#N/A,FALSE,"Ratio Analysis";#N/A,#N/A,FALSE,"Test 120 Day Accts";#N/A,#N/A,FALSE,"Tickmarks"}</definedName>
    <definedName name="rr" localSheetId="2" hidden="1">{#N/A,#N/A,FALSE,"Aging Summary";#N/A,#N/A,FALSE,"Ratio Analysis";#N/A,#N/A,FALSE,"Test 120 Day Accts";#N/A,#N/A,FALSE,"Tickmarks"}</definedName>
    <definedName name="rr" hidden="1">{#N/A,#N/A,FALSE,"Aging Summary";#N/A,#N/A,FALSE,"Ratio Analysis";#N/A,#N/A,FALSE,"Test 120 Day Accts";#N/A,#N/A,FALSE,"Tickmarks"}</definedName>
    <definedName name="rr_1" localSheetId="3" hidden="1">{#N/A,#N/A,FALSE,"Aging Summary";#N/A,#N/A,FALSE,"Ratio Analysis";#N/A,#N/A,FALSE,"Test 120 Day Accts";#N/A,#N/A,FALSE,"Tickmarks"}</definedName>
    <definedName name="rr_1" localSheetId="2" hidden="1">{#N/A,#N/A,FALSE,"Aging Summary";#N/A,#N/A,FALSE,"Ratio Analysis";#N/A,#N/A,FALSE,"Test 120 Day Accts";#N/A,#N/A,FALSE,"Tickmarks"}</definedName>
    <definedName name="rr_1" hidden="1">{#N/A,#N/A,FALSE,"Aging Summary";#N/A,#N/A,FALSE,"Ratio Analysis";#N/A,#N/A,FALSE,"Test 120 Day Accts";#N/A,#N/A,FALSE,"Tickmarks"}</definedName>
    <definedName name="RRR" localSheetId="3" hidden="1">{#N/A,#N/A,FALSE,"Aging Summary";#N/A,#N/A,FALSE,"Ratio Analysis";#N/A,#N/A,FALSE,"Test 120 Day Accts";#N/A,#N/A,FALSE,"Tickmarks"}</definedName>
    <definedName name="RRR" localSheetId="2" hidden="1">{#N/A,#N/A,FALSE,"Aging Summary";#N/A,#N/A,FALSE,"Ratio Analysis";#N/A,#N/A,FALSE,"Test 120 Day Accts";#N/A,#N/A,FALSE,"Tickmarks"}</definedName>
    <definedName name="RRR" hidden="1">{#N/A,#N/A,FALSE,"Aging Summary";#N/A,#N/A,FALSE,"Ratio Analysis";#N/A,#N/A,FALSE,"Test 120 Day Accts";#N/A,#N/A,FALSE,"Tickmarks"}</definedName>
    <definedName name="ryryyyw" localSheetId="3" hidden="1">{#N/A,#N/A,FALSE,"Aging Summary";#N/A,#N/A,FALSE,"Ratio Analysis";#N/A,#N/A,FALSE,"Test 120 Day Accts";#N/A,#N/A,FALSE,"Tickmarks"}</definedName>
    <definedName name="ryryyyw" localSheetId="2" hidden="1">{#N/A,#N/A,FALSE,"Aging Summary";#N/A,#N/A,FALSE,"Ratio Analysis";#N/A,#N/A,FALSE,"Test 120 Day Accts";#N/A,#N/A,FALSE,"Tickmarks"}</definedName>
    <definedName name="ryryyyw" hidden="1">{#N/A,#N/A,FALSE,"Aging Summary";#N/A,#N/A,FALSE,"Ratio Analysis";#N/A,#N/A,FALSE,"Test 120 Day Accts";#N/A,#N/A,FALSE,"Tickmarks"}</definedName>
    <definedName name="s">#REF!</definedName>
    <definedName name="s_1" localSheetId="3" hidden="1">{#N/A,#N/A,FALSE,"Aging Summary";#N/A,#N/A,FALSE,"Ratio Analysis";#N/A,#N/A,FALSE,"Test 120 Day Accts";#N/A,#N/A,FALSE,"Tickmarks"}</definedName>
    <definedName name="s_1" localSheetId="2" hidden="1">{#N/A,#N/A,FALSE,"Aging Summary";#N/A,#N/A,FALSE,"Ratio Analysis";#N/A,#N/A,FALSE,"Test 120 Day Accts";#N/A,#N/A,FALSE,"Tickmarks"}</definedName>
    <definedName name="s_1" hidden="1">{#N/A,#N/A,FALSE,"Aging Summary";#N/A,#N/A,FALSE,"Ratio Analysis";#N/A,#N/A,FALSE,"Test 120 Day Accts";#N/A,#N/A,FALSE,"Tickmarks"}</definedName>
    <definedName name="sal">#REF!</definedName>
    <definedName name="SALÁRIOS">#REF!</definedName>
    <definedName name="Santatder_Jud">#N/A</definedName>
    <definedName name="SAPBEXrevision" hidden="1">3</definedName>
    <definedName name="SAPBEXsysID" hidden="1">"BWP"</definedName>
    <definedName name="SAPBEXwbID" hidden="1">"BBI79TXTC37FA83KVZYUD8LJY"</definedName>
    <definedName name="SAPFUNCF4" hidden="1">#N/A</definedName>
    <definedName name="sapfuncf4hele" hidden="1">#N/A</definedName>
    <definedName name="sapfuncf4helo" hidden="1">#N/A</definedName>
    <definedName name="SAPFuncF4Help" hidden="1">#N/A</definedName>
    <definedName name="sapfuncf4helw" hidden="1">#N/A</definedName>
    <definedName name="sasa" localSheetId="3" hidden="1">{#N/A,#N/A,FALSE,"Services"}</definedName>
    <definedName name="sasa" localSheetId="2" hidden="1">{#N/A,#N/A,FALSE,"Services"}</definedName>
    <definedName name="sasa" hidden="1">{#N/A,#N/A,FALSE,"Services"}</definedName>
    <definedName name="sd"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sd"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sd"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sdcontab" localSheetId="2">Capa!#REF!</definedName>
    <definedName name="sdcontab">#REF!</definedName>
    <definedName name="sdcsad" hidden="1">#REF!</definedName>
    <definedName name="sdfasdad" localSheetId="3" hidden="1">{#N/A,#N/A,FALSE,"Aging Summary";#N/A,#N/A,FALSE,"Ratio Analysis";#N/A,#N/A,FALSE,"Test 120 Day Accts";#N/A,#N/A,FALSE,"Tickmarks"}</definedName>
    <definedName name="sdfasdad" localSheetId="2" hidden="1">{#N/A,#N/A,FALSE,"Aging Summary";#N/A,#N/A,FALSE,"Ratio Analysis";#N/A,#N/A,FALSE,"Test 120 Day Accts";#N/A,#N/A,FALSE,"Tickmarks"}</definedName>
    <definedName name="sdfasdad" hidden="1">{#N/A,#N/A,FALSE,"Aging Summary";#N/A,#N/A,FALSE,"Ratio Analysis";#N/A,#N/A,FALSE,"Test 120 Day Accts";#N/A,#N/A,FALSE,"Tickmarks"}</definedName>
    <definedName name="sdfasdad_1" localSheetId="3" hidden="1">{#N/A,#N/A,FALSE,"Aging Summary";#N/A,#N/A,FALSE,"Ratio Analysis";#N/A,#N/A,FALSE,"Test 120 Day Accts";#N/A,#N/A,FALSE,"Tickmarks"}</definedName>
    <definedName name="sdfasdad_1" localSheetId="2" hidden="1">{#N/A,#N/A,FALSE,"Aging Summary";#N/A,#N/A,FALSE,"Ratio Analysis";#N/A,#N/A,FALSE,"Test 120 Day Accts";#N/A,#N/A,FALSE,"Tickmarks"}</definedName>
    <definedName name="sdfasdad_1" hidden="1">{#N/A,#N/A,FALSE,"Aging Summary";#N/A,#N/A,FALSE,"Ratio Analysis";#N/A,#N/A,FALSE,"Test 120 Day Accts";#N/A,#N/A,FALSE,"Tickmarks"}</definedName>
    <definedName name="SDFASDF" localSheetId="3" hidden="1">{#N/A,#N/A,FALSE,"pedido"}</definedName>
    <definedName name="SDFASDF" localSheetId="2" hidden="1">{#N/A,#N/A,FALSE,"pedido"}</definedName>
    <definedName name="SDFASDF" hidden="1">{#N/A,#N/A,FALSE,"pedido"}</definedName>
    <definedName name="sdfsdfdsa" localSheetId="3" hidden="1">{#N/A,#N/A,FALSE,"Aging Summary";#N/A,#N/A,FALSE,"Ratio Analysis";#N/A,#N/A,FALSE,"Test 120 Day Accts";#N/A,#N/A,FALSE,"Tickmarks"}</definedName>
    <definedName name="sdfsdfdsa" localSheetId="2" hidden="1">{#N/A,#N/A,FALSE,"Aging Summary";#N/A,#N/A,FALSE,"Ratio Analysis";#N/A,#N/A,FALSE,"Test 120 Day Accts";#N/A,#N/A,FALSE,"Tickmarks"}</definedName>
    <definedName name="sdfsdfdsa" hidden="1">{#N/A,#N/A,FALSE,"Aging Summary";#N/A,#N/A,FALSE,"Ratio Analysis";#N/A,#N/A,FALSE,"Test 120 Day Accts";#N/A,#N/A,FALSE,"Tickmarks"}</definedName>
    <definedName name="sdsdsds">[6]L100100!#REF!</definedName>
    <definedName name="sdsdsf" localSheetId="3" hidden="1">{#N/A,#N/A,FALSE,"Aging Summary";#N/A,#N/A,FALSE,"Ratio Analysis";#N/A,#N/A,FALSE,"Test 120 Day Accts";#N/A,#N/A,FALSE,"Tickmarks"}</definedName>
    <definedName name="sdsdsf" localSheetId="2" hidden="1">{#N/A,#N/A,FALSE,"Aging Summary";#N/A,#N/A,FALSE,"Ratio Analysis";#N/A,#N/A,FALSE,"Test 120 Day Accts";#N/A,#N/A,FALSE,"Tickmarks"}</definedName>
    <definedName name="sdsdsf" hidden="1">{#N/A,#N/A,FALSE,"Aging Summary";#N/A,#N/A,FALSE,"Ratio Analysis";#N/A,#N/A,FALSE,"Test 120 Day Accts";#N/A,#N/A,FALSE,"Tickmarks"}</definedName>
    <definedName name="sdsdsf_1" localSheetId="3" hidden="1">{#N/A,#N/A,FALSE,"Aging Summary";#N/A,#N/A,FALSE,"Ratio Analysis";#N/A,#N/A,FALSE,"Test 120 Day Accts";#N/A,#N/A,FALSE,"Tickmarks"}</definedName>
    <definedName name="sdsdsf_1" localSheetId="2" hidden="1">{#N/A,#N/A,FALSE,"Aging Summary";#N/A,#N/A,FALSE,"Ratio Analysis";#N/A,#N/A,FALSE,"Test 120 Day Accts";#N/A,#N/A,FALSE,"Tickmarks"}</definedName>
    <definedName name="sdsdsf_1" hidden="1">{#N/A,#N/A,FALSE,"Aging Summary";#N/A,#N/A,FALSE,"Ratio Analysis";#N/A,#N/A,FALSE,"Test 120 Day Accts";#N/A,#N/A,FALSE,"Tickmarks"}</definedName>
    <definedName name="sec">#REF!</definedName>
    <definedName name="SEGABR1">[4]ABR!$D$599</definedName>
    <definedName name="SEGABR2">[4]ABR!$D$613</definedName>
    <definedName name="SEGABR3">[4]ABR!$D$638</definedName>
    <definedName name="SEGAGO1">[4]AGO!$D$720</definedName>
    <definedName name="SEGAGO2">[4]AGO!$D$736</definedName>
    <definedName name="SEGAGO3">[4]AGO!$D$792</definedName>
    <definedName name="SEGDEZ1">[4]DEZ!$D$6</definedName>
    <definedName name="SEGDEZ2">[4]DEZ!$D$13</definedName>
    <definedName name="SEGDEZ3">[4]DEZ!$D$20</definedName>
    <definedName name="SEGFEV1">[4]FEV!$D$448</definedName>
    <definedName name="SEGFEV2">[4]FEV!$D$461</definedName>
    <definedName name="SEGFEV3">[4]FEV!$D$477</definedName>
    <definedName name="SEGJAN1">[4]JAN!$D$435</definedName>
    <definedName name="SEGJAN2">[4]JAN!$D$450</definedName>
    <definedName name="SEGJAN3">[4]JAN!$D$467</definedName>
    <definedName name="SEGJUL1">[4]JUL!$D$523</definedName>
    <definedName name="SEGJUL2">[4]JUL!$D$538</definedName>
    <definedName name="SEGJUL3">[4]JUL!$D$566</definedName>
    <definedName name="SEGJUN1">[4]JUN!$D$533</definedName>
    <definedName name="SEGJUN2">[4]JUN!$D$549</definedName>
    <definedName name="SEGJUN3">[4]JUN!$D$582</definedName>
    <definedName name="SEGMAI1">[4]MAI!$D$496</definedName>
    <definedName name="SEGMAI2">[4]MAI!$D$510</definedName>
    <definedName name="SEGMAI3">[4]MAI!$D$524</definedName>
    <definedName name="SEGMAR1">[4]MAR!$D$673</definedName>
    <definedName name="SEGMAR2">[4]MAR!$D$681</definedName>
    <definedName name="SEGMAR3">[4]MAR!$D$699</definedName>
    <definedName name="SEGNOV1">[4]NOV!$D$6</definedName>
    <definedName name="SEGNOV2">[4]NOV!$D$13</definedName>
    <definedName name="SEGNOV3">[4]NOV!$D$20</definedName>
    <definedName name="SEGOUT1">[4]OUT!$D$6</definedName>
    <definedName name="SEGOUT2">[4]OUT!$D$13</definedName>
    <definedName name="SEGOUT3">[4]OUT!$D$20</definedName>
    <definedName name="SEGSET1">[4]SET!$D$801</definedName>
    <definedName name="SEGSET2">[4]SET!$D$812</definedName>
    <definedName name="SEGSET3">[4]SET!$D$850</definedName>
    <definedName name="SEGURO">#REF!</definedName>
    <definedName name="sencount" hidden="1">1</definedName>
    <definedName name="SendDB">'[21]TM1.Settings'!$C$15</definedName>
    <definedName name="SendOn">[12]Collection!$J$4</definedName>
    <definedName name="SendSource">'[21]TM1.Settings'!$C$16</definedName>
    <definedName name="SendVersion">'[21]TM1.Settings'!$C$17</definedName>
    <definedName name="Server">#REF!</definedName>
    <definedName name="SET2A">[4]SET!$A$805:$L$811</definedName>
    <definedName name="SETCONF">[4]SET!$G$854:$I$855</definedName>
    <definedName name="setembr" localSheetId="3" hidden="1">{#N/A,#N/A,FALSE,"Posição Financeira"}</definedName>
    <definedName name="setembr" localSheetId="2" hidden="1">{#N/A,#N/A,FALSE,"Posição Financeira"}</definedName>
    <definedName name="setembr" hidden="1">{#N/A,#N/A,FALSE,"Posição Financeira"}</definedName>
    <definedName name="SETOFBOOKSID1">[10]CRITERIA1!$B$1</definedName>
    <definedName name="SETOFBOOKSNAME1">[10]CRITERIA1!$B$2</definedName>
    <definedName name="sharerate">'[12]Capital Call'!$D$69:$O$69</definedName>
    <definedName name="si" localSheetId="3" hidden="1">{#N/A,#N/A,TRUE,"MEMO";#N/A,#N/A,TRUE,"PARAMETROS";#N/A,#N/A,TRUE,"RLI ";#N/A,#N/A,TRUE,"IMPTO.DET.";#N/A,#N/A,TRUE,"FUT-FUNT";#N/A,#N/A,TRUE,"CPI-PATR.";#N/A,#N/A,TRUE,"CM CPI";#N/A,#N/A,TRUE,"PROV";#N/A,#N/A,TRUE,"A FIJO";#N/A,#N/A,TRUE,"LEASING";#N/A,#N/A,TRUE,"VPP";#N/A,#N/A,TRUE,"PPM";#N/A,#N/A,TRUE,"OTROS"}</definedName>
    <definedName name="si" localSheetId="2" hidden="1">{#N/A,#N/A,TRUE,"MEMO";#N/A,#N/A,TRUE,"PARAMETROS";#N/A,#N/A,TRUE,"RLI ";#N/A,#N/A,TRUE,"IMPTO.DET.";#N/A,#N/A,TRUE,"FUT-FUNT";#N/A,#N/A,TRUE,"CPI-PATR.";#N/A,#N/A,TRUE,"CM CPI";#N/A,#N/A,TRUE,"PROV";#N/A,#N/A,TRUE,"A FIJO";#N/A,#N/A,TRUE,"LEASING";#N/A,#N/A,TRUE,"VPP";#N/A,#N/A,TRUE,"PPM";#N/A,#N/A,TRUE,"OTROS"}</definedName>
    <definedName name="si" hidden="1">{#N/A,#N/A,TRUE,"MEMO";#N/A,#N/A,TRUE,"PARAMETROS";#N/A,#N/A,TRUE,"RLI ";#N/A,#N/A,TRUE,"IMPTO.DET.";#N/A,#N/A,TRUE,"FUT-FUNT";#N/A,#N/A,TRUE,"CPI-PATR.";#N/A,#N/A,TRUE,"CM CPI";#N/A,#N/A,TRUE,"PROV";#N/A,#N/A,TRUE,"A FIJO";#N/A,#N/A,TRUE,"LEASING";#N/A,#N/A,TRUE,"VPP";#N/A,#N/A,TRUE,"PPM";#N/A,#N/A,TRUE,"OTROS"}</definedName>
    <definedName name="SOIQJUSI" localSheetId="3" hidden="1">{#N/A,#N/A,FALSE,"Aging Summary";#N/A,#N/A,FALSE,"Ratio Analysis";#N/A,#N/A,FALSE,"Test 120 Day Accts";#N/A,#N/A,FALSE,"Tickmarks"}</definedName>
    <definedName name="SOIQJUSI" localSheetId="2" hidden="1">{#N/A,#N/A,FALSE,"Aging Summary";#N/A,#N/A,FALSE,"Ratio Analysis";#N/A,#N/A,FALSE,"Test 120 Day Accts";#N/A,#N/A,FALSE,"Tickmarks"}</definedName>
    <definedName name="SOIQJUSI" hidden="1">{#N/A,#N/A,FALSE,"Aging Summary";#N/A,#N/A,FALSE,"Ratio Analysis";#N/A,#N/A,FALSE,"Test 120 Day Accts";#N/A,#N/A,FALSE,"Tickmarks"}</definedName>
    <definedName name="SOIQJUSI_1" localSheetId="3" hidden="1">{#N/A,#N/A,FALSE,"Aging Summary";#N/A,#N/A,FALSE,"Ratio Analysis";#N/A,#N/A,FALSE,"Test 120 Day Accts";#N/A,#N/A,FALSE,"Tickmarks"}</definedName>
    <definedName name="SOIQJUSI_1" localSheetId="2" hidden="1">{#N/A,#N/A,FALSE,"Aging Summary";#N/A,#N/A,FALSE,"Ratio Analysis";#N/A,#N/A,FALSE,"Test 120 Day Accts";#N/A,#N/A,FALSE,"Tickmarks"}</definedName>
    <definedName name="SOIQJUSI_1" hidden="1">{#N/A,#N/A,FALSE,"Aging Summary";#N/A,#N/A,FALSE,"Ratio Analysis";#N/A,#N/A,FALSE,"Test 120 Day Accts";#N/A,#N/A,FALSE,"Tickmarks"}</definedName>
    <definedName name="sqsqs" localSheetId="3" hidden="1">{#N/A,#N/A,FALSE,"Aging Summary";#N/A,#N/A,FALSE,"Ratio Analysis";#N/A,#N/A,FALSE,"Test 120 Day Accts";#N/A,#N/A,FALSE,"Tickmarks"}</definedName>
    <definedName name="sqsqs" localSheetId="2" hidden="1">{#N/A,#N/A,FALSE,"Aging Summary";#N/A,#N/A,FALSE,"Ratio Analysis";#N/A,#N/A,FALSE,"Test 120 Day Accts";#N/A,#N/A,FALSE,"Tickmarks"}</definedName>
    <definedName name="sqsqs" hidden="1">{#N/A,#N/A,FALSE,"Aging Summary";#N/A,#N/A,FALSE,"Ratio Analysis";#N/A,#N/A,FALSE,"Test 120 Day Accts";#N/A,#N/A,FALSE,"Tickmarks"}</definedName>
    <definedName name="sqsqs_1" localSheetId="3" hidden="1">{#N/A,#N/A,FALSE,"Aging Summary";#N/A,#N/A,FALSE,"Ratio Analysis";#N/A,#N/A,FALSE,"Test 120 Day Accts";#N/A,#N/A,FALSE,"Tickmarks"}</definedName>
    <definedName name="sqsqs_1" localSheetId="2" hidden="1">{#N/A,#N/A,FALSE,"Aging Summary";#N/A,#N/A,FALSE,"Ratio Analysis";#N/A,#N/A,FALSE,"Test 120 Day Accts";#N/A,#N/A,FALSE,"Tickmarks"}</definedName>
    <definedName name="sqsqs_1" hidden="1">{#N/A,#N/A,FALSE,"Aging Summary";#N/A,#N/A,FALSE,"Ratio Analysis";#N/A,#N/A,FALSE,"Test 120 Day Accts";#N/A,#N/A,FALSE,"Tickmarks"}</definedName>
    <definedName name="SS_1" localSheetId="3" hidden="1">{#N/A,#N/A,TRUE,"MEMO";#N/A,#N/A,TRUE,"PARAMETROS";#N/A,#N/A,TRUE,"RLI ";#N/A,#N/A,TRUE,"IMPTO.DET.";#N/A,#N/A,TRUE,"FUT-FUNT";#N/A,#N/A,TRUE,"CPI-PATR.";#N/A,#N/A,TRUE,"CM CPI";#N/A,#N/A,TRUE,"PROV";#N/A,#N/A,TRUE,"A FIJO";#N/A,#N/A,TRUE,"LEASING";#N/A,#N/A,TRUE,"VPP";#N/A,#N/A,TRUE,"PPM";#N/A,#N/A,TRUE,"OTROS"}</definedName>
    <definedName name="SS_1" localSheetId="2" hidden="1">{#N/A,#N/A,TRUE,"MEMO";#N/A,#N/A,TRUE,"PARAMETROS";#N/A,#N/A,TRUE,"RLI ";#N/A,#N/A,TRUE,"IMPTO.DET.";#N/A,#N/A,TRUE,"FUT-FUNT";#N/A,#N/A,TRUE,"CPI-PATR.";#N/A,#N/A,TRUE,"CM CPI";#N/A,#N/A,TRUE,"PROV";#N/A,#N/A,TRUE,"A FIJO";#N/A,#N/A,TRUE,"LEASING";#N/A,#N/A,TRUE,"VPP";#N/A,#N/A,TRUE,"PPM";#N/A,#N/A,TRUE,"OTROS"}</definedName>
    <definedName name="SS_1" hidden="1">{#N/A,#N/A,TRUE,"MEMO";#N/A,#N/A,TRUE,"PARAMETROS";#N/A,#N/A,TRUE,"RLI ";#N/A,#N/A,TRUE,"IMPTO.DET.";#N/A,#N/A,TRUE,"FUT-FUNT";#N/A,#N/A,TRUE,"CPI-PATR.";#N/A,#N/A,TRUE,"CM CPI";#N/A,#N/A,TRUE,"PROV";#N/A,#N/A,TRUE,"A FIJO";#N/A,#N/A,TRUE,"LEASING";#N/A,#N/A,TRUE,"VPP";#N/A,#N/A,TRUE,"PPM";#N/A,#N/A,TRUE,"OTROS"}</definedName>
    <definedName name="SSS" localSheetId="3" hidden="1">{#N/A,#N/A,FALSE,"Aging Summary";#N/A,#N/A,FALSE,"Ratio Analysis";#N/A,#N/A,FALSE,"Test 120 Day Accts";#N/A,#N/A,FALSE,"Tickmarks"}</definedName>
    <definedName name="SSS" localSheetId="2" hidden="1">{#N/A,#N/A,FALSE,"Aging Summary";#N/A,#N/A,FALSE,"Ratio Analysis";#N/A,#N/A,FALSE,"Test 120 Day Accts";#N/A,#N/A,FALSE,"Tickmarks"}</definedName>
    <definedName name="SSS" hidden="1">{#N/A,#N/A,FALSE,"Aging Summary";#N/A,#N/A,FALSE,"Ratio Analysis";#N/A,#N/A,FALSE,"Test 120 Day Accts";#N/A,#N/A,FALSE,"Tickmarks"}</definedName>
    <definedName name="SSSSS" hidden="1">#N/A</definedName>
    <definedName name="SSSSSSSSSS" hidden="1">#N/A</definedName>
    <definedName name="STABR1">[4]ABR!$A$2</definedName>
    <definedName name="STABR2">[4]ABR!$A$602</definedName>
    <definedName name="STABR3">[4]ABR!$A$616</definedName>
    <definedName name="STAGO1">[4]AGO!$A$2</definedName>
    <definedName name="STAGO2">[4]AGO!$A$723</definedName>
    <definedName name="STAGO3">[4]AGO!$A$739</definedName>
    <definedName name="STARTAF">[4]VOUCHER!$AA$445</definedName>
    <definedName name="STARTJOURNALIMPORT1">[10]CRITERIA1!$B$21</definedName>
    <definedName name="STARTMC">[4]VOUCHER!$AA$560</definedName>
    <definedName name="status" localSheetId="2">Capa!$G$24</definedName>
    <definedName name="status">#REF!</definedName>
    <definedName name="STCFABR">[4]ABR!$G$641</definedName>
    <definedName name="STCFAGO">[4]AGO!$G$795</definedName>
    <definedName name="STCFDEZ">[4]DEZ!$G$23</definedName>
    <definedName name="STCFFEV">[4]FEV!$G$480</definedName>
    <definedName name="STCFJAN">[4]JAN!$G$470</definedName>
    <definedName name="STCFJUL">[4]JUL!$G$569</definedName>
    <definedName name="STCFJUN">[4]JUN!$G$585</definedName>
    <definedName name="STCFMAI">[4]MAI!$G$527</definedName>
    <definedName name="STCFMAR">[4]MAR!$G$702</definedName>
    <definedName name="STCFNOV">[4]NOV!$G$23</definedName>
    <definedName name="STCFOUT">[4]OUT!$G$23</definedName>
    <definedName name="STCFSET">[4]SET!$G$853</definedName>
    <definedName name="STDEZ1">[4]DEZ!$A$2</definedName>
    <definedName name="STDEZ2">[4]DEZ!$A$9</definedName>
    <definedName name="STDEZ3">[4]DEZ!$A$16</definedName>
    <definedName name="STFEV1">[4]FEV!$A$2</definedName>
    <definedName name="STFEV2">[4]FEV!$A$451</definedName>
    <definedName name="STFEV3">[4]FEV!$A$464</definedName>
    <definedName name="STINCONS">[4]INCONSIST!$E$2</definedName>
    <definedName name="STJAN1">[4]JAN!$A$2</definedName>
    <definedName name="STJAN2">[4]JAN!$A$438</definedName>
    <definedName name="STJAN3">[4]JAN!$A$453</definedName>
    <definedName name="STJUL1">[4]JUL!$A$2</definedName>
    <definedName name="STJUL2">[4]JUL!$A$526</definedName>
    <definedName name="STJUL3">[4]JUL!$A$541</definedName>
    <definedName name="STJUN1">[4]JUN!$A$2</definedName>
    <definedName name="STJUN2">[4]JUN!$A$536</definedName>
    <definedName name="STJUN3">[4]JUN!$A$553</definedName>
    <definedName name="STMAI1">[4]MAI!$A$2</definedName>
    <definedName name="STMAI2">[4]MAI!$A$499</definedName>
    <definedName name="STMAI3">[4]MAI!$A$513</definedName>
    <definedName name="STMAR1">[4]MAR!$A$2</definedName>
    <definedName name="STMAR2">[4]MAR!$A$676</definedName>
    <definedName name="STMAR3">[4]MAR!$A$684</definedName>
    <definedName name="STNOV1">[4]NOV!$A$2</definedName>
    <definedName name="STNOV2">[4]NOV!$A$9</definedName>
    <definedName name="STNOV3">[4]NOV!$A$16</definedName>
    <definedName name="Stock">#REF!</definedName>
    <definedName name="Stock_colores">[29]SANTA!$C$2:$L$21</definedName>
    <definedName name="STOUT1">[4]OUT!$A$2</definedName>
    <definedName name="STOUT2">[4]OUT!$A$9</definedName>
    <definedName name="STOUT3">[4]OUT!$A$16</definedName>
    <definedName name="STSET1">[4]SET!$A$2</definedName>
    <definedName name="STSET2">[4]SET!$A$804</definedName>
    <definedName name="STSET3">[4]SET!$A$815</definedName>
    <definedName name="Sumario" localSheetId="3" hidden="1">{#N/A,#N/A,FALSE,"Posição Financeira"}</definedName>
    <definedName name="Sumario" localSheetId="2" hidden="1">{#N/A,#N/A,FALSE,"Posição Financeira"}</definedName>
    <definedName name="Sumario" hidden="1">{#N/A,#N/A,FALSE,"Posição Financeira"}</definedName>
    <definedName name="sumario2025" localSheetId="3" hidden="1">{#N/A,#N/A,FALSE,"Posição Financeira"}</definedName>
    <definedName name="sumario2025" localSheetId="2" hidden="1">{#N/A,#N/A,FALSE,"Posição Financeira"}</definedName>
    <definedName name="sumario2025" hidden="1">{#N/A,#N/A,FALSE,"Posição Financeira"}</definedName>
    <definedName name="SUMDESPABR">[4]ABR!$I$641</definedName>
    <definedName name="SUMDESPAGO">[4]AGO!$I$795</definedName>
    <definedName name="SUMDESPDEZ">[4]DEZ!$I$23</definedName>
    <definedName name="SUMDESPFEV">[4]FEV!$I$480</definedName>
    <definedName name="SUMDESPJAN">[4]JAN!$I$470</definedName>
    <definedName name="SUMDESPJUL">[4]JUL!$I$569</definedName>
    <definedName name="SUMDESPJUN">[4]JUN!$I$585</definedName>
    <definedName name="SUMDESPMAI">[4]MAI!$I$527</definedName>
    <definedName name="SUMDESPMAR">[4]MAR!$I$702</definedName>
    <definedName name="SUMDESPNOV">[4]NOV!$I$23</definedName>
    <definedName name="SUMDESPOUT">[4]OUT!$I$23</definedName>
    <definedName name="SUMDESPSET">[4]SET!$I$853</definedName>
    <definedName name="SUMFOBABR">[4]ABR!$H$641</definedName>
    <definedName name="SUMFOBAGO">[4]AGO!$H$795</definedName>
    <definedName name="SUMFOBDEZ">[4]DEZ!$H$23</definedName>
    <definedName name="SUMFOBFEV">[4]FEV!$H$480</definedName>
    <definedName name="SUMFOBJAN">[4]JAN!$H$470</definedName>
    <definedName name="SUMFOBJUL">[4]JUL!$H$569</definedName>
    <definedName name="SUMFOBJUN">[4]JUN!$H$585</definedName>
    <definedName name="SUMFOBMAI">[4]MAI!$H$527</definedName>
    <definedName name="SUMFOBMAR">[4]MAR!$H$702</definedName>
    <definedName name="SUMFOBNOV">[4]NOV!$H$23</definedName>
    <definedName name="SUMFOBOUT">[4]OUT!$H$23</definedName>
    <definedName name="SUMFOBSET">[4]SET!$H$853</definedName>
    <definedName name="SWA" localSheetId="3" hidden="1">{#N/A,#N/A,FALSE,"SIM95"}</definedName>
    <definedName name="SWA" localSheetId="2" hidden="1">{#N/A,#N/A,FALSE,"SIM95"}</definedName>
    <definedName name="SWA" hidden="1">{#N/A,#N/A,FALSE,"SIM95"}</definedName>
    <definedName name="swssasa" localSheetId="3" hidden="1">{#N/A,#N/A,FALSE,"Aging Summary";#N/A,#N/A,FALSE,"Ratio Analysis";#N/A,#N/A,FALSE,"Test 120 Day Accts";#N/A,#N/A,FALSE,"Tickmarks"}</definedName>
    <definedName name="swssasa" localSheetId="2" hidden="1">{#N/A,#N/A,FALSE,"Aging Summary";#N/A,#N/A,FALSE,"Ratio Analysis";#N/A,#N/A,FALSE,"Test 120 Day Accts";#N/A,#N/A,FALSE,"Tickmarks"}</definedName>
    <definedName name="swssasa" hidden="1">{#N/A,#N/A,FALSE,"Aging Summary";#N/A,#N/A,FALSE,"Ratio Analysis";#N/A,#N/A,FALSE,"Test 120 Day Accts";#N/A,#N/A,FALSE,"Tickmarks"}</definedName>
    <definedName name="swssasa_1" localSheetId="3" hidden="1">{#N/A,#N/A,FALSE,"Aging Summary";#N/A,#N/A,FALSE,"Ratio Analysis";#N/A,#N/A,FALSE,"Test 120 Day Accts";#N/A,#N/A,FALSE,"Tickmarks"}</definedName>
    <definedName name="swssasa_1" localSheetId="2" hidden="1">{#N/A,#N/A,FALSE,"Aging Summary";#N/A,#N/A,FALSE,"Ratio Analysis";#N/A,#N/A,FALSE,"Test 120 Day Accts";#N/A,#N/A,FALSE,"Tickmarks"}</definedName>
    <definedName name="swssasa_1" hidden="1">{#N/A,#N/A,FALSE,"Aging Summary";#N/A,#N/A,FALSE,"Ratio Analysis";#N/A,#N/A,FALSE,"Test 120 Day Accts";#N/A,#N/A,FALSE,"Tickmarks"}</definedName>
    <definedName name="sxss" hidden="1">#REF!</definedName>
    <definedName name="T">[30]CRITERIA1!$B$4</definedName>
    <definedName name="T.8" localSheetId="3" hidden="1">{#N/A,#N/A,FALSE,"Aging Summary";#N/A,#N/A,FALSE,"Ratio Analysis";#N/A,#N/A,FALSE,"Test 120 Day Accts";#N/A,#N/A,FALSE,"Tickmarks"}</definedName>
    <definedName name="T.8" localSheetId="2" hidden="1">{#N/A,#N/A,FALSE,"Aging Summary";#N/A,#N/A,FALSE,"Ratio Analysis";#N/A,#N/A,FALSE,"Test 120 Day Accts";#N/A,#N/A,FALSE,"Tickmarks"}</definedName>
    <definedName name="T.8" hidden="1">{#N/A,#N/A,FALSE,"Aging Summary";#N/A,#N/A,FALSE,"Ratio Analysis";#N/A,#N/A,FALSE,"Test 120 Day Accts";#N/A,#N/A,FALSE,"Tickmarks"}</definedName>
    <definedName name="t_1" localSheetId="3" hidden="1">{#N/A,#N/A,FALSE,"Aging Summary";#N/A,#N/A,FALSE,"Ratio Analysis";#N/A,#N/A,FALSE,"Test 120 Day Accts";#N/A,#N/A,FALSE,"Tickmarks"}</definedName>
    <definedName name="t_1" localSheetId="2" hidden="1">{#N/A,#N/A,FALSE,"Aging Summary";#N/A,#N/A,FALSE,"Ratio Analysis";#N/A,#N/A,FALSE,"Test 120 Day Accts";#N/A,#N/A,FALSE,"Tickmarks"}</definedName>
    <definedName name="t_1" hidden="1">{#N/A,#N/A,FALSE,"Aging Summary";#N/A,#N/A,FALSE,"Ratio Analysis";#N/A,#N/A,FALSE,"Test 120 Day Accts";#N/A,#N/A,FALSE,"Tickmarks"}</definedName>
    <definedName name="TABDIN">[4]VOUCHER!$AA$3</definedName>
    <definedName name="Tabela2">[31]Planilha1!$A:$C</definedName>
    <definedName name="Tabela3">[31]Planilha1!$A:$D</definedName>
    <definedName name="TabExists">'[32]TM1.Settings'!$J$17</definedName>
    <definedName name="taxabud">'[33]Forecast US$'!$K$774:$AH$774</definedName>
    <definedName name="TBdbName" hidden="1">"46714202615C11D4B8F5006008DF90FB.mdb"</definedName>
    <definedName name="TbId">#REF!</definedName>
    <definedName name="TbTipo">#REF!</definedName>
    <definedName name="TbValor">#REF!</definedName>
    <definedName name="TELA1">[4]MENU!$A$1</definedName>
    <definedName name="tela2">[4]MENU!$A$18:$G$32</definedName>
    <definedName name="TELA3">[4]MENU!$A$34:$G$48</definedName>
    <definedName name="TELA4">[4]MENU!$A$50:$G$65</definedName>
    <definedName name="tela5">[4]MENU!$A$68:$G$83</definedName>
    <definedName name="teletforne" hidden="1">#N/A</definedName>
    <definedName name="TEMPLATENUMBER1">[10]CRITERIA1!$B$32</definedName>
    <definedName name="TEMPLATESTYLE1">[10]CRITERIA1!$B$31</definedName>
    <definedName name="TEMPLATETYPE1">[10]CRITERIA1!$B$30</definedName>
    <definedName name="TEMPORÁRIOS">#REF!</definedName>
    <definedName name="TEST0">#REF!</definedName>
    <definedName name="TEST1">#REF!</definedName>
    <definedName name="teste" localSheetId="3" hidden="1">{"Despesas Diferidas Indedutíveis de 1998",#N/A,FALSE,"Impressão"}</definedName>
    <definedName name="teste" localSheetId="2" hidden="1">{"Despesas Diferidas Indedutíveis de 1998",#N/A,FALSE,"Impressão"}</definedName>
    <definedName name="teste" hidden="1">{"Despesas Diferidas Indedutíveis de 1998",#N/A,FALSE,"Impressão"}</definedName>
    <definedName name="teste1"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teste1"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teste1"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TESTHKEY">#REF!</definedName>
    <definedName name="TESTKEYS">#REF!</definedName>
    <definedName name="TESTVKEY">#REF!</definedName>
    <definedName name="teum">[4]INCONSIST!$V$1</definedName>
    <definedName name="TextRefCopy1">#REF!</definedName>
    <definedName name="TextRefCopyRangeCount" hidden="1">1</definedName>
    <definedName name="TFF_Fev11" localSheetId="3" hidden="1">{#N/A,#N/A,FALSE,"Actual"}</definedName>
    <definedName name="TFF_Fev11" localSheetId="2" hidden="1">{#N/A,#N/A,FALSE,"Actual"}</definedName>
    <definedName name="TFF_Fev11" hidden="1">{#N/A,#N/A,FALSE,"Actual"}</definedName>
    <definedName name="tffb">#REF!</definedName>
    <definedName name="tffm">#REF!</definedName>
    <definedName name="tfib">#REF!</definedName>
    <definedName name="tfim">#REF!</definedName>
    <definedName name="TFN" hidden="1">#N/A</definedName>
    <definedName name="thy" localSheetId="3" hidden="1">{#N/A,#N/A,FALSE,"1321";#N/A,#N/A,FALSE,"1324";#N/A,#N/A,FALSE,"1333";#N/A,#N/A,FALSE,"1371"}</definedName>
    <definedName name="thy" localSheetId="2" hidden="1">{#N/A,#N/A,FALSE,"1321";#N/A,#N/A,FALSE,"1324";#N/A,#N/A,FALSE,"1333";#N/A,#N/A,FALSE,"1371"}</definedName>
    <definedName name="thy" hidden="1">{#N/A,#N/A,FALSE,"1321";#N/A,#N/A,FALSE,"1324";#N/A,#N/A,FALSE,"1333";#N/A,#N/A,FALSE,"1371"}</definedName>
    <definedName name="_xlnm.Print_Titles">#REF!</definedName>
    <definedName name="TOGO1">#REF!</definedName>
    <definedName name="TOGO2">#REF!</definedName>
    <definedName name="TOGO3">#REF!</definedName>
    <definedName name="TOGO4">#REF!</definedName>
    <definedName name="TOGO5">#REF!</definedName>
    <definedName name="TOGO6">#REF!</definedName>
    <definedName name="TOGO7.1">#REF!</definedName>
    <definedName name="TOGO7.2">#REF!</definedName>
    <definedName name="TOGO7.3">#REF!</definedName>
    <definedName name="total1">#REF!</definedName>
    <definedName name="total2">#REF!</definedName>
    <definedName name="total3">#REF!</definedName>
    <definedName name="TREINAMENTO">#REF!</definedName>
    <definedName name="TRIB" localSheetId="3" hidden="1">{#N/A,#N/A,FALSE,"Aging Summary";#N/A,#N/A,FALSE,"Ratio Analysis";#N/A,#N/A,FALSE,"Test 120 Day Accts";#N/A,#N/A,FALSE,"Tickmarks"}</definedName>
    <definedName name="TRIB" localSheetId="2" hidden="1">{#N/A,#N/A,FALSE,"Aging Summary";#N/A,#N/A,FALSE,"Ratio Analysis";#N/A,#N/A,FALSE,"Test 120 Day Accts";#N/A,#N/A,FALSE,"Tickmarks"}</definedName>
    <definedName name="TRIB" hidden="1">{#N/A,#N/A,FALSE,"Aging Summary";#N/A,#N/A,FALSE,"Ratio Analysis";#N/A,#N/A,FALSE,"Test 120 Day Accts";#N/A,#N/A,FALSE,"Tickmarks"}</definedName>
    <definedName name="TRIB_1" localSheetId="3" hidden="1">{#N/A,#N/A,FALSE,"Aging Summary";#N/A,#N/A,FALSE,"Ratio Analysis";#N/A,#N/A,FALSE,"Test 120 Day Accts";#N/A,#N/A,FALSE,"Tickmarks"}</definedName>
    <definedName name="TRIB_1" localSheetId="2" hidden="1">{#N/A,#N/A,FALSE,"Aging Summary";#N/A,#N/A,FALSE,"Ratio Analysis";#N/A,#N/A,FALSE,"Test 120 Day Accts";#N/A,#N/A,FALSE,"Tickmarks"}</definedName>
    <definedName name="TRIB_1" hidden="1">{#N/A,#N/A,FALSE,"Aging Summary";#N/A,#N/A,FALSE,"Ratio Analysis";#N/A,#N/A,FALSE,"Test 120 Day Accts";#N/A,#N/A,FALSE,"Tickmarks"}</definedName>
    <definedName name="TRUO" hidden="1">#N/A</definedName>
    <definedName name="tt" localSheetId="3" hidden="1">{#N/A,#N/A,FALSE,"Aging Summary";#N/A,#N/A,FALSE,"Ratio Analysis";#N/A,#N/A,FALSE,"Test 120 Day Accts";#N/A,#N/A,FALSE,"Tickmarks"}</definedName>
    <definedName name="tt" localSheetId="2" hidden="1">{#N/A,#N/A,FALSE,"Aging Summary";#N/A,#N/A,FALSE,"Ratio Analysis";#N/A,#N/A,FALSE,"Test 120 Day Accts";#N/A,#N/A,FALSE,"Tickmarks"}</definedName>
    <definedName name="tt" hidden="1">{#N/A,#N/A,FALSE,"Aging Summary";#N/A,#N/A,FALSE,"Ratio Analysis";#N/A,#N/A,FALSE,"Test 120 Day Accts";#N/A,#N/A,FALSE,"Tickmarks"}</definedName>
    <definedName name="tt_1" localSheetId="3" hidden="1">{#N/A,#N/A,FALSE,"Aging Summary";#N/A,#N/A,FALSE,"Ratio Analysis";#N/A,#N/A,FALSE,"Test 120 Day Accts";#N/A,#N/A,FALSE,"Tickmarks"}</definedName>
    <definedName name="tt_1" localSheetId="2" hidden="1">{#N/A,#N/A,FALSE,"Aging Summary";#N/A,#N/A,FALSE,"Ratio Analysis";#N/A,#N/A,FALSE,"Test 120 Day Accts";#N/A,#N/A,FALSE,"Tickmarks"}</definedName>
    <definedName name="tt_1" hidden="1">{#N/A,#N/A,FALSE,"Aging Summary";#N/A,#N/A,FALSE,"Ratio Analysis";#N/A,#N/A,FALSE,"Test 120 Day Accts";#N/A,#N/A,FALSE,"Tickmarks"}</definedName>
    <definedName name="TTALF">#REF!</definedName>
    <definedName name="TTALFABR">[4]ABR!$T$3</definedName>
    <definedName name="TTALFAGO">[4]AGO!$T$3</definedName>
    <definedName name="TTALFDEZ">[4]DEZ!$T$3</definedName>
    <definedName name="TTALFFEV">[4]FEV!$T$3</definedName>
    <definedName name="TTALFJAN">[4]JAN!$T$3</definedName>
    <definedName name="TTALFJUL">[4]JUL!$T$3</definedName>
    <definedName name="TTALFJUN">[4]JUN!$T$3</definedName>
    <definedName name="TTALFMAI">[4]MAI!$T$3</definedName>
    <definedName name="TTALFMAR">[4]MAR!$T$3</definedName>
    <definedName name="TTALFNOV">[4]NOV!$T$3</definedName>
    <definedName name="TTALFOUT">[4]OUT!$T$3</definedName>
    <definedName name="TTALFSET">[4]SET!$T$3</definedName>
    <definedName name="ttax">#REF!</definedName>
    <definedName name="TTCOM">#REF!</definedName>
    <definedName name="TTCOMABR">[4]ABR!$S$3</definedName>
    <definedName name="TTCOMAGO">[4]AGO!$S$3</definedName>
    <definedName name="TTCOMDEZ">[4]DEZ!$S$3</definedName>
    <definedName name="TTCOMFEV">[4]FEV!$S$3</definedName>
    <definedName name="TTCOMJAN">[4]JAN!$S$3</definedName>
    <definedName name="TTCOMJUL">[4]JUL!$S$3</definedName>
    <definedName name="TTCOMJUN">[4]JUN!$S$3</definedName>
    <definedName name="TTCOMMAI">[4]MAI!$S$3</definedName>
    <definedName name="TTCOMMAR">[4]MAR!$S$3</definedName>
    <definedName name="TTCOMNOV">[4]NOV!$S$3</definedName>
    <definedName name="TTCOMOUT">[4]OUT!$S$3</definedName>
    <definedName name="TTCOMSET">[4]SET!$S$3</definedName>
    <definedName name="TTFFFFVVGGT" localSheetId="3" hidden="1">{#N/A,#N/A,FALSE,"Aging Summary";#N/A,#N/A,FALSE,"Ratio Analysis";#N/A,#N/A,FALSE,"Test 120 Day Accts";#N/A,#N/A,FALSE,"Tickmarks"}</definedName>
    <definedName name="TTFFFFVVGGT" localSheetId="2" hidden="1">{#N/A,#N/A,FALSE,"Aging Summary";#N/A,#N/A,FALSE,"Ratio Analysis";#N/A,#N/A,FALSE,"Test 120 Day Accts";#N/A,#N/A,FALSE,"Tickmarks"}</definedName>
    <definedName name="TTFFFFVVGGT" hidden="1">{#N/A,#N/A,FALSE,"Aging Summary";#N/A,#N/A,FALSE,"Ratio Analysis";#N/A,#N/A,FALSE,"Test 120 Day Accts";#N/A,#N/A,FALSE,"Tickmarks"}</definedName>
    <definedName name="TTFFFFVVGGT_1" localSheetId="3" hidden="1">{#N/A,#N/A,FALSE,"Aging Summary";#N/A,#N/A,FALSE,"Ratio Analysis";#N/A,#N/A,FALSE,"Test 120 Day Accts";#N/A,#N/A,FALSE,"Tickmarks"}</definedName>
    <definedName name="TTFFFFVVGGT_1" localSheetId="2" hidden="1">{#N/A,#N/A,FALSE,"Aging Summary";#N/A,#N/A,FALSE,"Ratio Analysis";#N/A,#N/A,FALSE,"Test 120 Day Accts";#N/A,#N/A,FALSE,"Tickmarks"}</definedName>
    <definedName name="TTFFFFVVGGT_1" hidden="1">{#N/A,#N/A,FALSE,"Aging Summary";#N/A,#N/A,FALSE,"Ratio Analysis";#N/A,#N/A,FALSE,"Test 120 Day Accts";#N/A,#N/A,FALSE,"Tickmarks"}</definedName>
    <definedName name="TTFOB">#REF!</definedName>
    <definedName name="TTFOBABR">[4]ABR!$V$3</definedName>
    <definedName name="TTFOBAGO">[4]AGO!$V$3</definedName>
    <definedName name="TTFOBDEZ">[4]DEZ!$V$3</definedName>
    <definedName name="TTFOBFEV">[4]FEV!$V$3</definedName>
    <definedName name="TTFOBJAN">[4]JAN!$V$3</definedName>
    <definedName name="TTFOBJUL">[4]JUL!$V$3</definedName>
    <definedName name="TTFOBJUN">[4]JUN!$V$3</definedName>
    <definedName name="TTFOBMAI">[4]MAI!$V$3</definedName>
    <definedName name="TTFOBMAR">[4]MAR!$V$3</definedName>
    <definedName name="TTFOBNOV">[4]NOV!$V$3</definedName>
    <definedName name="TTFOBOUT">[4]OUT!$V$3</definedName>
    <definedName name="TTFOBSET">[4]SET!$V$3</definedName>
    <definedName name="TTFRE">#REF!</definedName>
    <definedName name="TTFREABR">[4]ABR!$Q$3</definedName>
    <definedName name="TTFREAGO">[4]AGO!$Q$3</definedName>
    <definedName name="TTFREDEZ">[4]DEZ!$Q$3</definedName>
    <definedName name="TTFREFEV">[4]FEV!$Q$3</definedName>
    <definedName name="TTFREJAN">[4]JAN!$Q$3</definedName>
    <definedName name="TTFREJUL">[4]JUL!$Q$3</definedName>
    <definedName name="TTFREJUN">[4]JUN!$Q$3</definedName>
    <definedName name="TTFREMAI">[4]MAI!$Q$3</definedName>
    <definedName name="TTFREMAR">[4]MAR!$Q$3</definedName>
    <definedName name="TTFRENOV">[4]NOV!$Q$3</definedName>
    <definedName name="TTFREOUT">[4]OUT!$Q$3</definedName>
    <definedName name="TTFRESET">[4]SET!$Q$3</definedName>
    <definedName name="TTIMP">#REF!</definedName>
    <definedName name="TTIMPABR">[4]ABR!$U$3</definedName>
    <definedName name="TTIMPAGO">[4]AGO!$U$3</definedName>
    <definedName name="TTIMPDEZ">[4]DEZ!$U$3</definedName>
    <definedName name="TTIMPFEV">[4]FEV!$U$3</definedName>
    <definedName name="TTIMPJAN">[4]JAN!$U$3</definedName>
    <definedName name="TTIMPJUL">[4]JUL!$U$3</definedName>
    <definedName name="TTIMPJUN">[4]JUN!$U$3</definedName>
    <definedName name="TTIMPMAI">[4]MAI!$U$3</definedName>
    <definedName name="TTIMPMAR">[4]MAR!$U$3</definedName>
    <definedName name="TTIMPNOV">[4]NOV!$U$3</definedName>
    <definedName name="TTIMPOUT">[4]OUT!$U$3</definedName>
    <definedName name="TTIMPSET">[4]SET!$U$3</definedName>
    <definedName name="TTMP">[4]VOUCHER!$W$428</definedName>
    <definedName name="TTSEG">#REF!</definedName>
    <definedName name="TTSEGABR">[4]ABR!$R$3</definedName>
    <definedName name="TTSEGAGO">[4]AGO!$R$3</definedName>
    <definedName name="TTSEGDEZ">[4]DEZ!$R$3</definedName>
    <definedName name="TTSEGFEV">[4]FEV!$R$3</definedName>
    <definedName name="TTSEGJAN">[4]JAN!$R$3</definedName>
    <definedName name="TTSEGJUL">[4]JUL!$R$3</definedName>
    <definedName name="TTSEGJUN">[4]JUN!$R$3</definedName>
    <definedName name="TTSEGMAI">[4]MAI!$R$3</definedName>
    <definedName name="TTSEGMAR">[4]MAR!$R$3</definedName>
    <definedName name="TTSEGNOV">[4]NOV!$R$3</definedName>
    <definedName name="TTSEGOUT">[4]OUT!$R$3</definedName>
    <definedName name="TTSEGSET">[4]SET!$R$3</definedName>
    <definedName name="TTT" localSheetId="3" hidden="1">{#N/A,#N/A,FALSE,"Aging Summary";#N/A,#N/A,FALSE,"Ratio Analysis";#N/A,#N/A,FALSE,"Test 120 Day Accts";#N/A,#N/A,FALSE,"Tickmarks"}</definedName>
    <definedName name="TTT" localSheetId="2" hidden="1">{#N/A,#N/A,FALSE,"Aging Summary";#N/A,#N/A,FALSE,"Ratio Analysis";#N/A,#N/A,FALSE,"Test 120 Day Accts";#N/A,#N/A,FALSE,"Tickmarks"}</definedName>
    <definedName name="TTT" hidden="1">{#N/A,#N/A,FALSE,"Aging Summary";#N/A,#N/A,FALSE,"Ratio Analysis";#N/A,#N/A,FALSE,"Test 120 Day Accts";#N/A,#N/A,FALSE,"Tickmarks"}</definedName>
    <definedName name="tttt" localSheetId="3" hidden="1">{#N/A,#N/A,TRUE,"ComparativoII"}</definedName>
    <definedName name="tttt" localSheetId="2" hidden="1">{#N/A,#N/A,TRUE,"ComparativoII"}</definedName>
    <definedName name="tttt" hidden="1">{#N/A,#N/A,TRUE,"ComparativoII"}</definedName>
    <definedName name="tttt_1" localSheetId="3" hidden="1">{#N/A,#N/A,TRUE,"ComparativoII"}</definedName>
    <definedName name="tttt_1" localSheetId="2" hidden="1">{#N/A,#N/A,TRUE,"ComparativoII"}</definedName>
    <definedName name="tttt_1" hidden="1">{#N/A,#N/A,TRUE,"ComparativoII"}</definedName>
    <definedName name="u" localSheetId="3" hidden="1">{#N/A,#N/A,FALSE,"Aging Summary";#N/A,#N/A,FALSE,"Ratio Analysis";#N/A,#N/A,FALSE,"Test 120 Day Accts";#N/A,#N/A,FALSE,"Tickmarks"}</definedName>
    <definedName name="u" localSheetId="2" hidden="1">{#N/A,#N/A,FALSE,"Aging Summary";#N/A,#N/A,FALSE,"Ratio Analysis";#N/A,#N/A,FALSE,"Test 120 Day Accts";#N/A,#N/A,FALSE,"Tickmarks"}</definedName>
    <definedName name="u" hidden="1">{#N/A,#N/A,FALSE,"Aging Summary";#N/A,#N/A,FALSE,"Ratio Analysis";#N/A,#N/A,FALSE,"Test 120 Day Accts";#N/A,#N/A,FALSE,"Tickmarks"}</definedName>
    <definedName name="u_1" localSheetId="3" hidden="1">{#N/A,#N/A,FALSE,"Aging Summary";#N/A,#N/A,FALSE,"Ratio Analysis";#N/A,#N/A,FALSE,"Test 120 Day Accts";#N/A,#N/A,FALSE,"Tickmarks"}</definedName>
    <definedName name="u_1" localSheetId="2" hidden="1">{#N/A,#N/A,FALSE,"Aging Summary";#N/A,#N/A,FALSE,"Ratio Analysis";#N/A,#N/A,FALSE,"Test 120 Day Accts";#N/A,#N/A,FALSE,"Tickmarks"}</definedName>
    <definedName name="u_1" hidden="1">{#N/A,#N/A,FALSE,"Aging Summary";#N/A,#N/A,FALSE,"Ratio Analysis";#N/A,#N/A,FALSE,"Test 120 Day Accts";#N/A,#N/A,FALSE,"Tickmarks"}</definedName>
    <definedName name="UHIHOJ" localSheetId="3" hidden="1">{#N/A,#N/A,FALSE,"Aging Summary";#N/A,#N/A,FALSE,"Ratio Analysis";#N/A,#N/A,FALSE,"Test 120 Day Accts";#N/A,#N/A,FALSE,"Tickmarks"}</definedName>
    <definedName name="UHIHOJ" localSheetId="2" hidden="1">{#N/A,#N/A,FALSE,"Aging Summary";#N/A,#N/A,FALSE,"Ratio Analysis";#N/A,#N/A,FALSE,"Test 120 Day Accts";#N/A,#N/A,FALSE,"Tickmarks"}</definedName>
    <definedName name="UHIHOJ" hidden="1">{#N/A,#N/A,FALSE,"Aging Summary";#N/A,#N/A,FALSE,"Ratio Analysis";#N/A,#N/A,FALSE,"Test 120 Day Accts";#N/A,#N/A,FALSE,"Tickmarks"}</definedName>
    <definedName name="UHIHOJ_1" localSheetId="3" hidden="1">{#N/A,#N/A,FALSE,"Aging Summary";#N/A,#N/A,FALSE,"Ratio Analysis";#N/A,#N/A,FALSE,"Test 120 Day Accts";#N/A,#N/A,FALSE,"Tickmarks"}</definedName>
    <definedName name="UHIHOJ_1" localSheetId="2" hidden="1">{#N/A,#N/A,FALSE,"Aging Summary";#N/A,#N/A,FALSE,"Ratio Analysis";#N/A,#N/A,FALSE,"Test 120 Day Accts";#N/A,#N/A,FALSE,"Tickmarks"}</definedName>
    <definedName name="UHIHOJ_1" hidden="1">{#N/A,#N/A,FALSE,"Aging Summary";#N/A,#N/A,FALSE,"Ratio Analysis";#N/A,#N/A,FALSE,"Test 120 Day Accts";#N/A,#N/A,FALSE,"Tickmarks"}</definedName>
    <definedName name="UIIOI" localSheetId="3" hidden="1">{#N/A,#N/A,FALSE,"Aging Summary";#N/A,#N/A,FALSE,"Ratio Analysis";#N/A,#N/A,FALSE,"Test 120 Day Accts";#N/A,#N/A,FALSE,"Tickmarks"}</definedName>
    <definedName name="UIIOI" localSheetId="2" hidden="1">{#N/A,#N/A,FALSE,"Aging Summary";#N/A,#N/A,FALSE,"Ratio Analysis";#N/A,#N/A,FALSE,"Test 120 Day Accts";#N/A,#N/A,FALSE,"Tickmarks"}</definedName>
    <definedName name="UIIOI" hidden="1">{#N/A,#N/A,FALSE,"Aging Summary";#N/A,#N/A,FALSE,"Ratio Analysis";#N/A,#N/A,FALSE,"Test 120 Day Accts";#N/A,#N/A,FALSE,"Tickmarks"}</definedName>
    <definedName name="UIIOI_1" localSheetId="3" hidden="1">{#N/A,#N/A,FALSE,"Aging Summary";#N/A,#N/A,FALSE,"Ratio Analysis";#N/A,#N/A,FALSE,"Test 120 Day Accts";#N/A,#N/A,FALSE,"Tickmarks"}</definedName>
    <definedName name="UIIOI_1" localSheetId="2" hidden="1">{#N/A,#N/A,FALSE,"Aging Summary";#N/A,#N/A,FALSE,"Ratio Analysis";#N/A,#N/A,FALSE,"Test 120 Day Accts";#N/A,#N/A,FALSE,"Tickmarks"}</definedName>
    <definedName name="UIIOI_1" hidden="1">{#N/A,#N/A,FALSE,"Aging Summary";#N/A,#N/A,FALSE,"Ratio Analysis";#N/A,#N/A,FALSE,"Test 120 Day Accts";#N/A,#N/A,FALSE,"Tickmarks"}</definedName>
    <definedName name="UnitCube">#REF!</definedName>
    <definedName name="UNITSSOLD">[34]Copa1!$I$7</definedName>
    <definedName name="us">#REF!</definedName>
    <definedName name="USD">#REF!</definedName>
    <definedName name="uu" localSheetId="3" hidden="1">{#N/A,#N/A,TRUE,"ComparativoII"}</definedName>
    <definedName name="uu" localSheetId="2" hidden="1">{#N/A,#N/A,TRUE,"ComparativoII"}</definedName>
    <definedName name="uu" hidden="1">{#N/A,#N/A,TRUE,"ComparativoII"}</definedName>
    <definedName name="uu_1" localSheetId="3" hidden="1">{#N/A,#N/A,TRUE,"ComparativoII"}</definedName>
    <definedName name="uu_1" localSheetId="2" hidden="1">{#N/A,#N/A,TRUE,"ComparativoII"}</definedName>
    <definedName name="uu_1" hidden="1">{#N/A,#N/A,TRUE,"ComparativoII"}</definedName>
    <definedName name="UUU" localSheetId="3" hidden="1">{#N/A,#N/A,FALSE,"Aging Summary";#N/A,#N/A,FALSE,"Ratio Analysis";#N/A,#N/A,FALSE,"Test 120 Day Accts";#N/A,#N/A,FALSE,"Tickmarks"}</definedName>
    <definedName name="UUU" localSheetId="2" hidden="1">{#N/A,#N/A,FALSE,"Aging Summary";#N/A,#N/A,FALSE,"Ratio Analysis";#N/A,#N/A,FALSE,"Test 120 Day Accts";#N/A,#N/A,FALSE,"Tickmarks"}</definedName>
    <definedName name="UUU" hidden="1">{#N/A,#N/A,FALSE,"Aging Summary";#N/A,#N/A,FALSE,"Ratio Analysis";#N/A,#N/A,FALSE,"Test 120 Day Accts";#N/A,#N/A,FALSE,"Tickmarks"}</definedName>
    <definedName name="uuuu" localSheetId="3" hidden="1">{#N/A,#N/A,FALSE,"Aging Summary";#N/A,#N/A,FALSE,"Ratio Analysis";#N/A,#N/A,FALSE,"Test 120 Day Accts";#N/A,#N/A,FALSE,"Tickmarks"}</definedName>
    <definedName name="uuuu" localSheetId="2" hidden="1">{#N/A,#N/A,FALSE,"Aging Summary";#N/A,#N/A,FALSE,"Ratio Analysis";#N/A,#N/A,FALSE,"Test 120 Day Accts";#N/A,#N/A,FALSE,"Tickmarks"}</definedName>
    <definedName name="uuuu" hidden="1">{#N/A,#N/A,FALSE,"Aging Summary";#N/A,#N/A,FALSE,"Ratio Analysis";#N/A,#N/A,FALSE,"Test 120 Day Accts";#N/A,#N/A,FALSE,"Tickmarks"}</definedName>
    <definedName name="uuuu_1" localSheetId="3" hidden="1">{#N/A,#N/A,FALSE,"Aging Summary";#N/A,#N/A,FALSE,"Ratio Analysis";#N/A,#N/A,FALSE,"Test 120 Day Accts";#N/A,#N/A,FALSE,"Tickmarks"}</definedName>
    <definedName name="uuuu_1" localSheetId="2" hidden="1">{#N/A,#N/A,FALSE,"Aging Summary";#N/A,#N/A,FALSE,"Ratio Analysis";#N/A,#N/A,FALSE,"Test 120 Day Accts";#N/A,#N/A,FALSE,"Tickmarks"}</definedName>
    <definedName name="uuuu_1" hidden="1">{#N/A,#N/A,FALSE,"Aging Summary";#N/A,#N/A,FALSE,"Ratio Analysis";#N/A,#N/A,FALSE,"Test 120 Day Accts";#N/A,#N/A,FALSE,"Tickmarks"}</definedName>
    <definedName name="v" localSheetId="3" hidden="1">{#N/A,#N/A,FALSE,"Posição Financeira"}</definedName>
    <definedName name="v" localSheetId="2" hidden="1">{#N/A,#N/A,FALSE,"Posição Financeira"}</definedName>
    <definedName name="v" hidden="1">{#N/A,#N/A,FALSE,"Posição Financeira"}</definedName>
    <definedName name="v_1" localSheetId="3" hidden="1">{#N/A,#N/A,FALSE,"Aging Summary";#N/A,#N/A,FALSE,"Ratio Analysis";#N/A,#N/A,FALSE,"Test 120 Day Accts";#N/A,#N/A,FALSE,"Tickmarks"}</definedName>
    <definedName name="v_1" localSheetId="2" hidden="1">{#N/A,#N/A,FALSE,"Aging Summary";#N/A,#N/A,FALSE,"Ratio Analysis";#N/A,#N/A,FALSE,"Test 120 Day Accts";#N/A,#N/A,FALSE,"Tickmarks"}</definedName>
    <definedName name="v_1" hidden="1">{#N/A,#N/A,FALSE,"Aging Summary";#N/A,#N/A,FALSE,"Ratio Analysis";#N/A,#N/A,FALSE,"Test 120 Day Accts";#N/A,#N/A,FALSE,"Tickmarks"}</definedName>
    <definedName name="VALE_TRANSPORTE">#REF!</definedName>
    <definedName name="VALOR">#REF!</definedName>
    <definedName name="valormes">[24]MARECTR!$H$8:$K$567</definedName>
    <definedName name="Variaçao" hidden="1">#REF!</definedName>
    <definedName name="VBA_VERSION" hidden="1">"1.11.0"</definedName>
    <definedName name="vdgfdgcv" hidden="1">#N/A</definedName>
    <definedName name="ve" localSheetId="3" hidden="1">{#N/A,#N/A,FALSE,"Aging Summary";#N/A,#N/A,FALSE,"Ratio Analysis";#N/A,#N/A,FALSE,"Test 120 Day Accts";#N/A,#N/A,FALSE,"Tickmarks"}</definedName>
    <definedName name="ve" localSheetId="2" hidden="1">{#N/A,#N/A,FALSE,"Aging Summary";#N/A,#N/A,FALSE,"Ratio Analysis";#N/A,#N/A,FALSE,"Test 120 Day Accts";#N/A,#N/A,FALSE,"Tickmarks"}</definedName>
    <definedName name="ve" hidden="1">{#N/A,#N/A,FALSE,"Aging Summary";#N/A,#N/A,FALSE,"Ratio Analysis";#N/A,#N/A,FALSE,"Test 120 Day Accts";#N/A,#N/A,FALSE,"Tickmarks"}</definedName>
    <definedName name="ve_1" localSheetId="3" hidden="1">{#N/A,#N/A,FALSE,"Aging Summary";#N/A,#N/A,FALSE,"Ratio Analysis";#N/A,#N/A,FALSE,"Test 120 Day Accts";#N/A,#N/A,FALSE,"Tickmarks"}</definedName>
    <definedName name="ve_1" localSheetId="2" hidden="1">{#N/A,#N/A,FALSE,"Aging Summary";#N/A,#N/A,FALSE,"Ratio Analysis";#N/A,#N/A,FALSE,"Test 120 Day Accts";#N/A,#N/A,FALSE,"Tickmarks"}</definedName>
    <definedName name="ve_1" hidden="1">{#N/A,#N/A,FALSE,"Aging Summary";#N/A,#N/A,FALSE,"Ratio Analysis";#N/A,#N/A,FALSE,"Test 120 Day Accts";#N/A,#N/A,FALSE,"Tickmarks"}</definedName>
    <definedName name="veja">#REF!</definedName>
    <definedName name="version">#REF!</definedName>
    <definedName name="vin">#REF!</definedName>
    <definedName name="VINTE" localSheetId="3" hidden="1">{#N/A,#N/A,FALSE,"1321";#N/A,#N/A,FALSE,"1324";#N/A,#N/A,FALSE,"1333";#N/A,#N/A,FALSE,"1371"}</definedName>
    <definedName name="VINTE" localSheetId="2" hidden="1">{#N/A,#N/A,FALSE,"1321";#N/A,#N/A,FALSE,"1324";#N/A,#N/A,FALSE,"1333";#N/A,#N/A,FALSE,"1371"}</definedName>
    <definedName name="VINTE" hidden="1">{#N/A,#N/A,FALSE,"1321";#N/A,#N/A,FALSE,"1324";#N/A,#N/A,FALSE,"1333";#N/A,#N/A,FALSE,"1371"}</definedName>
    <definedName name="vTipo">[23]Controle!$J$2</definedName>
    <definedName name="vvv" localSheetId="3" hidden="1">{#N/A,#N/A,FALSE,"Aging Summary";#N/A,#N/A,FALSE,"Ratio Analysis";#N/A,#N/A,FALSE,"Test 120 Day Accts";#N/A,#N/A,FALSE,"Tickmarks"}</definedName>
    <definedName name="vvv" localSheetId="2" hidden="1">{#N/A,#N/A,FALSE,"Aging Summary";#N/A,#N/A,FALSE,"Ratio Analysis";#N/A,#N/A,FALSE,"Test 120 Day Accts";#N/A,#N/A,FALSE,"Tickmarks"}</definedName>
    <definedName name="vvv" hidden="1">{#N/A,#N/A,FALSE,"Aging Summary";#N/A,#N/A,FALSE,"Ratio Analysis";#N/A,#N/A,FALSE,"Test 120 Day Accts";#N/A,#N/A,FALSE,"Tickmarks"}</definedName>
    <definedName name="vvv_1" localSheetId="3" hidden="1">{#N/A,#N/A,FALSE,"Aging Summary";#N/A,#N/A,FALSE,"Ratio Analysis";#N/A,#N/A,FALSE,"Test 120 Day Accts";#N/A,#N/A,FALSE,"Tickmarks"}</definedName>
    <definedName name="vvv_1" localSheetId="2" hidden="1">{#N/A,#N/A,FALSE,"Aging Summary";#N/A,#N/A,FALSE,"Ratio Analysis";#N/A,#N/A,FALSE,"Test 120 Day Accts";#N/A,#N/A,FALSE,"Tickmarks"}</definedName>
    <definedName name="vvv_1" hidden="1">{#N/A,#N/A,FALSE,"Aging Summary";#N/A,#N/A,FALSE,"Ratio Analysis";#N/A,#N/A,FALSE,"Test 120 Day Accts";#N/A,#N/A,FALSE,"Tickmarks"}</definedName>
    <definedName name="vvvvvvv" localSheetId="3" hidden="1">{#N/A,#N/A,FALSE,"Aging Summary";#N/A,#N/A,FALSE,"Ratio Analysis";#N/A,#N/A,FALSE,"Test 120 Day Accts";#N/A,#N/A,FALSE,"Tickmarks"}</definedName>
    <definedName name="vvvvvvv" localSheetId="2" hidden="1">{#N/A,#N/A,FALSE,"Aging Summary";#N/A,#N/A,FALSE,"Ratio Analysis";#N/A,#N/A,FALSE,"Test 120 Day Accts";#N/A,#N/A,FALSE,"Tickmarks"}</definedName>
    <definedName name="vvvvvvv" hidden="1">{#N/A,#N/A,FALSE,"Aging Summary";#N/A,#N/A,FALSE,"Ratio Analysis";#N/A,#N/A,FALSE,"Test 120 Day Accts";#N/A,#N/A,FALSE,"Tickmarks"}</definedName>
    <definedName name="vvvvvvv_1" localSheetId="3" hidden="1">{#N/A,#N/A,FALSE,"Aging Summary";#N/A,#N/A,FALSE,"Ratio Analysis";#N/A,#N/A,FALSE,"Test 120 Day Accts";#N/A,#N/A,FALSE,"Tickmarks"}</definedName>
    <definedName name="vvvvvvv_1" localSheetId="2" hidden="1">{#N/A,#N/A,FALSE,"Aging Summary";#N/A,#N/A,FALSE,"Ratio Analysis";#N/A,#N/A,FALSE,"Test 120 Day Accts";#N/A,#N/A,FALSE,"Tickmarks"}</definedName>
    <definedName name="vvvvvvv_1" hidden="1">{#N/A,#N/A,FALSE,"Aging Summary";#N/A,#N/A,FALSE,"Ratio Analysis";#N/A,#N/A,FALSE,"Test 120 Day Accts";#N/A,#N/A,FALSE,"Tickmarks"}</definedName>
    <definedName name="w_1" localSheetId="3" hidden="1">{#N/A,#N/A,TRUE,"MEMO";#N/A,#N/A,TRUE,"PARAMETROS";#N/A,#N/A,TRUE,"RLI ";#N/A,#N/A,TRUE,"IMPTO.DET.";#N/A,#N/A,TRUE,"FUT-FUNT";#N/A,#N/A,TRUE,"CPI-PATR.";#N/A,#N/A,TRUE,"CM CPI";#N/A,#N/A,TRUE,"PROV";#N/A,#N/A,TRUE,"A FIJO";#N/A,#N/A,TRUE,"LEASING";#N/A,#N/A,TRUE,"VPP";#N/A,#N/A,TRUE,"PPM";#N/A,#N/A,TRUE,"OTROS"}</definedName>
    <definedName name="w_1" localSheetId="2" hidden="1">{#N/A,#N/A,TRUE,"MEMO";#N/A,#N/A,TRUE,"PARAMETROS";#N/A,#N/A,TRUE,"RLI ";#N/A,#N/A,TRUE,"IMPTO.DET.";#N/A,#N/A,TRUE,"FUT-FUNT";#N/A,#N/A,TRUE,"CPI-PATR.";#N/A,#N/A,TRUE,"CM CPI";#N/A,#N/A,TRUE,"PROV";#N/A,#N/A,TRUE,"A FIJO";#N/A,#N/A,TRUE,"LEASING";#N/A,#N/A,TRUE,"VPP";#N/A,#N/A,TRUE,"PPM";#N/A,#N/A,TRUE,"OTROS"}</definedName>
    <definedName name="w_1" hidden="1">{#N/A,#N/A,TRUE,"MEMO";#N/A,#N/A,TRUE,"PARAMETROS";#N/A,#N/A,TRUE,"RLI ";#N/A,#N/A,TRUE,"IMPTO.DET.";#N/A,#N/A,TRUE,"FUT-FUNT";#N/A,#N/A,TRUE,"CPI-PATR.";#N/A,#N/A,TRUE,"CM CPI";#N/A,#N/A,TRUE,"PROV";#N/A,#N/A,TRUE,"A FIJO";#N/A,#N/A,TRUE,"LEASING";#N/A,#N/A,TRUE,"VPP";#N/A,#N/A,TRUE,"PPM";#N/A,#N/A,TRUE,"OTROS"}</definedName>
    <definedName name="WC">#REF!</definedName>
    <definedName name="we" localSheetId="3" hidden="1">{#N/A,#N/A,FALSE,"Aging Summary";#N/A,#N/A,FALSE,"Ratio Analysis";#N/A,#N/A,FALSE,"Test 120 Day Accts";#N/A,#N/A,FALSE,"Tickmarks"}</definedName>
    <definedName name="we" localSheetId="2" hidden="1">{#N/A,#N/A,FALSE,"Aging Summary";#N/A,#N/A,FALSE,"Ratio Analysis";#N/A,#N/A,FALSE,"Test 120 Day Accts";#N/A,#N/A,FALSE,"Tickmarks"}</definedName>
    <definedName name="we" hidden="1">{#N/A,#N/A,FALSE,"Aging Summary";#N/A,#N/A,FALSE,"Ratio Analysis";#N/A,#N/A,FALSE,"Test 120 Day Accts";#N/A,#N/A,FALSE,"Tickmarks"}</definedName>
    <definedName name="weeeee" localSheetId="3" hidden="1">{#N/A,#N/A,FALSE,"Posição Financeira"}</definedName>
    <definedName name="weeeee" localSheetId="2" hidden="1">{#N/A,#N/A,FALSE,"Posição Financeira"}</definedName>
    <definedName name="weeeee" hidden="1">{#N/A,#N/A,FALSE,"Posição Financeira"}</definedName>
    <definedName name="wewe" localSheetId="3" hidden="1">{#N/A,#N/A,FALSE,"SIM95"}</definedName>
    <definedName name="wewe" localSheetId="2" hidden="1">{#N/A,#N/A,FALSE,"SIM95"}</definedName>
    <definedName name="wewe" hidden="1">{#N/A,#N/A,FALSE,"SIM95"}</definedName>
    <definedName name="Workforce">#REF!</definedName>
    <definedName name="WorkforceTrend">#REF!</definedName>
    <definedName name="wqds" localSheetId="3" hidden="1">{#N/A,#N/A,FALSE,"Aging Summary";#N/A,#N/A,FALSE,"Ratio Analysis";#N/A,#N/A,FALSE,"Test 120 Day Accts";#N/A,#N/A,FALSE,"Tickmarks"}</definedName>
    <definedName name="wqds" localSheetId="2" hidden="1">{#N/A,#N/A,FALSE,"Aging Summary";#N/A,#N/A,FALSE,"Ratio Analysis";#N/A,#N/A,FALSE,"Test 120 Day Accts";#N/A,#N/A,FALSE,"Tickmarks"}</definedName>
    <definedName name="wqds" hidden="1">{#N/A,#N/A,FALSE,"Aging Summary";#N/A,#N/A,FALSE,"Ratio Analysis";#N/A,#N/A,FALSE,"Test 120 Day Accts";#N/A,#N/A,FALSE,"Tickmarks"}</definedName>
    <definedName name="wqds_1" localSheetId="3" hidden="1">{#N/A,#N/A,FALSE,"Aging Summary";#N/A,#N/A,FALSE,"Ratio Analysis";#N/A,#N/A,FALSE,"Test 120 Day Accts";#N/A,#N/A,FALSE,"Tickmarks"}</definedName>
    <definedName name="wqds_1" localSheetId="2" hidden="1">{#N/A,#N/A,FALSE,"Aging Summary";#N/A,#N/A,FALSE,"Ratio Analysis";#N/A,#N/A,FALSE,"Test 120 Day Accts";#N/A,#N/A,FALSE,"Tickmarks"}</definedName>
    <definedName name="wqds_1" hidden="1">{#N/A,#N/A,FALSE,"Aging Summary";#N/A,#N/A,FALSE,"Ratio Analysis";#N/A,#N/A,FALSE,"Test 120 Day Accts";#N/A,#N/A,FALSE,"Tickmarks"}</definedName>
    <definedName name="wrn.01." localSheetId="3" hidden="1">{#N/A,#N/A,FALSE,"1321";#N/A,#N/A,FALSE,"1324";#N/A,#N/A,FALSE,"1333";#N/A,#N/A,FALSE,"1371"}</definedName>
    <definedName name="wrn.01." localSheetId="2" hidden="1">{#N/A,#N/A,FALSE,"1321";#N/A,#N/A,FALSE,"1324";#N/A,#N/A,FALSE,"1333";#N/A,#N/A,FALSE,"1371"}</definedName>
    <definedName name="wrn.01." hidden="1">{#N/A,#N/A,FALSE,"1321";#N/A,#N/A,FALSE,"1324";#N/A,#N/A,FALSE,"1333";#N/A,#N/A,FALSE,"1371"}</definedName>
    <definedName name="wrn.Activo._.Fijo._.y._.Depreciacion." localSheetId="3" hidden="1">{#N/A,#N/A,FALSE,"A-100"}</definedName>
    <definedName name="wrn.Activo._.Fijo._.y._.Depreciacion." localSheetId="2" hidden="1">{#N/A,#N/A,FALSE,"A-100"}</definedName>
    <definedName name="wrn.Activo._.Fijo._.y._.Depreciacion." hidden="1">{#N/A,#N/A,FALSE,"A-100"}</definedName>
    <definedName name="wrn.Aging._.and._.Trend._.Analisys." localSheetId="3" hidden="1">{#N/A,#N/A,FALSE,"Aging Summary";#N/A,#N/A,FALSE,"Ratio Analysis";#N/A,#N/A,FALSE,"Test 120 Day Accts";#N/A,#N/A,FALSE,"Tickmarks"}</definedName>
    <definedName name="wrn.Aging._.and._.Trend._.Analisys." localSheetId="2" hidden="1">{#N/A,#N/A,FALSE,"Aging Summary";#N/A,#N/A,FALSE,"Ratio Analysis";#N/A,#N/A,FALSE,"Test 120 Day Accts";#N/A,#N/A,FALSE,"Tickmarks"}</definedName>
    <definedName name="wrn.Aging._.and._.Trend._.Analisys."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3"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ll." localSheetId="3" hidden="1">{"val",#N/A,FALSE,"Val";#N/A,#N/A,FALSE,"Rev";#N/A,#N/A,FALSE,"IS";#N/A,#N/A,FALSE,"CF";#N/A,#N/A,FALSE,"B";"pops",#N/A,FALSE,"POP's"}</definedName>
    <definedName name="wrn.All." localSheetId="2" hidden="1">{"val",#N/A,FALSE,"Val";#N/A,#N/A,FALSE,"Rev";#N/A,#N/A,FALSE,"IS";#N/A,#N/A,FALSE,"CF";#N/A,#N/A,FALSE,"B";"pops",#N/A,FALSE,"POP's"}</definedName>
    <definedName name="wrn.All." hidden="1">{"val",#N/A,FALSE,"Val";#N/A,#N/A,FALSE,"Rev";#N/A,#N/A,FALSE,"IS";#N/A,#N/A,FALSE,"CF";#N/A,#N/A,FALSE,"B";"pops",#N/A,FALSE,"POP's"}</definedName>
    <definedName name="wrn.analisis1."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localSheetId="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localSheetId="2"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UT._.ANALISE._.DESP." localSheetId="3" hidden="1">{"balanço dolares",#N/A,FALSE,"SIGADR$";"AUT BAL REAIS",#N/A,FALSE,"SIGADR$";"QUOCIENTES REAIS",#N/A,FALSE,"QUOCIENTES";"JUNH QUOCI DOLARES",#N/A,FALSE,"QUOCIENTES"}</definedName>
    <definedName name="wrn.AUT._.ANALISE._.DESP." localSheetId="2" hidden="1">{"balanço dolares",#N/A,FALSE,"SIGADR$";"AUT BAL REAIS",#N/A,FALSE,"SIGADR$";"QUOCIENTES REAIS",#N/A,FALSE,"QUOCIENTES";"JUNH QUOCI DOLARES",#N/A,FALSE,"QUOCIENTES"}</definedName>
    <definedName name="wrn.AUT._.ANALISE._.DESP." hidden="1">{"balanço dolares",#N/A,FALSE,"SIGADR$";"AUT BAL REAIS",#N/A,FALSE,"SIGADR$";"QUOCIENTES REAIS",#N/A,FALSE,"QUOCIENTES";"JUNH QUOCI DOLARES",#N/A,FALSE,"QUOCIENTES"}</definedName>
    <definedName name="wrn.AUT._.ANALISE._.DESP._1" localSheetId="3" hidden="1">{"balanço dolares",#N/A,FALSE,"SIGADR$";"AUT BAL REAIS",#N/A,FALSE,"SIGADR$";"QUOCIENTES REAIS",#N/A,FALSE,"QUOCIENTES";"JUNH QUOCI DOLARES",#N/A,FALSE,"QUOCIENTES"}</definedName>
    <definedName name="wrn.AUT._.ANALISE._.DESP._1" localSheetId="2" hidden="1">{"balanço dolares",#N/A,FALSE,"SIGADR$";"AUT BAL REAIS",#N/A,FALSE,"SIGADR$";"QUOCIENTES REAIS",#N/A,FALSE,"QUOCIENTES";"JUNH QUOCI DOLARES",#N/A,FALSE,"QUOCIENTES"}</definedName>
    <definedName name="wrn.AUT._.ANALISE._.DESP._1" hidden="1">{"balanço dolares",#N/A,FALSE,"SIGADR$";"AUT BAL REAIS",#N/A,FALSE,"SIGADR$";"QUOCIENTES REAIS",#N/A,FALSE,"QUOCIENTES";"JUNH QUOCI DOLARES",#N/A,FALSE,"QUOCIENTES"}</definedName>
    <definedName name="wrn.AUT._.DESPESAS." localSheetId="3" hidden="1">{"AUT ANALISE DESP",#N/A,TRUE,"AN.DESP. MR$"}</definedName>
    <definedName name="wrn.AUT._.DESPESAS." localSheetId="2" hidden="1">{"AUT ANALISE DESP",#N/A,TRUE,"AN.DESP. MR$"}</definedName>
    <definedName name="wrn.AUT._.DESPESAS." hidden="1">{"AUT ANALISE DESP",#N/A,TRUE,"AN.DESP. MR$"}</definedName>
    <definedName name="wrn.AUT._.DESPESAS._1" localSheetId="3" hidden="1">{"AUT ANALISE DESP",#N/A,TRUE,"AN.DESP. MR$"}</definedName>
    <definedName name="wrn.AUT._.DESPESAS._1" localSheetId="2" hidden="1">{"AUT ANALISE DESP",#N/A,TRUE,"AN.DESP. MR$"}</definedName>
    <definedName name="wrn.AUT._.DESPESAS._1" hidden="1">{"AUT ANALISE DESP",#N/A,TRUE,"AN.DESP. MR$"}</definedName>
    <definedName name="wrn.Clarobook." localSheetId="3" hidden="1">{#N/A,#N/A,TRUE,"índice";#N/A,#N/A,TRUE,"bp";#N/A,#N/A,TRUE,"dre";#N/A,#N/A,TRUE,"mpl";#N/A,#N/A,TRUE,"doar";#N/A,#N/A,TRUE,"fc";#N/A,#N/A,TRUE,"cta_rec";#N/A,#N/A,TRUE,"Estoque";#N/A,#N/A,TRUE,"Estoque_Det";#N/A,#N/A,TRUE,"Despesas Antecipadas";#N/A,#N/A,TRUE,"IReCS";#N/A,#N/A,TRUE,"BaseNegativa";#N/A,#N/A,TRUE,"CS";#N/A,#N/A,TRUE,"AjCS";#N/A,#N/A,TRUE,"Prej.Fiscal";#N/A,#N/A,TRUE,"IR";#N/A,#N/A,TRUE,"AjIR";#N/A,#N/A,TRUE,"Permanente";"Permanente_gráfico",#N/A,TRUE,"Permanente";#N/A,#N/A,TRUE,"Capitalização";"Financiamentos Mensal",#N/A,TRUE,"Financiamentos";"Financiamentos Movimentação",#N/A,TRUE,"Financiamentos";#N/A,#N/A,TRUE,"Soc.Ligadas";#N/A,#N/A,TRUE,"Capital";#N/A,#N/A,TRUE,"indicadores";#N/A,#N/A,TRUE,"Receita";#N/A,#N/A,TRUE,"CPV";#N/A,#N/A,TRUE,"Financeiras"}</definedName>
    <definedName name="wrn.Clarobook." localSheetId="2" hidden="1">{#N/A,#N/A,TRUE,"índice";#N/A,#N/A,TRUE,"bp";#N/A,#N/A,TRUE,"dre";#N/A,#N/A,TRUE,"mpl";#N/A,#N/A,TRUE,"doar";#N/A,#N/A,TRUE,"fc";#N/A,#N/A,TRUE,"cta_rec";#N/A,#N/A,TRUE,"Estoque";#N/A,#N/A,TRUE,"Estoque_Det";#N/A,#N/A,TRUE,"Despesas Antecipadas";#N/A,#N/A,TRUE,"IReCS";#N/A,#N/A,TRUE,"BaseNegativa";#N/A,#N/A,TRUE,"CS";#N/A,#N/A,TRUE,"AjCS";#N/A,#N/A,TRUE,"Prej.Fiscal";#N/A,#N/A,TRUE,"IR";#N/A,#N/A,TRUE,"AjIR";#N/A,#N/A,TRUE,"Permanente";"Permanente_gráfico",#N/A,TRUE,"Permanente";#N/A,#N/A,TRUE,"Capitalização";"Financiamentos Mensal",#N/A,TRUE,"Financiamentos";"Financiamentos Movimentação",#N/A,TRUE,"Financiamentos";#N/A,#N/A,TRUE,"Soc.Ligadas";#N/A,#N/A,TRUE,"Capital";#N/A,#N/A,TRUE,"indicadores";#N/A,#N/A,TRUE,"Receita";#N/A,#N/A,TRUE,"CPV";#N/A,#N/A,TRUE,"Financeiras"}</definedName>
    <definedName name="wrn.Clarobook." hidden="1">{#N/A,#N/A,TRUE,"índice";#N/A,#N/A,TRUE,"bp";#N/A,#N/A,TRUE,"dre";#N/A,#N/A,TRUE,"mpl";#N/A,#N/A,TRUE,"doar";#N/A,#N/A,TRUE,"fc";#N/A,#N/A,TRUE,"cta_rec";#N/A,#N/A,TRUE,"Estoque";#N/A,#N/A,TRUE,"Estoque_Det";#N/A,#N/A,TRUE,"Despesas Antecipadas";#N/A,#N/A,TRUE,"IReCS";#N/A,#N/A,TRUE,"BaseNegativa";#N/A,#N/A,TRUE,"CS";#N/A,#N/A,TRUE,"AjCS";#N/A,#N/A,TRUE,"Prej.Fiscal";#N/A,#N/A,TRUE,"IR";#N/A,#N/A,TRUE,"AjIR";#N/A,#N/A,TRUE,"Permanente";"Permanente_gráfico",#N/A,TRUE,"Permanente";#N/A,#N/A,TRUE,"Capitalização";"Financiamentos Mensal",#N/A,TRUE,"Financiamentos";"Financiamentos Movimentação",#N/A,TRUE,"Financiamentos";#N/A,#N/A,TRUE,"Soc.Ligadas";#N/A,#N/A,TRUE,"Capital";#N/A,#N/A,TRUE,"indicadores";#N/A,#N/A,TRUE,"Receita";#N/A,#N/A,TRUE,"CPV";#N/A,#N/A,TRUE,"Financeiras"}</definedName>
    <definedName name="wrn.Comparativo." localSheetId="3" hidden="1">{#N/A,#N/A,TRUE,"ComparativoII"}</definedName>
    <definedName name="wrn.Comparativo." localSheetId="2" hidden="1">{#N/A,#N/A,TRUE,"ComparativoII"}</definedName>
    <definedName name="wrn.Comparativo." hidden="1">{#N/A,#N/A,TRUE,"ComparativoII"}</definedName>
    <definedName name="wrn.Comparativo._1" localSheetId="3" hidden="1">{#N/A,#N/A,TRUE,"ComparativoII"}</definedName>
    <definedName name="wrn.Comparativo._1" localSheetId="2" hidden="1">{#N/A,#N/A,TRUE,"ComparativoII"}</definedName>
    <definedName name="wrn.Comparativo._1" hidden="1">{#N/A,#N/A,TRUE,"ComparativoII"}</definedName>
    <definedName name="wrn.Complete._.Report." localSheetId="3"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e._.Report." localSheetId="2"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e._.Report."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ntabilidade." localSheetId="3" hidden="1">{#N/A,#N/A,FALSE,"Posição Financeira"}</definedName>
    <definedName name="wrn.Contabilidade." localSheetId="2" hidden="1">{#N/A,#N/A,FALSE,"Posição Financeira"}</definedName>
    <definedName name="wrn.Contabilidade." hidden="1">{#N/A,#N/A,FALSE,"Posição Financeira"}</definedName>
    <definedName name="wrn.Contractual._.Minera._.Escondida." localSheetId="3" hidden="1">{#N/A,#N/A,FALSE,"cmcrli";#N/A,#N/A,FALSE,"Futcmc";#N/A,#N/A,FALSE,"PPM-CMC"}</definedName>
    <definedName name="wrn.Contractual._.Minera._.Escondida." localSheetId="2" hidden="1">{#N/A,#N/A,FALSE,"cmcrli";#N/A,#N/A,FALSE,"Futcmc";#N/A,#N/A,FALSE,"PPM-CMC"}</definedName>
    <definedName name="wrn.Contractual._.Minera._.Escondida." hidden="1">{#N/A,#N/A,FALSE,"cmcrli";#N/A,#N/A,FALSE,"Futcmc";#N/A,#N/A,FALSE,"PPM-CMC"}</definedName>
    <definedName name="wrn.Current._.Year._.Plan._.Only." localSheetId="3"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2"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debt." localSheetId="3" hidden="1">{"CFA",#N/A,FALSE,"CF";"CFQ",#N/A,FALSE,"CF";"dbt.all.anl",#N/A,FALSE,"CF";"dbt.all.qt",#N/A,FALSE,"CF";"dbt.pt1.anl",#N/A,FALSE,"CF";"debt.pt2.anl",#N/A,FALSE,"CF";"dbt.pt1.qt",#N/A,FALSE,"CF";"dbt.pt2.qt",#N/A,FALSE,"CF";"BSA",#N/A,FALSE,"B"}</definedName>
    <definedName name="wrn.debt." localSheetId="2" hidden="1">{"CFA",#N/A,FALSE,"CF";"CFQ",#N/A,FALSE,"CF";"dbt.all.anl",#N/A,FALSE,"CF";"dbt.all.qt",#N/A,FALSE,"CF";"dbt.pt1.anl",#N/A,FALSE,"CF";"debt.pt2.anl",#N/A,FALSE,"CF";"dbt.pt1.qt",#N/A,FALSE,"CF";"dbt.pt2.qt",#N/A,FALSE,"CF";"BSA",#N/A,FALSE,"B"}</definedName>
    <definedName name="wrn.debt." hidden="1">{"CFA",#N/A,FALSE,"CF";"CFQ",#N/A,FALSE,"CF";"dbt.all.anl",#N/A,FALSE,"CF";"dbt.all.qt",#N/A,FALSE,"CF";"dbt.pt1.anl",#N/A,FALSE,"CF";"debt.pt2.anl",#N/A,FALSE,"CF";"dbt.pt1.qt",#N/A,FALSE,"CF";"dbt.pt2.qt",#N/A,FALSE,"CF";"BSA",#N/A,FALSE,"B"}</definedName>
    <definedName name="wrn.DEMONST._.RESULTADOS." localSheetId="3" hidden="1">{"RESULTADOS REAIS",#N/A,FALSE,"Dem.Res.R$";"RESULTADOS DOLARES",#N/A,FALSE,"Dem.Res.US$";"PERCENTUAIS REAIS",#N/A,FALSE,"Percentuais R$";"PERCENTUAIS DOLARES",#N/A,FALSE,"Percentuais US$"}</definedName>
    <definedName name="wrn.DEMONST._.RESULTADOS." localSheetId="2" hidden="1">{"RESULTADOS REAIS",#N/A,FALSE,"Dem.Res.R$";"RESULTADOS DOLARES",#N/A,FALSE,"Dem.Res.US$";"PERCENTUAIS REAIS",#N/A,FALSE,"Percentuais R$";"PERCENTUAIS DOLARES",#N/A,FALSE,"Percentuais US$"}</definedName>
    <definedName name="wrn.DEMONST._.RESULTADOS." hidden="1">{"RESULTADOS REAIS",#N/A,FALSE,"Dem.Res.R$";"RESULTADOS DOLARES",#N/A,FALSE,"Dem.Res.US$";"PERCENTUAIS REAIS",#N/A,FALSE,"Percentuais R$";"PERCENTUAIS DOLARES",#N/A,FALSE,"Percentuais US$"}</definedName>
    <definedName name="wrn.DEMONST._.RESULTADOS._1" localSheetId="3" hidden="1">{"RESULTADOS REAIS",#N/A,FALSE,"Dem.Res.R$";"RESULTADOS DOLARES",#N/A,FALSE,"Dem.Res.US$";"PERCENTUAIS REAIS",#N/A,FALSE,"Percentuais R$";"PERCENTUAIS DOLARES",#N/A,FALSE,"Percentuais US$"}</definedName>
    <definedName name="wrn.DEMONST._.RESULTADOS._1" localSheetId="2" hidden="1">{"RESULTADOS REAIS",#N/A,FALSE,"Dem.Res.R$";"RESULTADOS DOLARES",#N/A,FALSE,"Dem.Res.US$";"PERCENTUAIS REAIS",#N/A,FALSE,"Percentuais R$";"PERCENTUAIS DOLARES",#N/A,FALSE,"Percentuais US$"}</definedName>
    <definedName name="wrn.DEMONST._.RESULTADOS._1" hidden="1">{"RESULTADOS REAIS",#N/A,FALSE,"Dem.Res.R$";"RESULTADOS DOLARES",#N/A,FALSE,"Dem.Res.US$";"PERCENTUAIS REAIS",#N/A,FALSE,"Percentuais R$";"PERCENTUAIS DOLARES",#N/A,FALSE,"Percentuais US$"}</definedName>
    <definedName name="wrn.Despesas._.Diferidas._.Indedutíveis._.de._.1998." localSheetId="3" hidden="1">{"Despesas Diferidas Indedutíveis de 1998",#N/A,FALSE,"Impressão"}</definedName>
    <definedName name="wrn.Despesas._.Diferidas._.Indedutíveis._.de._.1998." localSheetId="2" hidden="1">{"Despesas Diferidas Indedutíveis de 1998",#N/A,FALSE,"Impressão"}</definedName>
    <definedName name="wrn.Despesas._.Diferidas._.Indedutíveis._.de._.1998." hidden="1">{"Despesas Diferidas Indedutíveis de 1998",#N/A,FALSE,"Impressão"}</definedName>
    <definedName name="wrn.Diretoria." localSheetId="3" hidden="1">{#N/A,#N/A,FALSE,"Posição Financeira"}</definedName>
    <definedName name="wrn.Diretoria." localSheetId="2" hidden="1">{#N/A,#N/A,FALSE,"Posição Financeira"}</definedName>
    <definedName name="wrn.Diretoria." hidden="1">{#N/A,#N/A,FALSE,"Posição Financeira"}</definedName>
    <definedName name="wrn.Exception._.Report." localSheetId="3" hidden="1">{#N/A,#N/A,FALSE,"Exception Report"}</definedName>
    <definedName name="wrn.Exception._.Report." localSheetId="2" hidden="1">{#N/A,#N/A,FALSE,"Exception Report"}</definedName>
    <definedName name="wrn.Exception._.Report." hidden="1">{#N/A,#N/A,FALSE,"Exception Report"}</definedName>
    <definedName name="wrn.Financeiro." localSheetId="3" hidden="1">{#N/A,#N/A,FALSE,"Posição Financeira"}</definedName>
    <definedName name="wrn.Financeiro." localSheetId="2" hidden="1">{#N/A,#N/A,FALSE,"Posição Financeira"}</definedName>
    <definedName name="wrn.Financeiro." hidden="1">{#N/A,#N/A,FALSE,"Posição Financeira"}</definedName>
    <definedName name="wrn.financials." localSheetId="3" hidden="1">{#N/A,#N/A,TRUE,"Mkt Assumptions";#N/A,#N/A,TRUE,"Income_Statement";#N/A,#N/A,TRUE,"Balance_Sheet";#N/A,#N/A,TRUE,"Cash_Flow_Stmt";#N/A,#N/A,TRUE,"Debt_Repayment";#N/A,#N/A,TRUE,"Ratio_Analysis";#N/A,#N/A,TRUE,"Inc_Stmt_Assumptions"}</definedName>
    <definedName name="wrn.financials." localSheetId="2" hidden="1">{#N/A,#N/A,TRUE,"Mkt Assumptions";#N/A,#N/A,TRUE,"Income_Statement";#N/A,#N/A,TRUE,"Balance_Sheet";#N/A,#N/A,TRUE,"Cash_Flow_Stmt";#N/A,#N/A,TRUE,"Debt_Repayment";#N/A,#N/A,TRUE,"Ratio_Analysis";#N/A,#N/A,TRUE,"Inc_Stmt_Assumptions"}</definedName>
    <definedName name="wrn.financials." hidden="1">{#N/A,#N/A,TRUE,"Mkt Assumptions";#N/A,#N/A,TRUE,"Income_Statement";#N/A,#N/A,TRUE,"Balance_Sheet";#N/A,#N/A,TRUE,"Cash_Flow_Stmt";#N/A,#N/A,TRUE,"Debt_Repayment";#N/A,#N/A,TRUE,"Ratio_Analysis";#N/A,#N/A,TRUE,"Inc_Stmt_Assumptions"}</definedName>
    <definedName name="wrn.Five._.Year._.Plan." localSheetId="3"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2"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hidden="1">{#N/A,#N/A,FALSE,"Part B - Five Year Projections";#N/A,#N/A,FALSE,"B.1 Financial Summary";#N/A,#N/A,FALSE,"B.1a Financial Sum wks";#N/A,#N/A,FALSE,"B.2 Five Year Assumptions";#N/A,#N/A,FALSE,"B.3 Five Year Income";#N/A,#N/A,FALSE,"B.4 Five Year Balance Sheets";#N/A,#N/A,FALSE,"B.5 Five Year Cash Flows"}</definedName>
    <definedName name="wrn.Forecast._.March." localSheetId="3" hidden="1">{#N/A,#N/A,FALSE,"Actual";#N/A,#N/A,FALSE,"Capital Call";#N/A,#N/A,FALSE,"Analyse A x F"}</definedName>
    <definedName name="wrn.Forecast._.March." localSheetId="2" hidden="1">{#N/A,#N/A,FALSE,"Actual";#N/A,#N/A,FALSE,"Capital Call";#N/A,#N/A,FALSE,"Analyse A x F"}</definedName>
    <definedName name="wrn.Forecast._.March." hidden="1">{#N/A,#N/A,FALSE,"Actual";#N/A,#N/A,FALSE,"Capital Call";#N/A,#N/A,FALSE,"Analyse A x F"}</definedName>
    <definedName name="wrn.Forecast._.March._.Semanal." localSheetId="3" hidden="1">{#N/A,#N/A,FALSE,"Actual"}</definedName>
    <definedName name="wrn.Forecast._.March._.Semanal." localSheetId="2" hidden="1">{#N/A,#N/A,FALSE,"Actual"}</definedName>
    <definedName name="wrn.Forecast._.March._.Semanal." hidden="1">{#N/A,#N/A,FALSE,"Actual"}</definedName>
    <definedName name="wrn.Full._.Business._.Plan._.Package." localSheetId="3"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2"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iIMPRESSION._.DOC." localSheetId="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localSheetId="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FORME._.HOFFMANN." localSheetId="3" hidden="1">{#N/A,#N/A,FALSE,"BALANCE";#N/A,#N/A,FALSE,"BALACOMP"}</definedName>
    <definedName name="wrn.INFORME._.HOFFMANN." localSheetId="2" hidden="1">{#N/A,#N/A,FALSE,"BALANCE";#N/A,#N/A,FALSE,"BALACOMP"}</definedName>
    <definedName name="wrn.INFORME._.HOFFMANN." hidden="1">{#N/A,#N/A,FALSE,"BALANCE";#N/A,#N/A,FALSE,"BALACOMP"}</definedName>
    <definedName name="wrn.INFORME._.HOFFMANN._1" localSheetId="3" hidden="1">{#N/A,#N/A,FALSE,"BALANCE";#N/A,#N/A,FALSE,"BALACOMP"}</definedName>
    <definedName name="wrn.INFORME._.HOFFMANN._1" localSheetId="2" hidden="1">{#N/A,#N/A,FALSE,"BALANCE";#N/A,#N/A,FALSE,"BALACOMP"}</definedName>
    <definedName name="wrn.INFORME._.HOFFMANN._1" hidden="1">{#N/A,#N/A,FALSE,"BALANCE";#N/A,#N/A,FALSE,"BALACOMP"}</definedName>
    <definedName name="wrn.Informe._.RLI." localSheetId="3" hidden="1">{#N/A,#N/A,TRUE,"MEMO";#N/A,#N/A,TRUE,"PARAMETROS";#N/A,#N/A,TRUE,"RLI ";#N/A,#N/A,TRUE,"IMPTO.DET.";#N/A,#N/A,TRUE,"FUT-FUNT";#N/A,#N/A,TRUE,"CPI-PATR.";#N/A,#N/A,TRUE,"CM CPI";#N/A,#N/A,TRUE,"PROV";#N/A,#N/A,TRUE,"A FIJO";#N/A,#N/A,TRUE,"LEASING";#N/A,#N/A,TRUE,"VPP";#N/A,#N/A,TRUE,"PPM";#N/A,#N/A,TRUE,"OTROS"}</definedName>
    <definedName name="wrn.Informe._.RLI." localSheetId="2" hidden="1">{#N/A,#N/A,TRUE,"MEMO";#N/A,#N/A,TRUE,"PARAMETROS";#N/A,#N/A,TRUE,"RLI ";#N/A,#N/A,TRUE,"IMPTO.DET.";#N/A,#N/A,TRUE,"FUT-FUNT";#N/A,#N/A,TRUE,"CPI-PATR.";#N/A,#N/A,TRUE,"CM CPI";#N/A,#N/A,TRUE,"PROV";#N/A,#N/A,TRUE,"A FIJO";#N/A,#N/A,TRUE,"LEASING";#N/A,#N/A,TRUE,"VPP";#N/A,#N/A,TRUE,"PPM";#N/A,#N/A,TRUE,"OTROS"}</definedName>
    <definedName name="wrn.Informe._.RLI." hidden="1">{#N/A,#N/A,TRUE,"MEMO";#N/A,#N/A,TRUE,"PARAMETROS";#N/A,#N/A,TRUE,"RLI ";#N/A,#N/A,TRUE,"IMPTO.DET.";#N/A,#N/A,TRUE,"FUT-FUNT";#N/A,#N/A,TRUE,"CPI-PATR.";#N/A,#N/A,TRUE,"CM CPI";#N/A,#N/A,TRUE,"PROV";#N/A,#N/A,TRUE,"A FIJO";#N/A,#N/A,TRUE,"LEASING";#N/A,#N/A,TRUE,"VPP";#N/A,#N/A,TRUE,"PPM";#N/A,#N/A,TRUE,"OTROS"}</definedName>
    <definedName name="wrn.Informe._.RLI._1" localSheetId="3" hidden="1">{#N/A,#N/A,TRUE,"MEMO";#N/A,#N/A,TRUE,"PARAMETROS";#N/A,#N/A,TRUE,"RLI ";#N/A,#N/A,TRUE,"IMPTO.DET.";#N/A,#N/A,TRUE,"FUT-FUNT";#N/A,#N/A,TRUE,"CPI-PATR.";#N/A,#N/A,TRUE,"CM CPI";#N/A,#N/A,TRUE,"PROV";#N/A,#N/A,TRUE,"A FIJO";#N/A,#N/A,TRUE,"LEASING";#N/A,#N/A,TRUE,"VPP";#N/A,#N/A,TRUE,"PPM";#N/A,#N/A,TRUE,"OTROS"}</definedName>
    <definedName name="wrn.Informe._.RLI._1" localSheetId="2" hidden="1">{#N/A,#N/A,TRUE,"MEMO";#N/A,#N/A,TRUE,"PARAMETROS";#N/A,#N/A,TRUE,"RLI ";#N/A,#N/A,TRUE,"IMPTO.DET.";#N/A,#N/A,TRUE,"FUT-FUNT";#N/A,#N/A,TRUE,"CPI-PATR.";#N/A,#N/A,TRUE,"CM CPI";#N/A,#N/A,TRUE,"PROV";#N/A,#N/A,TRUE,"A FIJO";#N/A,#N/A,TRUE,"LEASING";#N/A,#N/A,TRUE,"VPP";#N/A,#N/A,TRUE,"PPM";#N/A,#N/A,TRUE,"OTROS"}</definedName>
    <definedName name="wrn.Informe._.RLI._1" hidden="1">{#N/A,#N/A,TRUE,"MEMO";#N/A,#N/A,TRUE,"PARAMETROS";#N/A,#N/A,TRUE,"RLI ";#N/A,#N/A,TRUE,"IMPTO.DET.";#N/A,#N/A,TRUE,"FUT-FUNT";#N/A,#N/A,TRUE,"CPI-PATR.";#N/A,#N/A,TRUE,"CM CPI";#N/A,#N/A,TRUE,"PROV";#N/A,#N/A,TRUE,"A FIJO";#N/A,#N/A,TRUE,"LEASING";#N/A,#N/A,TRUE,"VPP";#N/A,#N/A,TRUE,"PPM";#N/A,#N/A,TRUE,"OTROS"}</definedName>
    <definedName name="wrn.informegestion." localSheetId="3"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 localSheetId="2"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localSheetId="3"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localSheetId="2"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tegral." localSheetId="3" hidden="1">{#N/A,#N/A,FALSE,"Holding";#N/A,#N/A,FALSE,"Acomp";#N/A,#N/A,FALSE,"Dre_ger";#N/A,#N/A,FALSE,"Atividade";#N/A,#N/A,FALSE,"Balancete"}</definedName>
    <definedName name="wrn.Integral." localSheetId="2" hidden="1">{#N/A,#N/A,FALSE,"Holding";#N/A,#N/A,FALSE,"Acomp";#N/A,#N/A,FALSE,"Dre_ger";#N/A,#N/A,FALSE,"Atividade";#N/A,#N/A,FALSE,"Balancete"}</definedName>
    <definedName name="wrn.Integral." hidden="1">{#N/A,#N/A,FALSE,"Holding";#N/A,#N/A,FALSE,"Acomp";#N/A,#N/A,FALSE,"Dre_ger";#N/A,#N/A,FALSE,"Atividade";#N/A,#N/A,FALSE,"Balancete"}</definedName>
    <definedName name="wrn.Main_Stats." localSheetId="3" hidden="1">{"JVSumm_Report",#N/A,FALSE,"JV Summ";"Newman_Report",#N/A,FALSE,"Output - 7";"Yandi_Report",#N/A,FALSE,"Output - 8"}</definedName>
    <definedName name="wrn.Main_Stats." localSheetId="2" hidden="1">{"JVSumm_Report",#N/A,FALSE,"JV Summ";"Newman_Report",#N/A,FALSE,"Output - 7";"Yandi_Report",#N/A,FALSE,"Output - 8"}</definedName>
    <definedName name="wrn.Main_Stats." hidden="1">{"JVSumm_Report",#N/A,FALSE,"JV Summ";"Newman_Report",#N/A,FALSE,"Output - 7";"Yandi_Report",#N/A,FALSE,"Output - 8"}</definedName>
    <definedName name="wrn.Minera._.Escondida._.Ltda." localSheetId="3" hidden="1">{#N/A,#N/A,TRUE,"minescrli";#N/A,#N/A,TRUE,"Futminesc";#N/A,#N/A,TRUE,"gastos rechazados";#N/A,#N/A,TRUE,"Sum Gtos Rehazados";#N/A,#N/A,TRUE,"PPM-Minesc";#N/A,#N/A,TRUE,"minescret socios";#N/A,#N/A,TRUE,"Dividendos Acciones";#N/A,#N/A,TRUE,"Contribuciones Bienes Raices";#N/A,#N/A,TRUE,"Donaciones";#N/A,#N/A,TRUE,"cap propiominesc"}</definedName>
    <definedName name="wrn.Minera._.Escondida._.Ltda." localSheetId="2" hidden="1">{#N/A,#N/A,TRUE,"minescrli";#N/A,#N/A,TRUE,"Futminesc";#N/A,#N/A,TRUE,"gastos rechazados";#N/A,#N/A,TRUE,"Sum Gtos Rehazados";#N/A,#N/A,TRUE,"PPM-Minesc";#N/A,#N/A,TRUE,"minescret socios";#N/A,#N/A,TRUE,"Dividendos Acciones";#N/A,#N/A,TRUE,"Contribuciones Bienes Raices";#N/A,#N/A,TRUE,"Donaciones";#N/A,#N/A,TRUE,"cap propiominesc"}</definedName>
    <definedName name="wrn.Minera._.Escondida._.Ltda." hidden="1">{#N/A,#N/A,TRUE,"minescrli";#N/A,#N/A,TRUE,"Futminesc";#N/A,#N/A,TRUE,"gastos rechazados";#N/A,#N/A,TRUE,"Sum Gtos Rehazados";#N/A,#N/A,TRUE,"PPM-Minesc";#N/A,#N/A,TRUE,"minescret socios";#N/A,#N/A,TRUE,"Dividendos Acciones";#N/A,#N/A,TRUE,"Contribuciones Bienes Raices";#N/A,#N/A,TRUE,"Donaciones";#N/A,#N/A,TRUE,"cap propiominesc"}</definedName>
    <definedName name="wrn.Mining._.Perfromance._.Report." localSheetId="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2"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TMMOEORC." localSheetId="3" hidden="1">{#N/A,#N/A,FALSE,"MTMUSD"}</definedName>
    <definedName name="wrn.MTMMOEORC." localSheetId="2" hidden="1">{#N/A,#N/A,FALSE,"MTMUSD"}</definedName>
    <definedName name="wrn.MTMMOEORC." hidden="1">{#N/A,#N/A,FALSE,"MTMUSD"}</definedName>
    <definedName name="wrn.Plan._.Support._.Only." localSheetId="3"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2"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reliminary._.Plan." localSheetId="3" hidden="1">{#N/A,#N/A,FALSE,"Part E";#N/A,#N/A,FALSE,"E.1 Prelim Earnings Plan"}</definedName>
    <definedName name="wrn.Preliminary._.Plan." localSheetId="2" hidden="1">{#N/A,#N/A,FALSE,"Part E";#N/A,#N/A,FALSE,"E.1 Prelim Earnings Plan"}</definedName>
    <definedName name="wrn.Preliminary._.Plan." hidden="1">{#N/A,#N/A,FALSE,"Part E";#N/A,#N/A,FALSE,"E.1 Prelim Earnings Plan"}</definedName>
    <definedName name="wrn.President._.Report." localSheetId="3" hidden="1">{#N/A,#N/A,FALSE,"President's Cover";#N/A,#N/A,FALSE,"A.1 1998 Objectives";#N/A,#N/A,FALSE,"A.2 President's Measures";#N/A,#N/A,FALSE,"A.3 Commentary"}</definedName>
    <definedName name="wrn.President._.Report." localSheetId="2" hidden="1">{#N/A,#N/A,FALSE,"President's Cover";#N/A,#N/A,FALSE,"A.1 1998 Objectives";#N/A,#N/A,FALSE,"A.2 President's Measures";#N/A,#N/A,FALSE,"A.3 Commentary"}</definedName>
    <definedName name="wrn.President._.Report." hidden="1">{#N/A,#N/A,FALSE,"President's Cover";#N/A,#N/A,FALSE,"A.1 1998 Objectives";#N/A,#N/A,FALSE,"A.2 President's Measures";#N/A,#N/A,FALSE,"A.3 Commentary"}</definedName>
    <definedName name="wrn.Print_full." localSheetId="3"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2"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hidden="1">{#N/A,#N/A,TRUE,"Isa Cu";#N/A,#N/A,TRUE,"Isa Pb-Zn";#N/A,#N/A,TRUE,"Isa Major";#N/A,#N/A,TRUE,"Isa Other";#N/A,#N/A,TRUE,"EHM";#N/A,#N/A,TRUE,"MRM";#N/A,#N/A,TRUE,"OCB";#N/A,#N/A,TRUE,"NCP";#N/A,#N/A,TRUE,"CCP";#N/A,#N/A,TRUE,"CRL";#N/A,#N/A,TRUE,"MSS";#N/A,#N/A,TRUE,"Gold";#N/A,#N/A,TRUE,"Exploration";#N/A,#N/A,TRUE,"S.America";#N/A,#N/A,TRUE,"BRM";#N/A,#N/A,TRUE,"BZL";#N/A,#N/A,TRUE,"MHD";#N/A,#N/A,TRUE,"HQ"}</definedName>
    <definedName name="wrn.PRINT1." localSheetId="3" hidden="1">{"cf1.xls",#N/A,FALSE,"CF";"cfseg1.xls",#N/A,FALSE,"CF";"REV1.xls",#N/A,FALSE,"Rev";"REVANA1.XLS",#N/A,FALSE,"Rev";"IS1.xls",#N/A,FALSE,"IS";"ISQ1.xls",#N/A,FALSE,"IS"}</definedName>
    <definedName name="wrn.PRINT1." localSheetId="2" hidden="1">{"cf1.xls",#N/A,FALSE,"CF";"cfseg1.xls",#N/A,FALSE,"CF";"REV1.xls",#N/A,FALSE,"Rev";"REVANA1.XLS",#N/A,FALSE,"Rev";"IS1.xls",#N/A,FALSE,"IS";"ISQ1.xls",#N/A,FALSE,"IS"}</definedName>
    <definedName name="wrn.PRINT1." hidden="1">{"cf1.xls",#N/A,FALSE,"CF";"cfseg1.xls",#N/A,FALSE,"CF";"REV1.xls",#N/A,FALSE,"Rev";"REVANA1.XLS",#N/A,FALSE,"Rev";"IS1.xls",#N/A,FALSE,"IS";"ISQ1.xls",#N/A,FALSE,"IS"}</definedName>
    <definedName name="wrn.Printall." localSheetId="3" hidden="1">{"valuation",#N/A,TRUE,"A";"ISA",#N/A,TRUE,"IS";"ISQ",#N/A,TRUE,"IS";"IndustryA",#N/A,TRUE,"Rev";"idenA",#N/A,TRUE,"Rev";"idenQ",#N/A,TRUE,"Rev";"dispatchA",#N/A,TRUE,"Rev";"dispatchQ",#N/A,TRUE,"Rev";"integratedA",#N/A,TRUE,"Rev";"integratedQ",#N/A,TRUE,"Rev";"cellularA",#N/A,TRUE,"Rev";"cellularQ",#N/A,TRUE,"Rev";"AnalogA",#N/A,TRUE,"Rev";"CFA",#N/A,TRUE,"CF";"CFQ",#N/A,TRUE,"CF";"debtA",#N/A,TRUE,"CF";"debtQ",#N/A,TRUE,"CF";"BSA",#N/A,TRUE,"B"}</definedName>
    <definedName name="wrn.Printall." localSheetId="2" hidden="1">{"valuation",#N/A,TRUE,"A";"ISA",#N/A,TRUE,"IS";"ISQ",#N/A,TRUE,"IS";"IndustryA",#N/A,TRUE,"Rev";"idenA",#N/A,TRUE,"Rev";"idenQ",#N/A,TRUE,"Rev";"dispatchA",#N/A,TRUE,"Rev";"dispatchQ",#N/A,TRUE,"Rev";"integratedA",#N/A,TRUE,"Rev";"integratedQ",#N/A,TRUE,"Rev";"cellularA",#N/A,TRUE,"Rev";"cellularQ",#N/A,TRUE,"Rev";"AnalogA",#N/A,TRUE,"Rev";"CFA",#N/A,TRUE,"CF";"CFQ",#N/A,TRUE,"CF";"debtA",#N/A,TRUE,"CF";"debtQ",#N/A,TRUE,"CF";"BSA",#N/A,TRUE,"B"}</definedName>
    <definedName name="wrn.Printall." hidden="1">{"valuation",#N/A,TRUE,"A";"ISA",#N/A,TRUE,"IS";"ISQ",#N/A,TRUE,"IS";"IndustryA",#N/A,TRUE,"Rev";"idenA",#N/A,TRUE,"Rev";"idenQ",#N/A,TRUE,"Rev";"dispatchA",#N/A,TRUE,"Rev";"dispatchQ",#N/A,TRUE,"Rev";"integratedA",#N/A,TRUE,"Rev";"integratedQ",#N/A,TRUE,"Rev";"cellularA",#N/A,TRUE,"Rev";"cellularQ",#N/A,TRUE,"Rev";"AnalogA",#N/A,TRUE,"Rev";"CFA",#N/A,TRUE,"CF";"CFQ",#N/A,TRUE,"CF";"debtA",#N/A,TRUE,"CF";"debtQ",#N/A,TRUE,"CF";"BSA",#N/A,TRUE,"B"}</definedName>
    <definedName name="wrn.Quarter._.1._.Forecast." localSheetId="3"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2"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2._.Forecast." localSheetId="3"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2"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3._.Forecast." localSheetId="3"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2"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ly._.Consolidation._.Report." localSheetId="3"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2"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Relatório._.Completo."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wrn.Relatório._.Completo." localSheetId="2"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wrn.Relatório._.Completo."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wrn.Relatorio._.de._.Aprovação." localSheetId="3" hidden="1">{#N/A,#N/A,FALSE,"pedido"}</definedName>
    <definedName name="wrn.Relatorio._.de._.Aprovação." localSheetId="2" hidden="1">{#N/A,#N/A,FALSE,"pedido"}</definedName>
    <definedName name="wrn.Relatorio._.de._.Aprovação." hidden="1">{#N/A,#N/A,FALSE,"pedido"}</definedName>
    <definedName name="wrn.Relatório._.para._.Auditoria." localSheetId="3" hidden="1">{"Ajustes CS para a Auditoria",#N/A,FALSE,"Impressão";"Controle de saldos para a Auditoria",#N/A,FALSE,"Impressão";"CS Real para a Auditoria",#N/A,FALSE,"Impressão";"Ajustes IR para a Auditoria",#N/A,FALSE,"Impressão";"IR Real para a Auditoria",#N/A,FALSE,"Impressão"}</definedName>
    <definedName name="wrn.Relatório._.para._.Auditoria." localSheetId="2" hidden="1">{"Ajustes CS para a Auditoria",#N/A,FALSE,"Impressão";"Controle de saldos para a Auditoria",#N/A,FALSE,"Impressão";"CS Real para a Auditoria",#N/A,FALSE,"Impressão";"Ajustes IR para a Auditoria",#N/A,FALSE,"Impressão";"IR Real para a Auditoria",#N/A,FALSE,"Impressão"}</definedName>
    <definedName name="wrn.Relatório._.para._.Auditoria." hidden="1">{"Ajustes CS para a Auditoria",#N/A,FALSE,"Impressão";"Controle de saldos para a Auditoria",#N/A,FALSE,"Impressão";"CS Real para a Auditoria",#N/A,FALSE,"Impressão";"Ajustes IR para a Auditoria",#N/A,FALSE,"Impressão";"IR Real para a Auditoria",#N/A,FALSE,"Impressão"}</definedName>
    <definedName name="wrn.Renta._.Total." localSheetId="3" hidden="1">{#N/A,#N/A,FALSE,"BASE";#N/A,#N/A,FALSE,"A";#N/A,#N/A,FALSE,"B";#N/A,#N/A,FALSE,"C";#N/A,#N/A,FALSE,"D";#N/A,#N/A,FALSE,"E";#N/A,#N/A,FALSE,"F";#N/A,#N/A,FALSE,"G";#N/A,#N/A,FALSE,"H";#N/A,#N/A,FALSE,"J";#N/A,#N/A,FALSE,"K";#N/A,#N/A,FALSE,"L";#N/A,#N/A,FALSE,"DIF_BT42"}</definedName>
    <definedName name="wrn.Renta._.Total." localSheetId="2" hidden="1">{#N/A,#N/A,FALSE,"BASE";#N/A,#N/A,FALSE,"A";#N/A,#N/A,FALSE,"B";#N/A,#N/A,FALSE,"C";#N/A,#N/A,FALSE,"D";#N/A,#N/A,FALSE,"E";#N/A,#N/A,FALSE,"F";#N/A,#N/A,FALSE,"G";#N/A,#N/A,FALSE,"H";#N/A,#N/A,FALSE,"J";#N/A,#N/A,FALSE,"K";#N/A,#N/A,FALSE,"L";#N/A,#N/A,FALSE,"DIF_BT42"}</definedName>
    <definedName name="wrn.Renta._.Total." hidden="1">{#N/A,#N/A,FALSE,"BASE";#N/A,#N/A,FALSE,"A";#N/A,#N/A,FALSE,"B";#N/A,#N/A,FALSE,"C";#N/A,#N/A,FALSE,"D";#N/A,#N/A,FALSE,"E";#N/A,#N/A,FALSE,"F";#N/A,#N/A,FALSE,"G";#N/A,#N/A,FALSE,"H";#N/A,#N/A,FALSE,"J";#N/A,#N/A,FALSE,"K";#N/A,#N/A,FALSE,"L";#N/A,#N/A,FALSE,"DIF_BT42"}</definedName>
    <definedName name="wrn.Renta._.Total._1" localSheetId="3" hidden="1">{#N/A,#N/A,FALSE,"BASE";#N/A,#N/A,FALSE,"A";#N/A,#N/A,FALSE,"B";#N/A,#N/A,FALSE,"C";#N/A,#N/A,FALSE,"D";#N/A,#N/A,FALSE,"E";#N/A,#N/A,FALSE,"F";#N/A,#N/A,FALSE,"G";#N/A,#N/A,FALSE,"H";#N/A,#N/A,FALSE,"J";#N/A,#N/A,FALSE,"K";#N/A,#N/A,FALSE,"L";#N/A,#N/A,FALSE,"DIF_BT42"}</definedName>
    <definedName name="wrn.Renta._.Total._1" localSheetId="2" hidden="1">{#N/A,#N/A,FALSE,"BASE";#N/A,#N/A,FALSE,"A";#N/A,#N/A,FALSE,"B";#N/A,#N/A,FALSE,"C";#N/A,#N/A,FALSE,"D";#N/A,#N/A,FALSE,"E";#N/A,#N/A,FALSE,"F";#N/A,#N/A,FALSE,"G";#N/A,#N/A,FALSE,"H";#N/A,#N/A,FALSE,"J";#N/A,#N/A,FALSE,"K";#N/A,#N/A,FALSE,"L";#N/A,#N/A,FALSE,"DIF_BT42"}</definedName>
    <definedName name="wrn.Renta._.Total._1" hidden="1">{#N/A,#N/A,FALSE,"BASE";#N/A,#N/A,FALSE,"A";#N/A,#N/A,FALSE,"B";#N/A,#N/A,FALSE,"C";#N/A,#N/A,FALSE,"D";#N/A,#N/A,FALSE,"E";#N/A,#N/A,FALSE,"F";#N/A,#N/A,FALSE,"G";#N/A,#N/A,FALSE,"H";#N/A,#N/A,FALSE,"J";#N/A,#N/A,FALSE,"K";#N/A,#N/A,FALSE,"L";#N/A,#N/A,FALSE,"DIF_BT42"}</definedName>
    <definedName name="wrn.Report." localSheetId="3" hidden="1">{"Plan1",#N/A,FALSE,"Report";"Plan2",#N/A,FALSE,"Report";"Plan3",#N/A,FALSE,"Report";"Plan4",#N/A,FALSE,"Report";"Plan5",#N/A,FALSE,"Report";"Plan6",#N/A,FALSE,"Report"}</definedName>
    <definedName name="wrn.Report." localSheetId="2" hidden="1">{"Plan1",#N/A,FALSE,"Report";"Plan2",#N/A,FALSE,"Report";"Plan3",#N/A,FALSE,"Report";"Plan4",#N/A,FALSE,"Report";"Plan5",#N/A,FALSE,"Report";"Plan6",#N/A,FALSE,"Report"}</definedName>
    <definedName name="wrn.Report." hidden="1">{"Plan1",#N/A,FALSE,"Report";"Plan2",#N/A,FALSE,"Report";"Plan3",#N/A,FALSE,"Report";"Plan4",#N/A,FALSE,"Report";"Plan5",#N/A,FALSE,"Report";"Plan6",#N/A,FALSE,"Report"}</definedName>
    <definedName name="wrn.Rolling._.forecast._.per._.department." localSheetId="3" hidden="1">{#N/A,#N/A,TRUE,"TOTAL COMPANY 1995";#N/A,#N/A,TRUE,"UTR-DC";#N/A,#N/A,TRUE,"UTR-WP";#N/A,#N/A,TRUE,"UTR-WR";#N/A,#N/A,TRUE,"UTR-LT";#N/A,#N/A,TRUE,"UTR-DI";#N/A,#N/A,TRUE,"STAV-WR";#N/A,#N/A,TRUE,"YSSV-WR";#N/A,#N/A,TRUE,"GP.EXP.NP"}</definedName>
    <definedName name="wrn.Rolling._.forecast._.per._.department." localSheetId="2" hidden="1">{#N/A,#N/A,TRUE,"TOTAL COMPANY 1995";#N/A,#N/A,TRUE,"UTR-DC";#N/A,#N/A,TRUE,"UTR-WP";#N/A,#N/A,TRUE,"UTR-WR";#N/A,#N/A,TRUE,"UTR-LT";#N/A,#N/A,TRUE,"UTR-DI";#N/A,#N/A,TRUE,"STAV-WR";#N/A,#N/A,TRUE,"YSSV-WR";#N/A,#N/A,TRUE,"GP.EXP.NP"}</definedName>
    <definedName name="wrn.Rolling._.forecast._.per._.department." hidden="1">{#N/A,#N/A,TRUE,"TOTAL COMPANY 1995";#N/A,#N/A,TRUE,"UTR-DC";#N/A,#N/A,TRUE,"UTR-WP";#N/A,#N/A,TRUE,"UTR-WR";#N/A,#N/A,TRUE,"UTR-LT";#N/A,#N/A,TRUE,"UTR-DI";#N/A,#N/A,TRUE,"STAV-WR";#N/A,#N/A,TRUE,"YSSV-WR";#N/A,#N/A,TRUE,"GP.EXP.NP"}</definedName>
    <definedName name="wrn.RTZ." localSheetId="3" hidden="1">{#N/A,#N/A,FALSE,"RLI 1996-97";#N/A,#N/A,FALSE,"CYRLI";#N/A,#N/A,FALSE,"Owners Tax Return"}</definedName>
    <definedName name="wrn.RTZ." localSheetId="2" hidden="1">{#N/A,#N/A,FALSE,"RLI 1996-97";#N/A,#N/A,FALSE,"CYRLI";#N/A,#N/A,FALSE,"Owners Tax Return"}</definedName>
    <definedName name="wrn.RTZ." hidden="1">{#N/A,#N/A,FALSE,"RLI 1996-97";#N/A,#N/A,FALSE,"CYRLI";#N/A,#N/A,FALSE,"Owners Tax Return"}</definedName>
    <definedName name="wrn.Serviços._.por._.Depto." localSheetId="3" hidden="1">{#N/A,#N/A,FALSE,"Services"}</definedName>
    <definedName name="wrn.Serviços._.por._.Depto." localSheetId="2" hidden="1">{#N/A,#N/A,FALSE,"Services"}</definedName>
    <definedName name="wrn.Serviços._.por._.Depto." hidden="1">{#N/A,#N/A,FALSE,"Services"}</definedName>
    <definedName name="wrn.Serviços._.por._.Valor." localSheetId="3" hidden="1">{#N/A,#N/A,FALSE,"Services"}</definedName>
    <definedName name="wrn.Serviços._.por._.Valor." localSheetId="2" hidden="1">{#N/A,#N/A,FALSE,"Services"}</definedName>
    <definedName name="wrn.Serviços._.por._.Valor." hidden="1">{#N/A,#N/A,FALSE,"Services"}</definedName>
    <definedName name="wrn.SIM95." localSheetId="3" hidden="1">{#N/A,#N/A,FALSE,"SIM95"}</definedName>
    <definedName name="wrn.SIM95." localSheetId="2" hidden="1">{#N/A,#N/A,FALSE,"SIM95"}</definedName>
    <definedName name="wrn.SIM95." hidden="1">{#N/A,#N/A,FALSE,"SIM95"}</definedName>
    <definedName name="wrn.Supplemental._.Pkg.." localSheetId="3" hidden="1">{#N/A,#N/A,FALSE,"Cover";#N/A,#N/A,FALSE,"Index";#N/A,#N/A,FALSE,"Supp. A";#N/A,#N/A,FALSE,"Supp. B";#N/A,#N/A,FALSE,"Supp. C";#N/A,#N/A,FALSE,"Supp. D";#N/A,#N/A,FALSE,"Supp. E";#N/A,#N/A,FALSE,"Supp. F";#N/A,#N/A,FALSE,"Supp. G";#N/A,#N/A,FALSE,"Supp. H";#N/A,#N/A,FALSE,"Supp. I";#N/A,#N/A,FALSE,"Supp. J";#N/A,#N/A,FALSE,"Supp. K";#N/A,#N/A,FALSE,"Supp. L"}</definedName>
    <definedName name="wrn.Supplemental._.Pkg.." localSheetId="2" hidden="1">{#N/A,#N/A,FALSE,"Cover";#N/A,#N/A,FALSE,"Index";#N/A,#N/A,FALSE,"Supp. A";#N/A,#N/A,FALSE,"Supp. B";#N/A,#N/A,FALSE,"Supp. C";#N/A,#N/A,FALSE,"Supp. D";#N/A,#N/A,FALSE,"Supp. E";#N/A,#N/A,FALSE,"Supp. F";#N/A,#N/A,FALSE,"Supp. G";#N/A,#N/A,FALSE,"Supp. H";#N/A,#N/A,FALSE,"Supp. I";#N/A,#N/A,FALSE,"Supp. J";#N/A,#N/A,FALSE,"Supp. K";#N/A,#N/A,FALSE,"Supp. L"}</definedName>
    <definedName name="wrn.Supplemental._.Pkg.." hidden="1">{#N/A,#N/A,FALSE,"Cover";#N/A,#N/A,FALSE,"Index";#N/A,#N/A,FALSE,"Supp. A";#N/A,#N/A,FALSE,"Supp. B";#N/A,#N/A,FALSE,"Supp. C";#N/A,#N/A,FALSE,"Supp. D";#N/A,#N/A,FALSE,"Supp. E";#N/A,#N/A,FALSE,"Supp. F";#N/A,#N/A,FALSE,"Supp. G";#N/A,#N/A,FALSE,"Supp. H";#N/A,#N/A,FALSE,"Supp. I";#N/A,#N/A,FALSE,"Supp. J";#N/A,#N/A,FALSE,"Supp. K";#N/A,#N/A,FALSE,"Supp. L"}</definedName>
    <definedName name="wrn.TESTE." localSheetId="3" hidden="1">{#N/A,#N/A,FALSE,"MTMUSD"}</definedName>
    <definedName name="wrn.TESTE." localSheetId="2" hidden="1">{#N/A,#N/A,FALSE,"MTMUSD"}</definedName>
    <definedName name="wrn.TESTE." hidden="1">{#N/A,#N/A,FALSE,"MTMUSD"}</definedName>
    <definedName name="wrn.THEBES." localSheetId="3"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EBES." localSheetId="2"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EBES."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Year._.End._.Reporting._.Pkg.." localSheetId="3"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2"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sw" localSheetId="3" hidden="1">{#N/A,#N/A,FALSE,"Aging Summary";#N/A,#N/A,FALSE,"Ratio Analysis";#N/A,#N/A,FALSE,"Test 120 Day Accts";#N/A,#N/A,FALSE,"Tickmarks"}</definedName>
    <definedName name="wsw" localSheetId="2" hidden="1">{#N/A,#N/A,FALSE,"Aging Summary";#N/A,#N/A,FALSE,"Ratio Analysis";#N/A,#N/A,FALSE,"Test 120 Day Accts";#N/A,#N/A,FALSE,"Tickmarks"}</definedName>
    <definedName name="wsw" hidden="1">{#N/A,#N/A,FALSE,"Aging Summary";#N/A,#N/A,FALSE,"Ratio Analysis";#N/A,#N/A,FALSE,"Test 120 Day Accts";#N/A,#N/A,FALSE,"Tickmarks"}</definedName>
    <definedName name="wsw_1" localSheetId="3" hidden="1">{#N/A,#N/A,FALSE,"Aging Summary";#N/A,#N/A,FALSE,"Ratio Analysis";#N/A,#N/A,FALSE,"Test 120 Day Accts";#N/A,#N/A,FALSE,"Tickmarks"}</definedName>
    <definedName name="wsw_1" localSheetId="2" hidden="1">{#N/A,#N/A,FALSE,"Aging Summary";#N/A,#N/A,FALSE,"Ratio Analysis";#N/A,#N/A,FALSE,"Test 120 Day Accts";#N/A,#N/A,FALSE,"Tickmarks"}</definedName>
    <definedName name="wsw_1" hidden="1">{#N/A,#N/A,FALSE,"Aging Summary";#N/A,#N/A,FALSE,"Ratio Analysis";#N/A,#N/A,FALSE,"Test 120 Day Accts";#N/A,#N/A,FALSE,"Tickmarks"}</definedName>
    <definedName name="wswwsw" localSheetId="3" hidden="1">{#N/A,#N/A,FALSE,"Aging Summary";#N/A,#N/A,FALSE,"Ratio Analysis";#N/A,#N/A,FALSE,"Test 120 Day Accts";#N/A,#N/A,FALSE,"Tickmarks"}</definedName>
    <definedName name="wswwsw" localSheetId="2" hidden="1">{#N/A,#N/A,FALSE,"Aging Summary";#N/A,#N/A,FALSE,"Ratio Analysis";#N/A,#N/A,FALSE,"Test 120 Day Accts";#N/A,#N/A,FALSE,"Tickmarks"}</definedName>
    <definedName name="wswwsw" hidden="1">{#N/A,#N/A,FALSE,"Aging Summary";#N/A,#N/A,FALSE,"Ratio Analysis";#N/A,#N/A,FALSE,"Test 120 Day Accts";#N/A,#N/A,FALSE,"Tickmarks"}</definedName>
    <definedName name="wswwsw_1" localSheetId="3" hidden="1">{#N/A,#N/A,FALSE,"Aging Summary";#N/A,#N/A,FALSE,"Ratio Analysis";#N/A,#N/A,FALSE,"Test 120 Day Accts";#N/A,#N/A,FALSE,"Tickmarks"}</definedName>
    <definedName name="wswwsw_1" localSheetId="2" hidden="1">{#N/A,#N/A,FALSE,"Aging Summary";#N/A,#N/A,FALSE,"Ratio Analysis";#N/A,#N/A,FALSE,"Test 120 Day Accts";#N/A,#N/A,FALSE,"Tickmarks"}</definedName>
    <definedName name="wswwsw_1" hidden="1">{#N/A,#N/A,FALSE,"Aging Summary";#N/A,#N/A,FALSE,"Ratio Analysis";#N/A,#N/A,FALSE,"Test 120 Day Accts";#N/A,#N/A,FALSE,"Tickmarks"}</definedName>
    <definedName name="wum">[4]INCONSIST!$Y$1</definedName>
    <definedName name="www" localSheetId="3" hidden="1">{#N/A,#N/A,FALSE,"Aging Summary";#N/A,#N/A,FALSE,"Ratio Analysis";#N/A,#N/A,FALSE,"Test 120 Day Accts";#N/A,#N/A,FALSE,"Tickmarks"}</definedName>
    <definedName name="www" localSheetId="2" hidden="1">{#N/A,#N/A,FALSE,"Aging Summary";#N/A,#N/A,FALSE,"Ratio Analysis";#N/A,#N/A,FALSE,"Test 120 Day Accts";#N/A,#N/A,FALSE,"Tickmarks"}</definedName>
    <definedName name="www" hidden="1">{#N/A,#N/A,FALSE,"Aging Summary";#N/A,#N/A,FALSE,"Ratio Analysis";#N/A,#N/A,FALSE,"Test 120 Day Accts";#N/A,#N/A,FALSE,"Tickmarks"}</definedName>
    <definedName name="www_1" localSheetId="3" hidden="1">{#N/A,#N/A,FALSE,"Aging Summary";#N/A,#N/A,FALSE,"Ratio Analysis";#N/A,#N/A,FALSE,"Test 120 Day Accts";#N/A,#N/A,FALSE,"Tickmarks"}</definedName>
    <definedName name="www_1" localSheetId="2" hidden="1">{#N/A,#N/A,FALSE,"Aging Summary";#N/A,#N/A,FALSE,"Ratio Analysis";#N/A,#N/A,FALSE,"Test 120 Day Accts";#N/A,#N/A,FALSE,"Tickmarks"}</definedName>
    <definedName name="www_1" hidden="1">{#N/A,#N/A,FALSE,"Aging Summary";#N/A,#N/A,FALSE,"Ratio Analysis";#N/A,#N/A,FALSE,"Test 120 Day Accts";#N/A,#N/A,FALSE,"Tickmarks"}</definedName>
    <definedName name="wwww" localSheetId="3" hidden="1">{#N/A,#N/A,FALSE,"Aging Summary";#N/A,#N/A,FALSE,"Ratio Analysis";#N/A,#N/A,FALSE,"Test 120 Day Accts";#N/A,#N/A,FALSE,"Tickmarks"}</definedName>
    <definedName name="wwww" localSheetId="2" hidden="1">{#N/A,#N/A,FALSE,"Aging Summary";#N/A,#N/A,FALSE,"Ratio Analysis";#N/A,#N/A,FALSE,"Test 120 Day Accts";#N/A,#N/A,FALSE,"Tickmarks"}</definedName>
    <definedName name="wwww" hidden="1">{#N/A,#N/A,FALSE,"Aging Summary";#N/A,#N/A,FALSE,"Ratio Analysis";#N/A,#N/A,FALSE,"Test 120 Day Accts";#N/A,#N/A,FALSE,"Tickmarks"}</definedName>
    <definedName name="x" localSheetId="3" hidden="1">{#N/A,#N/A,FALSE,"Posição Financeira"}</definedName>
    <definedName name="x" localSheetId="2" hidden="1">{#N/A,#N/A,FALSE,"Posição Financeira"}</definedName>
    <definedName name="x" hidden="1">{#N/A,#N/A,FALSE,"Posição Financeira"}</definedName>
    <definedName name="xcg" localSheetId="3" hidden="1">{#N/A,#N/A,TRUE,"ComparativoII"}</definedName>
    <definedName name="xcg" localSheetId="2" hidden="1">{#N/A,#N/A,TRUE,"ComparativoII"}</definedName>
    <definedName name="xcg" hidden="1">{#N/A,#N/A,TRUE,"ComparativoII"}</definedName>
    <definedName name="xcg_1" localSheetId="3" hidden="1">{#N/A,#N/A,TRUE,"ComparativoII"}</definedName>
    <definedName name="xcg_1" localSheetId="2" hidden="1">{#N/A,#N/A,TRUE,"ComparativoII"}</definedName>
    <definedName name="xcg_1" hidden="1">{#N/A,#N/A,TRUE,"ComparativoII"}</definedName>
    <definedName name="xdedfe" localSheetId="3" hidden="1">{#N/A,#N/A,FALSE,"Aging Summary";#N/A,#N/A,FALSE,"Ratio Analysis";#N/A,#N/A,FALSE,"Test 120 Day Accts";#N/A,#N/A,FALSE,"Tickmarks"}</definedName>
    <definedName name="xdedfe" localSheetId="2" hidden="1">{#N/A,#N/A,FALSE,"Aging Summary";#N/A,#N/A,FALSE,"Ratio Analysis";#N/A,#N/A,FALSE,"Test 120 Day Accts";#N/A,#N/A,FALSE,"Tickmarks"}</definedName>
    <definedName name="xdedfe" hidden="1">{#N/A,#N/A,FALSE,"Aging Summary";#N/A,#N/A,FALSE,"Ratio Analysis";#N/A,#N/A,FALSE,"Test 120 Day Accts";#N/A,#N/A,FALSE,"Tickmarks"}</definedName>
    <definedName name="XREF_COLUMN_1" hidden="1">'[35]Movimentação Jun-00'!$E$1:$E$65536</definedName>
    <definedName name="XREF_COLUMN_11" hidden="1">#REF!</definedName>
    <definedName name="XREF_COLUMN_12" hidden="1">#REF!</definedName>
    <definedName name="XREF_COLUMN_16" hidden="1">#REF!</definedName>
    <definedName name="XREF_COLUMN_17" hidden="1">#REF!</definedName>
    <definedName name="XREF_COLUMN_19" hidden="1">#REF!</definedName>
    <definedName name="XREF_COLUMN_24" hidden="1">#REF!</definedName>
    <definedName name="XREF_COLUMN_29" hidden="1">#REF!</definedName>
    <definedName name="XREF_COLUMN_30"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7</definedName>
    <definedName name="XRefColumnsCount_1" hidden="1">7</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3Row" hidden="1">#REF!</definedName>
    <definedName name="XRefCopy24Row" hidden="1">#REF!</definedName>
    <definedName name="XRefCopy25Row" hidden="1">#REF!</definedName>
    <definedName name="XRefCopy26Row" hidden="1">#REF!</definedName>
    <definedName name="XRefCopy27Row" hidden="1">#REF!</definedName>
    <definedName name="XRefCopy28Row" hidden="1">#REF!</definedName>
    <definedName name="XRefCopy29Row" hidden="1">#REF!</definedName>
    <definedName name="XRefCopy2Row" hidden="1">#REF!</definedName>
    <definedName name="XRefCopy30Row" hidden="1">#REF!</definedName>
    <definedName name="XRefCopy31Row" hidden="1">#REF!</definedName>
    <definedName name="XRefCopy3Row" hidden="1">#REF!</definedName>
    <definedName name="XRefCopy4" hidden="1">#REF!</definedName>
    <definedName name="XRefCopy46Row" hidden="1">#REF!</definedName>
    <definedName name="XRefCopy4Row" hidden="1">#REF!</definedName>
    <definedName name="XRefCopy5" hidden="1">#REF!</definedName>
    <definedName name="XRefCopy52Row" hidden="1">#REF!</definedName>
    <definedName name="XRefCopy53Row" hidden="1">#REF!</definedName>
    <definedName name="XRefCopy6"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Row" hidden="1">#REF!</definedName>
    <definedName name="XRefPaste15Row" hidden="1">#REF!</definedName>
    <definedName name="XRefPaste16Row" hidden="1">#REF!</definedName>
    <definedName name="XRefPaste17Row" hidden="1">#REF!</definedName>
    <definedName name="XRefPaste18Row" hidden="1">#REF!</definedName>
    <definedName name="XRefPaste19Row" hidden="1">#REF!</definedName>
    <definedName name="XRefPaste1Row" hidden="1">#REF!</definedName>
    <definedName name="XRefPaste2" hidden="1">#REF!</definedName>
    <definedName name="XRefPaste20Row"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Row" hidden="1">#REF!</definedName>
    <definedName name="XRefPaste25Row" hidden="1">#REF!</definedName>
    <definedName name="XRefPaste26" hidden="1">#REF!</definedName>
    <definedName name="XRefPaste26Row" hidden="1">#REF!</definedName>
    <definedName name="XRefPaste27Row" hidden="1">#REF!</definedName>
    <definedName name="XRefPaste2Row" hidden="1">#REF!</definedName>
    <definedName name="XRefPaste32" hidden="1">#REF!</definedName>
    <definedName name="XRefPaste33" hidden="1">#REF!</definedName>
    <definedName name="XRefPaste34" hidden="1">#REF!</definedName>
    <definedName name="XRefPaste3Row" hidden="1">#REF!</definedName>
    <definedName name="XRefPaste41" hidden="1">#REF!</definedName>
    <definedName name="XRefPaste41Row" hidden="1">#REF!</definedName>
    <definedName name="XRefPaste42Row" hidden="1">#REF!</definedName>
    <definedName name="XRefPaste43Row" hidden="1">#REF!</definedName>
    <definedName name="XRefPaste44Row" hidden="1">#REF!</definedName>
    <definedName name="XRefPaste45Row" hidden="1">#REF!</definedName>
    <definedName name="XRefPaste46Row" hidden="1">#REF!</definedName>
    <definedName name="XRefPaste47" hidden="1">#REF!</definedName>
    <definedName name="XRefPaste47Row"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Row" hidden="1">#REF!</definedName>
    <definedName name="XRefPaste6" hidden="1">#REF!</definedName>
    <definedName name="XRefPaste7" hidden="1">#REF!</definedName>
    <definedName name="XRefPaste7Row" hidden="1">#REF!</definedName>
    <definedName name="XRefPaste8Row" hidden="1">#REF!</definedName>
    <definedName name="XRefPaste9" hidden="1">#REF!</definedName>
    <definedName name="XRefPaste9Row" hidden="1">#REF!</definedName>
    <definedName name="XRefPasteRangeCount" hidden="1">5</definedName>
    <definedName name="XRefPasteRangeCount_1" hidden="1">5</definedName>
    <definedName name="xx" localSheetId="3" hidden="1">{#N/A,#N/A,FALSE,"Posição Financeira"}</definedName>
    <definedName name="xx" localSheetId="2" hidden="1">{#N/A,#N/A,FALSE,"Posição Financeira"}</definedName>
    <definedName name="xx" hidden="1">{#N/A,#N/A,FALSE,"Posição Financeira"}</definedName>
    <definedName name="xxx">'[36]KPI Pend'!#REF!,'[36]KPI Pend'!#REF!,'[36]KPI Pend'!#REF!,'[36]KPI Pend'!#REF!,'[36]KPI Pend'!#REF!</definedName>
    <definedName name="xxxxxx">#REF!</definedName>
    <definedName name="xxxxxxx" hidden="1">#N/A</definedName>
    <definedName name="XZCCXSSXC" hidden="1">#REF!</definedName>
    <definedName name="xzxz" localSheetId="3" hidden="1">{#N/A,#N/A,FALSE,"Holding";#N/A,#N/A,FALSE,"Acomp";#N/A,#N/A,FALSE,"Dre_ger";#N/A,#N/A,FALSE,"Atividade";#N/A,#N/A,FALSE,"Balancete"}</definedName>
    <definedName name="xzxz" localSheetId="2" hidden="1">{#N/A,#N/A,FALSE,"Holding";#N/A,#N/A,FALSE,"Acomp";#N/A,#N/A,FALSE,"Dre_ger";#N/A,#N/A,FALSE,"Atividade";#N/A,#N/A,FALSE,"Balancete"}</definedName>
    <definedName name="xzxz" hidden="1">{#N/A,#N/A,FALSE,"Holding";#N/A,#N/A,FALSE,"Acomp";#N/A,#N/A,FALSE,"Dre_ger";#N/A,#N/A,FALSE,"Atividade";#N/A,#N/A,FALSE,"Balancete"}</definedName>
    <definedName name="year">[13]Settings!$D$8</definedName>
    <definedName name="yes" localSheetId="3" hidden="1">{#N/A,#N/A,FALSE,"Aging Summary";#N/A,#N/A,FALSE,"Ratio Analysis";#N/A,#N/A,FALSE,"Test 120 Day Accts";#N/A,#N/A,FALSE,"Tickmarks"}</definedName>
    <definedName name="yes" localSheetId="2" hidden="1">{#N/A,#N/A,FALSE,"Aging Summary";#N/A,#N/A,FALSE,"Ratio Analysis";#N/A,#N/A,FALSE,"Test 120 Day Accts";#N/A,#N/A,FALSE,"Tickmarks"}</definedName>
    <definedName name="yes" hidden="1">{#N/A,#N/A,FALSE,"Aging Summary";#N/A,#N/A,FALSE,"Ratio Analysis";#N/A,#N/A,FALSE,"Test 120 Day Accts";#N/A,#N/A,FALSE,"Tickmarks"}</definedName>
    <definedName name="yui" localSheetId="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y" localSheetId="3" hidden="1">{"AUT ANALISE DESP",#N/A,TRUE,"AN.DESP. MR$"}</definedName>
    <definedName name="yy" localSheetId="2" hidden="1">{"AUT ANALISE DESP",#N/A,TRUE,"AN.DESP. MR$"}</definedName>
    <definedName name="yy" hidden="1">{"AUT ANALISE DESP",#N/A,TRUE,"AN.DESP. MR$"}</definedName>
    <definedName name="yy_1" localSheetId="3" hidden="1">{"AUT ANALISE DESP",#N/A,TRUE,"AN.DESP. MR$"}</definedName>
    <definedName name="yy_1" localSheetId="2" hidden="1">{"AUT ANALISE DESP",#N/A,TRUE,"AN.DESP. MR$"}</definedName>
    <definedName name="yy_1" hidden="1">{"AUT ANALISE DESP",#N/A,TRUE,"AN.DESP. MR$"}</definedName>
    <definedName name="YYY" localSheetId="3" hidden="1">{#N/A,#N/A,FALSE,"Aging Summary";#N/A,#N/A,FALSE,"Ratio Analysis";#N/A,#N/A,FALSE,"Test 120 Day Accts";#N/A,#N/A,FALSE,"Tickmarks"}</definedName>
    <definedName name="YYY" localSheetId="2" hidden="1">{#N/A,#N/A,FALSE,"Aging Summary";#N/A,#N/A,FALSE,"Ratio Analysis";#N/A,#N/A,FALSE,"Test 120 Day Accts";#N/A,#N/A,FALSE,"Tickmarks"}</definedName>
    <definedName name="YYY" hidden="1">{#N/A,#N/A,FALSE,"Aging Summary";#N/A,#N/A,FALSE,"Ratio Analysis";#N/A,#N/A,FALSE,"Test 120 Day Accts";#N/A,#N/A,FALSE,"Tickmarks"}</definedName>
    <definedName name="yyyy" localSheetId="3" hidden="1">{#N/A,#N/A,FALSE,"Aging Summary";#N/A,#N/A,FALSE,"Ratio Analysis";#N/A,#N/A,FALSE,"Test 120 Day Accts";#N/A,#N/A,FALSE,"Tickmarks"}</definedName>
    <definedName name="yyyy" localSheetId="2" hidden="1">{#N/A,#N/A,FALSE,"Aging Summary";#N/A,#N/A,FALSE,"Ratio Analysis";#N/A,#N/A,FALSE,"Test 120 Day Accts";#N/A,#N/A,FALSE,"Tickmarks"}</definedName>
    <definedName name="yyyy" hidden="1">{#N/A,#N/A,FALSE,"Aging Summary";#N/A,#N/A,FALSE,"Ratio Analysis";#N/A,#N/A,FALSE,"Test 120 Day Accts";#N/A,#N/A,FALSE,"Tickmarks"}</definedName>
    <definedName name="yyyy_1" localSheetId="3" hidden="1">{#N/A,#N/A,FALSE,"Aging Summary";#N/A,#N/A,FALSE,"Ratio Analysis";#N/A,#N/A,FALSE,"Test 120 Day Accts";#N/A,#N/A,FALSE,"Tickmarks"}</definedName>
    <definedName name="yyyy_1" localSheetId="2" hidden="1">{#N/A,#N/A,FALSE,"Aging Summary";#N/A,#N/A,FALSE,"Ratio Analysis";#N/A,#N/A,FALSE,"Test 120 Day Accts";#N/A,#N/A,FALSE,"Tickmarks"}</definedName>
    <definedName name="yyyy_1" hidden="1">{#N/A,#N/A,FALSE,"Aging Summary";#N/A,#N/A,FALSE,"Ratio Analysis";#N/A,#N/A,FALSE,"Test 120 Day Accts";#N/A,#N/A,FALSE,"Tickmarks"}</definedName>
    <definedName name="z" localSheetId="3" hidden="1">{#N/A,#N/A,FALSE,"Aging Summary";#N/A,#N/A,FALSE,"Ratio Analysis";#N/A,#N/A,FALSE,"Test 120 Day Accts";#N/A,#N/A,FALSE,"Tickmarks"}</definedName>
    <definedName name="z" localSheetId="2" hidden="1">{#N/A,#N/A,FALSE,"Aging Summary";#N/A,#N/A,FALSE,"Ratio Analysis";#N/A,#N/A,FALSE,"Test 120 Day Accts";#N/A,#N/A,FALSE,"Tickmarks"}</definedName>
    <definedName name="z" hidden="1">{#N/A,#N/A,FALSE,"Aging Summary";#N/A,#N/A,FALSE,"Ratio Analysis";#N/A,#N/A,FALSE,"Test 120 Day Accts";#N/A,#N/A,FALSE,"Tickmarks"}</definedName>
    <definedName name="Z_02B13A4A_FC5F_4F48_B0B3_5EAEDDC95ABC_.wvu.FilterData" hidden="1">#REF!</definedName>
    <definedName name="Z_02B13A4A_FC5F_4F48_B0B3_5EAEDDC95ABC_.wvu.PrintArea" hidden="1">#REF!</definedName>
    <definedName name="Z_7B390560_5F72_11D1_A8F9_00805F7F02C4_.wvu.Cols" hidden="1">#REF!</definedName>
    <definedName name="Z_7B390560_5F72_11D1_A8F9_00805F7F02C4_.wvu.PrintArea" hidden="1">#REF!</definedName>
    <definedName name="Z_8D0E6862_197D_11D6_B9DA_0060970E1F7D_.wvu.FilterData" hidden="1">#REF!</definedName>
    <definedName name="Z_D68BB41E_D2D2_4D29_B750_BEA70A594FF0_.wvu.PrintArea" hidden="1">#REF!</definedName>
    <definedName name="Z_D68BB41E_D2D2_4D29_B750_BEA70A594FF0_.wvu.Rows" hidden="1">#REF!,#REF!</definedName>
    <definedName name="Z_EB894753_1975_11D6_B9DA_0060970E1F7D_.wvu.FilterData" hidden="1">#REF!</definedName>
    <definedName name="zzz" localSheetId="3" hidden="1">{#N/A,#N/A,FALSE,"Posição Financeira"}</definedName>
    <definedName name="zzz" localSheetId="2" hidden="1">{#N/A,#N/A,FALSE,"Posição Financeira"}</definedName>
    <definedName name="zzz" hidden="1">{#N/A,#N/A,FALSE,"Posição Financeira"}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8" i="9" l="1"/>
  <c r="P54" i="9"/>
  <c r="P53" i="9"/>
  <c r="K127" i="9"/>
  <c r="M23" i="9" l="1"/>
  <c r="M60" i="9"/>
  <c r="M50" i="9"/>
  <c r="M43" i="9"/>
  <c r="M49" i="9"/>
  <c r="M42" i="9"/>
  <c r="M32" i="9"/>
  <c r="M26" i="9"/>
  <c r="M48" i="9"/>
  <c r="M47" i="9"/>
  <c r="M46" i="9"/>
  <c r="M45" i="9"/>
  <c r="M22" i="9"/>
  <c r="M97" i="9"/>
  <c r="M110" i="9"/>
  <c r="M108" i="9"/>
  <c r="M107" i="9"/>
  <c r="M106" i="9"/>
  <c r="M104" i="9"/>
  <c r="M79" i="9"/>
  <c r="M78" i="9"/>
  <c r="M77" i="9"/>
  <c r="M76" i="9"/>
  <c r="M75" i="9"/>
  <c r="M74" i="9"/>
  <c r="M73" i="9"/>
  <c r="M72" i="9"/>
  <c r="M71" i="9"/>
  <c r="M70" i="9"/>
  <c r="M69" i="9"/>
  <c r="M68" i="9"/>
  <c r="M67" i="9"/>
  <c r="M66" i="9"/>
  <c r="M65" i="9"/>
  <c r="M61" i="9"/>
  <c r="M58" i="9"/>
  <c r="M40" i="9"/>
  <c r="M37" i="9"/>
  <c r="M36" i="9"/>
  <c r="M35" i="9"/>
  <c r="M34" i="9"/>
  <c r="M33" i="9"/>
  <c r="M21" i="9"/>
  <c r="M114" i="9"/>
  <c r="M85" i="9"/>
  <c r="M83" i="9"/>
  <c r="M84" i="9"/>
  <c r="M82" i="9"/>
  <c r="M28" i="9"/>
  <c r="M101" i="9"/>
  <c r="M102" i="9"/>
  <c r="M19" i="9"/>
  <c r="M100" i="9"/>
  <c r="M99" i="9"/>
  <c r="M98" i="9"/>
  <c r="M96" i="9"/>
  <c r="M95" i="9"/>
  <c r="M94" i="9"/>
  <c r="M93" i="9"/>
  <c r="M92" i="9"/>
  <c r="M91" i="9"/>
  <c r="M90" i="9"/>
  <c r="M31" i="9"/>
  <c r="M89" i="9"/>
  <c r="M29" i="9"/>
  <c r="M88" i="9"/>
  <c r="M87" i="9"/>
  <c r="C23" i="9"/>
  <c r="C60" i="9"/>
  <c r="C64" i="9"/>
  <c r="C25" i="9"/>
  <c r="C50" i="9"/>
  <c r="C56" i="9"/>
  <c r="C43" i="9"/>
  <c r="C49" i="9"/>
  <c r="C24" i="9"/>
  <c r="C27" i="9"/>
  <c r="C81" i="9"/>
  <c r="C42" i="9"/>
  <c r="C32" i="9"/>
  <c r="C26" i="9"/>
  <c r="C48" i="9"/>
  <c r="C47" i="9"/>
  <c r="C46" i="9"/>
  <c r="C45" i="9"/>
  <c r="C116" i="9"/>
  <c r="C119" i="9"/>
  <c r="C22" i="9"/>
  <c r="C97" i="9"/>
  <c r="C110" i="9"/>
  <c r="C109" i="9"/>
  <c r="C108" i="9"/>
  <c r="C107" i="9"/>
  <c r="C106" i="9"/>
  <c r="C104" i="9"/>
  <c r="C79" i="9"/>
  <c r="C78" i="9"/>
  <c r="C77" i="9"/>
  <c r="C76" i="9"/>
  <c r="C75" i="9"/>
  <c r="C74" i="9"/>
  <c r="C73" i="9"/>
  <c r="C72" i="9"/>
  <c r="C71" i="9"/>
  <c r="C70" i="9"/>
  <c r="C69" i="9"/>
  <c r="C68" i="9"/>
  <c r="C67" i="9"/>
  <c r="C66" i="9"/>
  <c r="C65" i="9"/>
  <c r="C61" i="9"/>
  <c r="C58" i="9"/>
  <c r="C40" i="9"/>
  <c r="C37" i="9"/>
  <c r="C36" i="9"/>
  <c r="C115" i="9"/>
  <c r="C35" i="9"/>
  <c r="C34" i="9"/>
  <c r="C33" i="9"/>
  <c r="C21" i="9"/>
  <c r="C20" i="9"/>
  <c r="C38" i="9"/>
  <c r="C114" i="9"/>
  <c r="C41" i="9"/>
  <c r="C44" i="9"/>
  <c r="C51" i="9"/>
  <c r="C52" i="9"/>
  <c r="C53" i="9"/>
  <c r="C54" i="9"/>
  <c r="C55" i="9"/>
  <c r="C57" i="9"/>
  <c r="C59" i="9"/>
  <c r="C62" i="9"/>
  <c r="C63" i="9"/>
  <c r="C80" i="9"/>
  <c r="C86" i="9"/>
  <c r="C103" i="9"/>
  <c r="C105" i="9"/>
  <c r="C112" i="9"/>
  <c r="C111" i="9"/>
  <c r="C39" i="9"/>
  <c r="C113" i="9"/>
  <c r="C85" i="9"/>
  <c r="C83" i="9"/>
  <c r="C84" i="9"/>
  <c r="C82" i="9"/>
  <c r="C28" i="9"/>
  <c r="C101" i="9"/>
  <c r="C102" i="9"/>
  <c r="C19" i="9"/>
  <c r="C100" i="9"/>
  <c r="C99" i="9"/>
  <c r="C98" i="9"/>
  <c r="C120" i="9"/>
  <c r="C117" i="9"/>
  <c r="C96" i="9"/>
  <c r="C95" i="9"/>
  <c r="C94" i="9"/>
  <c r="C93" i="9"/>
  <c r="C92" i="9"/>
  <c r="C91" i="9"/>
  <c r="C90" i="9"/>
  <c r="C31" i="9"/>
  <c r="C89" i="9"/>
  <c r="C30" i="9"/>
  <c r="C29" i="9"/>
  <c r="C88" i="9"/>
  <c r="C87" i="9"/>
  <c r="C118" i="9"/>
  <c r="C15" i="9"/>
  <c r="C14" i="9"/>
  <c r="C13" i="9"/>
  <c r="C12" i="9"/>
  <c r="C11" i="9"/>
  <c r="C10" i="9"/>
  <c r="C9" i="9"/>
  <c r="C8" i="9"/>
  <c r="C7" i="9"/>
  <c r="C18" i="9"/>
  <c r="C17" i="9"/>
  <c r="M5" i="9" l="1"/>
  <c r="M56"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70" i="2"/>
  <c r="M50" i="2"/>
  <c r="M74" i="2"/>
  <c r="M69" i="2"/>
  <c r="M73" i="2"/>
  <c r="M54" i="2"/>
  <c r="M71" i="2"/>
  <c r="M52" i="2"/>
  <c r="M85" i="2"/>
  <c r="M55" i="2"/>
  <c r="M59" i="2"/>
  <c r="M79" i="2"/>
  <c r="M76" i="2"/>
  <c r="M84" i="2"/>
  <c r="M92" i="2"/>
  <c r="M83" i="2"/>
  <c r="M91" i="2"/>
  <c r="M82" i="2"/>
  <c r="M90" i="2"/>
  <c r="M93" i="2"/>
  <c r="M53" i="2"/>
  <c r="M72" i="2"/>
  <c r="M75" i="2"/>
  <c r="M57" i="2"/>
  <c r="M58" i="2"/>
  <c r="M63" i="2"/>
  <c r="M61" i="2"/>
  <c r="M67" i="2"/>
  <c r="M65" i="2"/>
  <c r="M68" i="2"/>
  <c r="M64" i="2"/>
  <c r="M60" i="2"/>
  <c r="M62" i="2"/>
  <c r="M66" i="2"/>
  <c r="M49" i="2"/>
  <c r="M81" i="2"/>
  <c r="M89" i="2"/>
  <c r="M51" i="2"/>
  <c r="M80" i="2"/>
  <c r="M86" i="2"/>
  <c r="M78" i="2"/>
  <c r="M88" i="2"/>
  <c r="M87" i="2"/>
  <c r="M77"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5" i="2" l="1"/>
  <c r="V7" i="5" l="1"/>
  <c r="E24" i="3"/>
  <c r="E23" i="3"/>
  <c r="E19" i="3"/>
  <c r="E18" i="3"/>
  <c r="E14" i="3"/>
  <c r="E13" i="3"/>
  <c r="E8" i="3"/>
  <c r="E7" i="3"/>
  <c r="H10" i="7"/>
  <c r="G10" i="7"/>
  <c r="C10" i="7"/>
  <c r="N407" i="8"/>
  <c r="M407" i="8"/>
  <c r="N406" i="8"/>
  <c r="M406" i="8"/>
  <c r="N405" i="8"/>
  <c r="M405" i="8"/>
  <c r="N404" i="8"/>
  <c r="M404" i="8"/>
  <c r="N403" i="8"/>
  <c r="M403" i="8"/>
  <c r="N402" i="8"/>
  <c r="M402" i="8"/>
  <c r="N401" i="8"/>
  <c r="M401" i="8"/>
  <c r="N400" i="8"/>
  <c r="M400" i="8"/>
  <c r="N399" i="8"/>
  <c r="M399" i="8"/>
  <c r="N398" i="8"/>
  <c r="M398" i="8"/>
  <c r="N397" i="8"/>
  <c r="M397" i="8"/>
  <c r="N396" i="8"/>
  <c r="M396" i="8"/>
  <c r="N395" i="8"/>
  <c r="M395" i="8"/>
  <c r="N394" i="8"/>
  <c r="M394" i="8"/>
  <c r="N393" i="8"/>
  <c r="M393" i="8"/>
  <c r="N392" i="8"/>
  <c r="M392" i="8"/>
  <c r="N391" i="8"/>
  <c r="M391" i="8"/>
  <c r="N390" i="8"/>
  <c r="M390" i="8"/>
  <c r="N389" i="8"/>
  <c r="M389" i="8"/>
  <c r="N388" i="8"/>
  <c r="M388" i="8"/>
  <c r="N387" i="8"/>
  <c r="M387" i="8"/>
  <c r="N386" i="8"/>
  <c r="M386" i="8"/>
  <c r="N385" i="8"/>
  <c r="M385" i="8"/>
  <c r="N384" i="8"/>
  <c r="M384" i="8"/>
  <c r="N383" i="8"/>
  <c r="M383" i="8"/>
  <c r="N382" i="8"/>
  <c r="M382" i="8"/>
  <c r="N381" i="8"/>
  <c r="M381" i="8"/>
  <c r="N380" i="8"/>
  <c r="M380" i="8"/>
  <c r="N379" i="8"/>
  <c r="M379" i="8"/>
  <c r="N378" i="8"/>
  <c r="M378" i="8"/>
  <c r="N377" i="8"/>
  <c r="M377" i="8"/>
  <c r="N376" i="8"/>
  <c r="M376" i="8"/>
  <c r="N375" i="8"/>
  <c r="M375" i="8"/>
  <c r="N374" i="8"/>
  <c r="M374" i="8"/>
  <c r="N373" i="8"/>
  <c r="M373" i="8"/>
  <c r="N372" i="8"/>
  <c r="M372" i="8"/>
  <c r="N371" i="8"/>
  <c r="M371" i="8"/>
  <c r="N370" i="8"/>
  <c r="M370" i="8"/>
  <c r="N369" i="8"/>
  <c r="M369" i="8"/>
  <c r="N368" i="8"/>
  <c r="M368" i="8"/>
  <c r="N367" i="8"/>
  <c r="M367" i="8"/>
  <c r="N366" i="8"/>
  <c r="M366" i="8"/>
  <c r="N365" i="8"/>
  <c r="M365" i="8"/>
  <c r="N364" i="8"/>
  <c r="M364" i="8"/>
  <c r="N363" i="8"/>
  <c r="M363" i="8"/>
  <c r="N362" i="8"/>
  <c r="M362" i="8"/>
  <c r="N361" i="8"/>
  <c r="M361" i="8"/>
  <c r="N360" i="8"/>
  <c r="M360" i="8"/>
  <c r="N359" i="8"/>
  <c r="M359" i="8"/>
  <c r="N358" i="8"/>
  <c r="M358" i="8"/>
  <c r="N357" i="8"/>
  <c r="M357" i="8"/>
  <c r="N356" i="8"/>
  <c r="M356" i="8"/>
  <c r="N355" i="8"/>
  <c r="M355" i="8"/>
  <c r="N354" i="8"/>
  <c r="M354" i="8"/>
  <c r="N353" i="8"/>
  <c r="M353" i="8"/>
  <c r="N352" i="8"/>
  <c r="M352" i="8"/>
  <c r="N351" i="8"/>
  <c r="M351" i="8"/>
  <c r="N350" i="8"/>
  <c r="M350" i="8"/>
  <c r="N349" i="8"/>
  <c r="M349" i="8"/>
  <c r="N348" i="8"/>
  <c r="M348" i="8"/>
  <c r="N347" i="8"/>
  <c r="M347" i="8"/>
  <c r="N346" i="8"/>
  <c r="M346" i="8"/>
  <c r="N345" i="8"/>
  <c r="M345" i="8"/>
  <c r="N344" i="8"/>
  <c r="M344" i="8"/>
  <c r="N343" i="8"/>
  <c r="M343" i="8"/>
  <c r="N342" i="8"/>
  <c r="M342" i="8"/>
  <c r="N341" i="8"/>
  <c r="M341" i="8"/>
  <c r="N340" i="8"/>
  <c r="M340" i="8"/>
  <c r="N339" i="8"/>
  <c r="M339" i="8"/>
  <c r="N338" i="8"/>
  <c r="M338" i="8"/>
  <c r="N337" i="8"/>
  <c r="M337" i="8"/>
  <c r="N336" i="8"/>
  <c r="M336" i="8"/>
  <c r="N335" i="8"/>
  <c r="M335" i="8"/>
  <c r="N334" i="8"/>
  <c r="M334" i="8"/>
  <c r="N333" i="8"/>
  <c r="M333" i="8"/>
  <c r="N332" i="8"/>
  <c r="M332" i="8"/>
  <c r="N331" i="8"/>
  <c r="M331" i="8"/>
  <c r="N330" i="8"/>
  <c r="M330" i="8"/>
  <c r="N329" i="8"/>
  <c r="M329" i="8"/>
  <c r="N328" i="8"/>
  <c r="M328" i="8"/>
  <c r="N327" i="8"/>
  <c r="M327" i="8"/>
  <c r="N326" i="8"/>
  <c r="M326" i="8"/>
  <c r="N325" i="8"/>
  <c r="M325" i="8"/>
  <c r="N324" i="8"/>
  <c r="M324" i="8"/>
  <c r="N323" i="8"/>
  <c r="M323" i="8"/>
  <c r="N322" i="8"/>
  <c r="M322" i="8"/>
  <c r="N321" i="8"/>
  <c r="M321" i="8"/>
  <c r="N320" i="8"/>
  <c r="M320" i="8"/>
  <c r="N319" i="8"/>
  <c r="M319" i="8"/>
  <c r="N318" i="8"/>
  <c r="M318" i="8"/>
  <c r="N317" i="8"/>
  <c r="M317" i="8"/>
  <c r="N316" i="8"/>
  <c r="M316" i="8"/>
  <c r="N315" i="8"/>
  <c r="M315" i="8"/>
  <c r="N314" i="8"/>
  <c r="M314" i="8"/>
  <c r="N313" i="8"/>
  <c r="M313" i="8"/>
  <c r="N312" i="8"/>
  <c r="M312" i="8"/>
  <c r="N311" i="8"/>
  <c r="M311" i="8"/>
  <c r="N310" i="8"/>
  <c r="M310" i="8"/>
  <c r="N309" i="8"/>
  <c r="M309" i="8"/>
  <c r="N308" i="8"/>
  <c r="M308" i="8"/>
  <c r="N307" i="8"/>
  <c r="M307" i="8"/>
  <c r="N306" i="8"/>
  <c r="M306" i="8"/>
  <c r="N305" i="8"/>
  <c r="M305" i="8"/>
  <c r="N304" i="8"/>
  <c r="M304" i="8"/>
  <c r="N303" i="8"/>
  <c r="M303" i="8"/>
  <c r="N302" i="8"/>
  <c r="M302" i="8"/>
  <c r="N301" i="8"/>
  <c r="M301" i="8"/>
  <c r="N300" i="8"/>
  <c r="M300" i="8"/>
  <c r="N299" i="8"/>
  <c r="M299" i="8"/>
  <c r="N298" i="8"/>
  <c r="M298" i="8"/>
  <c r="N297" i="8"/>
  <c r="M297" i="8"/>
  <c r="N296" i="8"/>
  <c r="M296" i="8"/>
  <c r="N295" i="8"/>
  <c r="M295" i="8"/>
  <c r="N294" i="8"/>
  <c r="M294" i="8"/>
  <c r="N293" i="8"/>
  <c r="M293" i="8"/>
  <c r="N292" i="8"/>
  <c r="M292" i="8"/>
  <c r="N291" i="8"/>
  <c r="M291" i="8"/>
  <c r="N290" i="8"/>
  <c r="M290" i="8"/>
  <c r="N289" i="8"/>
  <c r="M289" i="8"/>
  <c r="N288" i="8"/>
  <c r="M288" i="8"/>
  <c r="N287" i="8"/>
  <c r="M287" i="8"/>
  <c r="N286" i="8"/>
  <c r="M286" i="8"/>
  <c r="N285" i="8"/>
  <c r="M285" i="8"/>
  <c r="N284" i="8"/>
  <c r="M284" i="8"/>
  <c r="N283" i="8"/>
  <c r="M283" i="8"/>
  <c r="N282" i="8"/>
  <c r="M282" i="8"/>
  <c r="N281" i="8"/>
  <c r="M281" i="8"/>
  <c r="N280" i="8"/>
  <c r="M280" i="8"/>
  <c r="N279" i="8"/>
  <c r="M279" i="8"/>
  <c r="N278" i="8"/>
  <c r="M278" i="8"/>
  <c r="N277" i="8"/>
  <c r="M277" i="8"/>
  <c r="N276" i="8"/>
  <c r="M276" i="8"/>
  <c r="N275" i="8"/>
  <c r="M275" i="8"/>
  <c r="N274" i="8"/>
  <c r="M274" i="8"/>
  <c r="N273" i="8"/>
  <c r="M273" i="8"/>
  <c r="N272" i="8"/>
  <c r="M272" i="8"/>
  <c r="N271" i="8"/>
  <c r="M271" i="8"/>
  <c r="N270" i="8"/>
  <c r="M270" i="8"/>
  <c r="N269" i="8"/>
  <c r="M269" i="8"/>
  <c r="N268" i="8"/>
  <c r="M268" i="8"/>
  <c r="N267" i="8"/>
  <c r="M267" i="8"/>
  <c r="N266" i="8"/>
  <c r="M266" i="8"/>
  <c r="N265" i="8"/>
  <c r="M265" i="8"/>
  <c r="N264" i="8"/>
  <c r="M264" i="8"/>
  <c r="N263" i="8"/>
  <c r="M263" i="8"/>
  <c r="N262" i="8"/>
  <c r="M262" i="8"/>
  <c r="N261" i="8"/>
  <c r="M261" i="8"/>
  <c r="N260" i="8"/>
  <c r="M260" i="8"/>
  <c r="N259" i="8"/>
  <c r="M259" i="8"/>
  <c r="N258" i="8"/>
  <c r="M258" i="8"/>
  <c r="N257" i="8"/>
  <c r="M257" i="8"/>
  <c r="N256" i="8"/>
  <c r="M256" i="8"/>
  <c r="N255" i="8"/>
  <c r="M255" i="8"/>
  <c r="N254" i="8"/>
  <c r="M254" i="8"/>
  <c r="N253" i="8"/>
  <c r="M253" i="8"/>
  <c r="N252" i="8"/>
  <c r="M252" i="8"/>
  <c r="N251" i="8"/>
  <c r="M251" i="8"/>
  <c r="N250" i="8"/>
  <c r="M250" i="8"/>
  <c r="N249" i="8"/>
  <c r="M249" i="8"/>
  <c r="N248" i="8"/>
  <c r="M248" i="8"/>
  <c r="N247" i="8"/>
  <c r="M247" i="8"/>
  <c r="N246" i="8"/>
  <c r="M246" i="8"/>
  <c r="N245" i="8"/>
  <c r="M245" i="8"/>
  <c r="N244" i="8"/>
  <c r="M244" i="8"/>
  <c r="N243" i="8"/>
  <c r="M243" i="8"/>
  <c r="N242" i="8"/>
  <c r="M242" i="8"/>
  <c r="N241" i="8"/>
  <c r="M241" i="8"/>
  <c r="N240" i="8"/>
  <c r="M240" i="8"/>
  <c r="N239" i="8"/>
  <c r="M239" i="8"/>
  <c r="N238" i="8"/>
  <c r="M238" i="8"/>
  <c r="N237" i="8"/>
  <c r="M237" i="8"/>
  <c r="N236" i="8"/>
  <c r="M236" i="8"/>
  <c r="N235" i="8"/>
  <c r="M235" i="8"/>
  <c r="N234" i="8"/>
  <c r="M234" i="8"/>
  <c r="N233" i="8"/>
  <c r="M233" i="8"/>
  <c r="N232" i="8"/>
  <c r="M232" i="8"/>
  <c r="N231" i="8"/>
  <c r="M231" i="8"/>
  <c r="N230" i="8"/>
  <c r="M230" i="8"/>
  <c r="N229" i="8"/>
  <c r="M229" i="8"/>
  <c r="N228" i="8"/>
  <c r="M228" i="8"/>
  <c r="N227" i="8"/>
  <c r="M227" i="8"/>
  <c r="N226" i="8"/>
  <c r="M226" i="8"/>
  <c r="N225" i="8"/>
  <c r="M225" i="8"/>
  <c r="N224" i="8"/>
  <c r="M224" i="8"/>
  <c r="N223" i="8"/>
  <c r="M223" i="8"/>
  <c r="N222" i="8"/>
  <c r="M222" i="8"/>
  <c r="N221" i="8"/>
  <c r="M221" i="8"/>
  <c r="N220" i="8"/>
  <c r="M220" i="8"/>
  <c r="N219" i="8"/>
  <c r="M219" i="8"/>
  <c r="N218" i="8"/>
  <c r="M218" i="8"/>
  <c r="N217" i="8"/>
  <c r="M217" i="8"/>
  <c r="N216" i="8"/>
  <c r="M216" i="8"/>
  <c r="N215" i="8"/>
  <c r="M215" i="8"/>
  <c r="N214" i="8"/>
  <c r="M214" i="8"/>
  <c r="N213" i="8"/>
  <c r="M213" i="8"/>
  <c r="N212" i="8"/>
  <c r="M212" i="8"/>
  <c r="N211" i="8"/>
  <c r="M211" i="8"/>
  <c r="N210" i="8"/>
  <c r="M210" i="8"/>
  <c r="N209" i="8"/>
  <c r="M209" i="8"/>
  <c r="N208" i="8"/>
  <c r="M208" i="8"/>
  <c r="N207" i="8"/>
  <c r="M207" i="8"/>
  <c r="N206" i="8"/>
  <c r="M206" i="8"/>
  <c r="N205" i="8"/>
  <c r="M205" i="8"/>
  <c r="N204" i="8"/>
  <c r="M204" i="8"/>
  <c r="N203" i="8"/>
  <c r="M203" i="8"/>
  <c r="N202" i="8"/>
  <c r="M202" i="8"/>
  <c r="N201" i="8"/>
  <c r="M201" i="8"/>
  <c r="N200" i="8"/>
  <c r="M200" i="8"/>
  <c r="N199" i="8"/>
  <c r="M199" i="8"/>
  <c r="N198" i="8"/>
  <c r="M198" i="8"/>
  <c r="N197" i="8"/>
  <c r="M197" i="8"/>
  <c r="N196" i="8"/>
  <c r="M196" i="8"/>
  <c r="N195" i="8"/>
  <c r="M195" i="8"/>
  <c r="N194" i="8"/>
  <c r="M194" i="8"/>
  <c r="N193" i="8"/>
  <c r="M193" i="8"/>
  <c r="N192" i="8"/>
  <c r="M192" i="8"/>
  <c r="N191" i="8"/>
  <c r="M191" i="8"/>
  <c r="N190" i="8"/>
  <c r="M190" i="8"/>
  <c r="N189" i="8"/>
  <c r="M189" i="8"/>
  <c r="N188" i="8"/>
  <c r="M188" i="8"/>
  <c r="N187" i="8"/>
  <c r="M187" i="8"/>
  <c r="N186" i="8"/>
  <c r="M186" i="8"/>
  <c r="N185" i="8"/>
  <c r="M185" i="8"/>
  <c r="N184" i="8"/>
  <c r="M184" i="8"/>
  <c r="N183" i="8"/>
  <c r="M183" i="8"/>
  <c r="N182" i="8"/>
  <c r="M182" i="8"/>
  <c r="N181" i="8"/>
  <c r="M181" i="8"/>
  <c r="N180" i="8"/>
  <c r="M180" i="8"/>
  <c r="N179" i="8"/>
  <c r="M179" i="8"/>
  <c r="N178" i="8"/>
  <c r="M178" i="8"/>
  <c r="N177" i="8"/>
  <c r="M177" i="8"/>
  <c r="N176" i="8"/>
  <c r="M176" i="8"/>
  <c r="N175" i="8"/>
  <c r="M175" i="8"/>
  <c r="N174" i="8"/>
  <c r="M174" i="8"/>
  <c r="N173" i="8"/>
  <c r="M173" i="8"/>
  <c r="N172" i="8"/>
  <c r="M172" i="8"/>
  <c r="N171" i="8"/>
  <c r="M171" i="8"/>
  <c r="N170" i="8"/>
  <c r="M170" i="8"/>
  <c r="N169" i="8"/>
  <c r="M169" i="8"/>
  <c r="N168" i="8"/>
  <c r="M168" i="8"/>
  <c r="N167" i="8"/>
  <c r="M167" i="8"/>
  <c r="N166" i="8"/>
  <c r="M166" i="8"/>
  <c r="N165" i="8"/>
  <c r="M165" i="8"/>
  <c r="N164" i="8"/>
  <c r="M164" i="8"/>
  <c r="N163" i="8"/>
  <c r="M163" i="8"/>
  <c r="N162" i="8"/>
  <c r="M162" i="8"/>
  <c r="N161" i="8"/>
  <c r="M161" i="8"/>
  <c r="N160" i="8"/>
  <c r="M160" i="8"/>
  <c r="N159" i="8"/>
  <c r="M159" i="8"/>
  <c r="N158" i="8"/>
  <c r="M158" i="8"/>
  <c r="N157" i="8"/>
  <c r="M157" i="8"/>
  <c r="N156" i="8"/>
  <c r="M156" i="8"/>
  <c r="N155" i="8"/>
  <c r="M155" i="8"/>
  <c r="N154" i="8"/>
  <c r="M154" i="8"/>
  <c r="N153" i="8"/>
  <c r="M153" i="8"/>
  <c r="N152" i="8"/>
  <c r="M152" i="8"/>
  <c r="N151" i="8"/>
  <c r="M151" i="8"/>
  <c r="N150" i="8"/>
  <c r="M150" i="8"/>
  <c r="N149" i="8"/>
  <c r="M149" i="8"/>
  <c r="N148" i="8"/>
  <c r="M148" i="8"/>
  <c r="N147" i="8"/>
  <c r="M147" i="8"/>
  <c r="N146" i="8"/>
  <c r="M146" i="8"/>
  <c r="N145" i="8"/>
  <c r="M145" i="8"/>
  <c r="N144" i="8"/>
  <c r="M144" i="8"/>
  <c r="N143" i="8"/>
  <c r="M143" i="8"/>
  <c r="N142" i="8"/>
  <c r="M142" i="8"/>
  <c r="N141" i="8"/>
  <c r="M141" i="8"/>
  <c r="N140" i="8"/>
  <c r="M140" i="8"/>
  <c r="N139" i="8"/>
  <c r="M139" i="8"/>
  <c r="N138" i="8"/>
  <c r="M138" i="8"/>
  <c r="N137" i="8"/>
  <c r="M137" i="8"/>
  <c r="N136" i="8"/>
  <c r="M136" i="8"/>
  <c r="N135" i="8"/>
  <c r="M135" i="8"/>
  <c r="N134" i="8"/>
  <c r="M134" i="8"/>
  <c r="N133" i="8"/>
  <c r="M133" i="8"/>
  <c r="N132" i="8"/>
  <c r="M132" i="8"/>
  <c r="N131" i="8"/>
  <c r="M131" i="8"/>
  <c r="N130" i="8"/>
  <c r="M130" i="8"/>
  <c r="N129" i="8"/>
  <c r="M129" i="8"/>
  <c r="N128" i="8"/>
  <c r="M128" i="8"/>
  <c r="N127" i="8"/>
  <c r="M127" i="8"/>
  <c r="N126" i="8"/>
  <c r="M126" i="8"/>
  <c r="N125" i="8"/>
  <c r="M125" i="8"/>
  <c r="N124" i="8"/>
  <c r="M124" i="8"/>
  <c r="N123" i="8"/>
  <c r="M123" i="8"/>
  <c r="N122" i="8"/>
  <c r="M122" i="8"/>
  <c r="N121" i="8"/>
  <c r="M121" i="8"/>
  <c r="N120" i="8"/>
  <c r="M120" i="8"/>
  <c r="N119" i="8"/>
  <c r="M119" i="8"/>
  <c r="N118" i="8"/>
  <c r="M118" i="8"/>
  <c r="N117" i="8"/>
  <c r="M117" i="8"/>
  <c r="N116" i="8"/>
  <c r="M116" i="8"/>
  <c r="N115" i="8"/>
  <c r="M115" i="8"/>
  <c r="N114" i="8"/>
  <c r="M114" i="8"/>
  <c r="N113" i="8"/>
  <c r="M113" i="8"/>
  <c r="N112" i="8"/>
  <c r="M112" i="8"/>
  <c r="N111" i="8"/>
  <c r="M111" i="8"/>
  <c r="N110" i="8"/>
  <c r="M110" i="8"/>
  <c r="N109" i="8"/>
  <c r="M109" i="8"/>
  <c r="N108" i="8"/>
  <c r="M108" i="8"/>
  <c r="N107" i="8"/>
  <c r="M107" i="8"/>
  <c r="N106" i="8"/>
  <c r="M106" i="8"/>
  <c r="N105" i="8"/>
  <c r="M105" i="8"/>
  <c r="N104" i="8"/>
  <c r="M104" i="8"/>
  <c r="N103" i="8"/>
  <c r="M103" i="8"/>
  <c r="N102" i="8"/>
  <c r="M102" i="8"/>
  <c r="N101" i="8"/>
  <c r="M101" i="8"/>
  <c r="N100" i="8"/>
  <c r="M100" i="8"/>
  <c r="N99" i="8"/>
  <c r="M99" i="8"/>
  <c r="N98" i="8"/>
  <c r="M98" i="8"/>
  <c r="N97" i="8"/>
  <c r="M97" i="8"/>
  <c r="N96" i="8"/>
  <c r="M96" i="8"/>
  <c r="N95" i="8"/>
  <c r="M95" i="8"/>
  <c r="N94" i="8"/>
  <c r="M94" i="8"/>
  <c r="N93" i="8"/>
  <c r="M93" i="8"/>
  <c r="N92" i="8"/>
  <c r="M92" i="8"/>
  <c r="N91" i="8"/>
  <c r="M91" i="8"/>
  <c r="N90" i="8"/>
  <c r="M90" i="8"/>
  <c r="N89" i="8"/>
  <c r="M89" i="8"/>
  <c r="N88" i="8"/>
  <c r="M88" i="8"/>
  <c r="N87" i="8"/>
  <c r="M87" i="8"/>
  <c r="N86" i="8"/>
  <c r="M86" i="8"/>
  <c r="N85" i="8"/>
  <c r="M85" i="8"/>
  <c r="N84" i="8"/>
  <c r="M84" i="8"/>
  <c r="N83" i="8"/>
  <c r="M83" i="8"/>
  <c r="N82" i="8"/>
  <c r="M82" i="8"/>
  <c r="N81" i="8"/>
  <c r="M81" i="8"/>
  <c r="N80" i="8"/>
  <c r="M80" i="8"/>
  <c r="N79" i="8"/>
  <c r="M79" i="8"/>
  <c r="N78" i="8"/>
  <c r="M78" i="8"/>
  <c r="N77" i="8"/>
  <c r="M77" i="8"/>
  <c r="N76" i="8"/>
  <c r="M76" i="8"/>
  <c r="N75" i="8"/>
  <c r="M75" i="8"/>
  <c r="N74" i="8"/>
  <c r="M74" i="8"/>
  <c r="N73" i="8"/>
  <c r="M73" i="8"/>
  <c r="N72" i="8"/>
  <c r="M72" i="8"/>
  <c r="N71" i="8"/>
  <c r="M71" i="8"/>
  <c r="N70" i="8"/>
  <c r="M70" i="8"/>
  <c r="N69" i="8"/>
  <c r="M69" i="8"/>
  <c r="N68" i="8"/>
  <c r="M68" i="8"/>
  <c r="N67" i="8"/>
  <c r="M67" i="8"/>
  <c r="N66" i="8"/>
  <c r="M66" i="8"/>
  <c r="N65" i="8"/>
  <c r="M65" i="8"/>
  <c r="N64" i="8"/>
  <c r="M64" i="8"/>
  <c r="N63" i="8"/>
  <c r="M63" i="8"/>
  <c r="N62" i="8"/>
  <c r="M62" i="8"/>
  <c r="N61" i="8"/>
  <c r="M61" i="8"/>
  <c r="N60" i="8"/>
  <c r="M60" i="8"/>
  <c r="N59" i="8"/>
  <c r="M59" i="8"/>
  <c r="N58" i="8"/>
  <c r="M58" i="8"/>
  <c r="N57" i="8"/>
  <c r="M57" i="8"/>
  <c r="N56" i="8"/>
  <c r="M56" i="8"/>
  <c r="N55" i="8"/>
  <c r="M55" i="8"/>
  <c r="N54" i="8"/>
  <c r="M54" i="8"/>
  <c r="N53" i="8"/>
  <c r="M53" i="8"/>
  <c r="N52" i="8"/>
  <c r="M52" i="8"/>
  <c r="N51" i="8"/>
  <c r="M51" i="8"/>
  <c r="N50" i="8"/>
  <c r="M50" i="8"/>
  <c r="N49" i="8"/>
  <c r="M49" i="8"/>
  <c r="N48" i="8"/>
  <c r="M48" i="8"/>
  <c r="N47" i="8"/>
  <c r="M47" i="8"/>
  <c r="N46" i="8"/>
  <c r="M46" i="8"/>
  <c r="N45" i="8"/>
  <c r="M45" i="8"/>
  <c r="N44" i="8"/>
  <c r="M44" i="8"/>
  <c r="N43" i="8"/>
  <c r="M43" i="8"/>
  <c r="N42" i="8"/>
  <c r="M42" i="8"/>
  <c r="N41" i="8"/>
  <c r="M41" i="8"/>
  <c r="N40" i="8"/>
  <c r="M40" i="8"/>
  <c r="N39" i="8"/>
  <c r="M39" i="8"/>
  <c r="N38" i="8"/>
  <c r="M38" i="8"/>
  <c r="N37" i="8"/>
  <c r="M37" i="8"/>
  <c r="N36" i="8"/>
  <c r="M36" i="8"/>
  <c r="N35" i="8"/>
  <c r="M35" i="8"/>
  <c r="N34" i="8"/>
  <c r="M34" i="8"/>
  <c r="N33" i="8"/>
  <c r="M33" i="8"/>
  <c r="N32" i="8"/>
  <c r="M32" i="8"/>
  <c r="N31" i="8"/>
  <c r="M31" i="8"/>
  <c r="N30" i="8"/>
  <c r="M30" i="8"/>
  <c r="N29" i="8"/>
  <c r="M29" i="8"/>
  <c r="N28" i="8"/>
  <c r="M28" i="8"/>
  <c r="N27" i="8"/>
  <c r="M27" i="8"/>
  <c r="N26" i="8"/>
  <c r="M26" i="8"/>
  <c r="N25" i="8"/>
  <c r="M25" i="8"/>
  <c r="N24" i="8"/>
  <c r="M24" i="8"/>
  <c r="N23" i="8"/>
  <c r="M23" i="8"/>
  <c r="N22" i="8"/>
  <c r="M22" i="8"/>
  <c r="N21" i="8"/>
  <c r="M21" i="8"/>
  <c r="N20" i="8"/>
  <c r="M20" i="8"/>
  <c r="N19" i="8"/>
  <c r="M19" i="8"/>
  <c r="N18" i="8"/>
  <c r="M18" i="8"/>
  <c r="N17" i="8"/>
  <c r="M17" i="8"/>
  <c r="N16" i="8"/>
  <c r="M16" i="8"/>
  <c r="N15" i="8"/>
  <c r="M15" i="8"/>
  <c r="N14" i="8"/>
  <c r="M14" i="8"/>
  <c r="N13" i="8"/>
  <c r="M13" i="8"/>
  <c r="N12" i="8"/>
  <c r="M12" i="8"/>
  <c r="N11" i="8"/>
  <c r="M11" i="8"/>
  <c r="N10" i="8"/>
  <c r="M10" i="8"/>
  <c r="N9" i="8"/>
  <c r="M9" i="8"/>
  <c r="C407" i="8"/>
  <c r="C404" i="8"/>
  <c r="C403" i="8"/>
  <c r="C402" i="8"/>
  <c r="C401" i="8"/>
  <c r="C400" i="8"/>
  <c r="C399" i="8"/>
  <c r="C398" i="8"/>
  <c r="C397" i="8"/>
  <c r="C396" i="8"/>
  <c r="C395" i="8"/>
  <c r="C394" i="8"/>
  <c r="C393" i="8"/>
  <c r="C392" i="8"/>
  <c r="C391" i="8"/>
  <c r="C390" i="8"/>
  <c r="C389" i="8"/>
  <c r="C388" i="8"/>
  <c r="C387" i="8"/>
  <c r="C386" i="8"/>
  <c r="C385" i="8"/>
  <c r="C384" i="8"/>
  <c r="C383" i="8"/>
  <c r="C382" i="8"/>
  <c r="C381" i="8"/>
  <c r="C380" i="8"/>
  <c r="C379" i="8"/>
  <c r="C378" i="8"/>
  <c r="C373" i="8"/>
  <c r="C372" i="8"/>
  <c r="C371" i="8"/>
  <c r="C370" i="8"/>
  <c r="C369" i="8"/>
  <c r="C368" i="8"/>
  <c r="C367" i="8"/>
  <c r="C366" i="8"/>
  <c r="C363" i="8"/>
  <c r="C359" i="8"/>
  <c r="C358" i="8"/>
  <c r="C356" i="8"/>
  <c r="C355" i="8"/>
  <c r="C354" i="8"/>
  <c r="C353" i="8"/>
  <c r="C352" i="8"/>
  <c r="C347" i="8"/>
  <c r="C346" i="8"/>
  <c r="C343" i="8"/>
  <c r="C342" i="8"/>
  <c r="C341" i="8"/>
  <c r="C338" i="8"/>
  <c r="C335" i="8"/>
  <c r="C334" i="8"/>
  <c r="C331" i="8"/>
  <c r="C327" i="8"/>
  <c r="C326" i="8"/>
  <c r="C325" i="8"/>
  <c r="C324" i="8"/>
  <c r="C322" i="8"/>
  <c r="C321" i="8"/>
  <c r="C320" i="8"/>
  <c r="C318" i="8"/>
  <c r="C317" i="8"/>
  <c r="C316" i="8"/>
  <c r="C314" i="8"/>
  <c r="C312" i="8"/>
  <c r="C311" i="8"/>
  <c r="C310" i="8"/>
  <c r="C309" i="8"/>
  <c r="C308" i="8"/>
  <c r="C307" i="8"/>
  <c r="C306" i="8"/>
  <c r="C305" i="8"/>
  <c r="C304" i="8"/>
  <c r="C303" i="8"/>
  <c r="C302" i="8"/>
  <c r="C301" i="8"/>
  <c r="C300" i="8"/>
  <c r="C299" i="8"/>
  <c r="C298" i="8"/>
  <c r="C297" i="8"/>
  <c r="C296" i="8"/>
  <c r="C294" i="8"/>
  <c r="C293" i="8"/>
  <c r="C292" i="8"/>
  <c r="C291" i="8"/>
  <c r="C290" i="8"/>
  <c r="C289" i="8"/>
  <c r="C287" i="8"/>
  <c r="C286" i="8"/>
  <c r="C285" i="8"/>
  <c r="C284" i="8"/>
  <c r="C283" i="8"/>
  <c r="C282" i="8"/>
  <c r="C278" i="8"/>
  <c r="C275" i="8"/>
  <c r="C274" i="8"/>
  <c r="C273" i="8"/>
  <c r="C272" i="8"/>
  <c r="C271" i="8"/>
  <c r="C270" i="8"/>
  <c r="C267" i="8"/>
  <c r="C265" i="8"/>
  <c r="C264" i="8"/>
  <c r="C263" i="8"/>
  <c r="C262" i="8"/>
  <c r="C261" i="8"/>
  <c r="C260" i="8"/>
  <c r="C257" i="8"/>
  <c r="C256" i="8"/>
  <c r="C255" i="8"/>
  <c r="C253" i="8"/>
  <c r="C252" i="8"/>
  <c r="C251" i="8"/>
  <c r="C250" i="8"/>
  <c r="C249" i="8"/>
  <c r="C248" i="8"/>
  <c r="C247" i="8"/>
  <c r="C246" i="8"/>
  <c r="C245"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09" i="8"/>
  <c r="C208" i="8"/>
  <c r="C207" i="8"/>
  <c r="C206" i="8"/>
  <c r="C205" i="8"/>
  <c r="C204" i="8"/>
  <c r="C203" i="8"/>
  <c r="C202" i="8"/>
  <c r="C201" i="8"/>
  <c r="C200" i="8"/>
  <c r="C199" i="8"/>
  <c r="C198" i="8"/>
  <c r="C197" i="8"/>
  <c r="C196" i="8"/>
  <c r="C195" i="8"/>
  <c r="C194" i="8"/>
  <c r="C191" i="8"/>
  <c r="C190" i="8"/>
  <c r="C187" i="8"/>
  <c r="C186" i="8"/>
  <c r="C185" i="8"/>
  <c r="C184" i="8"/>
  <c r="C183" i="8"/>
  <c r="C182" i="8"/>
  <c r="C180" i="8"/>
  <c r="C179" i="8"/>
  <c r="C178" i="8"/>
  <c r="C177" i="8"/>
  <c r="C176" i="8"/>
  <c r="C175" i="8"/>
  <c r="C174" i="8"/>
  <c r="C173" i="8"/>
  <c r="C172" i="8"/>
  <c r="C171" i="8"/>
  <c r="C170" i="8"/>
  <c r="C169" i="8"/>
  <c r="C168" i="8"/>
  <c r="C167" i="8"/>
  <c r="C162" i="8"/>
  <c r="C161" i="8"/>
  <c r="C160" i="8"/>
  <c r="C157" i="8"/>
  <c r="C156" i="8"/>
  <c r="C154" i="8"/>
  <c r="C153" i="8"/>
  <c r="C151" i="8"/>
  <c r="C150" i="8"/>
  <c r="C148" i="8"/>
  <c r="C147" i="8"/>
  <c r="C144" i="8"/>
  <c r="C142" i="8"/>
  <c r="C141" i="8"/>
  <c r="C140" i="8"/>
  <c r="C139" i="8"/>
  <c r="C138" i="8"/>
  <c r="C137" i="8"/>
  <c r="C136" i="8"/>
  <c r="C135" i="8"/>
  <c r="C134" i="8"/>
  <c r="C133" i="8"/>
  <c r="C131" i="8"/>
  <c r="C130" i="8"/>
  <c r="C129" i="8"/>
  <c r="C128" i="8"/>
  <c r="C127" i="8"/>
  <c r="C126" i="8"/>
  <c r="C125" i="8"/>
  <c r="C124" i="8"/>
  <c r="C123" i="8"/>
  <c r="C122" i="8"/>
  <c r="C119" i="8"/>
  <c r="C118" i="8"/>
  <c r="C117" i="8"/>
  <c r="C116" i="8"/>
  <c r="C115" i="8"/>
  <c r="C114" i="8"/>
  <c r="C113" i="8"/>
  <c r="C112" i="8"/>
  <c r="C111" i="8"/>
  <c r="C110" i="8"/>
  <c r="C109" i="8"/>
  <c r="C108" i="8"/>
  <c r="C107" i="8"/>
  <c r="C106" i="8"/>
  <c r="C105" i="8"/>
  <c r="C102" i="8"/>
  <c r="C101" i="8"/>
  <c r="C100" i="8"/>
  <c r="C99" i="8"/>
  <c r="C97" i="8"/>
  <c r="C96" i="8"/>
  <c r="C92" i="8"/>
  <c r="C91" i="8"/>
  <c r="C90" i="8"/>
  <c r="C87" i="8"/>
  <c r="C86" i="8"/>
  <c r="C84" i="8"/>
  <c r="C83" i="8"/>
  <c r="C82" i="8"/>
  <c r="C80" i="8"/>
  <c r="C79" i="8"/>
  <c r="C77" i="8"/>
  <c r="C76" i="8"/>
  <c r="C75" i="8"/>
  <c r="C74" i="8"/>
  <c r="C73" i="8"/>
  <c r="C70" i="8"/>
  <c r="C69" i="8"/>
  <c r="C68" i="8"/>
  <c r="C67" i="8"/>
  <c r="C66" i="8"/>
  <c r="C63" i="8"/>
  <c r="C62" i="8"/>
  <c r="C61" i="8"/>
  <c r="C60" i="8"/>
  <c r="C59" i="8"/>
  <c r="C58" i="8"/>
  <c r="C57" i="8"/>
  <c r="C56" i="8"/>
  <c r="C55" i="8"/>
  <c r="C54" i="8"/>
  <c r="C53" i="8"/>
  <c r="C52" i="8"/>
  <c r="C49" i="8"/>
  <c r="C47" i="8"/>
  <c r="C46" i="8"/>
  <c r="C45" i="8"/>
  <c r="C44" i="8"/>
  <c r="C43" i="8"/>
  <c r="C42" i="8"/>
  <c r="C39" i="8"/>
  <c r="C38" i="8"/>
  <c r="C37" i="8"/>
  <c r="C36" i="8"/>
  <c r="C35" i="8"/>
  <c r="C34" i="8"/>
  <c r="C33" i="8"/>
  <c r="C32" i="8"/>
  <c r="C31" i="8"/>
  <c r="C30" i="8"/>
  <c r="C29" i="8"/>
  <c r="C27" i="8"/>
  <c r="C26" i="8"/>
  <c r="C25" i="8"/>
  <c r="C24" i="8"/>
  <c r="C23" i="8"/>
  <c r="C22" i="8"/>
  <c r="C21" i="8"/>
  <c r="C20" i="8"/>
  <c r="C19" i="8"/>
  <c r="C18" i="8"/>
  <c r="C17" i="8"/>
  <c r="C16" i="8"/>
  <c r="C15" i="8"/>
  <c r="C14" i="8"/>
  <c r="D407" i="8"/>
  <c r="D406" i="8"/>
  <c r="D405" i="8"/>
  <c r="D404" i="8"/>
  <c r="D403" i="8"/>
  <c r="D402" i="8"/>
  <c r="D401" i="8"/>
  <c r="D400" i="8"/>
  <c r="D399" i="8"/>
  <c r="D398" i="8"/>
  <c r="D397" i="8"/>
  <c r="D396" i="8"/>
  <c r="D395" i="8"/>
  <c r="D394" i="8"/>
  <c r="D393" i="8"/>
  <c r="D392" i="8"/>
  <c r="D391" i="8"/>
  <c r="D390" i="8"/>
  <c r="D389" i="8"/>
  <c r="D388" i="8"/>
  <c r="D387" i="8"/>
  <c r="D386" i="8"/>
  <c r="D385" i="8"/>
  <c r="D384" i="8"/>
  <c r="D383" i="8"/>
  <c r="D382" i="8"/>
  <c r="D381" i="8"/>
  <c r="D380" i="8"/>
  <c r="D379" i="8"/>
  <c r="D378" i="8"/>
  <c r="D377" i="8"/>
  <c r="D376" i="8"/>
  <c r="D375" i="8"/>
  <c r="D374" i="8"/>
  <c r="D373" i="8"/>
  <c r="D372" i="8"/>
  <c r="D371" i="8"/>
  <c r="D370" i="8"/>
  <c r="D369" i="8"/>
  <c r="D368" i="8"/>
  <c r="D367" i="8"/>
  <c r="D366" i="8"/>
  <c r="D365" i="8"/>
  <c r="D364" i="8"/>
  <c r="D363" i="8"/>
  <c r="D362" i="8"/>
  <c r="D361" i="8"/>
  <c r="D360" i="8"/>
  <c r="D359" i="8"/>
  <c r="D358" i="8"/>
  <c r="D357" i="8"/>
  <c r="D356" i="8"/>
  <c r="D355" i="8"/>
  <c r="D354" i="8"/>
  <c r="D353" i="8"/>
  <c r="D352" i="8"/>
  <c r="D351" i="8"/>
  <c r="D350" i="8"/>
  <c r="D349" i="8"/>
  <c r="D348" i="8"/>
  <c r="D347" i="8"/>
  <c r="D346" i="8"/>
  <c r="D345" i="8"/>
  <c r="D344" i="8"/>
  <c r="D343" i="8"/>
  <c r="D342" i="8"/>
  <c r="D341" i="8"/>
  <c r="D340" i="8"/>
  <c r="D339" i="8"/>
  <c r="D338" i="8"/>
  <c r="D337" i="8"/>
  <c r="D336" i="8"/>
  <c r="D335" i="8"/>
  <c r="D334" i="8"/>
  <c r="D333" i="8"/>
  <c r="D332" i="8"/>
  <c r="D331" i="8"/>
  <c r="D330" i="8"/>
  <c r="D329" i="8"/>
  <c r="D328" i="8"/>
  <c r="D327" i="8"/>
  <c r="D326" i="8"/>
  <c r="D325" i="8"/>
  <c r="D324" i="8"/>
  <c r="D323" i="8"/>
  <c r="D322" i="8"/>
  <c r="D321" i="8"/>
  <c r="D320" i="8"/>
  <c r="D319" i="8"/>
  <c r="D318" i="8"/>
  <c r="D317" i="8"/>
  <c r="D316" i="8"/>
  <c r="D315" i="8"/>
  <c r="D314" i="8"/>
  <c r="D313" i="8"/>
  <c r="D312" i="8"/>
  <c r="D311" i="8"/>
  <c r="D310" i="8"/>
  <c r="D309" i="8"/>
  <c r="D308" i="8"/>
  <c r="D307" i="8"/>
  <c r="D306" i="8"/>
  <c r="D305" i="8"/>
  <c r="D304" i="8"/>
  <c r="D303" i="8"/>
  <c r="D302" i="8"/>
  <c r="D301" i="8"/>
  <c r="D300" i="8"/>
  <c r="D299" i="8"/>
  <c r="D298" i="8"/>
  <c r="D297" i="8"/>
  <c r="D296" i="8"/>
  <c r="D295" i="8"/>
  <c r="D294" i="8"/>
  <c r="D293" i="8"/>
  <c r="D292" i="8"/>
  <c r="D291" i="8"/>
  <c r="D290" i="8"/>
  <c r="D289" i="8"/>
  <c r="D288" i="8"/>
  <c r="D287" i="8"/>
  <c r="D286" i="8"/>
  <c r="D285" i="8"/>
  <c r="D284" i="8"/>
  <c r="D283" i="8"/>
  <c r="D282" i="8"/>
  <c r="D281" i="8"/>
  <c r="D280" i="8"/>
  <c r="D279" i="8"/>
  <c r="D278" i="8"/>
  <c r="D277" i="8"/>
  <c r="D276" i="8"/>
  <c r="D275" i="8"/>
  <c r="D274" i="8"/>
  <c r="D273" i="8"/>
  <c r="D272" i="8"/>
  <c r="D271" i="8"/>
  <c r="D270" i="8"/>
  <c r="D269" i="8"/>
  <c r="D268" i="8"/>
  <c r="D267" i="8"/>
  <c r="D266" i="8"/>
  <c r="D265" i="8"/>
  <c r="D264" i="8"/>
  <c r="D263" i="8"/>
  <c r="D262" i="8"/>
  <c r="D261" i="8"/>
  <c r="D260" i="8"/>
  <c r="D259" i="8"/>
  <c r="D258" i="8"/>
  <c r="D257" i="8"/>
  <c r="D256" i="8"/>
  <c r="D255" i="8"/>
  <c r="D254" i="8"/>
  <c r="D253" i="8"/>
  <c r="D252" i="8"/>
  <c r="D251" i="8"/>
  <c r="D250" i="8"/>
  <c r="D249" i="8"/>
  <c r="D248" i="8"/>
  <c r="D247" i="8"/>
  <c r="D246" i="8"/>
  <c r="D245" i="8"/>
  <c r="D244" i="8"/>
  <c r="D243" i="8"/>
  <c r="D242" i="8"/>
  <c r="D241" i="8"/>
  <c r="D240" i="8"/>
  <c r="D239" i="8"/>
  <c r="D238" i="8"/>
  <c r="D237" i="8"/>
  <c r="D236" i="8"/>
  <c r="D235" i="8"/>
  <c r="D234" i="8"/>
  <c r="D233" i="8"/>
  <c r="D232" i="8"/>
  <c r="D231" i="8"/>
  <c r="D230" i="8"/>
  <c r="D229" i="8"/>
  <c r="D228" i="8"/>
  <c r="D227" i="8"/>
  <c r="D226" i="8"/>
  <c r="D225" i="8"/>
  <c r="D224" i="8"/>
  <c r="D223" i="8"/>
  <c r="D222" i="8"/>
  <c r="D221" i="8"/>
  <c r="D220" i="8"/>
  <c r="D219" i="8"/>
  <c r="D218" i="8"/>
  <c r="D217" i="8"/>
  <c r="D216" i="8"/>
  <c r="D215" i="8"/>
  <c r="D214" i="8"/>
  <c r="D213" i="8"/>
  <c r="D212" i="8"/>
  <c r="D211" i="8"/>
  <c r="D210" i="8"/>
  <c r="D209" i="8"/>
  <c r="D208" i="8"/>
  <c r="D207" i="8"/>
  <c r="D206" i="8"/>
  <c r="D205" i="8"/>
  <c r="D204" i="8"/>
  <c r="D203" i="8"/>
  <c r="D202" i="8"/>
  <c r="D201" i="8"/>
  <c r="D200" i="8"/>
  <c r="D199" i="8"/>
  <c r="D198" i="8"/>
  <c r="D197" i="8"/>
  <c r="D196" i="8"/>
  <c r="D195" i="8"/>
  <c r="D194" i="8"/>
  <c r="D193" i="8"/>
  <c r="D192" i="8"/>
  <c r="D191" i="8"/>
  <c r="D190" i="8"/>
  <c r="D189" i="8"/>
  <c r="D188" i="8"/>
  <c r="D187" i="8"/>
  <c r="D186" i="8"/>
  <c r="D185" i="8"/>
  <c r="D184" i="8"/>
  <c r="D183" i="8"/>
  <c r="D182" i="8"/>
  <c r="D181" i="8"/>
  <c r="D180" i="8"/>
  <c r="D179" i="8"/>
  <c r="D178" i="8"/>
  <c r="D177" i="8"/>
  <c r="D176" i="8"/>
  <c r="D175" i="8"/>
  <c r="D174" i="8"/>
  <c r="D173" i="8"/>
  <c r="D172" i="8"/>
  <c r="D171" i="8"/>
  <c r="D170" i="8"/>
  <c r="D169" i="8"/>
  <c r="D168" i="8"/>
  <c r="D167" i="8"/>
  <c r="D166" i="8"/>
  <c r="D165" i="8"/>
  <c r="D164" i="8"/>
  <c r="D163" i="8"/>
  <c r="D162" i="8"/>
  <c r="D161" i="8"/>
  <c r="D160" i="8"/>
  <c r="D159" i="8"/>
  <c r="D158" i="8"/>
  <c r="D157" i="8"/>
  <c r="D156" i="8"/>
  <c r="D155" i="8"/>
  <c r="D154" i="8"/>
  <c r="D153" i="8"/>
  <c r="D152" i="8"/>
  <c r="D151" i="8"/>
  <c r="D150" i="8"/>
  <c r="D149" i="8"/>
  <c r="D148" i="8"/>
  <c r="D147" i="8"/>
  <c r="D146" i="8"/>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E10" i="3" l="1"/>
  <c r="J18" i="7" s="1"/>
  <c r="E16" i="3"/>
  <c r="J19" i="7" s="1"/>
  <c r="E26" i="3"/>
  <c r="E21" i="3"/>
  <c r="J20" i="7" s="1"/>
  <c r="E28" i="3" l="1"/>
  <c r="C12" i="8" l="1"/>
  <c r="N8" i="8"/>
  <c r="N6" i="8" s="1"/>
  <c r="M8" i="8"/>
  <c r="M6" i="8" s="1"/>
  <c r="N7" i="8"/>
  <c r="M7" i="8"/>
  <c r="N3" i="8" l="1"/>
  <c r="N1" i="8"/>
  <c r="N2" i="8"/>
  <c r="J3" i="7"/>
  <c r="E34" i="7" s="1"/>
  <c r="J27" i="7"/>
  <c r="J28" i="7" s="1"/>
  <c r="J22" i="7"/>
  <c r="N4" i="8" l="1"/>
  <c r="H13" i="7"/>
  <c r="G13" i="7"/>
  <c r="I10" i="7"/>
  <c r="I13" i="7" s="1"/>
  <c r="J30" i="7" s="1"/>
  <c r="Q7" i="5" l="1"/>
  <c r="C120" i="2" l="1"/>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70" i="2"/>
  <c r="C50" i="2"/>
  <c r="C74" i="2"/>
  <c r="C69" i="2"/>
  <c r="C73" i="2"/>
  <c r="C54" i="2"/>
  <c r="C71" i="2"/>
  <c r="C52" i="2"/>
  <c r="C85" i="2"/>
  <c r="C55" i="2"/>
  <c r="C59" i="2"/>
  <c r="C79" i="2"/>
  <c r="C76" i="2"/>
  <c r="C84" i="2"/>
  <c r="C92" i="2"/>
  <c r="C83" i="2"/>
  <c r="C91" i="2"/>
  <c r="C82" i="2"/>
  <c r="C90" i="2"/>
  <c r="C93" i="2"/>
  <c r="C53" i="2"/>
  <c r="C72" i="2"/>
  <c r="C75" i="2"/>
  <c r="C57" i="2"/>
  <c r="C58" i="2"/>
  <c r="C63" i="2"/>
  <c r="C61" i="2"/>
  <c r="C67" i="2"/>
  <c r="C65" i="2"/>
  <c r="C68" i="2"/>
  <c r="C64" i="2"/>
  <c r="C60" i="2"/>
  <c r="C62" i="2"/>
  <c r="C66" i="2"/>
  <c r="C56" i="2"/>
  <c r="C49" i="2"/>
  <c r="C81" i="2"/>
  <c r="C89" i="2"/>
  <c r="C51" i="2"/>
  <c r="C80" i="2"/>
  <c r="C86" i="2"/>
  <c r="C78" i="2"/>
  <c r="C88" i="2"/>
  <c r="C87" i="2"/>
  <c r="C77"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alcChain>
</file>

<file path=xl/sharedStrings.xml><?xml version="1.0" encoding="utf-8"?>
<sst xmlns="http://schemas.openxmlformats.org/spreadsheetml/2006/main" count="3898" uniqueCount="1001">
  <si>
    <t>Pergunta 01 : Da Conta ?</t>
  </si>
  <si>
    <t>21510050</t>
  </si>
  <si>
    <t>Pergunta 02 : Ate Conta ?</t>
  </si>
  <si>
    <t>Pergunta 03 : Da Data ?</t>
  </si>
  <si>
    <t>01/01/2010</t>
  </si>
  <si>
    <t>Pergunta 04 : Ate a Data ?</t>
  </si>
  <si>
    <t>30/06/2026</t>
  </si>
  <si>
    <t>Pergunta 05 : Moeda ?</t>
  </si>
  <si>
    <t>01</t>
  </si>
  <si>
    <t>Pergunta 06 : Tipo de Saldo ?</t>
  </si>
  <si>
    <t>1</t>
  </si>
  <si>
    <t>Pergunta 07 : Cod. Config. Livros ?</t>
  </si>
  <si>
    <t/>
  </si>
  <si>
    <t>Pergunta 08 : Tipo Relatorio ?</t>
  </si>
  <si>
    <t>Analitico</t>
  </si>
  <si>
    <t>Pergunta 09 : Impr. Cta S/ Movim ?</t>
  </si>
  <si>
    <t>Nao</t>
  </si>
  <si>
    <t>Pergunta 10 : Junta C.C. Contabil ?</t>
  </si>
  <si>
    <t>Pergunta 11 : Impr Cod Conta ?</t>
  </si>
  <si>
    <t>Normal</t>
  </si>
  <si>
    <t>Pergunta 12 : Imprime C.C. Extra ?</t>
  </si>
  <si>
    <t>Sim</t>
  </si>
  <si>
    <t>Pergunta 13 : Do Centro de Custo ?</t>
  </si>
  <si>
    <t>Pergunta 14 : Ate Centro de Custo ?</t>
  </si>
  <si>
    <t>ZZZZZZZZZ</t>
  </si>
  <si>
    <t>Pergunta 15 : Imprime Item Contab ?</t>
  </si>
  <si>
    <t>Pergunta 16 : Do Item Contabil ?</t>
  </si>
  <si>
    <t>Pergunta 17 : Ate Item Contabil ?</t>
  </si>
  <si>
    <t>Pergunta 18 : Imprime Classe Vlr ?</t>
  </si>
  <si>
    <t>Pergunta 19 : Da Classe de Valor ?</t>
  </si>
  <si>
    <t>Pergunta 20 : Ate Classe de Valor ?</t>
  </si>
  <si>
    <t>Pergunta 21 : Salta Folha por Cta ?</t>
  </si>
  <si>
    <t>Pergunta 22 : Folha Inicial ?</t>
  </si>
  <si>
    <t>Pergunta 23 : Folha Final ?</t>
  </si>
  <si>
    <t>Pergunta 24 : Folha ao Reiniciar ?</t>
  </si>
  <si>
    <t>Pergunta 25 : Impr Cod C.Custo ?</t>
  </si>
  <si>
    <t>Pergunta 26 : Impr Cod Item ?</t>
  </si>
  <si>
    <t>Pergunta 27 : Impr Cod Cl.Valor ?</t>
  </si>
  <si>
    <t>Pergunta 28 : Imprime Total Geral ?</t>
  </si>
  <si>
    <t>Pergunta 29 : Imprime ?</t>
  </si>
  <si>
    <t>So Livro</t>
  </si>
  <si>
    <t>Pergunta 30 : Imprime Valor 0,00 ?</t>
  </si>
  <si>
    <t>Pergunta 31 : Salta linha entre contas ?</t>
  </si>
  <si>
    <t>Pergunta 32 : Num.linhas p/ o Razao ?</t>
  </si>
  <si>
    <t>Pergunta 33 : Sld.Ant.Nivel ?</t>
  </si>
  <si>
    <t>Conta</t>
  </si>
  <si>
    <t>Pergunta 34 : Descrição na Moeda ?</t>
  </si>
  <si>
    <t>Pergunta 35 : Cons.Tamanho Total das Entid ?</t>
  </si>
  <si>
    <t>Pergunta 36 : Seleciona Filiais ?</t>
  </si>
  <si>
    <t>Pergunta 37 : Imprimir Cabeçalho ?</t>
  </si>
  <si>
    <t>Pergunta 38 : Filtro de Entidades ?</t>
  </si>
  <si>
    <t>De/Até</t>
  </si>
  <si>
    <t>Pergunta 39 : Range de Conta ?</t>
  </si>
  <si>
    <t>Pergunta 40 : Range de Centro de Custo ?</t>
  </si>
  <si>
    <t>Pergunta 41 : Range de Item Contabil ?</t>
  </si>
  <si>
    <t>Pergunta 42 : Range de Classe de Valor ?</t>
  </si>
  <si>
    <t>LOTE/SUB/DOC/LINHA</t>
  </si>
  <si>
    <t>HISTORICO</t>
  </si>
  <si>
    <t>C/PARTIDA</t>
  </si>
  <si>
    <t>C CUSTO</t>
  </si>
  <si>
    <t>5.1.3.80.140</t>
  </si>
  <si>
    <t>01101</t>
  </si>
  <si>
    <t>000001001000011001</t>
  </si>
  <si>
    <t>000001001000006001</t>
  </si>
  <si>
    <t>000001001000012001</t>
  </si>
  <si>
    <t>000001001000010001</t>
  </si>
  <si>
    <t>000001001000014001</t>
  </si>
  <si>
    <t>000001001000014002</t>
  </si>
  <si>
    <t>000001001000014003</t>
  </si>
  <si>
    <t>000001001000001001</t>
  </si>
  <si>
    <t>000001001000001002</t>
  </si>
  <si>
    <t>000001001000015001</t>
  </si>
  <si>
    <t>000001001000016001</t>
  </si>
  <si>
    <t>000001001000003001</t>
  </si>
  <si>
    <t>000001001000003002</t>
  </si>
  <si>
    <t>000001001000019001</t>
  </si>
  <si>
    <t>000001001000007001</t>
  </si>
  <si>
    <t>PROVISAO DE BONUS</t>
  </si>
  <si>
    <t>000001001000024001</t>
  </si>
  <si>
    <t>000001001000005001</t>
  </si>
  <si>
    <t>000001001000022001</t>
  </si>
  <si>
    <t>5.3.1.7</t>
  </si>
  <si>
    <t>000001001000013001</t>
  </si>
  <si>
    <t>ESTORNO PROV 2024</t>
  </si>
  <si>
    <t>PROVISAO BONUS POLAR 06/2026</t>
  </si>
  <si>
    <t>Valor</t>
  </si>
  <si>
    <t>Obs.</t>
  </si>
  <si>
    <t>Conta + Descrição</t>
  </si>
  <si>
    <t>FL</t>
  </si>
  <si>
    <t>Período</t>
  </si>
  <si>
    <t>Data</t>
  </si>
  <si>
    <t>2021</t>
  </si>
  <si>
    <t>2022</t>
  </si>
  <si>
    <t>2023</t>
  </si>
  <si>
    <t>2024</t>
  </si>
  <si>
    <t>2025</t>
  </si>
  <si>
    <t>jun/26</t>
  </si>
  <si>
    <t>Provisão Bônus - 2024</t>
  </si>
  <si>
    <t>Reversão Bônus - 2023</t>
  </si>
  <si>
    <t>Provisão Bônus - 2023</t>
  </si>
  <si>
    <t>Provisão Bônus - 2025</t>
  </si>
  <si>
    <t>Reversão Bônus - 2024</t>
  </si>
  <si>
    <t>Reversão Bônus - 2025</t>
  </si>
  <si>
    <t>BU</t>
  </si>
  <si>
    <t>Provisão e BU</t>
  </si>
  <si>
    <t>Jan</t>
  </si>
  <si>
    <t>Fev</t>
  </si>
  <si>
    <t>Mar</t>
  </si>
  <si>
    <t>Abr</t>
  </si>
  <si>
    <t>Mai</t>
  </si>
  <si>
    <t>Jun</t>
  </si>
  <si>
    <t>Jul</t>
  </si>
  <si>
    <t>Ago</t>
  </si>
  <si>
    <t>Set</t>
  </si>
  <si>
    <t>Out</t>
  </si>
  <si>
    <t>Nov</t>
  </si>
  <si>
    <t>Dez</t>
  </si>
  <si>
    <t>Saldo</t>
  </si>
  <si>
    <t>Ambar</t>
  </si>
  <si>
    <t>Bônus</t>
  </si>
  <si>
    <t>x</t>
  </si>
  <si>
    <t>Acumulado</t>
  </si>
  <si>
    <t>Mês</t>
  </si>
  <si>
    <t>SIGLA</t>
  </si>
  <si>
    <t>EMPRESA</t>
  </si>
  <si>
    <t>Emissão</t>
  </si>
  <si>
    <t>GRUPO CONTÁBIL</t>
  </si>
  <si>
    <t>DESCRIÇÃO DO GRUPO</t>
  </si>
  <si>
    <t>PERIODO</t>
  </si>
  <si>
    <t xml:space="preserve">Conta </t>
  </si>
  <si>
    <t>Descrição da Conta</t>
  </si>
  <si>
    <t>Balancete</t>
  </si>
  <si>
    <t>Relatorio Auxiliar</t>
  </si>
  <si>
    <t>Diferença</t>
  </si>
  <si>
    <t xml:space="preserve"> DIFERENÇA ( 1 )   -   ( 2 )   =   ( 3 )  </t>
  </si>
  <si>
    <t>COMPOSIÇÃO DA DIFERENÇA</t>
  </si>
  <si>
    <t>DATA</t>
  </si>
  <si>
    <t>DIFERENÇAS IDENTIFICADAS NA CONTABILIDADE</t>
  </si>
  <si>
    <t>Status</t>
  </si>
  <si>
    <t>Conta Débito</t>
  </si>
  <si>
    <t>Conta Crédito</t>
  </si>
  <si>
    <t xml:space="preserve">VALOR </t>
  </si>
  <si>
    <t>TOTAL ( 4 )</t>
  </si>
  <si>
    <t>DIFERENÇAS IDENTIFICADAS NO RELATÓRIO</t>
  </si>
  <si>
    <t>TOTAL ( 5 )</t>
  </si>
  <si>
    <t>DIFERENÇA A IDENITIFICAR ( 3 )  -  ( 4 )  -  ( 5 )</t>
  </si>
  <si>
    <t xml:space="preserve"> OBSERVAÇÕES:</t>
  </si>
  <si>
    <t>Prepado por :</t>
  </si>
  <si>
    <t>Revisado por:</t>
  </si>
  <si>
    <t>Aprovado por:</t>
  </si>
  <si>
    <t>Willian Nascimento</t>
  </si>
  <si>
    <t>AMBAR TECH</t>
  </si>
  <si>
    <t>Ativo</t>
  </si>
  <si>
    <t>Passivo</t>
  </si>
  <si>
    <t>Resultado</t>
  </si>
  <si>
    <t>Check</t>
  </si>
  <si>
    <t>Classe</t>
  </si>
  <si>
    <t>Tipo</t>
  </si>
  <si>
    <t>Descricao</t>
  </si>
  <si>
    <t>DB</t>
  </si>
  <si>
    <t>CR</t>
  </si>
  <si>
    <t>ATIVO</t>
  </si>
  <si>
    <t>D</t>
  </si>
  <si>
    <t>ATIVO CIRCULANTE</t>
  </si>
  <si>
    <t>CONTAS A RECEBER</t>
  </si>
  <si>
    <t>C</t>
  </si>
  <si>
    <t>PRODUTOS ACABADOS</t>
  </si>
  <si>
    <t>MERCADORIAS PARA REVENDA</t>
  </si>
  <si>
    <t>ATIVO NAO CIRCULANTE</t>
  </si>
  <si>
    <t>REALIZAVEL A LONGO PRAZO</t>
  </si>
  <si>
    <t>MOVEIS E UTENSILIOS</t>
  </si>
  <si>
    <t>FERRAMENTAS</t>
  </si>
  <si>
    <t>INVESTIMENTOS</t>
  </si>
  <si>
    <t>PASSIVO</t>
  </si>
  <si>
    <t>PASSIVO CIRCULANTE</t>
  </si>
  <si>
    <t>FORNECEDORES</t>
  </si>
  <si>
    <t>EMPRESTIMOS E FINANCIAMENTOS</t>
  </si>
  <si>
    <t>SALARIOS A PAGAR</t>
  </si>
  <si>
    <t>FGTS A RECOLHER</t>
  </si>
  <si>
    <t>RESCISOES A PAGAR</t>
  </si>
  <si>
    <t>ICMS A RECOLHER</t>
  </si>
  <si>
    <t>IPI A RECOLHER</t>
  </si>
  <si>
    <t>PIS A RECOLHER</t>
  </si>
  <si>
    <t>COFINS A RECOLHER</t>
  </si>
  <si>
    <t>ISS RETIDO A RECOLHER</t>
  </si>
  <si>
    <t>PROVISAO INSS S/ FERIAS</t>
  </si>
  <si>
    <t>PROVISAO FGTS S/ FERIAS</t>
  </si>
  <si>
    <t>PROVISAO INSS S/ 13 SALARIO</t>
  </si>
  <si>
    <t>PROVISAO FGTS S/ 13 SALARIO</t>
  </si>
  <si>
    <t>OUTRAS OBRIGACOES</t>
  </si>
  <si>
    <t>ARRENDAMENTO - IFRS 16 ALUGUEL VEICULOS</t>
  </si>
  <si>
    <t>PASSIVO NAO CIRCULANTE</t>
  </si>
  <si>
    <t>PATRIMONIO LIQUIDO</t>
  </si>
  <si>
    <t>CAPITAL SOCIAL</t>
  </si>
  <si>
    <t>SALARIOS E ORDENADOS</t>
  </si>
  <si>
    <t>FGTS</t>
  </si>
  <si>
    <t>INSS</t>
  </si>
  <si>
    <t>VALE TRANSPORTE</t>
  </si>
  <si>
    <t>PROVISAO DE FERIAS</t>
  </si>
  <si>
    <t>CUSTO DOS PRODUTOS VENDIDOS</t>
  </si>
  <si>
    <t>DESPESAS OPERACIONAIS</t>
  </si>
  <si>
    <t>ASSISTENCIA MEDICA E SOCIAL</t>
  </si>
  <si>
    <t>GRATIFICACOES</t>
  </si>
  <si>
    <t>OUTROS BENEFICIOS</t>
  </si>
  <si>
    <t>DESPESAS LEGAIS E JUDICIAIS</t>
  </si>
  <si>
    <t>DESPESAS COMERCIAIS</t>
  </si>
  <si>
    <t>OUTRAS DESPESAS OPERACIONAIS</t>
  </si>
  <si>
    <t>PROVISOES DIVERSAS</t>
  </si>
  <si>
    <t>IOF</t>
  </si>
  <si>
    <t>DESPESAS FINANCEIRAS</t>
  </si>
  <si>
    <t>RECEITAS FINANCEIRAS</t>
  </si>
  <si>
    <t>DESCONTOS OBTIDOS</t>
  </si>
  <si>
    <t>31.12.25</t>
  </si>
  <si>
    <t>30.06.26</t>
  </si>
  <si>
    <t>2.1.5.00.000</t>
  </si>
  <si>
    <t>2.1.5.10.050</t>
  </si>
  <si>
    <t>Ambar Tech</t>
  </si>
  <si>
    <t>Classificação</t>
  </si>
  <si>
    <t>Saldo baixado a maior referente a provisão de Bônus - 2023</t>
  </si>
  <si>
    <t>Saldo em aberto referente a Provisão de Bônus - 2024</t>
  </si>
  <si>
    <t>Saldo em aberto referente a Provisão de Bônus - 2025</t>
  </si>
  <si>
    <t>2026</t>
  </si>
  <si>
    <t>Provisão Bônus - 2026</t>
  </si>
  <si>
    <t>Reversão Bônus - 2026</t>
  </si>
  <si>
    <t>Saldo em aberto referente a Provisão de Bônus - 2026</t>
  </si>
  <si>
    <t>Saldo - Passivo</t>
  </si>
  <si>
    <t>C.C</t>
  </si>
  <si>
    <t>Histórico</t>
  </si>
  <si>
    <t>Lançamento</t>
  </si>
  <si>
    <t>1.0.0.00.0000</t>
  </si>
  <si>
    <t>1.1.0.00.0000</t>
  </si>
  <si>
    <t>1.1.1.00.0000</t>
  </si>
  <si>
    <t>DISPONIVEL</t>
  </si>
  <si>
    <t>1.1.1.02.0000</t>
  </si>
  <si>
    <t>BANCOS CONTA MOVIMENTO</t>
  </si>
  <si>
    <t>1.1.1.02.0010</t>
  </si>
  <si>
    <t>BRADESCO S/A - SMART PODS</t>
  </si>
  <si>
    <t>1.1.1.02.0011</t>
  </si>
  <si>
    <t>ITAU S/A - SMART PODS</t>
  </si>
  <si>
    <t>1.1.1.02.0013</t>
  </si>
  <si>
    <t>BANCO DO BRASIL - SMART PODS</t>
  </si>
  <si>
    <t>1.1.1.02.0014</t>
  </si>
  <si>
    <t>BANCO SANTANDER - SMART PODS</t>
  </si>
  <si>
    <t>1.1.1.02.0015</t>
  </si>
  <si>
    <t>BANCO BOCOM BBM - SMART PODS</t>
  </si>
  <si>
    <t>1.1.1.02.0016</t>
  </si>
  <si>
    <t>BANCO ABC  C.C MATRIZ</t>
  </si>
  <si>
    <t>1.1.1.02.0017</t>
  </si>
  <si>
    <t>BANCO SOFISA VINC. AG. 19 CC. 14293503</t>
  </si>
  <si>
    <t>1.1.1.02.0024</t>
  </si>
  <si>
    <t>BANCO SANTANDER - SMART FILIAL</t>
  </si>
  <si>
    <t>1.1.1.02.0025</t>
  </si>
  <si>
    <t>BANCO SOFISA  AG. 00019 CC.13649169 MATR</t>
  </si>
  <si>
    <t>1.1.1.02.0026</t>
  </si>
  <si>
    <t>BANCO DAYCOVAL - AG. 00019 CC 15147454</t>
  </si>
  <si>
    <t>1.1.1.02.0028</t>
  </si>
  <si>
    <t>BANCO ABC AG.019 CC.23317770 CC FILIAL</t>
  </si>
  <si>
    <t>1.1.1.02.9999</t>
  </si>
  <si>
    <t>BANCOS TRANSFERENCIAS ENTRE FILIAIS</t>
  </si>
  <si>
    <t>1.1.1.03.0000</t>
  </si>
  <si>
    <t>APLICACOES FINANCEIRAS</t>
  </si>
  <si>
    <t>1.1.1.03.0011</t>
  </si>
  <si>
    <t>1.1.1.03.0025</t>
  </si>
  <si>
    <t>APLIC BANCO ABC - SMART PODS</t>
  </si>
  <si>
    <t>1.1.1.03.0027</t>
  </si>
  <si>
    <t>APLICAÇÃO BB RENDE FÁCIL MATRIZ</t>
  </si>
  <si>
    <t>1.1.2.00.0000</t>
  </si>
  <si>
    <t>CREDITOS</t>
  </si>
  <si>
    <t>1.1.2.01.0000</t>
  </si>
  <si>
    <t>CLIENTES</t>
  </si>
  <si>
    <t>1.1.2.01.0001</t>
  </si>
  <si>
    <t>1.1.2.01.0002</t>
  </si>
  <si>
    <t>(-) DEVOLUCAO CLIENTES COMPENSAR</t>
  </si>
  <si>
    <t>1.1.2.01.0003</t>
  </si>
  <si>
    <t>ANTECIPACAO DE CLIENTES A RECEBER</t>
  </si>
  <si>
    <t>1.1.2.01.0007</t>
  </si>
  <si>
    <t>(-) PROV P/ CRED DE LIQUIDACAO DUVID</t>
  </si>
  <si>
    <t>1.1.2.01.0008</t>
  </si>
  <si>
    <t>PROVISAO SERVIÇOS A REALIZAR</t>
  </si>
  <si>
    <t>1.1.2.01.0010</t>
  </si>
  <si>
    <t>CONTAS A RECEBER INTERCO</t>
  </si>
  <si>
    <t>1.1.2.01.9998</t>
  </si>
  <si>
    <t>CLIENTES - FATURAMENTO ANTECIPADO</t>
  </si>
  <si>
    <t>1.1.2.01.9999</t>
  </si>
  <si>
    <t>(-) FATURAMENTO ANTECIPADO</t>
  </si>
  <si>
    <t>1.1.2.02.0000</t>
  </si>
  <si>
    <t>CREDITOS DE PESSOAL</t>
  </si>
  <si>
    <t>1.1.2.02.0001</t>
  </si>
  <si>
    <t>ADIANTAMENTO DE SALARIOS</t>
  </si>
  <si>
    <t>1.1.2.02.0002</t>
  </si>
  <si>
    <t>ADIANTAMENTO DE FERIAS</t>
  </si>
  <si>
    <t>1.1.2.02.0004</t>
  </si>
  <si>
    <t>EMPRESTIMO COLABORADORES</t>
  </si>
  <si>
    <t>1.1.3.00.0000</t>
  </si>
  <si>
    <t>ADIANTAMENTOS DIVERSOS</t>
  </si>
  <si>
    <t>1.1.3.01.0000</t>
  </si>
  <si>
    <t>ADIANTAMENTO A FORNECEDORES</t>
  </si>
  <si>
    <t>1.1.3.01.0003</t>
  </si>
  <si>
    <t>ADIANTAMENTO FORNECEDORES</t>
  </si>
  <si>
    <t>1.1.3.01.0004</t>
  </si>
  <si>
    <t>ADIANTAMENTO FORNECEDORES EXTERIOR</t>
  </si>
  <si>
    <t>1.1.3.01.0005</t>
  </si>
  <si>
    <t>OUTROS ADIANTAMENTOS DIVERSOS</t>
  </si>
  <si>
    <t>1.1.4.00.0000</t>
  </si>
  <si>
    <t>ESTOQUES</t>
  </si>
  <si>
    <t>1.1.4.01.0000</t>
  </si>
  <si>
    <t>1.1.4.01.0001</t>
  </si>
  <si>
    <t>MATERIA PRIMA</t>
  </si>
  <si>
    <t>1.1.4.01.0002</t>
  </si>
  <si>
    <t>INSUMOS</t>
  </si>
  <si>
    <t>1.1.4.01.0004</t>
  </si>
  <si>
    <t>PRODUTOS EM ELABORACAO POR TERCEIROS</t>
  </si>
  <si>
    <t>1.1.4.01.0005</t>
  </si>
  <si>
    <t>PRODUTOS INTERMEDIARIOS</t>
  </si>
  <si>
    <t>1.1.4.01.0006</t>
  </si>
  <si>
    <t>1.1.4.01.0007</t>
  </si>
  <si>
    <t>1.1.4.01.0010</t>
  </si>
  <si>
    <t>FATURAMENTO ANTECIPADO</t>
  </si>
  <si>
    <t>1.1.4.01.0013</t>
  </si>
  <si>
    <t>(-) PROV. DE MATERIA PRIMA</t>
  </si>
  <si>
    <t>1.1.4.01.9995</t>
  </si>
  <si>
    <t>TRANSFERENCIA ESTOQUE MATRIZ FILIAL</t>
  </si>
  <si>
    <t>1.1.4.01.9996</t>
  </si>
  <si>
    <t>(-) PROVISAO ESTOQUE OBSOLETO</t>
  </si>
  <si>
    <t>1.1.4.01.9999</t>
  </si>
  <si>
    <t>MERCADORIAS DEMONSTRACAO EM NOSSO PODER</t>
  </si>
  <si>
    <t>1.1.5.00.0000</t>
  </si>
  <si>
    <t>CREDITOS TRIBUTARIOS</t>
  </si>
  <si>
    <t>1.1.5.01.0000</t>
  </si>
  <si>
    <t>IMPOSTOS E CONTRIBUICOES A RECUPERAR</t>
  </si>
  <si>
    <t>1.1.5.01.0001</t>
  </si>
  <si>
    <t>ICMS A RECUPERAR</t>
  </si>
  <si>
    <t>1.1.5.01.0002</t>
  </si>
  <si>
    <t>ICMS - ST A RECUPERAR</t>
  </si>
  <si>
    <t>1.1.5.01.0003</t>
  </si>
  <si>
    <t>IPI A RECUPERAR</t>
  </si>
  <si>
    <t>1.1.5.01.0004</t>
  </si>
  <si>
    <t>PIS A RECUPERAR</t>
  </si>
  <si>
    <t>1.1.5.01.0005</t>
  </si>
  <si>
    <t>COFINS A RECUPERAR</t>
  </si>
  <si>
    <t>1.1.5.01.0010</t>
  </si>
  <si>
    <t>INSS A RECUPERAR</t>
  </si>
  <si>
    <t>1.1.5.01.0011</t>
  </si>
  <si>
    <t>IR S/ APLICACOES FINANCEIRAS</t>
  </si>
  <si>
    <t>1.1.5.01.0014</t>
  </si>
  <si>
    <t>ICMS PAGO A MAIOR RECUPERAR</t>
  </si>
  <si>
    <t>1.1.5.01.0016</t>
  </si>
  <si>
    <t>ISS PAGO A RECUPERAR</t>
  </si>
  <si>
    <t>1.1.7.00.0000</t>
  </si>
  <si>
    <t>DESPESAS A APROPRIAR</t>
  </si>
  <si>
    <t>1.1.7.01.0000</t>
  </si>
  <si>
    <t>DESPESAS DO EXERCICIO SEGUINTE</t>
  </si>
  <si>
    <t>1.1.7.01.0002</t>
  </si>
  <si>
    <t>DESPESAS ANTECIPADAS A  APROPRIAR</t>
  </si>
  <si>
    <t>1.1.7.01.0006</t>
  </si>
  <si>
    <t>VALE TRANSPORTE A APROPRIAR</t>
  </si>
  <si>
    <t>1.1.7.01.0007</t>
  </si>
  <si>
    <t>VALE ALIMENTACAO A APROPRIAR</t>
  </si>
  <si>
    <t>1.1.7.01.0008</t>
  </si>
  <si>
    <t>VALE REFEICAO A APROPRIAR</t>
  </si>
  <si>
    <t>1.1.7.01.0009</t>
  </si>
  <si>
    <t>ASSISTENCIA MEDICA A APROPRIAR</t>
  </si>
  <si>
    <t>1.1.7.01.0010</t>
  </si>
  <si>
    <t>ASSISTENCIA ODONTO A APROPRIAR</t>
  </si>
  <si>
    <t>1.1.7.01.0011</t>
  </si>
  <si>
    <t>VALE FARMACIA A APROPRIAR</t>
  </si>
  <si>
    <t>1.2.0.00.0000</t>
  </si>
  <si>
    <t>1.2.1.00.0000</t>
  </si>
  <si>
    <t>1.2.1.04.0000</t>
  </si>
  <si>
    <t>DEPOSITOS JUDICIAIS</t>
  </si>
  <si>
    <t>1.2.1.04.0001</t>
  </si>
  <si>
    <t>DEPOSITOS JUDICIAIS TRABALHISTAS</t>
  </si>
  <si>
    <t>1.2.1.06.0000</t>
  </si>
  <si>
    <t>CLIENTES LONGO PRAZO</t>
  </si>
  <si>
    <t>1.2.1.06.0001</t>
  </si>
  <si>
    <t>RETENÇAO CONTRATUAL</t>
  </si>
  <si>
    <t>1.2.2.00.0000</t>
  </si>
  <si>
    <t>INVESTIMENTOS IMOBILIZADOS INTANGIVEIS</t>
  </si>
  <si>
    <t>1.2.2.01.0000</t>
  </si>
  <si>
    <t>BENS IMOVEIS</t>
  </si>
  <si>
    <t>1.2.2.01.0003</t>
  </si>
  <si>
    <t>BENFEITORIAS EM IMOVEIS DE TERCEIROS</t>
  </si>
  <si>
    <t>1.2.2.02.0000</t>
  </si>
  <si>
    <t>INSTALACOES ADMINISTRATIVAS</t>
  </si>
  <si>
    <t>1.2.2.02.0001</t>
  </si>
  <si>
    <t>EQUIPAMENTOS DE INFORMATICA</t>
  </si>
  <si>
    <t>1.2.2.02.0003</t>
  </si>
  <si>
    <t>1.2.2.02.0005</t>
  </si>
  <si>
    <t>INSTALACOES DIVERSAS</t>
  </si>
  <si>
    <t>1.2.2.02.0006</t>
  </si>
  <si>
    <t>1.2.2.03.0000</t>
  </si>
  <si>
    <t>INSTALACOES INDUSTRIAIS</t>
  </si>
  <si>
    <t>1.2.2.03.0001</t>
  </si>
  <si>
    <t>MAQUINAS E EQUIPAMENTOS</t>
  </si>
  <si>
    <t>1.2.2.03.0002</t>
  </si>
  <si>
    <t>MOVEIS E UTENSILIOS INDUSTRIAIS</t>
  </si>
  <si>
    <t>1.2.2.05.0000</t>
  </si>
  <si>
    <t>1.2.2.05.0001</t>
  </si>
  <si>
    <t>BB CONSÓRCIOS</t>
  </si>
  <si>
    <t>1.2.2.10.0000</t>
  </si>
  <si>
    <t>DEPRECIACOES ACUMULADAS</t>
  </si>
  <si>
    <t>1.2.2.10.0003</t>
  </si>
  <si>
    <t>(-) DEP ACUM - BENF IMOVEIS TERCEIROS</t>
  </si>
  <si>
    <t>1.2.2.10.0004</t>
  </si>
  <si>
    <t>(-) DEP ACUM - EQUIP INFOR - INST ADM</t>
  </si>
  <si>
    <t>1.2.2.10.0006</t>
  </si>
  <si>
    <t>(-) DEP ACUM - MOVEIS UTEN - INST ADM</t>
  </si>
  <si>
    <t>1.2.2.10.0008</t>
  </si>
  <si>
    <t>(-) DEP ACUM - INST DIVERS - INST ADM</t>
  </si>
  <si>
    <t>1.2.2.10.0009</t>
  </si>
  <si>
    <t>(-) DEP ACUM - MAQ EQUIP - INST INDUS</t>
  </si>
  <si>
    <t>1.2.2.10.0010</t>
  </si>
  <si>
    <t>(-) DEP ACUM - MOVEIS UT - INST INDUS</t>
  </si>
  <si>
    <t>1.2.2.10.0013</t>
  </si>
  <si>
    <t>(-) DEP ACUM - FERRAMENTAS</t>
  </si>
  <si>
    <t>1.2.2.15.0000</t>
  </si>
  <si>
    <t>BENS INTANGIVEIS</t>
  </si>
  <si>
    <t>1.2.2.15.0001</t>
  </si>
  <si>
    <t>SOFTWARE OU PROGRAMA COMPUTADOR</t>
  </si>
  <si>
    <t>1.2.2.16.0000</t>
  </si>
  <si>
    <t>AMORTIZACOES BENS INTANGIVEIS</t>
  </si>
  <si>
    <t>1.2.2.16.0001</t>
  </si>
  <si>
    <t>(-) AMORT SOFTWARE OU PROGR. COMPUTADOR</t>
  </si>
  <si>
    <t>1.3.0.00.0000</t>
  </si>
  <si>
    <t>BENS DIREITO DE USO</t>
  </si>
  <si>
    <t>1.3.0.01.0000</t>
  </si>
  <si>
    <t>BENS EM USO</t>
  </si>
  <si>
    <t>1.3.0.01.0002</t>
  </si>
  <si>
    <t>ALUGUEL - VEICULOS IFRS 16</t>
  </si>
  <si>
    <t>2.0.0.00.0000</t>
  </si>
  <si>
    <t>2.1.0.00.0000</t>
  </si>
  <si>
    <t>2.1.1.00.0000</t>
  </si>
  <si>
    <t>OBRIGACOES DE CURTO PRAZO</t>
  </si>
  <si>
    <t>2.1.1.01.0000</t>
  </si>
  <si>
    <t>2.1.1.01.0001</t>
  </si>
  <si>
    <t>CONTAS A PAGAR FORNECEDORES</t>
  </si>
  <si>
    <t>2.1.1.01.0005</t>
  </si>
  <si>
    <t>(-) DEVOLUCOES FORNECEDORES COMPENSAR</t>
  </si>
  <si>
    <t>2.1.1.01.0006</t>
  </si>
  <si>
    <t>FORNECEDORES EXTERIOR</t>
  </si>
  <si>
    <t>2.1.1.01.0007</t>
  </si>
  <si>
    <t>CONTAS A PAGAR INTERCO</t>
  </si>
  <si>
    <t>2.1.1.01.0008</t>
  </si>
  <si>
    <t>FORNECEDORES - AJUSTES TEMPORÁRIOS</t>
  </si>
  <si>
    <t>2.1.1.02.0000</t>
  </si>
  <si>
    <t>2.1.1.02.0001</t>
  </si>
  <si>
    <t>EMPRESTIMOS CONTA GARANTIDA</t>
  </si>
  <si>
    <t>2.1.1.02.0005</t>
  </si>
  <si>
    <t>EMPRESTIMOS BANCARIOS CP</t>
  </si>
  <si>
    <t>2.1.1.02.0009</t>
  </si>
  <si>
    <t>FINIMP EMPRESTIMO IMPORTACAO</t>
  </si>
  <si>
    <t>2.1.1.02.0016</t>
  </si>
  <si>
    <t>BNDES - FINAME - EMPRESTIMOS</t>
  </si>
  <si>
    <t>2.1.1.02.0017</t>
  </si>
  <si>
    <t>SALDOS NEGATIVOS BANCOS</t>
  </si>
  <si>
    <t>2.1.1.02.0018</t>
  </si>
  <si>
    <t>EMPRESTIMO B. SOFISA - MATRIZ</t>
  </si>
  <si>
    <t>2.1.1.03.0000</t>
  </si>
  <si>
    <t>OBRIGACOES TRABALHISTAS E PREVIDENCIARIA</t>
  </si>
  <si>
    <t>2.1.1.03.0001</t>
  </si>
  <si>
    <t>2.1.1.03.0002</t>
  </si>
  <si>
    <t>2.1.1.03.0003</t>
  </si>
  <si>
    <t>INSS IRRF A RECOLHER</t>
  </si>
  <si>
    <t>2.1.1.03.0005</t>
  </si>
  <si>
    <t>IRRF S/ SALARIOS A RECOLHER</t>
  </si>
  <si>
    <t>2.1.1.03.0006</t>
  </si>
  <si>
    <t>CONTRIBUICAO SINDICAL A RECOLHER</t>
  </si>
  <si>
    <t>2.1.1.03.0008</t>
  </si>
  <si>
    <t>PENSAO ALIMENTICIA</t>
  </si>
  <si>
    <t>2.1.1.03.0009</t>
  </si>
  <si>
    <t>CONSIGNADO FOLHA</t>
  </si>
  <si>
    <t>2.1.1.03.0011</t>
  </si>
  <si>
    <t>INDENIZACOES TRABALHISTAS A PAGAR</t>
  </si>
  <si>
    <t>2.1.1.03.0013</t>
  </si>
  <si>
    <t>2.1.1.04.0000</t>
  </si>
  <si>
    <t>OBRIGACOES COM TERCEIROS</t>
  </si>
  <si>
    <t>2.1.1.04.0001</t>
  </si>
  <si>
    <t>ANTECIPACOES DE CLIENTES</t>
  </si>
  <si>
    <t>2.1.1.04.0005</t>
  </si>
  <si>
    <t>ANTECIPACOES CLIENTES - FAT. ANTECIPADO</t>
  </si>
  <si>
    <t>2.1.1.05.0000</t>
  </si>
  <si>
    <t>OBRIGACOES COM DIRIGENTES</t>
  </si>
  <si>
    <t>2.1.1.05.0001</t>
  </si>
  <si>
    <t>PRO - LABORE</t>
  </si>
  <si>
    <t>2.1.1.05.0005</t>
  </si>
  <si>
    <t>PROVISAO BONUS A PAGAR</t>
  </si>
  <si>
    <t>2.1.1.06.0000</t>
  </si>
  <si>
    <t>OBRIGACOES TRIBUTARIAS</t>
  </si>
  <si>
    <t>2.1.1.06.0001</t>
  </si>
  <si>
    <t>2.1.1.06.0002</t>
  </si>
  <si>
    <t>ICMS - ST A RECOLHER</t>
  </si>
  <si>
    <t>2.1.1.06.0003</t>
  </si>
  <si>
    <t>2.1.1.06.0004</t>
  </si>
  <si>
    <t>2.1.1.06.0005</t>
  </si>
  <si>
    <t>2.1.1.06.0006</t>
  </si>
  <si>
    <t>ISS/ TAXAS MUNICIPAIS A RECOLHER</t>
  </si>
  <si>
    <t>2.1.1.06.0009</t>
  </si>
  <si>
    <t>2.1.1.06.0010</t>
  </si>
  <si>
    <t>IRRF S/ PJ A RECOLHER</t>
  </si>
  <si>
    <t>2.1.1.06.0012</t>
  </si>
  <si>
    <t>CSRF RETIDO A RECOLHER</t>
  </si>
  <si>
    <t>2.1.1.06.0013</t>
  </si>
  <si>
    <t>INSS RETIDO A RECOLHER</t>
  </si>
  <si>
    <t>2.1.1.06.0014</t>
  </si>
  <si>
    <t>ICMS DIFAL DESTINO A RECOLHER</t>
  </si>
  <si>
    <t>2.1.1.06.0020</t>
  </si>
  <si>
    <t>(-) JUROS PARCELAMENTO ICMS</t>
  </si>
  <si>
    <t>2.1.1.06.0022</t>
  </si>
  <si>
    <t>(-) JUROS PARCELAMENTO COFINS</t>
  </si>
  <si>
    <t>2.1.1.06.0023</t>
  </si>
  <si>
    <t>OUTROS IMPOSTOS A PAGAR</t>
  </si>
  <si>
    <t>2.1.1.06.0024</t>
  </si>
  <si>
    <t>PARCELAMENTO ISS</t>
  </si>
  <si>
    <t>2.1.1.09.0000</t>
  </si>
  <si>
    <t>PROVISOES TRABALHISTAS</t>
  </si>
  <si>
    <t>2.1.1.09.0001</t>
  </si>
  <si>
    <t>PROVISAO FERIAS A PAGAR</t>
  </si>
  <si>
    <t>2.1.1.09.0003</t>
  </si>
  <si>
    <t>PROVISAO 13 SALARIOS A PAGAR</t>
  </si>
  <si>
    <t>2.1.1.09.0005</t>
  </si>
  <si>
    <t>2.1.1.09.0006</t>
  </si>
  <si>
    <t>2.1.1.09.0007</t>
  </si>
  <si>
    <t>2.1.1.09.0008</t>
  </si>
  <si>
    <t>2.1.1.10.0000</t>
  </si>
  <si>
    <t>2.1.1.10.0004</t>
  </si>
  <si>
    <t>CONTAS A PAGAR DIVERSAS</t>
  </si>
  <si>
    <t>2.1.1.10.0005</t>
  </si>
  <si>
    <t>PROVISAO DE CONTAS A PAGAR</t>
  </si>
  <si>
    <t>2.1.1.10.0006</t>
  </si>
  <si>
    <t>PROVISÕES DIVERSAS</t>
  </si>
  <si>
    <t>2.1.1.12.0000</t>
  </si>
  <si>
    <t>PROVISOES PARA CONTINGENCIAS</t>
  </si>
  <si>
    <t>2.1.1.12.0001</t>
  </si>
  <si>
    <t>CONTINGENCIAS TRABALHISTAS</t>
  </si>
  <si>
    <t>2.1.1.13.0000</t>
  </si>
  <si>
    <t>ARRENDAMENTO DE BENS</t>
  </si>
  <si>
    <t>2.1.1.13.0003</t>
  </si>
  <si>
    <t>2.1.1.13.0004</t>
  </si>
  <si>
    <t>(-) AVP - IFRS 16 ALUGUEL VEICULOS</t>
  </si>
  <si>
    <t>2.1.1.14.0000</t>
  </si>
  <si>
    <t>EMPRESTIMOS INTERCO CP</t>
  </si>
  <si>
    <t>2.1.1.14.0001</t>
  </si>
  <si>
    <t>EMPRESTIMO MUTUO INTERCO CP-AMBAR</t>
  </si>
  <si>
    <t>2.1.1.14.0003</t>
  </si>
  <si>
    <t xml:space="preserve"> EMPRESTIMO MUTUO INTERCO CP-AUTODOC</t>
  </si>
  <si>
    <t>2.1.1.15.0000</t>
  </si>
  <si>
    <t>PARCELAMENTO DE IMPOSTOS</t>
  </si>
  <si>
    <t>2.1.1.15.0001</t>
  </si>
  <si>
    <t>PARCELAMENTO IMPOSTOS FEDERAIS</t>
  </si>
  <si>
    <t>2.1.1.15.0002</t>
  </si>
  <si>
    <t>PARCELAMENTO IMPOSTO ESTADUAL ICMS</t>
  </si>
  <si>
    <t>2.1.1.15.0003</t>
  </si>
  <si>
    <t>PARCELAMENTO PIS COFINS</t>
  </si>
  <si>
    <t>2.1.1.15.0004</t>
  </si>
  <si>
    <t>PARCELAMENTO IMPOSTOS MUNICIPAIS ISS</t>
  </si>
  <si>
    <t>2.2.0.00.0000</t>
  </si>
  <si>
    <t>2.2.1.00.0000</t>
  </si>
  <si>
    <t>OBRIGACOES A LONGO PRAZO</t>
  </si>
  <si>
    <t>2.2.1.01.0000</t>
  </si>
  <si>
    <t>TRSF ESTOQUE ENTRE MATRIZ E FILI</t>
  </si>
  <si>
    <t>2.2.1.01.0001</t>
  </si>
  <si>
    <t>TRANSFERENCIAS ENTRE MATRIZ E FILIAL</t>
  </si>
  <si>
    <t>2.2.1.02.0000</t>
  </si>
  <si>
    <t>EMPRESTIMOS E FINANCIAMENTOS LP</t>
  </si>
  <si>
    <t>2.2.1.02.0005</t>
  </si>
  <si>
    <t>EMPRESTIMOS BANCARIOS LP</t>
  </si>
  <si>
    <t>2.2.1.02.0009</t>
  </si>
  <si>
    <t>2.2.1.07.0000</t>
  </si>
  <si>
    <t>ARRENDAMENTO DE IMOVEIS</t>
  </si>
  <si>
    <t>2.2.1.07.0003</t>
  </si>
  <si>
    <t>2.2.1.07.0004</t>
  </si>
  <si>
    <t>(-)  AVP - IFRS 16 ALUGUEL VEICULOS</t>
  </si>
  <si>
    <t>2.2.1.09.0000</t>
  </si>
  <si>
    <t>IRPJ E CSLL DIFERIDOS</t>
  </si>
  <si>
    <t>2.2.1.09.0001</t>
  </si>
  <si>
    <t>IRPJ DIFERIDO</t>
  </si>
  <si>
    <t>2.3.0.00.0000</t>
  </si>
  <si>
    <t>2.3.1.00.0000</t>
  </si>
  <si>
    <t>2.3.1.01.0000</t>
  </si>
  <si>
    <t>CAPITAL SOCIAL INTEGRALIZADO</t>
  </si>
  <si>
    <t>2.3.1.01.0005</t>
  </si>
  <si>
    <t>EDUARDO DE SETTI  ALVES</t>
  </si>
  <si>
    <t>2.3.1.01.0006</t>
  </si>
  <si>
    <t>MAURICIO DE SETTI  ALVES</t>
  </si>
  <si>
    <t>2.3.1.01.0007</t>
  </si>
  <si>
    <t>LUIS ROBERTO WENZEL FERREIRA</t>
  </si>
  <si>
    <t>2.3.3.00.0000</t>
  </si>
  <si>
    <t>RESULTADOS ACUMULADOS</t>
  </si>
  <si>
    <t>2.3.3.01.0000</t>
  </si>
  <si>
    <t>2.3.3.01.0003</t>
  </si>
  <si>
    <t>(-) PREJUIZOS ACUMULADOS</t>
  </si>
  <si>
    <t>3.0.0.00.0000</t>
  </si>
  <si>
    <t>CUSTO DOS BENS E SERVICOS VENDIDOS</t>
  </si>
  <si>
    <t>3.1.0.00.0000</t>
  </si>
  <si>
    <t>3.1.1.00.0000</t>
  </si>
  <si>
    <t>CUSTOS DOS PRODUTOS FABRICADOS</t>
  </si>
  <si>
    <t>3.1.1.01.0000</t>
  </si>
  <si>
    <t>INSUMOS APLICADOS</t>
  </si>
  <si>
    <t>3.1.1.01.0003</t>
  </si>
  <si>
    <t>FRETES S/ COMPRAS</t>
  </si>
  <si>
    <t>3.1.1.02.0000</t>
  </si>
  <si>
    <t>MAO DE OBRA DIRETA</t>
  </si>
  <si>
    <t>3.1.1.02.0001</t>
  </si>
  <si>
    <t>3.1.1.02.0003</t>
  </si>
  <si>
    <t>FERIAS</t>
  </si>
  <si>
    <t>3.1.1.02.0004</t>
  </si>
  <si>
    <t>13º SALARIOS</t>
  </si>
  <si>
    <t>3.1.1.02.0006</t>
  </si>
  <si>
    <t>INDENIZACOES TRABALHISTAS</t>
  </si>
  <si>
    <t>3.1.1.02.0010</t>
  </si>
  <si>
    <t>3.1.1.02.0011</t>
  </si>
  <si>
    <t>3.1.1.02.0013</t>
  </si>
  <si>
    <t>3.1.1.02.0014</t>
  </si>
  <si>
    <t>VALE FARMACIA</t>
  </si>
  <si>
    <t>3.1.1.02.0016</t>
  </si>
  <si>
    <t>HORA EXTRA</t>
  </si>
  <si>
    <t>3.1.1.02.0017</t>
  </si>
  <si>
    <t>ASSISTENCIA MEDICA</t>
  </si>
  <si>
    <t>3.1.1.02.0021</t>
  </si>
  <si>
    <t>VALE REFEICAO</t>
  </si>
  <si>
    <t>3.1.1.02.0024</t>
  </si>
  <si>
    <t>3.1.1.02.0025</t>
  </si>
  <si>
    <t>3.1.1.02.0026</t>
  </si>
  <si>
    <t>3.1.1.02.0027</t>
  </si>
  <si>
    <t>PROVISAO 13º SALARIO</t>
  </si>
  <si>
    <t>3.1.1.02.0028</t>
  </si>
  <si>
    <t>PROVISAO INSS S/ 13º SALARIO</t>
  </si>
  <si>
    <t>3.1.1.02.0029</t>
  </si>
  <si>
    <t>PROVISAO FGTS S/ 13º SALARIO</t>
  </si>
  <si>
    <t>3.1.1.03.0000</t>
  </si>
  <si>
    <t>GASTOS GERAIS FABRICACAO</t>
  </si>
  <si>
    <t>3.1.1.03.0011</t>
  </si>
  <si>
    <t>MANUT CONSERV MAQ EQUIPTOS</t>
  </si>
  <si>
    <t>3.1.1.03.0021</t>
  </si>
  <si>
    <t>UNIFORMES / EPI' S</t>
  </si>
  <si>
    <t>3.1.1.04.0000</t>
  </si>
  <si>
    <t>MAO DE OBRA INDIRETA</t>
  </si>
  <si>
    <t>3.1.1.04.0001</t>
  </si>
  <si>
    <t>3.1.1.04.0003</t>
  </si>
  <si>
    <t>3.1.1.04.0004</t>
  </si>
  <si>
    <t>3.1.1.04.0006</t>
  </si>
  <si>
    <t>3.1.1.04.0010</t>
  </si>
  <si>
    <t>3.1.1.04.0011</t>
  </si>
  <si>
    <t>3.1.1.04.0013</t>
  </si>
  <si>
    <t>3.1.1.04.0016</t>
  </si>
  <si>
    <t>3.1.1.04.0017</t>
  </si>
  <si>
    <t>3.1.1.04.0020</t>
  </si>
  <si>
    <t>3.1.1.04.0021</t>
  </si>
  <si>
    <t>3.1.1.04.0024</t>
  </si>
  <si>
    <t>3.1.1.04.0025</t>
  </si>
  <si>
    <t>3.1.1.04.0026</t>
  </si>
  <si>
    <t>3.1.1.04.0027</t>
  </si>
  <si>
    <t>3.1.1.04.0028</t>
  </si>
  <si>
    <t>3.1.1.04.0029</t>
  </si>
  <si>
    <t>3.1.2.00.0000</t>
  </si>
  <si>
    <t>CUSTO DOS PRODUTOS MERCADORIAS VENDIDAS</t>
  </si>
  <si>
    <t>3.1.2.01.0000</t>
  </si>
  <si>
    <t>3.1.2.01.0001</t>
  </si>
  <si>
    <t>3.1.2.01.0003</t>
  </si>
  <si>
    <t>CUSTO DE BONIFICAÇAO/DOAÇAO/AMOSTRA</t>
  </si>
  <si>
    <t>3.1.2.01.0004</t>
  </si>
  <si>
    <t>CUSTO DE INVENTÁRIO</t>
  </si>
  <si>
    <t>3.1.2.01.0005</t>
  </si>
  <si>
    <t>CUSTO CONSUMO INDIRETO</t>
  </si>
  <si>
    <t>3.1.2.01.0011</t>
  </si>
  <si>
    <t>PROV DE FRETES S/ COMPRAS</t>
  </si>
  <si>
    <t>3.1.2.01.0012</t>
  </si>
  <si>
    <t>PROV. CUSTO DE MATERIAL VENDIDO</t>
  </si>
  <si>
    <t>3.1.2.02.0000</t>
  </si>
  <si>
    <t>CUSTO DOS SERVICOS VENDIDOS</t>
  </si>
  <si>
    <t>3.1.2.02.0001</t>
  </si>
  <si>
    <t>3.1.2.02.0004</t>
  </si>
  <si>
    <t>3.1.3.00.0000</t>
  </si>
  <si>
    <t>OUTROS CUSTOS COM IMPORTACOES</t>
  </si>
  <si>
    <t>3.1.3.01.0000</t>
  </si>
  <si>
    <t>3.1.3.01.0001</t>
  </si>
  <si>
    <t>4.0.0.00.0000</t>
  </si>
  <si>
    <t>4.1.0.00.0000</t>
  </si>
  <si>
    <t>DESPESAS ADMINISTRATIVAS</t>
  </si>
  <si>
    <t>4.1.1.00.0000</t>
  </si>
  <si>
    <t>DESPESAS COM PESSOAL</t>
  </si>
  <si>
    <t>4.1.1.01.0000</t>
  </si>
  <si>
    <t>4.1.1.01.0001</t>
  </si>
  <si>
    <t>4.1.1.01.0002</t>
  </si>
  <si>
    <t>4.1.1.01.0003</t>
  </si>
  <si>
    <t>4.1.1.01.0009</t>
  </si>
  <si>
    <t>ESTAGIARIOS / APRENDIZES</t>
  </si>
  <si>
    <t>4.1.1.01.0010</t>
  </si>
  <si>
    <t>4.1.1.01.0011</t>
  </si>
  <si>
    <t>4.1.1.01.0016</t>
  </si>
  <si>
    <t>4.1.1.01.0017</t>
  </si>
  <si>
    <t>4.1.1.01.0018</t>
  </si>
  <si>
    <t>MAO DE OBRA TEMPORARIA</t>
  </si>
  <si>
    <t>4.1.1.01.0020</t>
  </si>
  <si>
    <t>4.1.1.01.0023</t>
  </si>
  <si>
    <t>4.1.1.01.0026</t>
  </si>
  <si>
    <t>4.1.1.01.0027</t>
  </si>
  <si>
    <t>4.1.1.02.0000</t>
  </si>
  <si>
    <t>PROVISAO P/ FERIAS E 13º SALARIO</t>
  </si>
  <si>
    <t>4.1.1.02.0001</t>
  </si>
  <si>
    <t>4.1.1.02.0002</t>
  </si>
  <si>
    <t>4.1.1.02.0003</t>
  </si>
  <si>
    <t>4.1.1.02.0004</t>
  </si>
  <si>
    <t>4.1.1.02.0005</t>
  </si>
  <si>
    <t>4.1.1.02.0006</t>
  </si>
  <si>
    <t>4.1.2.00.0000</t>
  </si>
  <si>
    <t>GASTOS GERAIS</t>
  </si>
  <si>
    <t>4.1.2.01.0000</t>
  </si>
  <si>
    <t>4.1.2.01.0002</t>
  </si>
  <si>
    <t>ALUGUEL DE BENS MOVEIS</t>
  </si>
  <si>
    <t>4.1.2.01.0006</t>
  </si>
  <si>
    <t>ASSESSORIA EXTERNA</t>
  </si>
  <si>
    <t>4.1.2.01.0007</t>
  </si>
  <si>
    <t>COMUNICAÇÃO DE DADOS INTERNET</t>
  </si>
  <si>
    <t>4.1.2.01.0009</t>
  </si>
  <si>
    <t>BRINDES CORPORATIVOS</t>
  </si>
  <si>
    <t>4.1.2.01.0010</t>
  </si>
  <si>
    <t>COMBUSTIVEIS E LUBRIFICANTES TECNICA</t>
  </si>
  <si>
    <t>4.1.2.01.0016</t>
  </si>
  <si>
    <t>CONSUMO DE GAS</t>
  </si>
  <si>
    <t>4.1.2.01.0022</t>
  </si>
  <si>
    <t>DESPESAS DE CARTORIO</t>
  </si>
  <si>
    <t>4.1.2.01.0028</t>
  </si>
  <si>
    <t>4.1.2.01.0030</t>
  </si>
  <si>
    <t>ENCARGOS COM DEPRECIACOES / AMORTIZACOES</t>
  </si>
  <si>
    <t>4.1.2.01.0033</t>
  </si>
  <si>
    <t>TAXI PEDAGIO ESTACIONA ALUGUEL VEICULOS</t>
  </si>
  <si>
    <t>4.1.2.01.0037</t>
  </si>
  <si>
    <t>4.1.2.01.0039</t>
  </si>
  <si>
    <t>MANUT CONSERV COM INSTALACOES</t>
  </si>
  <si>
    <t>4.1.2.01.0041</t>
  </si>
  <si>
    <t>SERVICOS E MATERIAIS DE INFORMATICA</t>
  </si>
  <si>
    <t>4.1.2.01.0043</t>
  </si>
  <si>
    <t>OUTROS MATERIAS DE CONSUMO</t>
  </si>
  <si>
    <t>4.1.2.01.0044</t>
  </si>
  <si>
    <t>SERVICOS E MATERIAS DE ESCRITORIO</t>
  </si>
  <si>
    <t>4.1.2.01.0045</t>
  </si>
  <si>
    <t>SERVICOS E MATERIAIS DE LIMPEZA</t>
  </si>
  <si>
    <t>4.1.2.01.0048</t>
  </si>
  <si>
    <t>RESCISOES CONTRATUAIS</t>
  </si>
  <si>
    <t>4.1.2.01.0051</t>
  </si>
  <si>
    <t>PREMIO DE SEGURO</t>
  </si>
  <si>
    <t>4.1.2.01.0057</t>
  </si>
  <si>
    <t>UNIFORMES / EPI' S TECNICA</t>
  </si>
  <si>
    <t>4.1.2.01.0058</t>
  </si>
  <si>
    <t>VIAGENS E HOSPEDAGENS</t>
  </si>
  <si>
    <t>4.1.2.01.0059</t>
  </si>
  <si>
    <t>VIGILANCIA E SEGURANCA</t>
  </si>
  <si>
    <t>4.1.2.01.0063</t>
  </si>
  <si>
    <t>SERVICOS PRESTADOS POR PESSOA JURIDICA</t>
  </si>
  <si>
    <t>4.1.2.01.0065</t>
  </si>
  <si>
    <t>DESPESAS COM CARTAO CORPORATIVO</t>
  </si>
  <si>
    <t>4.2.0.00.0000</t>
  </si>
  <si>
    <t>4.2.1.00.0000</t>
  </si>
  <si>
    <t>4.2.1.01.0000</t>
  </si>
  <si>
    <t>4.2.1.01.0001</t>
  </si>
  <si>
    <t>4.2.1.01.0003</t>
  </si>
  <si>
    <t>4.2.1.01.0009</t>
  </si>
  <si>
    <t>4.2.1.01.0010</t>
  </si>
  <si>
    <t>4.2.1.01.0011</t>
  </si>
  <si>
    <t>4.2.1.01.0012</t>
  </si>
  <si>
    <t>VALE ALIMENTACAO</t>
  </si>
  <si>
    <t>4.2.1.01.0013</t>
  </si>
  <si>
    <t>4.2.1.01.0014</t>
  </si>
  <si>
    <t>4.2.1.01.0016</t>
  </si>
  <si>
    <t>4.2.1.01.0017</t>
  </si>
  <si>
    <t>4.2.1.01.0023</t>
  </si>
  <si>
    <t>4.2.1.01.0033</t>
  </si>
  <si>
    <t>SEGUROS</t>
  </si>
  <si>
    <t>4.2.1.02.0000</t>
  </si>
  <si>
    <t>4.2.1.02.0001</t>
  </si>
  <si>
    <t>4.2.1.02.0002</t>
  </si>
  <si>
    <t>4.2.1.02.0003</t>
  </si>
  <si>
    <t>4.2.1.02.0004</t>
  </si>
  <si>
    <t>4.2.1.02.0005</t>
  </si>
  <si>
    <t>4.2.1.02.0006</t>
  </si>
  <si>
    <t>4.2.2.00.0000</t>
  </si>
  <si>
    <t>DESPESAS VARIAVEIS DE VENDA</t>
  </si>
  <si>
    <t>4.2.2.01.0000</t>
  </si>
  <si>
    <t>4.2.2.01.0001</t>
  </si>
  <si>
    <t>FRETES S/ VENDAS</t>
  </si>
  <si>
    <t>4.2.2.01.0005</t>
  </si>
  <si>
    <t>PROVISAO FRETES S/ VENDAS</t>
  </si>
  <si>
    <t>4.2.2.01.0006</t>
  </si>
  <si>
    <t>SERVIÇOS PRESTADOS PJ</t>
  </si>
  <si>
    <t>4.2.2.01.0007</t>
  </si>
  <si>
    <t>REEMBOLSO</t>
  </si>
  <si>
    <t>4.2.3.00.0000</t>
  </si>
  <si>
    <t>DESPESAS FIXAS DE VENDA</t>
  </si>
  <si>
    <t>4.2.3.01.0000</t>
  </si>
  <si>
    <t>4.2.3.01.0006</t>
  </si>
  <si>
    <t>MANUT CONSERV DE VEICULOS</t>
  </si>
  <si>
    <t>4.2.3.01.0008</t>
  </si>
  <si>
    <t>VIAGENS / ESTADIAS / REFEICOES</t>
  </si>
  <si>
    <t>4.3.0.00.0000</t>
  </si>
  <si>
    <t>4.3.1.00.0000</t>
  </si>
  <si>
    <t>4.3.1.02.0000</t>
  </si>
  <si>
    <t>PROVISOES</t>
  </si>
  <si>
    <t>4.3.1.02.0002</t>
  </si>
  <si>
    <t>4.3.1.03.0000</t>
  </si>
  <si>
    <t>4.3.1.03.0001</t>
  </si>
  <si>
    <t>4.4.0.00.0000</t>
  </si>
  <si>
    <t>DESPESAS TRIBUTARIAS</t>
  </si>
  <si>
    <t>4.4.1.00.0000</t>
  </si>
  <si>
    <t>4.4.1.01.0000</t>
  </si>
  <si>
    <t>4.4.1.01.0004</t>
  </si>
  <si>
    <t>CONTRIBUICAO SINDICAL PATRONAL</t>
  </si>
  <si>
    <t>4.4.1.01.0005</t>
  </si>
  <si>
    <t>4.4.1.01.0011</t>
  </si>
  <si>
    <t>MULTAS DE TRANSITO - INDEDUTIVEL</t>
  </si>
  <si>
    <t>4.4.1.01.0015</t>
  </si>
  <si>
    <t>TAXAS E EMOLUMENTOS</t>
  </si>
  <si>
    <t>4.5.0.00.0000</t>
  </si>
  <si>
    <t>4.5.1.00.0000</t>
  </si>
  <si>
    <t>4.5.1.01.0000</t>
  </si>
  <si>
    <t>4.5.1.01.0001</t>
  </si>
  <si>
    <t>JUROS PASSIVOS</t>
  </si>
  <si>
    <t>4.5.1.01.0004</t>
  </si>
  <si>
    <t>DESPESAS BANCARIAS</t>
  </si>
  <si>
    <t>4.5.1.01.0010</t>
  </si>
  <si>
    <t>JUROS SOBRE EMPRESTIMOS</t>
  </si>
  <si>
    <t>4.5.1.01.9996</t>
  </si>
  <si>
    <t>PROVISAO JUROS SOBRE EMPR. MUTUO  -AMBAR</t>
  </si>
  <si>
    <t>5.0.0.00.0000</t>
  </si>
  <si>
    <t>RECEITAS</t>
  </si>
  <si>
    <t>5.1.0.00.0000</t>
  </si>
  <si>
    <t>RECEITA LIQUIDA DE PRODUTO</t>
  </si>
  <si>
    <t>5.1.1.00.0000</t>
  </si>
  <si>
    <t>VENDA INDUSTRIAL</t>
  </si>
  <si>
    <t>5.1.1.01.0000</t>
  </si>
  <si>
    <t>VENDA DE PRODUTO</t>
  </si>
  <si>
    <t>5.1.1.01.0001</t>
  </si>
  <si>
    <t>VENDA DE PRODUTO - MERCADO INTERNO</t>
  </si>
  <si>
    <t>5.1.1.02.0000</t>
  </si>
  <si>
    <t>IMPOSTOS S/ FATURAMENTO</t>
  </si>
  <si>
    <t>5.1.1.02.0001</t>
  </si>
  <si>
    <t>ICMS S/ VENDA DE PRODUTO</t>
  </si>
  <si>
    <t>5.1.1.02.0003</t>
  </si>
  <si>
    <t>IPI S/ VENDA DE PRODUTO</t>
  </si>
  <si>
    <t>5.1.1.02.0004</t>
  </si>
  <si>
    <t>PIS S/ VENDA DE PRODUTO</t>
  </si>
  <si>
    <t>5.1.1.02.0005</t>
  </si>
  <si>
    <t>COFINS S/ VENDA DE PRODUTO</t>
  </si>
  <si>
    <t>5.1.1.02.0006</t>
  </si>
  <si>
    <t>ICMS PARTILHA DESTINO S VENDA DE PRODUTO</t>
  </si>
  <si>
    <t>5.1.1.02.0008</t>
  </si>
  <si>
    <t>ICMS DIFAL</t>
  </si>
  <si>
    <t>5.1.1.02.0009</t>
  </si>
  <si>
    <t>ICMS S/ OUTRAS SAIDAS</t>
  </si>
  <si>
    <t>5.1.1.03.0000</t>
  </si>
  <si>
    <t>DEVOLUCAO DE VENDA</t>
  </si>
  <si>
    <t>5.1.1.03.0001</t>
  </si>
  <si>
    <t>DEVOLUCAO DE VENDA DE PRODUTO</t>
  </si>
  <si>
    <t>5.2.0.00.0000</t>
  </si>
  <si>
    <t>RECEITA LIQUIDA DE MERCADORIA</t>
  </si>
  <si>
    <t>5.2.1.00.0000</t>
  </si>
  <si>
    <t>VENDA COMERCIAL</t>
  </si>
  <si>
    <t>5.2.1.02.0000</t>
  </si>
  <si>
    <t>5.2.1.02.0005</t>
  </si>
  <si>
    <t>FCP FUNDO DE COMBATE A POBREZA</t>
  </si>
  <si>
    <t>5.3.0.00.0000</t>
  </si>
  <si>
    <t>RECEITA LIQUIDA DE SERVICO</t>
  </si>
  <si>
    <t>5.3.1.00.0000</t>
  </si>
  <si>
    <t>VENDA DE SERVICO</t>
  </si>
  <si>
    <t>5.3.1.01.0000</t>
  </si>
  <si>
    <t>PRESTACAO DE SERVICOS</t>
  </si>
  <si>
    <t>5.3.1.01.0001</t>
  </si>
  <si>
    <t>5.3.1.02.0000</t>
  </si>
  <si>
    <t>5.3.1.02.0001</t>
  </si>
  <si>
    <t>ISS S/ PRESTACAO DE SERVICOS</t>
  </si>
  <si>
    <t>5.3.1.02.0002</t>
  </si>
  <si>
    <t>PIS S/ PRESTACAO DE SERVICOS</t>
  </si>
  <si>
    <t>5.3.1.02.0003</t>
  </si>
  <si>
    <t>COFINS S/ PRESTACAO DE SERVICOS</t>
  </si>
  <si>
    <t>5.6.0.00.0000</t>
  </si>
  <si>
    <t>5.6.1.00.0000</t>
  </si>
  <si>
    <t>5.6.1.01.0000</t>
  </si>
  <si>
    <t>5.6.1.01.0001</t>
  </si>
  <si>
    <t>5.6.1.01.0002</t>
  </si>
  <si>
    <t>JUROS ATIVOS</t>
  </si>
  <si>
    <t>5.6.1.01.0005</t>
  </si>
  <si>
    <t>RENDIMENTOS - APLICACOES FINANCEIRAS</t>
  </si>
  <si>
    <t>5.6.1.01.0008</t>
  </si>
  <si>
    <t>PIS S/ RECEITAS FINANCEIRAS</t>
  </si>
  <si>
    <t>5.6.1.01.0009</t>
  </si>
  <si>
    <t>COFINS S/ RECEITAS FINANCEIRAS</t>
  </si>
  <si>
    <t>5.7.0.00.0000</t>
  </si>
  <si>
    <t>OUTRAS RECEITAS OPERACIONAIS</t>
  </si>
  <si>
    <t>5.7.1.00.0000</t>
  </si>
  <si>
    <t>5.7.1.01.0000</t>
  </si>
  <si>
    <t>5.7.1.01.0003</t>
  </si>
  <si>
    <t>RECUPERACAO DE TRIBUTOS</t>
  </si>
  <si>
    <t>5.7.1.01.0006</t>
  </si>
  <si>
    <t>RECUPERACAO DE CREDITOS</t>
  </si>
  <si>
    <t>5.7.1.01.0007</t>
  </si>
  <si>
    <t>MULTAS RECEBIMENTO ATRASO CLIENTES</t>
  </si>
  <si>
    <t>5.7.1.01.0009</t>
  </si>
  <si>
    <t>VENDA DE ATIVO IMOBILIZADO</t>
  </si>
  <si>
    <t>2.1.1.05.0005 - PROVISAO BONUS A PAGAR</t>
  </si>
  <si>
    <t>PROV BONUS A PAGAR ACIONISTA</t>
  </si>
  <si>
    <t>PROVISAO DE BONUS MES MARÇO E ABRIL</t>
  </si>
  <si>
    <t>001010001000001001</t>
  </si>
  <si>
    <t>PROVISAO DE BONUS MES MAIO-21</t>
  </si>
  <si>
    <t>000001001000001005</t>
  </si>
  <si>
    <t>PROVISAO DE BONUS JUN 2021</t>
  </si>
  <si>
    <t>000001001000008001</t>
  </si>
  <si>
    <t>PROV  PROVISAO DE BONUS</t>
  </si>
  <si>
    <t>000001001000002001</t>
  </si>
  <si>
    <t>000001001000032001</t>
  </si>
  <si>
    <t>EST  PROV BONUS</t>
  </si>
  <si>
    <t>PROV BONUS</t>
  </si>
  <si>
    <t>008850001000019003</t>
  </si>
  <si>
    <t>008850001000015001</t>
  </si>
  <si>
    <t>000001001000009001</t>
  </si>
  <si>
    <t>000001001000152001</t>
  </si>
  <si>
    <t>PROV EST BONUS</t>
  </si>
  <si>
    <t>000001001011342001</t>
  </si>
  <si>
    <t>VLR PROVISAO BONUS</t>
  </si>
  <si>
    <t>000001001000007002</t>
  </si>
  <si>
    <t>000001001000015002</t>
  </si>
  <si>
    <t>000001001000005002</t>
  </si>
  <si>
    <t>000001001000006002</t>
  </si>
  <si>
    <t>000001001000039001</t>
  </si>
  <si>
    <t>000001001000004001</t>
  </si>
  <si>
    <t>VLR PROVISAO DE BONUS</t>
  </si>
  <si>
    <t>008850001000001001</t>
  </si>
  <si>
    <t>000001001000006003</t>
  </si>
  <si>
    <t>313 - PREMIO</t>
  </si>
  <si>
    <t>313 - PRÊMIO</t>
  </si>
  <si>
    <t>000001001000007003</t>
  </si>
  <si>
    <t>000001001000007004</t>
  </si>
  <si>
    <t>000001001000007005</t>
  </si>
  <si>
    <t>000001001000007006</t>
  </si>
  <si>
    <t>VLR AJUSTE PROVISAO FILIAL</t>
  </si>
  <si>
    <t>VLR  PROVISAO BONUS REF 2023</t>
  </si>
  <si>
    <t>VLR  AJUSTE PROVISAO FILIAL</t>
  </si>
  <si>
    <t>000001001000014004</t>
  </si>
  <si>
    <t>VLR PROV BONUS REF 2023</t>
  </si>
  <si>
    <t>VLR  PROVISAO BONUS 2023</t>
  </si>
  <si>
    <t>99999B001000002001</t>
  </si>
  <si>
    <t>99999E001000002001</t>
  </si>
  <si>
    <t>VLR EST PREVISAO BONUS</t>
  </si>
  <si>
    <t>VLR PREVISAO BONUS</t>
  </si>
  <si>
    <t>000001001000002002</t>
  </si>
  <si>
    <t>000001001000027001</t>
  </si>
  <si>
    <t>99999L001000001001</t>
  </si>
  <si>
    <t>PROVISÃO BONUS</t>
  </si>
  <si>
    <t>PROVISÃO BÔNUS JAN-25</t>
  </si>
  <si>
    <t>99999L001000002001</t>
  </si>
  <si>
    <t>PROVISÃO BÔNUS FEV-25</t>
  </si>
  <si>
    <t>PROVISÃO BÔNUS MAR-25</t>
  </si>
  <si>
    <t>REVERSÃO - PROVISÃO DE BÔNUS REF. JAN-25</t>
  </si>
  <si>
    <t>PROVISÃO BONUS ABRIL-2025</t>
  </si>
  <si>
    <t>PROVISÃO BONUS-MAIO/25</t>
  </si>
  <si>
    <t>PROVISÃO BONUS-JUN/25</t>
  </si>
  <si>
    <t>REVERSÃO BONUS REF. 2024</t>
  </si>
  <si>
    <t>PROVISÃO BÔNUS JAN-2026</t>
  </si>
  <si>
    <t>PROVISÃO BÔNUS FEV-2026</t>
  </si>
  <si>
    <t>PROVISÃO BÔNUS MAR-2026</t>
  </si>
  <si>
    <t>PROVISÃO BÔNUS ABR - 2026</t>
  </si>
  <si>
    <t>WN2026001000004001</t>
  </si>
  <si>
    <t>REV.VLR  FOPG 402 - DESCONTO DIVERSOS</t>
  </si>
  <si>
    <t>WN2026001000004002</t>
  </si>
  <si>
    <t>WN2026001000004003</t>
  </si>
  <si>
    <t>WN2026001000004004</t>
  </si>
  <si>
    <t>REV.VLR  FOPG 313 - PREMIO</t>
  </si>
  <si>
    <t>WN2026001000004005</t>
  </si>
  <si>
    <t>WN2026001000004006</t>
  </si>
  <si>
    <t>PROVISÃO BÔNUS MAI - 2026</t>
  </si>
  <si>
    <t>WN2026001000003003</t>
  </si>
  <si>
    <t>WN2026001000003004</t>
  </si>
  <si>
    <t>IS0000001000003001</t>
  </si>
  <si>
    <t>PROVISÃO BÔNUS JUN-2026</t>
  </si>
  <si>
    <t>RECLAS.VLR  FOPG 313 - PREMIO</t>
  </si>
  <si>
    <t>RECLAS.VLR  FOPG 402 - DESCONTO DIVERSOS</t>
  </si>
  <si>
    <t>0301</t>
  </si>
  <si>
    <t>2.1.1.01.0002</t>
  </si>
  <si>
    <t>0302</t>
  </si>
  <si>
    <t>3.1.1.02.0020</t>
  </si>
  <si>
    <t>4.2.1.01.0020</t>
  </si>
  <si>
    <t>0.1.1.000001</t>
  </si>
  <si>
    <t>0.3.5.000004</t>
  </si>
  <si>
    <t>0.3.7.000007</t>
  </si>
  <si>
    <t>0.3.8.000001</t>
  </si>
  <si>
    <t>0.3.8.000018</t>
  </si>
  <si>
    <t>0.3.7.000002</t>
  </si>
  <si>
    <t>0.3.3.000004</t>
  </si>
  <si>
    <t>0.3.4.000001</t>
  </si>
  <si>
    <t>0.3.5.000001</t>
  </si>
  <si>
    <t>0.3.7.000001</t>
  </si>
  <si>
    <t>0.3.2.000001</t>
  </si>
  <si>
    <t>0.3.8.000025</t>
  </si>
  <si>
    <t>DEBITO</t>
  </si>
  <si>
    <t xml:space="preserve">CREDITO </t>
  </si>
  <si>
    <t>VLR  FOL 280220222 EDUARDO DE SETTIALVES</t>
  </si>
  <si>
    <t>VLR  PG FOL 280220222- EDUARDO DE SETTIALVES  PRO - LABORE</t>
  </si>
  <si>
    <t>VLR  FOL 310320222 EDUARDO DE SETTIALVES</t>
  </si>
  <si>
    <t>VLR  PG FOL 000003388- FOLHA DE PAGAMENTO  SALARIOS E ORDENADOS</t>
  </si>
  <si>
    <t>RECLASS VLR  PG FOL 000003388- FOLHA DEPAGAMENTO SALARIOS E ORDENADOS</t>
  </si>
  <si>
    <t xml:space="preserve"> </t>
  </si>
  <si>
    <t xml:space="preserve">Efeito zero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</si>
</sst>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0_ ;[Red]\-#,##0.00\ "/>
    <numFmt numFmtId="166" formatCode="dd/mm/yy;@"/>
    <numFmt numFmtId="167" formatCode="_-* #,##0_-;\-* #,##0_-;_-* &quot;-&quot;??_-;_-@_-"/>
    <numFmt numFmtId="168" formatCode="dd/mm"/>
  </numFmts>
  <fonts count="35" x14ac:knownFonts="1">
    <font>
      <sz val="8"/>
      <name val="Courier New"/>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rial"/>
      <family val="2"/>
    </font>
    <font>
      <sz val="10"/>
      <name val="Calibri"/>
      <family val="2"/>
    </font>
    <font>
      <b/>
      <sz val="10"/>
      <name val="Calibri"/>
      <family val="2"/>
    </font>
    <font>
      <b/>
      <sz val="12"/>
      <color theme="1"/>
      <name val="Calibri Light"/>
      <family val="2"/>
    </font>
    <font>
      <sz val="11"/>
      <color theme="1"/>
      <name val="Calibri Light"/>
      <family val="2"/>
    </font>
    <font>
      <b/>
      <sz val="10"/>
      <color rgb="FFFF0000"/>
      <name val="Calibri"/>
      <family val="2"/>
    </font>
    <font>
      <sz val="12"/>
      <name val="Arial"/>
      <family val="2"/>
    </font>
    <font>
      <sz val="10"/>
      <color theme="0"/>
      <name val="Calibri"/>
      <family val="2"/>
    </font>
    <font>
      <b/>
      <sz val="10"/>
      <color theme="0"/>
      <name val="Calibri"/>
      <family val="2"/>
    </font>
    <font>
      <u/>
      <sz val="11"/>
      <color theme="10"/>
      <name val="Calibri"/>
      <family val="2"/>
    </font>
    <font>
      <u/>
      <sz val="10"/>
      <color theme="10"/>
      <name val="Calibri"/>
      <family val="2"/>
    </font>
    <font>
      <sz val="8"/>
      <name val="Courier New"/>
      <family val="3"/>
    </font>
    <font>
      <i/>
      <sz val="10"/>
      <name val="Calibri"/>
      <family val="2"/>
    </font>
    <font>
      <sz val="9"/>
      <name val="Calibri"/>
      <family val="2"/>
    </font>
    <font>
      <b/>
      <sz val="9"/>
      <name val="Calibri"/>
      <family val="2"/>
    </font>
    <font>
      <sz val="9"/>
      <color theme="1"/>
      <name val="Calibri Light"/>
      <family val="2"/>
    </font>
    <font>
      <sz val="9"/>
      <name val="Calibri Light"/>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9"/>
        <bgColor indexed="9"/>
      </patternFill>
    </fill>
    <fill>
      <patternFill patternType="gray125">
        <fgColor theme="0" tint="-0.14993743705557422"/>
        <bgColor theme="0" tint="-4.9989318521683403E-2"/>
      </patternFill>
    </fill>
    <fill>
      <patternFill patternType="solid">
        <fgColor theme="3" tint="-0.249977111117893"/>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79998168889431442"/>
        <bgColor indexed="64"/>
      </patternFill>
    </fill>
  </fills>
  <borders count="6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double">
        <color indexed="64"/>
      </bottom>
      <diagonal/>
    </border>
    <border>
      <left style="thin">
        <color indexed="8"/>
      </left>
      <right/>
      <top style="thin">
        <color indexed="8"/>
      </top>
      <bottom/>
      <diagonal/>
    </border>
    <border>
      <left/>
      <right/>
      <top style="thin">
        <color indexed="8"/>
      </top>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style="thin">
        <color auto="1"/>
      </left>
      <right style="thin">
        <color auto="1"/>
      </right>
      <top style="thin">
        <color auto="1"/>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8"/>
      </left>
      <right/>
      <top/>
      <bottom style="thin">
        <color indexed="8"/>
      </bottom>
      <diagonal/>
    </border>
    <border>
      <left/>
      <right/>
      <top/>
      <bottom style="thin">
        <color indexed="8"/>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style="thin">
        <color indexed="8"/>
      </left>
      <right/>
      <top style="thin">
        <color indexed="64"/>
      </top>
      <bottom style="thin">
        <color indexed="64"/>
      </bottom>
      <diagonal/>
    </border>
    <border>
      <left/>
      <right style="thin">
        <color indexed="8"/>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theme="0"/>
      </top>
      <bottom/>
      <diagonal/>
    </border>
    <border>
      <left style="thin">
        <color indexed="8"/>
      </left>
      <right style="thin">
        <color indexed="64"/>
      </right>
      <top/>
      <bottom/>
      <diagonal/>
    </border>
    <border>
      <left style="thin">
        <color indexed="8"/>
      </left>
      <right style="thin">
        <color indexed="8"/>
      </right>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style="thin">
        <color indexed="8"/>
      </left>
      <right/>
      <top style="thin">
        <color indexed="8"/>
      </top>
      <bottom/>
      <diagonal/>
    </border>
    <border>
      <left/>
      <right style="thin">
        <color indexed="8"/>
      </right>
      <top/>
      <bottom style="thin">
        <color indexed="8"/>
      </bottom>
      <diagonal/>
    </border>
    <border>
      <left style="thin">
        <color auto="1"/>
      </left>
      <right style="thin">
        <color auto="1"/>
      </right>
      <top style="thin">
        <color auto="1"/>
      </top>
      <bottom style="thin">
        <color indexed="64"/>
      </bottom>
      <diagonal/>
    </border>
    <border>
      <left/>
      <right/>
      <top style="thin">
        <color indexed="64"/>
      </top>
      <bottom style="medium">
        <color indexed="64"/>
      </bottom>
      <diagonal/>
    </border>
    <border>
      <left/>
      <right/>
      <top/>
      <bottom style="thick">
        <color auto="1"/>
      </bottom>
      <diagonal/>
    </border>
    <border>
      <left style="dotted">
        <color auto="1"/>
      </left>
      <right style="dotted">
        <color auto="1"/>
      </right>
      <top style="dotted">
        <color auto="1"/>
      </top>
      <bottom style="dotted">
        <color auto="1"/>
      </bottom>
      <diagonal/>
    </border>
  </borders>
  <cellStyleXfs count="47">
    <xf numFmtId="0" fontId="0" fillId="0" borderId="0" applyNumberFormat="0" applyFill="0" applyBorder="0" applyAlignment="0" applyProtection="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xf numFmtId="0" fontId="27" fillId="0" borderId="0" applyNumberFormat="0" applyFill="0" applyBorder="0" applyAlignment="0" applyProtection="0"/>
    <xf numFmtId="43" fontId="29" fillId="0" borderId="0" applyFont="0" applyFill="0" applyBorder="0" applyAlignment="0" applyProtection="0"/>
    <xf numFmtId="0" fontId="29" fillId="0" borderId="0" applyNumberFormat="0" applyFill="0" applyBorder="0" applyAlignment="0" applyProtection="0"/>
  </cellStyleXfs>
  <cellXfs count="196">
    <xf numFmtId="0" fontId="0" fillId="0" borderId="0" xfId="0"/>
    <xf numFmtId="0" fontId="18" fillId="0" borderId="0" xfId="0" applyFont="1"/>
    <xf numFmtId="0" fontId="19" fillId="0" borderId="0" xfId="0" applyFont="1"/>
    <xf numFmtId="165" fontId="19" fillId="0" borderId="0" xfId="0" applyNumberFormat="1" applyFont="1"/>
    <xf numFmtId="0" fontId="19" fillId="0" borderId="0" xfId="0" applyFont="1" applyAlignment="1">
      <alignment horizontal="left"/>
    </xf>
    <xf numFmtId="0" fontId="19" fillId="0" borderId="0" xfId="0" applyFont="1" applyAlignment="1">
      <alignment horizontal="left" wrapText="1"/>
    </xf>
    <xf numFmtId="0" fontId="19" fillId="0" borderId="0" xfId="0" applyFont="1" applyAlignment="1">
      <alignment horizontal="center"/>
    </xf>
    <xf numFmtId="0" fontId="20" fillId="0" borderId="0" xfId="0" applyFont="1" applyAlignment="1">
      <alignment horizontal="center" vertical="center"/>
    </xf>
    <xf numFmtId="0" fontId="20" fillId="0" borderId="10" xfId="0" applyFont="1" applyBorder="1" applyAlignment="1">
      <alignment horizontal="center" vertical="center"/>
    </xf>
    <xf numFmtId="165" fontId="20" fillId="0" borderId="10" xfId="0" applyNumberFormat="1" applyFont="1" applyBorder="1" applyAlignment="1">
      <alignment horizontal="center" vertical="center"/>
    </xf>
    <xf numFmtId="166" fontId="19" fillId="0" borderId="0" xfId="0" applyNumberFormat="1" applyFont="1"/>
    <xf numFmtId="166" fontId="20" fillId="0" borderId="10" xfId="0" applyNumberFormat="1" applyFont="1" applyBorder="1" applyAlignment="1">
      <alignment horizontal="center" vertical="center"/>
    </xf>
    <xf numFmtId="166" fontId="19" fillId="0" borderId="0" xfId="0" applyNumberFormat="1" applyFont="1" applyAlignment="1">
      <alignment horizontal="left"/>
    </xf>
    <xf numFmtId="0" fontId="19" fillId="0" borderId="0" xfId="0" quotePrefix="1" applyFont="1"/>
    <xf numFmtId="0" fontId="19" fillId="33" borderId="0" xfId="0" applyFont="1" applyFill="1"/>
    <xf numFmtId="0" fontId="20" fillId="33" borderId="0" xfId="0" applyFont="1" applyFill="1" applyAlignment="1">
      <alignment horizontal="center" vertical="center"/>
    </xf>
    <xf numFmtId="0" fontId="21" fillId="0" borderId="0" xfId="0" applyFont="1"/>
    <xf numFmtId="0" fontId="22" fillId="0" borderId="13" xfId="0" applyFont="1" applyBorder="1"/>
    <xf numFmtId="0" fontId="21" fillId="0" borderId="11" xfId="0" applyFont="1" applyBorder="1" applyAlignment="1">
      <alignment horizontal="center" vertical="center"/>
    </xf>
    <xf numFmtId="0" fontId="21" fillId="0" borderId="12" xfId="0" applyFont="1" applyBorder="1" applyAlignment="1">
      <alignment horizontal="center" vertical="center"/>
    </xf>
    <xf numFmtId="165" fontId="20" fillId="0" borderId="0" xfId="0" applyNumberFormat="1" applyFont="1"/>
    <xf numFmtId="165" fontId="20" fillId="0" borderId="0" xfId="0" applyNumberFormat="1" applyFont="1" applyAlignment="1">
      <alignment horizontal="center" vertical="center"/>
    </xf>
    <xf numFmtId="165" fontId="23" fillId="0" borderId="0" xfId="0" applyNumberFormat="1" applyFont="1" applyAlignment="1">
      <alignment horizontal="center" vertical="center"/>
    </xf>
    <xf numFmtId="0" fontId="20" fillId="0" borderId="0" xfId="0" applyFont="1"/>
    <xf numFmtId="0" fontId="20" fillId="0" borderId="0" xfId="0" applyFont="1" applyAlignment="1">
      <alignment horizontal="right"/>
    </xf>
    <xf numFmtId="165" fontId="23" fillId="0" borderId="14" xfId="0" applyNumberFormat="1" applyFont="1" applyBorder="1" applyAlignment="1">
      <alignment horizontal="center" vertical="center"/>
    </xf>
    <xf numFmtId="165" fontId="19" fillId="0" borderId="14" xfId="0" applyNumberFormat="1" applyFont="1" applyBorder="1"/>
    <xf numFmtId="0" fontId="25" fillId="0" borderId="0" xfId="43" applyFont="1"/>
    <xf numFmtId="0" fontId="19" fillId="0" borderId="0" xfId="43" applyFont="1"/>
    <xf numFmtId="0" fontId="19" fillId="0" borderId="0" xfId="43" applyFont="1" applyProtection="1">
      <protection locked="0"/>
    </xf>
    <xf numFmtId="0" fontId="20" fillId="34" borderId="15" xfId="43" applyFont="1" applyFill="1" applyBorder="1" applyAlignment="1">
      <alignment vertical="center"/>
    </xf>
    <xf numFmtId="0" fontId="20" fillId="34" borderId="16" xfId="43" applyFont="1" applyFill="1" applyBorder="1" applyAlignment="1">
      <alignment vertical="center"/>
    </xf>
    <xf numFmtId="0" fontId="19" fillId="0" borderId="18" xfId="43" applyFont="1" applyBorder="1" applyAlignment="1">
      <alignment vertical="center"/>
    </xf>
    <xf numFmtId="0" fontId="20" fillId="0" borderId="22" xfId="43" quotePrefix="1" applyFont="1" applyBorder="1" applyAlignment="1">
      <alignment horizontal="center" vertical="center"/>
    </xf>
    <xf numFmtId="0" fontId="20" fillId="0" borderId="23" xfId="43" applyFont="1" applyBorder="1" applyAlignment="1">
      <alignment vertical="center"/>
    </xf>
    <xf numFmtId="0" fontId="20" fillId="0" borderId="24" xfId="43" applyFont="1" applyBorder="1" applyAlignment="1">
      <alignment vertical="center"/>
    </xf>
    <xf numFmtId="14" fontId="20" fillId="35" borderId="25" xfId="43" applyNumberFormat="1" applyFont="1" applyFill="1" applyBorder="1" applyAlignment="1">
      <alignment horizontal="center" vertical="center"/>
    </xf>
    <xf numFmtId="0" fontId="19" fillId="0" borderId="20" xfId="43" applyFont="1" applyBorder="1"/>
    <xf numFmtId="0" fontId="20" fillId="34" borderId="0" xfId="43" applyFont="1" applyFill="1" applyAlignment="1">
      <alignment vertical="center"/>
    </xf>
    <xf numFmtId="0" fontId="19" fillId="0" borderId="26" xfId="43" applyFont="1" applyBorder="1" applyAlignment="1">
      <alignment horizontal="center" vertical="center"/>
    </xf>
    <xf numFmtId="14" fontId="20" fillId="35" borderId="27" xfId="43" applyNumberFormat="1" applyFont="1" applyFill="1" applyBorder="1" applyAlignment="1">
      <alignment horizontal="center" vertical="center"/>
    </xf>
    <xf numFmtId="0" fontId="20" fillId="0" borderId="28" xfId="43" applyFont="1" applyBorder="1" applyAlignment="1">
      <alignment horizontal="center" vertical="center"/>
    </xf>
    <xf numFmtId="0" fontId="20" fillId="0" borderId="28" xfId="43" applyFont="1" applyBorder="1" applyAlignment="1">
      <alignment horizontal="left" vertical="center"/>
    </xf>
    <xf numFmtId="0" fontId="19" fillId="0" borderId="0" xfId="43" applyFont="1" applyAlignment="1">
      <alignment horizontal="left" vertical="center"/>
    </xf>
    <xf numFmtId="0" fontId="19" fillId="0" borderId="13" xfId="43" applyFont="1" applyBorder="1" applyAlignment="1">
      <alignment horizontal="left" vertical="center"/>
    </xf>
    <xf numFmtId="0" fontId="19" fillId="0" borderId="30" xfId="43" applyFont="1" applyBorder="1"/>
    <xf numFmtId="0" fontId="19" fillId="34" borderId="31" xfId="43" applyFont="1" applyFill="1" applyBorder="1" applyAlignment="1">
      <alignment vertical="center"/>
    </xf>
    <xf numFmtId="0" fontId="20" fillId="0" borderId="25" xfId="43" applyFont="1" applyBorder="1" applyAlignment="1">
      <alignment horizontal="center" vertical="center"/>
    </xf>
    <xf numFmtId="0" fontId="19" fillId="0" borderId="32" xfId="43" applyFont="1" applyBorder="1" applyAlignment="1">
      <alignment horizontal="left" vertical="center"/>
    </xf>
    <xf numFmtId="0" fontId="20" fillId="0" borderId="11" xfId="43" applyFont="1" applyBorder="1" applyAlignment="1">
      <alignment vertical="center" wrapText="1"/>
    </xf>
    <xf numFmtId="0" fontId="20" fillId="0" borderId="12" xfId="43" applyFont="1" applyBorder="1" applyAlignment="1">
      <alignment horizontal="center" vertical="center" wrapText="1"/>
    </xf>
    <xf numFmtId="0" fontId="19" fillId="0" borderId="0" xfId="43" applyFont="1" applyAlignment="1">
      <alignment horizontal="center" vertical="center"/>
    </xf>
    <xf numFmtId="164" fontId="19" fillId="34" borderId="0" xfId="43" applyNumberFormat="1" applyFont="1" applyFill="1" applyAlignment="1">
      <alignment horizontal="center" vertical="center"/>
    </xf>
    <xf numFmtId="0" fontId="20" fillId="35" borderId="29" xfId="43" applyFont="1" applyFill="1" applyBorder="1" applyAlignment="1">
      <alignment horizontal="center" vertical="center"/>
    </xf>
    <xf numFmtId="0" fontId="20" fillId="0" borderId="33" xfId="43" applyFont="1" applyBorder="1" applyAlignment="1">
      <alignment horizontal="center" vertical="center"/>
    </xf>
    <xf numFmtId="0" fontId="26" fillId="36" borderId="36" xfId="43" applyFont="1" applyFill="1" applyBorder="1" applyAlignment="1">
      <alignment horizontal="center" vertical="center"/>
    </xf>
    <xf numFmtId="0" fontId="26" fillId="37" borderId="35" xfId="43" applyFont="1" applyFill="1" applyBorder="1" applyAlignment="1">
      <alignment horizontal="center" vertical="center"/>
    </xf>
    <xf numFmtId="0" fontId="26" fillId="0" borderId="20" xfId="43" applyFont="1" applyBorder="1" applyAlignment="1">
      <alignment horizontal="left" vertical="center"/>
    </xf>
    <xf numFmtId="0" fontId="19" fillId="0" borderId="28" xfId="43" applyFont="1" applyBorder="1" applyAlignment="1">
      <alignment horizontal="left" vertical="center"/>
    </xf>
    <xf numFmtId="0" fontId="20" fillId="0" borderId="0" xfId="43" applyFont="1" applyAlignment="1">
      <alignment horizontal="left" vertical="center"/>
    </xf>
    <xf numFmtId="0" fontId="20" fillId="0" borderId="13" xfId="43" applyFont="1" applyBorder="1" applyAlignment="1">
      <alignment horizontal="left" vertical="center"/>
    </xf>
    <xf numFmtId="164" fontId="20" fillId="35" borderId="21" xfId="43" applyNumberFormat="1" applyFont="1" applyFill="1" applyBorder="1" applyAlignment="1">
      <alignment horizontal="center" vertical="center"/>
    </xf>
    <xf numFmtId="164" fontId="20" fillId="35" borderId="21" xfId="43" applyNumberFormat="1" applyFont="1" applyFill="1" applyBorder="1" applyAlignment="1">
      <alignment horizontal="right" vertical="center"/>
    </xf>
    <xf numFmtId="43" fontId="19" fillId="0" borderId="0" xfId="43" applyNumberFormat="1" applyFont="1" applyProtection="1">
      <protection locked="0"/>
    </xf>
    <xf numFmtId="0" fontId="28" fillId="0" borderId="28" xfId="44" applyFont="1" applyFill="1" applyBorder="1" applyAlignment="1">
      <alignment horizontal="center"/>
    </xf>
    <xf numFmtId="164" fontId="20" fillId="35" borderId="26" xfId="43" applyNumberFormat="1" applyFont="1" applyFill="1" applyBorder="1" applyAlignment="1">
      <alignment horizontal="center" vertical="center"/>
    </xf>
    <xf numFmtId="39" fontId="20" fillId="35" borderId="25" xfId="43" applyNumberFormat="1" applyFont="1" applyFill="1" applyBorder="1" applyAlignment="1">
      <alignment horizontal="center" vertical="center"/>
    </xf>
    <xf numFmtId="0" fontId="19" fillId="34" borderId="0" xfId="43" applyFont="1" applyFill="1" applyAlignment="1">
      <alignment horizontal="center" vertical="center"/>
    </xf>
    <xf numFmtId="0" fontId="25" fillId="0" borderId="0" xfId="43" applyFont="1" applyAlignment="1">
      <alignment horizontal="center" vertical="center"/>
    </xf>
    <xf numFmtId="0" fontId="20" fillId="0" borderId="40" xfId="43" applyFont="1" applyBorder="1" applyAlignment="1">
      <alignment horizontal="center" vertical="center"/>
    </xf>
    <xf numFmtId="0" fontId="26" fillId="36" borderId="21" xfId="43" applyFont="1" applyFill="1" applyBorder="1" applyAlignment="1">
      <alignment horizontal="center" vertical="center"/>
    </xf>
    <xf numFmtId="0" fontId="19" fillId="0" borderId="0" xfId="43" applyFont="1" applyAlignment="1" applyProtection="1">
      <alignment horizontal="center" vertical="center"/>
      <protection locked="0"/>
    </xf>
    <xf numFmtId="14" fontId="19" fillId="0" borderId="41" xfId="43" applyNumberFormat="1" applyFont="1" applyBorder="1" applyAlignment="1">
      <alignment horizontal="center" vertical="center"/>
    </xf>
    <xf numFmtId="0" fontId="19" fillId="0" borderId="42" xfId="43" applyFont="1" applyBorder="1" applyAlignment="1">
      <alignment horizontal="center" vertical="center"/>
    </xf>
    <xf numFmtId="0" fontId="19" fillId="0" borderId="41" xfId="43" applyFont="1" applyBorder="1" applyAlignment="1">
      <alignment horizontal="center" vertical="center"/>
    </xf>
    <xf numFmtId="43" fontId="19" fillId="0" borderId="21" xfId="45" applyFont="1" applyBorder="1" applyAlignment="1">
      <alignment horizontal="center" vertical="center"/>
    </xf>
    <xf numFmtId="164" fontId="19" fillId="0" borderId="22" xfId="43" applyNumberFormat="1" applyFont="1" applyBorder="1" applyAlignment="1">
      <alignment horizontal="center" vertical="center"/>
    </xf>
    <xf numFmtId="14" fontId="19" fillId="0" borderId="42" xfId="43" applyNumberFormat="1" applyFont="1" applyBorder="1" applyAlignment="1">
      <alignment horizontal="center" vertical="center"/>
    </xf>
    <xf numFmtId="14" fontId="19" fillId="0" borderId="25" xfId="43" applyNumberFormat="1" applyFont="1" applyBorder="1" applyAlignment="1">
      <alignment horizontal="center" vertical="center"/>
    </xf>
    <xf numFmtId="0" fontId="19" fillId="0" borderId="25" xfId="43" applyFont="1" applyBorder="1" applyAlignment="1">
      <alignment horizontal="center" vertical="center"/>
    </xf>
    <xf numFmtId="0" fontId="19" fillId="0" borderId="21" xfId="43" applyFont="1" applyBorder="1" applyAlignment="1">
      <alignment horizontal="center" vertical="center"/>
    </xf>
    <xf numFmtId="164" fontId="20" fillId="35" borderId="43" xfId="43" applyNumberFormat="1" applyFont="1" applyFill="1" applyBorder="1" applyAlignment="1">
      <alignment horizontal="center" vertical="center"/>
    </xf>
    <xf numFmtId="164" fontId="20" fillId="35" borderId="44" xfId="43" applyNumberFormat="1" applyFont="1" applyFill="1" applyBorder="1" applyAlignment="1">
      <alignment horizontal="center" vertical="center"/>
    </xf>
    <xf numFmtId="0" fontId="20" fillId="0" borderId="45" xfId="43" applyFont="1" applyBorder="1" applyAlignment="1">
      <alignment horizontal="center" vertical="center"/>
    </xf>
    <xf numFmtId="0" fontId="26" fillId="36" borderId="47" xfId="43" applyFont="1" applyFill="1" applyBorder="1" applyAlignment="1">
      <alignment horizontal="center" vertical="center"/>
    </xf>
    <xf numFmtId="0" fontId="26" fillId="36" borderId="27" xfId="43" applyFont="1" applyFill="1" applyBorder="1" applyAlignment="1">
      <alignment horizontal="center" vertical="center"/>
    </xf>
    <xf numFmtId="14" fontId="19" fillId="0" borderId="48" xfId="43" applyNumberFormat="1" applyFont="1" applyBorder="1" applyAlignment="1">
      <alignment horizontal="center" vertical="top"/>
    </xf>
    <xf numFmtId="0" fontId="19" fillId="0" borderId="0" xfId="43" applyFont="1" applyAlignment="1">
      <alignment vertical="center"/>
    </xf>
    <xf numFmtId="0" fontId="19" fillId="0" borderId="48" xfId="43" applyFont="1" applyBorder="1" applyAlignment="1">
      <alignment horizontal="center" vertical="center"/>
    </xf>
    <xf numFmtId="164" fontId="19" fillId="0" borderId="21" xfId="43" applyNumberFormat="1" applyFont="1" applyBorder="1" applyAlignment="1">
      <alignment horizontal="center" vertical="center"/>
    </xf>
    <xf numFmtId="14" fontId="19" fillId="0" borderId="49" xfId="43" applyNumberFormat="1" applyFont="1" applyBorder="1" applyAlignment="1">
      <alignment horizontal="center" vertical="top"/>
    </xf>
    <xf numFmtId="0" fontId="19" fillId="0" borderId="49" xfId="43" applyFont="1" applyBorder="1" applyAlignment="1">
      <alignment horizontal="center" vertical="center"/>
    </xf>
    <xf numFmtId="168" fontId="19" fillId="0" borderId="25" xfId="43" applyNumberFormat="1" applyFont="1" applyBorder="1" applyAlignment="1">
      <alignment horizontal="center" vertical="center"/>
    </xf>
    <xf numFmtId="0" fontId="20" fillId="0" borderId="31" xfId="43" applyFont="1" applyBorder="1" applyAlignment="1">
      <alignment vertical="center"/>
    </xf>
    <xf numFmtId="0" fontId="20" fillId="0" borderId="0" xfId="43" applyFont="1" applyAlignment="1">
      <alignment vertical="center"/>
    </xf>
    <xf numFmtId="164" fontId="19" fillId="34" borderId="25" xfId="43" applyNumberFormat="1" applyFont="1" applyFill="1" applyBorder="1" applyAlignment="1">
      <alignment vertical="center"/>
    </xf>
    <xf numFmtId="164" fontId="19" fillId="34" borderId="21" xfId="43" applyNumberFormat="1" applyFont="1" applyFill="1" applyBorder="1" applyAlignment="1">
      <alignment vertical="center"/>
    </xf>
    <xf numFmtId="0" fontId="19" fillId="0" borderId="50" xfId="43" applyFont="1" applyBorder="1" applyAlignment="1">
      <alignment horizontal="center" vertical="center"/>
    </xf>
    <xf numFmtId="164" fontId="20" fillId="35" borderId="51" xfId="43" applyNumberFormat="1" applyFont="1" applyFill="1" applyBorder="1" applyAlignment="1">
      <alignment horizontal="center" vertical="center"/>
    </xf>
    <xf numFmtId="164" fontId="20" fillId="35" borderId="52" xfId="43" applyNumberFormat="1" applyFont="1" applyFill="1" applyBorder="1" applyAlignment="1">
      <alignment horizontal="center" vertical="center"/>
    </xf>
    <xf numFmtId="164" fontId="20" fillId="35" borderId="53" xfId="43" applyNumberFormat="1" applyFont="1" applyFill="1" applyBorder="1" applyAlignment="1">
      <alignment horizontal="center" vertical="center"/>
    </xf>
    <xf numFmtId="0" fontId="20" fillId="0" borderId="54" xfId="43" applyFont="1" applyBorder="1"/>
    <xf numFmtId="0" fontId="20" fillId="0" borderId="27" xfId="43" applyFont="1" applyBorder="1"/>
    <xf numFmtId="0" fontId="19" fillId="0" borderId="13" xfId="43" applyFont="1" applyBorder="1"/>
    <xf numFmtId="0" fontId="19" fillId="34" borderId="20" xfId="43" applyFont="1" applyFill="1" applyBorder="1" applyAlignment="1">
      <alignment horizontal="left" vertical="center"/>
    </xf>
    <xf numFmtId="0" fontId="20" fillId="0" borderId="0" xfId="43" applyFont="1" applyAlignment="1">
      <alignment horizontal="right" vertical="center"/>
    </xf>
    <xf numFmtId="0" fontId="19" fillId="34" borderId="30" xfId="43" applyFont="1" applyFill="1" applyBorder="1" applyAlignment="1">
      <alignment horizontal="left" vertical="center"/>
    </xf>
    <xf numFmtId="0" fontId="20" fillId="0" borderId="31" xfId="43" applyFont="1" applyBorder="1" applyAlignment="1">
      <alignment horizontal="center" vertical="center"/>
    </xf>
    <xf numFmtId="0" fontId="19" fillId="0" borderId="31" xfId="43" applyFont="1" applyBorder="1" applyAlignment="1">
      <alignment vertical="center"/>
    </xf>
    <xf numFmtId="0" fontId="19" fillId="0" borderId="11" xfId="43" applyFont="1" applyBorder="1" applyAlignment="1">
      <alignment vertical="center"/>
    </xf>
    <xf numFmtId="0" fontId="30" fillId="34" borderId="0" xfId="43" applyFont="1" applyFill="1" applyAlignment="1">
      <alignment horizontal="left"/>
    </xf>
    <xf numFmtId="0" fontId="20" fillId="34" borderId="0" xfId="43" applyFont="1" applyFill="1" applyAlignment="1">
      <alignment horizontal="left"/>
    </xf>
    <xf numFmtId="0" fontId="20" fillId="0" borderId="17" xfId="43" applyFont="1" applyBorder="1" applyAlignment="1">
      <alignment vertical="center"/>
    </xf>
    <xf numFmtId="0" fontId="20" fillId="0" borderId="17" xfId="43" applyFont="1" applyBorder="1" applyAlignment="1">
      <alignment horizontal="center" vertical="center"/>
    </xf>
    <xf numFmtId="0" fontId="20" fillId="35" borderId="57" xfId="43" applyFont="1" applyFill="1" applyBorder="1" applyAlignment="1">
      <alignment horizontal="center" vertical="center"/>
    </xf>
    <xf numFmtId="0" fontId="31" fillId="0" borderId="0" xfId="46" applyFont="1" applyAlignment="1"/>
    <xf numFmtId="165" fontId="31" fillId="0" borderId="0" xfId="46" applyNumberFormat="1" applyFont="1" applyAlignment="1"/>
    <xf numFmtId="165" fontId="32" fillId="38" borderId="0" xfId="46" applyNumberFormat="1" applyFont="1" applyFill="1" applyAlignment="1"/>
    <xf numFmtId="0" fontId="31" fillId="0" borderId="0" xfId="46" applyFont="1" applyFill="1" applyAlignment="1"/>
    <xf numFmtId="0" fontId="32" fillId="0" borderId="0" xfId="46" applyFont="1" applyAlignment="1">
      <alignment horizontal="center" vertical="center"/>
    </xf>
    <xf numFmtId="0" fontId="32" fillId="0" borderId="59" xfId="46" applyFont="1" applyBorder="1" applyAlignment="1">
      <alignment horizontal="center" vertical="center"/>
    </xf>
    <xf numFmtId="0" fontId="32" fillId="0" borderId="0" xfId="46" applyFont="1" applyFill="1" applyAlignment="1">
      <alignment horizontal="center" vertical="center"/>
    </xf>
    <xf numFmtId="0" fontId="32" fillId="0" borderId="0" xfId="46" applyFont="1" applyAlignment="1"/>
    <xf numFmtId="17" fontId="31" fillId="0" borderId="0" xfId="46" quotePrefix="1" applyNumberFormat="1" applyFont="1" applyAlignment="1"/>
    <xf numFmtId="0" fontId="33" fillId="0" borderId="0" xfId="46" applyFont="1" applyFill="1" applyBorder="1" applyAlignment="1">
      <alignment horizontal="left"/>
    </xf>
    <xf numFmtId="43" fontId="33" fillId="0" borderId="0" xfId="45" applyFont="1" applyFill="1" applyBorder="1" applyAlignment="1">
      <alignment horizontal="right"/>
    </xf>
    <xf numFmtId="0" fontId="32" fillId="0" borderId="0" xfId="46" applyFont="1" applyFill="1" applyAlignment="1"/>
    <xf numFmtId="43" fontId="34" fillId="0" borderId="0" xfId="45" applyFont="1" applyFill="1" applyBorder="1" applyAlignment="1">
      <alignment horizontal="right"/>
    </xf>
    <xf numFmtId="165" fontId="31" fillId="0" borderId="0" xfId="46" applyNumberFormat="1" applyFont="1" applyFill="1" applyAlignment="1"/>
    <xf numFmtId="165" fontId="32" fillId="0" borderId="0" xfId="46" applyNumberFormat="1" applyFont="1" applyFill="1" applyAlignment="1"/>
    <xf numFmtId="0" fontId="20" fillId="0" borderId="55" xfId="43" applyFont="1" applyBorder="1" applyAlignment="1">
      <alignment horizontal="center" vertical="center"/>
    </xf>
    <xf numFmtId="0" fontId="20" fillId="0" borderId="54" xfId="43" applyFont="1" applyBorder="1" applyAlignment="1">
      <alignment horizontal="center" vertical="center"/>
    </xf>
    <xf numFmtId="0" fontId="20" fillId="0" borderId="0" xfId="43" applyFont="1" applyAlignment="1">
      <alignment horizontal="center" vertical="center"/>
    </xf>
    <xf numFmtId="14" fontId="20" fillId="0" borderId="20" xfId="43" applyNumberFormat="1" applyFont="1" applyBorder="1" applyAlignment="1">
      <alignment horizontal="center" vertical="center"/>
    </xf>
    <xf numFmtId="14" fontId="19" fillId="0" borderId="0" xfId="43" applyNumberFormat="1" applyFont="1" applyAlignment="1">
      <alignment horizontal="center" vertical="center"/>
    </xf>
    <xf numFmtId="0" fontId="31" fillId="33" borderId="0" xfId="46" applyFont="1" applyFill="1" applyAlignment="1"/>
    <xf numFmtId="0" fontId="32" fillId="33" borderId="59" xfId="46" applyFont="1" applyFill="1" applyBorder="1" applyAlignment="1">
      <alignment horizontal="center" vertical="center"/>
    </xf>
    <xf numFmtId="0" fontId="32" fillId="33" borderId="0" xfId="46" applyFont="1" applyFill="1" applyAlignment="1"/>
    <xf numFmtId="165" fontId="32" fillId="33" borderId="0" xfId="46" applyNumberFormat="1" applyFont="1" applyFill="1" applyAlignment="1"/>
    <xf numFmtId="165" fontId="31" fillId="33" borderId="0" xfId="46" applyNumberFormat="1" applyFont="1" applyFill="1" applyAlignment="1"/>
    <xf numFmtId="165" fontId="32" fillId="33" borderId="58" xfId="46" applyNumberFormat="1" applyFont="1" applyFill="1" applyBorder="1" applyAlignment="1"/>
    <xf numFmtId="165" fontId="32" fillId="33" borderId="59" xfId="46" applyNumberFormat="1" applyFont="1" applyFill="1" applyBorder="1" applyAlignment="1">
      <alignment horizontal="center" vertical="center"/>
    </xf>
    <xf numFmtId="0" fontId="20" fillId="0" borderId="0" xfId="0" quotePrefix="1" applyFont="1"/>
    <xf numFmtId="166" fontId="20" fillId="0" borderId="0" xfId="0" applyNumberFormat="1" applyFont="1" applyAlignment="1">
      <alignment horizontal="center" vertical="center"/>
    </xf>
    <xf numFmtId="166" fontId="19" fillId="0" borderId="0" xfId="0" applyNumberFormat="1" applyFont="1" applyAlignment="1">
      <alignment horizontal="center" vertical="center"/>
    </xf>
    <xf numFmtId="166" fontId="19" fillId="0" borderId="60" xfId="0" applyNumberFormat="1" applyFont="1" applyBorder="1" applyAlignment="1">
      <alignment horizontal="center" vertical="center"/>
    </xf>
    <xf numFmtId="0" fontId="19" fillId="0" borderId="60" xfId="0" applyFont="1" applyBorder="1"/>
    <xf numFmtId="165" fontId="19" fillId="0" borderId="60" xfId="0" applyNumberFormat="1" applyFont="1" applyBorder="1"/>
    <xf numFmtId="165" fontId="21" fillId="0" borderId="0" xfId="1" applyNumberFormat="1" applyFont="1" applyBorder="1" applyAlignment="1">
      <alignment horizontal="center" vertical="center"/>
    </xf>
    <xf numFmtId="164" fontId="21" fillId="0" borderId="0" xfId="1" applyFont="1" applyBorder="1" applyAlignment="1">
      <alignment horizontal="center" vertical="center"/>
    </xf>
    <xf numFmtId="165" fontId="22" fillId="0" borderId="60" xfId="1" applyNumberFormat="1" applyFont="1" applyBorder="1"/>
    <xf numFmtId="167" fontId="22" fillId="0" borderId="60" xfId="1" applyNumberFormat="1" applyFont="1" applyBorder="1"/>
    <xf numFmtId="0" fontId="20" fillId="0" borderId="37" xfId="43" applyFont="1" applyBorder="1" applyAlignment="1">
      <alignment horizontal="center" vertical="center"/>
    </xf>
    <xf numFmtId="0" fontId="20" fillId="0" borderId="38" xfId="43" applyFont="1" applyBorder="1" applyAlignment="1">
      <alignment horizontal="center" vertical="center"/>
    </xf>
    <xf numFmtId="0" fontId="20" fillId="0" borderId="39" xfId="43" applyFont="1" applyBorder="1" applyAlignment="1">
      <alignment horizontal="center" vertical="center"/>
    </xf>
    <xf numFmtId="0" fontId="20" fillId="34" borderId="20" xfId="43" applyFont="1" applyFill="1" applyBorder="1" applyAlignment="1">
      <alignment horizontal="center"/>
    </xf>
    <xf numFmtId="0" fontId="20" fillId="34" borderId="21" xfId="43" applyFont="1" applyFill="1" applyBorder="1" applyAlignment="1">
      <alignment horizontal="center"/>
    </xf>
    <xf numFmtId="0" fontId="19" fillId="0" borderId="26" xfId="43" applyFont="1" applyBorder="1" applyAlignment="1">
      <alignment horizontal="left" vertical="center"/>
    </xf>
    <xf numFmtId="14" fontId="20" fillId="35" borderId="19" xfId="43" quotePrefix="1" applyNumberFormat="1" applyFont="1" applyFill="1" applyBorder="1" applyAlignment="1">
      <alignment horizontal="center" vertical="center"/>
    </xf>
    <xf numFmtId="14" fontId="20" fillId="35" borderId="29" xfId="43" quotePrefix="1" applyNumberFormat="1" applyFont="1" applyFill="1" applyBorder="1" applyAlignment="1">
      <alignment horizontal="center" vertical="center"/>
    </xf>
    <xf numFmtId="14" fontId="20" fillId="35" borderId="25" xfId="43" quotePrefix="1" applyNumberFormat="1" applyFont="1" applyFill="1" applyBorder="1" applyAlignment="1">
      <alignment horizontal="center" vertical="center"/>
    </xf>
    <xf numFmtId="0" fontId="20" fillId="0" borderId="33" xfId="43" applyFont="1" applyBorder="1" applyAlignment="1">
      <alignment horizontal="center" vertical="center"/>
    </xf>
    <xf numFmtId="0" fontId="20" fillId="0" borderId="34" xfId="43" applyFont="1" applyBorder="1" applyAlignment="1">
      <alignment horizontal="center" vertical="center"/>
    </xf>
    <xf numFmtId="0" fontId="20" fillId="0" borderId="35" xfId="43" applyFont="1" applyBorder="1" applyAlignment="1">
      <alignment horizontal="center" vertical="center"/>
    </xf>
    <xf numFmtId="0" fontId="20" fillId="0" borderId="33" xfId="43" applyFont="1" applyBorder="1" applyAlignment="1">
      <alignment horizontal="left" vertical="center"/>
    </xf>
    <xf numFmtId="0" fontId="20" fillId="0" borderId="34" xfId="43" applyFont="1" applyBorder="1" applyAlignment="1">
      <alignment horizontal="left" vertical="center"/>
    </xf>
    <xf numFmtId="0" fontId="20" fillId="34" borderId="40" xfId="43" applyFont="1" applyFill="1" applyBorder="1" applyAlignment="1">
      <alignment horizontal="center" vertical="center"/>
    </xf>
    <xf numFmtId="0" fontId="19" fillId="34" borderId="20" xfId="43" applyFont="1" applyFill="1" applyBorder="1" applyAlignment="1">
      <alignment horizontal="center" vertical="center" wrapText="1"/>
    </xf>
    <xf numFmtId="0" fontId="19" fillId="34" borderId="0" xfId="43" applyFont="1" applyFill="1" applyAlignment="1">
      <alignment horizontal="center" vertical="center" wrapText="1"/>
    </xf>
    <xf numFmtId="0" fontId="19" fillId="34" borderId="21" xfId="43" applyFont="1" applyFill="1" applyBorder="1" applyAlignment="1">
      <alignment horizontal="center" vertical="center" wrapText="1"/>
    </xf>
    <xf numFmtId="0" fontId="19" fillId="34" borderId="30" xfId="43" applyFont="1" applyFill="1" applyBorder="1" applyAlignment="1">
      <alignment horizontal="center" vertical="center" wrapText="1"/>
    </xf>
    <xf numFmtId="0" fontId="19" fillId="34" borderId="31" xfId="43" applyFont="1" applyFill="1" applyBorder="1" applyAlignment="1">
      <alignment horizontal="center" vertical="center" wrapText="1"/>
    </xf>
    <xf numFmtId="0" fontId="19" fillId="34" borderId="56" xfId="43" applyFont="1" applyFill="1" applyBorder="1" applyAlignment="1">
      <alignment horizontal="center" vertical="center" wrapText="1"/>
    </xf>
    <xf numFmtId="0" fontId="20" fillId="0" borderId="13" xfId="43" applyFont="1" applyBorder="1" applyAlignment="1">
      <alignment horizontal="center" vertical="center"/>
    </xf>
    <xf numFmtId="0" fontId="20" fillId="0" borderId="12" xfId="43" applyFont="1" applyBorder="1" applyAlignment="1">
      <alignment horizontal="center" vertical="center"/>
    </xf>
    <xf numFmtId="0" fontId="20" fillId="0" borderId="37" xfId="43" applyFont="1" applyBorder="1" applyAlignment="1">
      <alignment horizontal="center" vertical="center" wrapText="1"/>
    </xf>
    <xf numFmtId="0" fontId="20" fillId="0" borderId="38" xfId="43" applyFont="1" applyBorder="1" applyAlignment="1">
      <alignment horizontal="center" vertical="center" wrapText="1"/>
    </xf>
    <xf numFmtId="0" fontId="20" fillId="0" borderId="39" xfId="43" applyFont="1" applyBorder="1" applyAlignment="1">
      <alignment horizontal="center" vertical="center" wrapText="1"/>
    </xf>
    <xf numFmtId="0" fontId="20" fillId="0" borderId="32" xfId="43" applyFont="1" applyBorder="1" applyAlignment="1">
      <alignment horizontal="left" vertical="center"/>
    </xf>
    <xf numFmtId="0" fontId="20" fillId="0" borderId="35" xfId="43" applyFont="1" applyBorder="1" applyAlignment="1">
      <alignment horizontal="left" vertical="center"/>
    </xf>
    <xf numFmtId="0" fontId="20" fillId="0" borderId="46" xfId="43" applyFont="1" applyBorder="1" applyAlignment="1">
      <alignment horizontal="center" vertical="center" wrapText="1"/>
    </xf>
    <xf numFmtId="0" fontId="20" fillId="0" borderId="34" xfId="43" applyFont="1" applyBorder="1" applyAlignment="1">
      <alignment horizontal="center" vertical="center" wrapText="1"/>
    </xf>
    <xf numFmtId="0" fontId="20" fillId="0" borderId="36" xfId="43" applyFont="1" applyBorder="1" applyAlignment="1">
      <alignment horizontal="center" vertical="center" wrapText="1"/>
    </xf>
    <xf numFmtId="0" fontId="20" fillId="0" borderId="37" xfId="43" applyFont="1" applyBorder="1" applyAlignment="1">
      <alignment horizontal="left" vertical="center"/>
    </xf>
    <xf numFmtId="0" fontId="20" fillId="0" borderId="38" xfId="43" applyFont="1" applyBorder="1" applyAlignment="1">
      <alignment horizontal="left" vertical="center"/>
    </xf>
    <xf numFmtId="0" fontId="20" fillId="0" borderId="39" xfId="43" applyFont="1" applyBorder="1" applyAlignment="1">
      <alignment horizontal="left" vertical="center"/>
    </xf>
    <xf numFmtId="0" fontId="19" fillId="34" borderId="54" xfId="43" applyFont="1" applyFill="1" applyBorder="1" applyAlignment="1">
      <alignment horizontal="center" vertical="center"/>
    </xf>
    <xf numFmtId="164" fontId="19" fillId="0" borderId="0" xfId="1" applyFont="1"/>
    <xf numFmtId="164" fontId="20" fillId="0" borderId="10" xfId="1" applyFont="1" applyBorder="1" applyAlignment="1">
      <alignment horizontal="center" vertical="center"/>
    </xf>
    <xf numFmtId="164" fontId="19" fillId="0" borderId="0" xfId="1" applyFont="1" applyAlignment="1">
      <alignment horizontal="center"/>
    </xf>
    <xf numFmtId="0" fontId="19" fillId="0" borderId="0" xfId="0" applyNumberFormat="1" applyFont="1"/>
    <xf numFmtId="165" fontId="19" fillId="39" borderId="0" xfId="0" applyNumberFormat="1" applyFont="1" applyFill="1"/>
    <xf numFmtId="165" fontId="19" fillId="0" borderId="0" xfId="0" applyNumberFormat="1" applyFont="1" applyFill="1"/>
    <xf numFmtId="165" fontId="19" fillId="40" borderId="0" xfId="0" applyNumberFormat="1" applyFont="1" applyFill="1"/>
    <xf numFmtId="4" fontId="19" fillId="0" borderId="0" xfId="0" applyNumberFormat="1" applyFont="1"/>
    <xf numFmtId="43" fontId="19" fillId="0" borderId="0" xfId="0" applyNumberFormat="1" applyFont="1"/>
  </cellXfs>
  <cellStyles count="47">
    <cellStyle name="20% - Ênfase1" xfId="20" builtinId="30" customBuiltin="1"/>
    <cellStyle name="20% - Ênfase2" xfId="24" builtinId="34" customBuiltin="1"/>
    <cellStyle name="20% - Ênfase3" xfId="28" builtinId="38" customBuiltin="1"/>
    <cellStyle name="20% - Ênfase4" xfId="32" builtinId="42" customBuiltin="1"/>
    <cellStyle name="20% - Ênfase5" xfId="36" builtinId="46" customBuiltin="1"/>
    <cellStyle name="20% - Ênfase6" xfId="40" builtinId="50" customBuiltin="1"/>
    <cellStyle name="40% - Ênfase1" xfId="21" builtinId="31" customBuiltin="1"/>
    <cellStyle name="40% - Ênfase2" xfId="25" builtinId="35" customBuiltin="1"/>
    <cellStyle name="40% - Ênfase3" xfId="29" builtinId="39" customBuiltin="1"/>
    <cellStyle name="40% - Ênfase4" xfId="33" builtinId="43" customBuiltin="1"/>
    <cellStyle name="40% - Ênfase5" xfId="37" builtinId="47" customBuiltin="1"/>
    <cellStyle name="40% - Ênfase6" xfId="41" builtinId="51" customBuiltin="1"/>
    <cellStyle name="60% - Ênfase1" xfId="22" builtinId="32" customBuiltin="1"/>
    <cellStyle name="60% - Ênfase2" xfId="26" builtinId="36" customBuiltin="1"/>
    <cellStyle name="60% - Ênfase3" xfId="30" builtinId="40" customBuiltin="1"/>
    <cellStyle name="60% - Ênfase4" xfId="34" builtinId="44" customBuiltin="1"/>
    <cellStyle name="60% - Ênfase5" xfId="38" builtinId="48" customBuiltin="1"/>
    <cellStyle name="60% - Ênfase6" xfId="42" builtinId="52" customBuiltin="1"/>
    <cellStyle name="Bom" xfId="7" builtinId="26" customBuiltin="1"/>
    <cellStyle name="Cálculo" xfId="12" builtinId="22" customBuiltin="1"/>
    <cellStyle name="Célula de Verificação" xfId="14" builtinId="23" customBuiltin="1"/>
    <cellStyle name="Célula Vinculada" xfId="13" builtinId="24" customBuiltin="1"/>
    <cellStyle name="Ênfase1" xfId="19" builtinId="29" customBuiltin="1"/>
    <cellStyle name="Ênfase2" xfId="23" builtinId="33" customBuiltin="1"/>
    <cellStyle name="Ênfase3" xfId="27" builtinId="37" customBuiltin="1"/>
    <cellStyle name="Ênfase4" xfId="31" builtinId="41" customBuiltin="1"/>
    <cellStyle name="Ênfase5" xfId="35" builtinId="45" customBuiltin="1"/>
    <cellStyle name="Ênfase6" xfId="39" builtinId="49" customBuiltin="1"/>
    <cellStyle name="Entrada" xfId="10" builtinId="20" customBuiltin="1"/>
    <cellStyle name="Hiperlink 2" xfId="44" xr:uid="{A2EEF01A-616E-4839-B24E-029A02DAFBC5}"/>
    <cellStyle name="Neutro" xfId="9" builtinId="28" customBuiltin="1"/>
    <cellStyle name="Normal" xfId="0" builtinId="0" customBuiltin="1"/>
    <cellStyle name="Normal 2" xfId="46" xr:uid="{FD3CF86B-B9AF-4EA5-8C56-B88ABCFDD0E6}"/>
    <cellStyle name="Normal 2 108" xfId="43" xr:uid="{99E0297A-70D2-49FF-A77B-14807DEF835D}"/>
    <cellStyle name="Nota" xfId="16" builtinId="10" customBuiltin="1"/>
    <cellStyle name="Ruim" xfId="8" builtinId="27" customBuiltin="1"/>
    <cellStyle name="Saída" xfId="11" builtinId="21" customBuiltin="1"/>
    <cellStyle name="Texto de Aviso" xfId="15" builtinId="11" customBuiltin="1"/>
    <cellStyle name="Texto Explicativo" xfId="17" builtinId="53" customBuiltin="1"/>
    <cellStyle name="Título" xfId="2" builtinId="15" customBuiltin="1"/>
    <cellStyle name="Título 1" xfId="3" builtinId="16" customBuiltin="1"/>
    <cellStyle name="Título 2" xfId="4" builtinId="17" customBuiltin="1"/>
    <cellStyle name="Título 3" xfId="5" builtinId="18" customBuiltin="1"/>
    <cellStyle name="Título 4" xfId="6" builtinId="19" customBuiltin="1"/>
    <cellStyle name="Total" xfId="18" builtinId="25" customBuiltin="1"/>
    <cellStyle name="Vírgula" xfId="1" builtinId="3"/>
    <cellStyle name="Vírgula 2" xfId="45" xr:uid="{A255F9BB-DF5D-431B-AA62-86CB975F1328}"/>
  </cellStyles>
  <dxfs count="4">
    <dxf>
      <fill>
        <patternFill>
          <bgColor rgb="FFFFC7CE"/>
        </patternFill>
      </fill>
    </dxf>
    <dxf>
      <font>
        <b/>
        <i val="0"/>
        <condense val="0"/>
        <extend val="0"/>
        <color indexed="10"/>
      </font>
    </dxf>
    <dxf>
      <font>
        <b/>
        <i val="0"/>
        <condense val="0"/>
        <extend val="0"/>
        <color indexed="12"/>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customXml" Target="../customXml/item2.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externalLink" Target="externalLinks/externalLink36.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aredStrings" Target="sharedStrings.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330729</xdr:colOff>
      <xdr:row>3</xdr:row>
      <xdr:rowOff>28273</xdr:rowOff>
    </xdr:to>
    <xdr:pic>
      <xdr:nvPicPr>
        <xdr:cNvPr id="2" name="Imagem 1">
          <a:extLst>
            <a:ext uri="{FF2B5EF4-FFF2-40B4-BE49-F238E27FC236}">
              <a16:creationId xmlns:a16="http://schemas.microsoft.com/office/drawing/2014/main" id="{644409B2-779D-4037-B6DD-E6FE9F84A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00679" cy="523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444500</xdr:colOff>
      <xdr:row>1</xdr:row>
      <xdr:rowOff>148167</xdr:rowOff>
    </xdr:from>
    <xdr:to>
      <xdr:col>2</xdr:col>
      <xdr:colOff>1839383</xdr:colOff>
      <xdr:row>6</xdr:row>
      <xdr:rowOff>8812</xdr:rowOff>
    </xdr:to>
    <xdr:pic>
      <xdr:nvPicPr>
        <xdr:cNvPr id="3" name="Imagem 2">
          <a:extLst>
            <a:ext uri="{FF2B5EF4-FFF2-40B4-BE49-F238E27FC236}">
              <a16:creationId xmlns:a16="http://schemas.microsoft.com/office/drawing/2014/main" id="{43C25702-1D47-40C8-BB0F-D333A1AB8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5583" y="243417"/>
          <a:ext cx="2113492" cy="884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21166</xdr:colOff>
      <xdr:row>5</xdr:row>
      <xdr:rowOff>107295</xdr:rowOff>
    </xdr:to>
    <xdr:pic>
      <xdr:nvPicPr>
        <xdr:cNvPr id="5" name="Picture 1">
          <a:extLst>
            <a:ext uri="{FF2B5EF4-FFF2-40B4-BE49-F238E27FC236}">
              <a16:creationId xmlns:a16="http://schemas.microsoft.com/office/drawing/2014/main" id="{EF246400-7B38-4E6E-93B0-24962F62ED65}"/>
            </a:ext>
          </a:extLst>
        </xdr:cNvPr>
        <xdr:cNvPicPr>
          <a:picLocks noChangeAspect="1"/>
        </xdr:cNvPicPr>
      </xdr:nvPicPr>
      <xdr:blipFill>
        <a:blip xmlns:r="http://schemas.openxmlformats.org/officeDocument/2006/relationships" r:embed="rId1"/>
        <a:stretch>
          <a:fillRect/>
        </a:stretch>
      </xdr:blipFill>
      <xdr:spPr>
        <a:xfrm>
          <a:off x="0" y="0"/>
          <a:ext cx="1608666" cy="8904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330729</xdr:colOff>
      <xdr:row>3</xdr:row>
      <xdr:rowOff>28273</xdr:rowOff>
    </xdr:to>
    <xdr:pic>
      <xdr:nvPicPr>
        <xdr:cNvPr id="2" name="Imagem 1">
          <a:extLst>
            <a:ext uri="{FF2B5EF4-FFF2-40B4-BE49-F238E27FC236}">
              <a16:creationId xmlns:a16="http://schemas.microsoft.com/office/drawing/2014/main" id="{9C1A2468-ABF9-485D-B165-DC059E8FB4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12321" cy="50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619654</xdr:colOff>
      <xdr:row>3</xdr:row>
      <xdr:rowOff>31448</xdr:rowOff>
    </xdr:to>
    <xdr:pic>
      <xdr:nvPicPr>
        <xdr:cNvPr id="2" name="Imagem 1">
          <a:extLst>
            <a:ext uri="{FF2B5EF4-FFF2-40B4-BE49-F238E27FC236}">
              <a16:creationId xmlns:a16="http://schemas.microsoft.com/office/drawing/2014/main" id="{A857CF09-8213-4890-891C-BB9151FE5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12321" cy="50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411163</xdr:colOff>
      <xdr:row>3</xdr:row>
      <xdr:rowOff>28273</xdr:rowOff>
    </xdr:to>
    <xdr:pic>
      <xdr:nvPicPr>
        <xdr:cNvPr id="2" name="Imagem 1">
          <a:extLst>
            <a:ext uri="{FF2B5EF4-FFF2-40B4-BE49-F238E27FC236}">
              <a16:creationId xmlns:a16="http://schemas.microsoft.com/office/drawing/2014/main" id="{583653A9-8130-4871-8E3B-959EE67D15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12321" cy="50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WINDOWS\TEMP\0900Deb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pyramidresearch.com/content/access_rpt/nextelperu/050113peru_frc_w/Advisory/Forecasts%20for%20Telecoms%20and%20Mobile/2001_4q/Forecasts/Mobile/AME/CTYWKBKS/LA/MEX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Documents%20and%20Settings\asilv4\Configura&#231;&#245;es%20locais\Temporary%20Internet%20Files\OLK40\Documents%20and%20Settings\User\Local%20Settings\Temp\Temporary%20Directory%201%20for%20BSNOV.zip\TEMP\CONTINGKLSB\KLSBBDFISCAIS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importacoes\IMPORT%2099%20LOCAL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TEMP\10.OCTJAWSUNIQUE_BALANC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Documents%20and%20Settings\isilva\Configura&#231;&#245;es%20locais\Temporary%20Internet%20Files\OLKAE\Documents%20and%20Settings\User\Local%20Settings\Temp\Temporary%20Directory%201%20for%20BSNOV.zip\TEMP\CONTINGKLSB\KLSBBDFISCAIS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Recursos%20Financeiros\Tesouraria\Capital%20Call\Capital%20Call%202002\Novembro%202002\RH%20cap%20call%202002-11-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Eduardo\Financeiro\Contas%20a%20Pagar%202002\Contas%20a%20Pagar%20Maio-2002.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Prov%20%20Comiss&#227;o%20Trimestral%20-Mar-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Contabilidade\Carol\Provis&#245;es\Junho%202008\marketing.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Prov%20%20Comiss&#227;o%20Trimestral%20-%20Fev-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Recursos%20Financeiros\Tesouraria\Forecast\Forecast%202003\Forecast%20February-20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Documents%20and%20Settings\knakagomi\Configura&#231;&#245;es%20locais\Temporary%20Internet%20Files\OLK15\Consolidated%20Packag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bserver005\departamentos\FATURAMENTO\Faturamentos\Farol%20de%20fechamento%20de%20caixa%20-%20Grupo%20PB.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bserver005\departamentos\CONTABILIDADE\CONTABILIDADE\PIS-Cofins\PIS-Cofins\2018\06.18\SD1%20FINAL_06.18.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rsao1w3pfs04\fi_nextel\Planejamento\Budget%202004\Fechamento%202004\Despesas%20Mensais\Despesa%20-%20RF.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WINNT\Profiles\agalesi\Temporary%20Internet%20Files\OLK15\Lo_Template%20Detailed%20November%20v2%20facilities1.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Startup" Target="Treasury/CapitalCalls/2004/2004-11/My%20Documents/Treasury/Budget/PERU_S~1.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Contas%20a%20Pagar%20Junho-20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AF_Nextel\Contabilidade\Novo%20diret&#243;rio\Concilia&#231;&#245;es\2014\Xerox\CONCILIACAO%20NEXTEL\TELECOM\BRGAAP-BL&amp;A\2014-09\Suporte%20Interno\2025-TL\Aging%20Conta%202025%20-%20Marketing%20Agosto_2013.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podaf10enamima\edgar\Finance\1998%20Budgets\1998%20Budget%20Model\Model\pr98-206.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Template_2000A.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Z:\CD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Z:\Documents%20and%20Settings\isilva\Configura&#231;&#245;es%20locais\Temporary%20Internet%20Files\OLKAE\Documents%20and%20Settings\User\Local%20Settings\Temp\Temporary%20Directory%201%20for%20BSNOV.zip\TEMP\TEMP\MARECTR.XLM"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June_2005.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ECOF1197.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Diferen&#231;a%20entre%20Real%20e%20Projetado%20de%2001%20a%2012%20-%20atual.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rov%20%20Comiss&#227;o%20Trimestral%20-%20Jan-10.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Stock%20SA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36.184.83\Nextel\Account\Fernando\Oracle\Interconex&#227;o\2005\06%20Junho%2005\Raz&#227;o%205200%205201%205202%205205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bserver005\departamentos\CONTABILIDADE\CONTABILIDADE\PIS-Cofins\PIS-Cofins\2018\11.18\SD1%20Base%20para%20Pis_Cofins%2011.18.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brsao3w3pfs06\FI_Nextel\Henrique\TEMP\Generic%20Cost%20Center%20File.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Lo_Template%20Detailed%20November%20v1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G:\bkp%20-%20jose%20aristides%20-%20nao%20apagar\Meus%20Documentos\Rotina%20Fechamento\l3Qleasealuguel01.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LT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BRSLP1W8PFS03\Grupos\BRZ\BPO\UNILEVER\Recon\Booklet\2010\Nov-10\Novembro-10%20Consolidado%20%20-%20Bookl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by entity"/>
      <sheetName val="Disc by entity"/>
      <sheetName val="type"/>
      <sheetName val="NCI"/>
      <sheetName val="NII"/>
      <sheetName val="NFC"/>
      <sheetName val="NOI (121)"/>
      <sheetName val="Towers(050)"/>
      <sheetName val="Braz(017)"/>
      <sheetName val="Philipinnes (069)"/>
      <sheetName val="Argentina(84)"/>
    </sheetNames>
    <sheetDataSet>
      <sheetData sheetId="0"/>
      <sheetData sheetId="1" refreshError="1"/>
      <sheetData sheetId="2"/>
      <sheetData sheetId="3"/>
      <sheetData sheetId="4"/>
      <sheetData sheetId="5"/>
      <sheetData sheetId="6"/>
      <sheetData sheetId="7"/>
      <sheetData sheetId="8"/>
      <sheetData sheetId="9" refreshError="1"/>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EX95IB"/>
      <sheetName val="Public"/>
      <sheetName val="SAFIB"/>
      <sheetName val="All Variables"/>
      <sheetName val="Pre pago"/>
      <sheetName val="MobileDataOutput"/>
      <sheetName val="MobileDemandOutput"/>
      <sheetName val="Media Output"/>
      <sheetName val="Ukraine Data"/>
      <sheetName val="Forecast 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aixa"/>
      <sheetName val="K117"/>
      <sheetName val="TRdiaria"/>
      <sheetName val="INDICE"/>
      <sheetName val="REFIS0201"/>
      <sheetName val="Resumo0501 "/>
      <sheetName val="Resumo0401"/>
      <sheetName val="Resumo0301"/>
      <sheetName val="Resumo0201SREFIS"/>
      <sheetName val="Resumo0201"/>
      <sheetName val="Resumo0101"/>
      <sheetName val="Resumo1200"/>
      <sheetName val="Resumo1100"/>
      <sheetName val="Resumo1000"/>
      <sheetName val="L100100"/>
      <sheetName val="L100"/>
      <sheetName val="KLSB100"/>
      <sheetName val="KLSB100100"/>
      <sheetName val="JCB"/>
      <sheetName val="Q100100"/>
      <sheetName val="Q100"/>
      <sheetName val="K100"/>
      <sheetName val="K100100"/>
      <sheetName val="K117A"/>
      <sheetName val="K116"/>
      <sheetName val="KLS104"/>
      <sheetName val="kls109"/>
      <sheetName val="PLANILHA"/>
      <sheetName val="Resumo0501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FEV"/>
      <sheetName val="MAR"/>
      <sheetName val="ABR"/>
      <sheetName val="MAI"/>
      <sheetName val="JUN"/>
      <sheetName val="JUL"/>
      <sheetName val="AGO"/>
      <sheetName val="SET"/>
      <sheetName val="OUT"/>
      <sheetName val="NOV"/>
      <sheetName val="DEZ"/>
      <sheetName val="RESUMO"/>
      <sheetName val="INCONSIST"/>
      <sheetName val="MENU"/>
      <sheetName val="APOIO"/>
      <sheetName val="VOUCHER"/>
      <sheetName val="Life_Blood"/>
      <sheetName val="INC"/>
      <sheetName val="ICMS"/>
      <sheetName val="IMPRRELAT"/>
      <sheetName val="IMPRANALT"/>
      <sheetName val="IMPRSINT"/>
      <sheetName val="INSERT"/>
      <sheetName val="RELANALT"/>
      <sheetName val="CONTAB"/>
      <sheetName val="RELSINT"/>
      <sheetName val="INSDADOS"/>
      <sheetName val="INSCONF"/>
      <sheetName val="CC_CD"/>
      <sheetName val="DETALHADO"/>
      <sheetName val="APOIO GRAFICOS"/>
      <sheetName val="Graficos"/>
      <sheetName val="MACROS1"/>
      <sheetName val="DAD_VCH"/>
      <sheetName val="MACROS2"/>
      <sheetName val="NCI"/>
      <sheetName val="SAFIB"/>
      <sheetName val="APOIO_GRAFICOS"/>
      <sheetName val="Resumo diferenças Conciliação"/>
      <sheetName val="CAPA CONCILIAÇÕES"/>
      <sheetName val="Balanço Local"/>
      <sheetName val="Contas nao 120"/>
      <sheetName val="Mapa movimentação"/>
      <sheetName val="Aceleração NOVA"/>
      <sheetName val="Capital Lease"/>
      <sheetName val="Capitalizacao de Juros"/>
      <sheetName val="Compra Entrega Fut."/>
      <sheetName val="Mapa movimentação 11638"/>
      <sheetName val="Mudança Vida Util"/>
      <sheetName val="Provisao de Perda"/>
      <sheetName val="PROV PERDA SITE CIP - GRUPO 1"/>
      <sheetName val="Provisoes"/>
      <sheetName val="Lançamento"/>
      <sheetName val="Sites Diversos"/>
      <sheetName val="Baixa Serv SITES"/>
      <sheetName val="ICMS 1400 AGOSTO"/>
      <sheetName val="ICMS 1400"/>
      <sheetName val="Depreciação Capital Lease Steel"/>
      <sheetName val="Empresas"/>
      <sheetName val="ATC-TOWERS"/>
    </sheetNames>
    <sheetDataSet>
      <sheetData sheetId="0"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211019.51</v>
          </cell>
          <cell r="R3">
            <v>46791.97</v>
          </cell>
          <cell r="S3">
            <v>133763.81</v>
          </cell>
          <cell r="T3">
            <v>291409.2</v>
          </cell>
          <cell r="U3">
            <v>1297650.06</v>
          </cell>
          <cell r="V3">
            <v>9126572.1899999939</v>
          </cell>
          <cell r="Y3">
            <v>232367</v>
          </cell>
          <cell r="Z3">
            <v>21123</v>
          </cell>
          <cell r="AA3">
            <v>2320</v>
          </cell>
          <cell r="AB3">
            <v>77232</v>
          </cell>
          <cell r="AC3">
            <v>207585</v>
          </cell>
          <cell r="AD3">
            <v>3101877.5200000005</v>
          </cell>
        </row>
        <row r="4">
          <cell r="A4">
            <v>983373</v>
          </cell>
          <cell r="B4">
            <v>7033</v>
          </cell>
          <cell r="C4">
            <v>247</v>
          </cell>
          <cell r="D4">
            <v>2</v>
          </cell>
          <cell r="E4">
            <v>200</v>
          </cell>
          <cell r="F4">
            <v>125</v>
          </cell>
          <cell r="G4">
            <v>11</v>
          </cell>
          <cell r="H4">
            <v>587.89</v>
          </cell>
          <cell r="I4">
            <v>146.19999999999999</v>
          </cell>
          <cell r="J4">
            <v>92240</v>
          </cell>
          <cell r="K4" t="str">
            <v>MP</v>
          </cell>
        </row>
        <row r="5">
          <cell r="A5">
            <v>983652</v>
          </cell>
          <cell r="C5">
            <v>146</v>
          </cell>
          <cell r="D5">
            <v>9</v>
          </cell>
          <cell r="E5">
            <v>200</v>
          </cell>
          <cell r="F5">
            <v>151</v>
          </cell>
          <cell r="G5">
            <v>299</v>
          </cell>
          <cell r="H5">
            <v>806.73</v>
          </cell>
          <cell r="I5">
            <v>1418.72</v>
          </cell>
          <cell r="J5">
            <v>91343</v>
          </cell>
          <cell r="K5" t="str">
            <v>MP</v>
          </cell>
        </row>
        <row r="6">
          <cell r="A6">
            <v>983727</v>
          </cell>
          <cell r="B6" t="str">
            <v xml:space="preserve"> 7514/7515</v>
          </cell>
          <cell r="C6">
            <v>433</v>
          </cell>
          <cell r="D6">
            <v>114</v>
          </cell>
          <cell r="E6">
            <v>240</v>
          </cell>
          <cell r="F6">
            <v>903</v>
          </cell>
          <cell r="G6">
            <v>3273</v>
          </cell>
          <cell r="H6">
            <v>4965.3500000000004</v>
          </cell>
          <cell r="I6">
            <v>18371.95</v>
          </cell>
          <cell r="J6">
            <v>90424</v>
          </cell>
          <cell r="K6" t="str">
            <v>MP</v>
          </cell>
        </row>
        <row r="7">
          <cell r="A7">
            <v>983871</v>
          </cell>
          <cell r="B7">
            <v>7276</v>
          </cell>
          <cell r="C7">
            <v>119</v>
          </cell>
          <cell r="D7">
            <v>126</v>
          </cell>
          <cell r="E7">
            <v>287</v>
          </cell>
          <cell r="F7">
            <v>719</v>
          </cell>
          <cell r="G7">
            <v>3087</v>
          </cell>
          <cell r="H7">
            <v>4341.5600000000004</v>
          </cell>
          <cell r="I7">
            <v>20180.7</v>
          </cell>
          <cell r="J7">
            <v>90083</v>
          </cell>
          <cell r="K7" t="str">
            <v>MP</v>
          </cell>
        </row>
        <row r="8">
          <cell r="A8">
            <v>983955</v>
          </cell>
          <cell r="B8">
            <v>7463</v>
          </cell>
          <cell r="C8">
            <v>143</v>
          </cell>
          <cell r="D8">
            <v>5</v>
          </cell>
          <cell r="E8">
            <v>290</v>
          </cell>
          <cell r="F8">
            <v>170</v>
          </cell>
          <cell r="G8">
            <v>323</v>
          </cell>
          <cell r="H8">
            <v>932.97</v>
          </cell>
          <cell r="I8">
            <v>1543.01</v>
          </cell>
          <cell r="J8">
            <v>91591</v>
          </cell>
          <cell r="K8" t="str">
            <v>MP</v>
          </cell>
        </row>
        <row r="9">
          <cell r="A9">
            <v>984161</v>
          </cell>
          <cell r="B9">
            <v>7166</v>
          </cell>
          <cell r="C9">
            <v>235</v>
          </cell>
          <cell r="D9">
            <v>46</v>
          </cell>
          <cell r="E9">
            <v>290</v>
          </cell>
          <cell r="F9">
            <v>343</v>
          </cell>
          <cell r="G9">
            <v>1057</v>
          </cell>
          <cell r="H9">
            <v>1973.17</v>
          </cell>
          <cell r="I9">
            <v>7170.67</v>
          </cell>
          <cell r="J9">
            <v>90496</v>
          </cell>
          <cell r="K9" t="str">
            <v>MP</v>
          </cell>
        </row>
        <row r="10">
          <cell r="A10">
            <v>984215</v>
          </cell>
          <cell r="B10">
            <v>7054</v>
          </cell>
          <cell r="C10">
            <v>853</v>
          </cell>
          <cell r="D10">
            <v>132</v>
          </cell>
          <cell r="E10">
            <v>287</v>
          </cell>
          <cell r="F10">
            <v>737</v>
          </cell>
          <cell r="G10">
            <v>2779</v>
          </cell>
          <cell r="H10">
            <v>4790.92</v>
          </cell>
          <cell r="I10">
            <v>20644.919999999998</v>
          </cell>
          <cell r="J10">
            <v>91341</v>
          </cell>
          <cell r="K10" t="str">
            <v>MP</v>
          </cell>
        </row>
        <row r="11">
          <cell r="A11">
            <v>984223</v>
          </cell>
          <cell r="B11">
            <v>7106</v>
          </cell>
          <cell r="C11">
            <v>132</v>
          </cell>
          <cell r="D11">
            <v>1</v>
          </cell>
          <cell r="E11">
            <v>290</v>
          </cell>
          <cell r="F11">
            <v>144</v>
          </cell>
          <cell r="G11">
            <v>104</v>
          </cell>
          <cell r="H11">
            <v>673.92</v>
          </cell>
          <cell r="I11">
            <v>411.07</v>
          </cell>
          <cell r="J11">
            <v>91343</v>
          </cell>
          <cell r="K11" t="str">
            <v>MP</v>
          </cell>
        </row>
        <row r="12">
          <cell r="A12">
            <v>984247</v>
          </cell>
          <cell r="B12">
            <v>7069</v>
          </cell>
          <cell r="C12">
            <v>98</v>
          </cell>
          <cell r="D12">
            <v>1</v>
          </cell>
          <cell r="E12">
            <v>287</v>
          </cell>
          <cell r="F12">
            <v>134</v>
          </cell>
          <cell r="G12">
            <v>35</v>
          </cell>
          <cell r="H12">
            <v>558.09</v>
          </cell>
          <cell r="I12">
            <v>89.42</v>
          </cell>
          <cell r="J12">
            <v>91177</v>
          </cell>
          <cell r="K12" t="str">
            <v>MP</v>
          </cell>
        </row>
        <row r="13">
          <cell r="A13">
            <v>984259</v>
          </cell>
          <cell r="B13">
            <v>7221</v>
          </cell>
          <cell r="C13">
            <v>99</v>
          </cell>
          <cell r="D13">
            <v>13</v>
          </cell>
          <cell r="E13">
            <v>130</v>
          </cell>
          <cell r="F13">
            <v>757</v>
          </cell>
          <cell r="G13">
            <v>405</v>
          </cell>
          <cell r="H13">
            <v>1405.78</v>
          </cell>
          <cell r="I13">
            <v>1994.57</v>
          </cell>
          <cell r="J13">
            <v>90070</v>
          </cell>
          <cell r="K13" t="str">
            <v>MP</v>
          </cell>
        </row>
        <row r="14">
          <cell r="A14">
            <v>984300</v>
          </cell>
          <cell r="B14">
            <v>7222</v>
          </cell>
          <cell r="C14">
            <v>268</v>
          </cell>
          <cell r="D14">
            <v>16</v>
          </cell>
          <cell r="E14">
            <v>290</v>
          </cell>
          <cell r="F14">
            <v>192</v>
          </cell>
          <cell r="G14">
            <v>509</v>
          </cell>
          <cell r="H14">
            <v>1276.7</v>
          </cell>
          <cell r="I14">
            <v>2328.89</v>
          </cell>
          <cell r="J14">
            <v>91462</v>
          </cell>
          <cell r="K14" t="str">
            <v>MP</v>
          </cell>
        </row>
        <row r="15">
          <cell r="A15">
            <v>984303</v>
          </cell>
          <cell r="B15">
            <v>7107</v>
          </cell>
          <cell r="C15">
            <v>240</v>
          </cell>
          <cell r="D15">
            <v>88</v>
          </cell>
          <cell r="E15">
            <v>290</v>
          </cell>
          <cell r="F15">
            <v>882</v>
          </cell>
          <cell r="G15">
            <v>4878</v>
          </cell>
          <cell r="H15">
            <v>6380.8</v>
          </cell>
          <cell r="I15">
            <v>27280.36</v>
          </cell>
          <cell r="J15">
            <v>90236</v>
          </cell>
          <cell r="K15" t="str">
            <v>MP</v>
          </cell>
        </row>
        <row r="16">
          <cell r="A16">
            <v>984333</v>
          </cell>
          <cell r="B16">
            <v>7390</v>
          </cell>
          <cell r="C16">
            <v>504</v>
          </cell>
          <cell r="D16">
            <v>147</v>
          </cell>
          <cell r="E16">
            <v>321</v>
          </cell>
          <cell r="F16">
            <v>625</v>
          </cell>
          <cell r="G16">
            <v>5966</v>
          </cell>
          <cell r="H16">
            <v>7565.2</v>
          </cell>
          <cell r="I16">
            <v>44591.65</v>
          </cell>
          <cell r="J16">
            <v>92107</v>
          </cell>
          <cell r="K16" t="str">
            <v>MP</v>
          </cell>
        </row>
        <row r="17">
          <cell r="A17">
            <v>984339</v>
          </cell>
          <cell r="B17">
            <v>7167</v>
          </cell>
          <cell r="C17">
            <v>59</v>
          </cell>
          <cell r="D17">
            <v>8</v>
          </cell>
          <cell r="E17">
            <v>287</v>
          </cell>
          <cell r="F17">
            <v>163</v>
          </cell>
          <cell r="G17">
            <v>209</v>
          </cell>
          <cell r="H17">
            <v>728.2</v>
          </cell>
          <cell r="I17">
            <v>1335.41</v>
          </cell>
          <cell r="J17">
            <v>91227</v>
          </cell>
          <cell r="K17" t="str">
            <v>MP</v>
          </cell>
        </row>
        <row r="18">
          <cell r="A18">
            <v>984358</v>
          </cell>
          <cell r="B18">
            <v>7391</v>
          </cell>
          <cell r="C18">
            <v>123</v>
          </cell>
          <cell r="D18">
            <v>65</v>
          </cell>
          <cell r="E18">
            <v>290</v>
          </cell>
          <cell r="F18">
            <v>715</v>
          </cell>
          <cell r="G18">
            <v>1234</v>
          </cell>
          <cell r="H18">
            <v>2429.14</v>
          </cell>
          <cell r="I18">
            <v>20075.13</v>
          </cell>
          <cell r="J18">
            <v>90083</v>
          </cell>
          <cell r="K18" t="str">
            <v>MP</v>
          </cell>
        </row>
        <row r="19">
          <cell r="A19">
            <v>984412</v>
          </cell>
          <cell r="B19" t="str">
            <v xml:space="preserve"> 7108/7109</v>
          </cell>
          <cell r="C19">
            <v>956</v>
          </cell>
          <cell r="D19">
            <v>129</v>
          </cell>
          <cell r="E19">
            <v>290</v>
          </cell>
          <cell r="F19">
            <v>725</v>
          </cell>
          <cell r="G19">
            <v>3489</v>
          </cell>
          <cell r="H19">
            <v>5590.1</v>
          </cell>
          <cell r="I19">
            <v>19318.14</v>
          </cell>
          <cell r="J19">
            <v>91552</v>
          </cell>
          <cell r="K19" t="str">
            <v>MP</v>
          </cell>
        </row>
        <row r="20">
          <cell r="A20">
            <v>984430</v>
          </cell>
          <cell r="B20">
            <v>7055</v>
          </cell>
          <cell r="C20">
            <v>1137</v>
          </cell>
          <cell r="D20">
            <v>419</v>
          </cell>
          <cell r="E20">
            <v>290</v>
          </cell>
          <cell r="F20">
            <v>1786</v>
          </cell>
          <cell r="G20">
            <v>12923</v>
          </cell>
          <cell r="H20">
            <v>16556.38</v>
          </cell>
          <cell r="I20">
            <v>65499.5</v>
          </cell>
          <cell r="J20">
            <v>92142</v>
          </cell>
          <cell r="K20" t="str">
            <v>MP</v>
          </cell>
        </row>
        <row r="21">
          <cell r="A21">
            <v>984451</v>
          </cell>
          <cell r="B21" t="str">
            <v>7036/7037</v>
          </cell>
          <cell r="C21">
            <v>1127</v>
          </cell>
          <cell r="D21">
            <v>108</v>
          </cell>
          <cell r="E21">
            <v>287</v>
          </cell>
          <cell r="F21">
            <v>676</v>
          </cell>
          <cell r="G21">
            <v>3552</v>
          </cell>
          <cell r="H21">
            <v>5753.34</v>
          </cell>
          <cell r="I21">
            <v>17353.099999999999</v>
          </cell>
          <cell r="J21">
            <v>90257</v>
          </cell>
          <cell r="K21" t="str">
            <v>MP</v>
          </cell>
        </row>
        <row r="22">
          <cell r="A22">
            <v>984467</v>
          </cell>
          <cell r="B22" t="str">
            <v xml:space="preserve"> 7110/7111</v>
          </cell>
          <cell r="C22">
            <v>719</v>
          </cell>
          <cell r="D22">
            <v>1321</v>
          </cell>
          <cell r="E22">
            <v>290</v>
          </cell>
          <cell r="F22">
            <v>9577</v>
          </cell>
          <cell r="G22">
            <v>57998</v>
          </cell>
          <cell r="H22">
            <v>69906.98</v>
          </cell>
          <cell r="I22">
            <v>408484.39</v>
          </cell>
          <cell r="J22">
            <v>90097</v>
          </cell>
          <cell r="K22" t="str">
            <v>MP</v>
          </cell>
        </row>
        <row r="23">
          <cell r="A23">
            <v>984478</v>
          </cell>
          <cell r="B23">
            <v>7596</v>
          </cell>
          <cell r="C23">
            <v>829</v>
          </cell>
          <cell r="D23">
            <v>164</v>
          </cell>
          <cell r="E23">
            <v>290</v>
          </cell>
          <cell r="F23">
            <v>856</v>
          </cell>
          <cell r="G23">
            <v>5074</v>
          </cell>
          <cell r="H23">
            <v>7215.56</v>
          </cell>
          <cell r="I23">
            <v>25542.38</v>
          </cell>
          <cell r="J23">
            <v>92381</v>
          </cell>
          <cell r="K23" t="str">
            <v>MP</v>
          </cell>
        </row>
        <row r="24">
          <cell r="A24">
            <v>984479</v>
          </cell>
          <cell r="B24">
            <v>7102</v>
          </cell>
          <cell r="C24">
            <v>101</v>
          </cell>
          <cell r="D24">
            <v>6</v>
          </cell>
          <cell r="E24">
            <v>286</v>
          </cell>
          <cell r="F24">
            <v>154</v>
          </cell>
          <cell r="G24">
            <v>151</v>
          </cell>
          <cell r="H24">
            <v>700.14</v>
          </cell>
          <cell r="I24">
            <v>898.35</v>
          </cell>
          <cell r="J24">
            <v>90097</v>
          </cell>
          <cell r="K24" t="str">
            <v>MP</v>
          </cell>
        </row>
        <row r="25">
          <cell r="A25">
            <v>984484</v>
          </cell>
          <cell r="B25" t="str">
            <v xml:space="preserve"> 7441/7442</v>
          </cell>
          <cell r="C25">
            <v>2332</v>
          </cell>
          <cell r="D25">
            <v>3079</v>
          </cell>
          <cell r="E25">
            <v>290</v>
          </cell>
          <cell r="F25">
            <v>11464</v>
          </cell>
          <cell r="G25">
            <v>71703</v>
          </cell>
          <cell r="H25">
            <v>88869.61</v>
          </cell>
          <cell r="I25">
            <v>487140.75</v>
          </cell>
          <cell r="J25">
            <v>91706</v>
          </cell>
          <cell r="K25" t="str">
            <v>MP</v>
          </cell>
        </row>
        <row r="26">
          <cell r="A26">
            <v>984497</v>
          </cell>
          <cell r="B26">
            <v>7070</v>
          </cell>
          <cell r="C26">
            <v>376</v>
          </cell>
          <cell r="D26">
            <v>178</v>
          </cell>
          <cell r="E26">
            <v>287</v>
          </cell>
          <cell r="F26">
            <v>812</v>
          </cell>
          <cell r="G26">
            <v>3747</v>
          </cell>
          <cell r="H26">
            <v>5402.97</v>
          </cell>
          <cell r="I26">
            <v>28186.25</v>
          </cell>
          <cell r="J26">
            <v>92109</v>
          </cell>
          <cell r="K26" t="str">
            <v>MP</v>
          </cell>
        </row>
        <row r="27">
          <cell r="A27">
            <v>984502</v>
          </cell>
          <cell r="B27">
            <v>7071</v>
          </cell>
          <cell r="C27">
            <v>612</v>
          </cell>
          <cell r="D27">
            <v>99</v>
          </cell>
          <cell r="E27">
            <v>287</v>
          </cell>
          <cell r="F27">
            <v>1120</v>
          </cell>
          <cell r="G27">
            <v>5945</v>
          </cell>
          <cell r="H27">
            <v>8066.11</v>
          </cell>
          <cell r="I27">
            <v>30543.9</v>
          </cell>
          <cell r="J27">
            <v>90472</v>
          </cell>
          <cell r="K27" t="str">
            <v>MP</v>
          </cell>
        </row>
        <row r="28">
          <cell r="A28">
            <v>984517</v>
          </cell>
          <cell r="B28">
            <v>7113</v>
          </cell>
          <cell r="C28">
            <v>354</v>
          </cell>
          <cell r="D28">
            <v>172</v>
          </cell>
          <cell r="E28">
            <v>290</v>
          </cell>
          <cell r="F28">
            <v>1476</v>
          </cell>
          <cell r="G28">
            <v>3208</v>
          </cell>
          <cell r="H28">
            <v>5501.49</v>
          </cell>
          <cell r="I28">
            <v>53382.53</v>
          </cell>
          <cell r="J28">
            <v>90083</v>
          </cell>
          <cell r="K28" t="str">
            <v>MP</v>
          </cell>
        </row>
        <row r="29">
          <cell r="A29">
            <v>984524</v>
          </cell>
          <cell r="B29">
            <v>7072</v>
          </cell>
          <cell r="C29">
            <v>409</v>
          </cell>
          <cell r="D29">
            <v>26</v>
          </cell>
          <cell r="E29">
            <v>287</v>
          </cell>
          <cell r="F29">
            <v>244</v>
          </cell>
          <cell r="G29">
            <v>800</v>
          </cell>
          <cell r="H29">
            <v>1768.51</v>
          </cell>
          <cell r="I29">
            <v>3746.11</v>
          </cell>
          <cell r="J29">
            <v>91177</v>
          </cell>
          <cell r="K29" t="str">
            <v>MP</v>
          </cell>
        </row>
        <row r="30">
          <cell r="A30">
            <v>984538</v>
          </cell>
          <cell r="B30">
            <v>7246</v>
          </cell>
          <cell r="C30">
            <v>243</v>
          </cell>
          <cell r="D30">
            <v>193</v>
          </cell>
          <cell r="E30">
            <v>290</v>
          </cell>
          <cell r="F30">
            <v>1616</v>
          </cell>
          <cell r="G30">
            <v>8493</v>
          </cell>
          <cell r="H30">
            <v>10836.79</v>
          </cell>
          <cell r="I30">
            <v>56148.87</v>
          </cell>
          <cell r="J30">
            <v>90248</v>
          </cell>
          <cell r="K30" t="str">
            <v>MP</v>
          </cell>
        </row>
        <row r="31">
          <cell r="A31">
            <v>984570</v>
          </cell>
          <cell r="B31">
            <v>7073</v>
          </cell>
          <cell r="C31">
            <v>128</v>
          </cell>
          <cell r="D31">
            <v>92</v>
          </cell>
          <cell r="E31">
            <v>290</v>
          </cell>
          <cell r="F31">
            <v>907</v>
          </cell>
          <cell r="G31">
            <v>4056</v>
          </cell>
          <cell r="H31">
            <v>5475.07</v>
          </cell>
          <cell r="I31">
            <v>28584.09</v>
          </cell>
          <cell r="J31">
            <v>90496</v>
          </cell>
          <cell r="K31" t="str">
            <v>MP</v>
          </cell>
        </row>
        <row r="32">
          <cell r="A32">
            <v>984574</v>
          </cell>
          <cell r="B32">
            <v>7223</v>
          </cell>
          <cell r="C32">
            <v>167</v>
          </cell>
          <cell r="D32">
            <v>35</v>
          </cell>
          <cell r="E32">
            <v>290</v>
          </cell>
          <cell r="F32">
            <v>497</v>
          </cell>
          <cell r="G32">
            <v>1542</v>
          </cell>
          <cell r="H32">
            <v>2532.64</v>
          </cell>
          <cell r="I32">
            <v>10754.32</v>
          </cell>
          <cell r="J32">
            <v>90468</v>
          </cell>
          <cell r="K32" t="str">
            <v>MP</v>
          </cell>
        </row>
        <row r="33">
          <cell r="A33">
            <v>984583</v>
          </cell>
          <cell r="B33">
            <v>7074</v>
          </cell>
          <cell r="C33">
            <v>113</v>
          </cell>
          <cell r="D33">
            <v>80</v>
          </cell>
          <cell r="E33">
            <v>287</v>
          </cell>
          <cell r="F33">
            <v>427</v>
          </cell>
          <cell r="G33">
            <v>1968</v>
          </cell>
          <cell r="H33">
            <v>2878.2</v>
          </cell>
          <cell r="I33">
            <v>12948.94</v>
          </cell>
          <cell r="J33">
            <v>91982</v>
          </cell>
          <cell r="K33" t="str">
            <v>MP</v>
          </cell>
        </row>
        <row r="34">
          <cell r="A34">
            <v>984592</v>
          </cell>
          <cell r="B34" t="str">
            <v xml:space="preserve"> 7168/7169</v>
          </cell>
          <cell r="C34">
            <v>1545</v>
          </cell>
          <cell r="D34">
            <v>888</v>
          </cell>
          <cell r="E34">
            <v>290</v>
          </cell>
          <cell r="F34">
            <v>6522</v>
          </cell>
          <cell r="G34">
            <v>33916</v>
          </cell>
          <cell r="H34">
            <v>43163.67</v>
          </cell>
          <cell r="I34">
            <v>273761.36</v>
          </cell>
          <cell r="J34">
            <v>90061</v>
          </cell>
          <cell r="K34" t="str">
            <v>MP</v>
          </cell>
        </row>
        <row r="35">
          <cell r="A35">
            <v>984593</v>
          </cell>
          <cell r="B35" t="str">
            <v xml:space="preserve"> 7443/7444</v>
          </cell>
          <cell r="C35">
            <v>133</v>
          </cell>
          <cell r="D35">
            <v>77</v>
          </cell>
          <cell r="E35">
            <v>290</v>
          </cell>
          <cell r="F35">
            <v>800</v>
          </cell>
          <cell r="G35">
            <v>3388</v>
          </cell>
          <cell r="H35">
            <v>4689.22</v>
          </cell>
          <cell r="I35">
            <v>23851.81</v>
          </cell>
          <cell r="J35">
            <v>90097</v>
          </cell>
          <cell r="K35" t="str">
            <v>MP</v>
          </cell>
        </row>
        <row r="36">
          <cell r="A36">
            <v>984598</v>
          </cell>
          <cell r="B36" t="str">
            <v>7075/7076</v>
          </cell>
          <cell r="C36">
            <v>63</v>
          </cell>
          <cell r="D36">
            <v>214</v>
          </cell>
          <cell r="E36">
            <v>287</v>
          </cell>
          <cell r="F36">
            <v>1075</v>
          </cell>
          <cell r="G36">
            <v>6597</v>
          </cell>
          <cell r="H36">
            <v>8239.2800000000007</v>
          </cell>
          <cell r="I36">
            <v>34437.550000000003</v>
          </cell>
          <cell r="J36">
            <v>91975</v>
          </cell>
          <cell r="K36" t="str">
            <v>MP</v>
          </cell>
        </row>
        <row r="37">
          <cell r="A37">
            <v>984605</v>
          </cell>
          <cell r="B37">
            <v>7487</v>
          </cell>
          <cell r="C37">
            <v>144</v>
          </cell>
          <cell r="D37">
            <v>27</v>
          </cell>
          <cell r="E37">
            <v>290</v>
          </cell>
          <cell r="F37">
            <v>392</v>
          </cell>
          <cell r="G37">
            <v>1212</v>
          </cell>
          <cell r="H37">
            <v>2066.7399999999998</v>
          </cell>
          <cell r="I37">
            <v>8447.1200000000008</v>
          </cell>
          <cell r="J37">
            <v>90097</v>
          </cell>
          <cell r="K37" t="str">
            <v>MP</v>
          </cell>
        </row>
        <row r="38">
          <cell r="A38">
            <v>984614</v>
          </cell>
          <cell r="B38">
            <v>7279</v>
          </cell>
          <cell r="C38">
            <v>116</v>
          </cell>
          <cell r="D38">
            <v>134</v>
          </cell>
          <cell r="E38">
            <v>290</v>
          </cell>
          <cell r="F38">
            <v>746</v>
          </cell>
          <cell r="G38">
            <v>3049</v>
          </cell>
          <cell r="H38">
            <v>4336.1400000000003</v>
          </cell>
          <cell r="I38">
            <v>21412.51</v>
          </cell>
          <cell r="J38">
            <v>91841</v>
          </cell>
          <cell r="K38" t="str">
            <v>MP</v>
          </cell>
        </row>
        <row r="39">
          <cell r="A39">
            <v>984615</v>
          </cell>
          <cell r="C39">
            <v>151</v>
          </cell>
          <cell r="D39">
            <v>22</v>
          </cell>
          <cell r="E39">
            <v>290</v>
          </cell>
          <cell r="F39">
            <v>214</v>
          </cell>
          <cell r="G39">
            <v>767</v>
          </cell>
          <cell r="H39">
            <v>1445.84</v>
          </cell>
          <cell r="I39">
            <v>3448.51</v>
          </cell>
          <cell r="J39">
            <v>90639</v>
          </cell>
          <cell r="K39" t="str">
            <v>MP</v>
          </cell>
        </row>
        <row r="40">
          <cell r="A40">
            <v>984619</v>
          </cell>
          <cell r="B40">
            <v>7056</v>
          </cell>
          <cell r="C40">
            <v>866</v>
          </cell>
          <cell r="D40">
            <v>135</v>
          </cell>
          <cell r="E40">
            <v>290</v>
          </cell>
          <cell r="F40">
            <v>752</v>
          </cell>
          <cell r="G40">
            <v>4156</v>
          </cell>
          <cell r="H40">
            <v>6201.03</v>
          </cell>
          <cell r="I40">
            <v>20929.04</v>
          </cell>
          <cell r="J40">
            <v>90721</v>
          </cell>
          <cell r="K40" t="str">
            <v>MP</v>
          </cell>
        </row>
        <row r="41">
          <cell r="A41">
            <v>984620</v>
          </cell>
          <cell r="B41" t="str">
            <v xml:space="preserve"> 7114/7115</v>
          </cell>
          <cell r="C41">
            <v>1028</v>
          </cell>
          <cell r="D41">
            <v>84</v>
          </cell>
          <cell r="E41">
            <v>290</v>
          </cell>
          <cell r="F41">
            <v>572</v>
          </cell>
          <cell r="G41">
            <v>2605</v>
          </cell>
          <cell r="H41">
            <v>4580.37</v>
          </cell>
          <cell r="I41">
            <v>12849</v>
          </cell>
          <cell r="J41">
            <v>90257</v>
          </cell>
          <cell r="K41" t="str">
            <v>MP</v>
          </cell>
        </row>
        <row r="42">
          <cell r="A42">
            <v>984640</v>
          </cell>
          <cell r="B42">
            <v>7170</v>
          </cell>
          <cell r="C42">
            <v>429</v>
          </cell>
          <cell r="D42">
            <v>46</v>
          </cell>
          <cell r="E42">
            <v>290</v>
          </cell>
          <cell r="F42">
            <v>342</v>
          </cell>
          <cell r="G42">
            <v>1584</v>
          </cell>
          <cell r="H42">
            <v>2693.06</v>
          </cell>
          <cell r="I42">
            <v>7050.19</v>
          </cell>
          <cell r="J42">
            <v>92088</v>
          </cell>
          <cell r="K42" t="str">
            <v>MP</v>
          </cell>
        </row>
        <row r="43">
          <cell r="A43">
            <v>984642</v>
          </cell>
          <cell r="B43">
            <v>7317</v>
          </cell>
          <cell r="C43">
            <v>1263</v>
          </cell>
          <cell r="D43">
            <v>4182</v>
          </cell>
          <cell r="E43">
            <v>290</v>
          </cell>
          <cell r="F43">
            <v>15529</v>
          </cell>
          <cell r="G43">
            <v>34145</v>
          </cell>
          <cell r="H43">
            <v>55411.02</v>
          </cell>
          <cell r="I43">
            <v>662644.32999999996</v>
          </cell>
          <cell r="J43">
            <v>91578</v>
          </cell>
          <cell r="K43" t="str">
            <v>MP</v>
          </cell>
        </row>
        <row r="44">
          <cell r="A44">
            <v>984650</v>
          </cell>
          <cell r="B44">
            <v>7116</v>
          </cell>
          <cell r="C44">
            <v>131</v>
          </cell>
          <cell r="D44">
            <v>2</v>
          </cell>
          <cell r="E44">
            <v>287</v>
          </cell>
          <cell r="F44">
            <v>147</v>
          </cell>
          <cell r="G44">
            <v>131</v>
          </cell>
          <cell r="H44">
            <v>701.55</v>
          </cell>
          <cell r="I44">
            <v>561.30999999999995</v>
          </cell>
          <cell r="J44">
            <v>91591</v>
          </cell>
          <cell r="K44" t="str">
            <v>MP</v>
          </cell>
        </row>
        <row r="45">
          <cell r="A45">
            <v>984654</v>
          </cell>
          <cell r="C45">
            <v>10258</v>
          </cell>
          <cell r="D45">
            <v>580</v>
          </cell>
          <cell r="E45">
            <v>659</v>
          </cell>
          <cell r="F45">
            <v>629</v>
          </cell>
          <cell r="G45">
            <v>19780</v>
          </cell>
          <cell r="H45">
            <v>31906.31</v>
          </cell>
          <cell r="I45">
            <v>83177.06</v>
          </cell>
          <cell r="J45">
            <v>91375</v>
          </cell>
          <cell r="K45" t="str">
            <v>MP</v>
          </cell>
        </row>
        <row r="46">
          <cell r="A46">
            <v>984664</v>
          </cell>
          <cell r="B46">
            <v>7103</v>
          </cell>
          <cell r="C46">
            <v>108</v>
          </cell>
          <cell r="D46">
            <v>31</v>
          </cell>
          <cell r="E46">
            <v>290</v>
          </cell>
          <cell r="F46">
            <v>248</v>
          </cell>
          <cell r="G46">
            <v>1017</v>
          </cell>
          <cell r="H46">
            <v>1695.54</v>
          </cell>
          <cell r="I46">
            <v>4953.8100000000004</v>
          </cell>
          <cell r="J46">
            <v>91462</v>
          </cell>
          <cell r="K46" t="str">
            <v>MP</v>
          </cell>
        </row>
        <row r="47">
          <cell r="A47">
            <v>984665</v>
          </cell>
          <cell r="B47">
            <v>7224</v>
          </cell>
          <cell r="C47">
            <v>249</v>
          </cell>
          <cell r="D47">
            <v>9</v>
          </cell>
          <cell r="E47">
            <v>290</v>
          </cell>
          <cell r="F47">
            <v>167</v>
          </cell>
          <cell r="G47">
            <v>301</v>
          </cell>
          <cell r="H47">
            <v>1018.56</v>
          </cell>
          <cell r="I47">
            <v>1287.21</v>
          </cell>
          <cell r="J47">
            <v>91462</v>
          </cell>
          <cell r="K47" t="str">
            <v>MP</v>
          </cell>
        </row>
        <row r="48">
          <cell r="A48">
            <v>984666</v>
          </cell>
          <cell r="B48">
            <v>7392</v>
          </cell>
          <cell r="C48">
            <v>970</v>
          </cell>
          <cell r="D48">
            <v>34</v>
          </cell>
          <cell r="E48">
            <v>290</v>
          </cell>
          <cell r="F48">
            <v>259</v>
          </cell>
          <cell r="G48">
            <v>1073</v>
          </cell>
          <cell r="H48">
            <v>2628.95</v>
          </cell>
          <cell r="I48">
            <v>4533.91</v>
          </cell>
          <cell r="J48">
            <v>91462</v>
          </cell>
          <cell r="K48" t="str">
            <v>MP</v>
          </cell>
        </row>
        <row r="49">
          <cell r="A49">
            <v>984667</v>
          </cell>
          <cell r="B49">
            <v>7319</v>
          </cell>
          <cell r="C49">
            <v>128</v>
          </cell>
          <cell r="D49">
            <v>1</v>
          </cell>
          <cell r="E49">
            <v>290</v>
          </cell>
          <cell r="F49">
            <v>144</v>
          </cell>
          <cell r="G49">
            <v>46</v>
          </cell>
          <cell r="H49">
            <v>611.33000000000004</v>
          </cell>
          <cell r="I49">
            <v>189.32</v>
          </cell>
          <cell r="J49">
            <v>91462</v>
          </cell>
          <cell r="K49" t="str">
            <v>MP</v>
          </cell>
        </row>
        <row r="50">
          <cell r="A50">
            <v>984668</v>
          </cell>
          <cell r="B50">
            <v>7057</v>
          </cell>
          <cell r="C50">
            <v>657</v>
          </cell>
          <cell r="D50">
            <v>24</v>
          </cell>
          <cell r="E50">
            <v>287</v>
          </cell>
          <cell r="F50">
            <v>221</v>
          </cell>
          <cell r="G50">
            <v>759</v>
          </cell>
          <cell r="H50">
            <v>1951.25</v>
          </cell>
          <cell r="I50">
            <v>3304.36</v>
          </cell>
          <cell r="J50">
            <v>91462</v>
          </cell>
          <cell r="K50" t="str">
            <v>MP</v>
          </cell>
        </row>
        <row r="51">
          <cell r="A51">
            <v>984669</v>
          </cell>
          <cell r="B51">
            <v>7280</v>
          </cell>
          <cell r="C51">
            <v>409</v>
          </cell>
          <cell r="D51">
            <v>42</v>
          </cell>
          <cell r="E51">
            <v>290</v>
          </cell>
          <cell r="F51">
            <v>553</v>
          </cell>
          <cell r="G51">
            <v>1848</v>
          </cell>
          <cell r="H51">
            <v>3143.85</v>
          </cell>
          <cell r="I51">
            <v>12693.44</v>
          </cell>
          <cell r="J51">
            <v>91750</v>
          </cell>
          <cell r="K51" t="str">
            <v>MP</v>
          </cell>
        </row>
        <row r="52">
          <cell r="A52">
            <v>984673</v>
          </cell>
          <cell r="B52" t="str">
            <v xml:space="preserve"> 7250/7251</v>
          </cell>
          <cell r="C52">
            <v>244</v>
          </cell>
          <cell r="D52">
            <v>81</v>
          </cell>
          <cell r="E52">
            <v>290</v>
          </cell>
          <cell r="F52">
            <v>553</v>
          </cell>
          <cell r="G52">
            <v>2513</v>
          </cell>
          <cell r="H52">
            <v>3683.03</v>
          </cell>
          <cell r="I52">
            <v>12777.49</v>
          </cell>
          <cell r="J52">
            <v>91462</v>
          </cell>
          <cell r="K52" t="str">
            <v>MP</v>
          </cell>
        </row>
        <row r="53">
          <cell r="A53">
            <v>984675</v>
          </cell>
          <cell r="B53">
            <v>7058</v>
          </cell>
          <cell r="C53">
            <v>117</v>
          </cell>
          <cell r="D53">
            <v>3</v>
          </cell>
          <cell r="E53">
            <v>287</v>
          </cell>
          <cell r="F53">
            <v>157</v>
          </cell>
          <cell r="G53">
            <v>172</v>
          </cell>
          <cell r="H53">
            <v>739.39</v>
          </cell>
          <cell r="I53">
            <v>1022.81</v>
          </cell>
          <cell r="J53">
            <v>90236</v>
          </cell>
          <cell r="K53" t="str">
            <v>MP</v>
          </cell>
        </row>
        <row r="54">
          <cell r="A54">
            <v>984677</v>
          </cell>
          <cell r="B54">
            <v>7489</v>
          </cell>
          <cell r="C54">
            <v>1076</v>
          </cell>
          <cell r="D54">
            <v>178</v>
          </cell>
          <cell r="E54">
            <v>290</v>
          </cell>
          <cell r="F54">
            <v>1513</v>
          </cell>
          <cell r="G54">
            <v>10616</v>
          </cell>
          <cell r="H54">
            <v>13674.49</v>
          </cell>
          <cell r="I54">
            <v>54371.08</v>
          </cell>
          <cell r="J54">
            <v>90469</v>
          </cell>
          <cell r="K54" t="str">
            <v>MP</v>
          </cell>
        </row>
        <row r="55">
          <cell r="A55">
            <v>984679</v>
          </cell>
          <cell r="B55">
            <v>7320</v>
          </cell>
          <cell r="C55">
            <v>117</v>
          </cell>
          <cell r="D55">
            <v>23</v>
          </cell>
          <cell r="E55">
            <v>290</v>
          </cell>
          <cell r="F55">
            <v>335</v>
          </cell>
          <cell r="G55">
            <v>1034</v>
          </cell>
          <cell r="H55">
            <v>1802.23</v>
          </cell>
          <cell r="I55">
            <v>7217.4</v>
          </cell>
          <cell r="J55">
            <v>90496</v>
          </cell>
          <cell r="K55" t="str">
            <v>MP</v>
          </cell>
        </row>
        <row r="56">
          <cell r="A56">
            <v>984690</v>
          </cell>
          <cell r="B56">
            <v>7059</v>
          </cell>
          <cell r="C56">
            <v>126</v>
          </cell>
          <cell r="D56">
            <v>55</v>
          </cell>
          <cell r="E56">
            <v>290</v>
          </cell>
          <cell r="F56">
            <v>650</v>
          </cell>
          <cell r="G56">
            <v>3682</v>
          </cell>
          <cell r="H56">
            <v>4805.83</v>
          </cell>
          <cell r="I56">
            <v>17250.669999999998</v>
          </cell>
          <cell r="J56">
            <v>91681</v>
          </cell>
          <cell r="K56" t="str">
            <v>MP</v>
          </cell>
        </row>
        <row r="57">
          <cell r="A57">
            <v>984693</v>
          </cell>
          <cell r="C57">
            <v>135.51</v>
          </cell>
          <cell r="D57">
            <v>59.97</v>
          </cell>
          <cell r="E57">
            <v>287.81</v>
          </cell>
          <cell r="F57">
            <v>596.20000000000005</v>
          </cell>
          <cell r="G57">
            <v>2256.06</v>
          </cell>
          <cell r="H57">
            <v>3335.55</v>
          </cell>
          <cell r="I57">
            <v>14922.62</v>
          </cell>
          <cell r="J57">
            <v>91147</v>
          </cell>
          <cell r="K57" t="str">
            <v>MP</v>
          </cell>
        </row>
        <row r="58">
          <cell r="A58">
            <v>984708</v>
          </cell>
          <cell r="B58" t="str">
            <v xml:space="preserve"> 7046/7047</v>
          </cell>
          <cell r="C58">
            <v>131</v>
          </cell>
          <cell r="D58">
            <v>5</v>
          </cell>
          <cell r="E58">
            <v>287</v>
          </cell>
          <cell r="F58">
            <v>170</v>
          </cell>
          <cell r="G58">
            <v>320</v>
          </cell>
          <cell r="H58">
            <v>915.96</v>
          </cell>
          <cell r="I58">
            <v>1556.73</v>
          </cell>
          <cell r="J58">
            <v>91591</v>
          </cell>
          <cell r="K58" t="str">
            <v>MP</v>
          </cell>
        </row>
        <row r="59">
          <cell r="A59">
            <v>984709</v>
          </cell>
          <cell r="B59">
            <v>7048</v>
          </cell>
          <cell r="C59">
            <v>131</v>
          </cell>
          <cell r="D59">
            <v>1</v>
          </cell>
          <cell r="E59">
            <v>287</v>
          </cell>
          <cell r="F59">
            <v>51</v>
          </cell>
          <cell r="G59">
            <v>59</v>
          </cell>
          <cell r="H59">
            <v>531.47</v>
          </cell>
          <cell r="I59">
            <v>180.53</v>
          </cell>
          <cell r="J59">
            <v>91591</v>
          </cell>
          <cell r="K59" t="str">
            <v>MP</v>
          </cell>
        </row>
        <row r="60">
          <cell r="A60">
            <v>984714</v>
          </cell>
          <cell r="B60">
            <v>7049</v>
          </cell>
          <cell r="C60">
            <v>430</v>
          </cell>
          <cell r="D60">
            <v>226</v>
          </cell>
          <cell r="E60">
            <v>287</v>
          </cell>
          <cell r="F60">
            <v>1853</v>
          </cell>
          <cell r="G60">
            <v>10648</v>
          </cell>
          <cell r="H60">
            <v>13446.56</v>
          </cell>
          <cell r="I60">
            <v>70585.279999999999</v>
          </cell>
          <cell r="J60">
            <v>90496</v>
          </cell>
          <cell r="K60" t="str">
            <v>MP</v>
          </cell>
        </row>
        <row r="61">
          <cell r="A61">
            <v>984723</v>
          </cell>
          <cell r="B61">
            <v>7225</v>
          </cell>
          <cell r="C61">
            <v>130</v>
          </cell>
          <cell r="D61">
            <v>0</v>
          </cell>
          <cell r="E61">
            <v>290</v>
          </cell>
          <cell r="F61">
            <v>155</v>
          </cell>
          <cell r="G61">
            <v>194</v>
          </cell>
          <cell r="H61">
            <v>770.77</v>
          </cell>
          <cell r="I61">
            <v>889.66</v>
          </cell>
          <cell r="J61">
            <v>90402</v>
          </cell>
          <cell r="K61" t="str">
            <v>MP</v>
          </cell>
        </row>
        <row r="62">
          <cell r="A62">
            <v>984728</v>
          </cell>
          <cell r="B62">
            <v>7393</v>
          </cell>
          <cell r="C62">
            <v>316</v>
          </cell>
          <cell r="D62">
            <v>87</v>
          </cell>
          <cell r="E62">
            <v>290</v>
          </cell>
          <cell r="F62">
            <v>573</v>
          </cell>
          <cell r="G62">
            <v>2720</v>
          </cell>
          <cell r="H62">
            <v>3987.75</v>
          </cell>
          <cell r="I62">
            <v>13527.15</v>
          </cell>
          <cell r="J62">
            <v>90424</v>
          </cell>
          <cell r="K62" t="str">
            <v>MP</v>
          </cell>
        </row>
        <row r="63">
          <cell r="A63">
            <v>984730</v>
          </cell>
          <cell r="B63">
            <v>7118</v>
          </cell>
          <cell r="C63">
            <v>285</v>
          </cell>
          <cell r="D63">
            <v>145</v>
          </cell>
          <cell r="E63">
            <v>290</v>
          </cell>
          <cell r="F63">
            <v>1283</v>
          </cell>
          <cell r="G63">
            <v>6135</v>
          </cell>
          <cell r="H63">
            <v>8139.56</v>
          </cell>
          <cell r="I63">
            <v>44967.14</v>
          </cell>
          <cell r="J63">
            <v>90061</v>
          </cell>
          <cell r="K63" t="str">
            <v>MP</v>
          </cell>
        </row>
        <row r="64">
          <cell r="A64">
            <v>984736</v>
          </cell>
          <cell r="B64">
            <v>7060</v>
          </cell>
          <cell r="C64">
            <v>2174</v>
          </cell>
          <cell r="D64">
            <v>338</v>
          </cell>
          <cell r="E64">
            <v>290</v>
          </cell>
          <cell r="F64">
            <v>1488</v>
          </cell>
          <cell r="G64">
            <v>10411</v>
          </cell>
          <cell r="H64">
            <v>14703.34</v>
          </cell>
          <cell r="I64">
            <v>51236.09</v>
          </cell>
          <cell r="J64">
            <v>90338</v>
          </cell>
          <cell r="K64" t="str">
            <v>MP</v>
          </cell>
        </row>
        <row r="65">
          <cell r="A65">
            <v>984740</v>
          </cell>
          <cell r="B65">
            <v>7252</v>
          </cell>
          <cell r="C65">
            <v>331</v>
          </cell>
          <cell r="D65">
            <v>10</v>
          </cell>
          <cell r="E65">
            <v>290</v>
          </cell>
          <cell r="F65">
            <v>170</v>
          </cell>
          <cell r="G65">
            <v>323</v>
          </cell>
          <cell r="H65">
            <v>1125.3</v>
          </cell>
          <cell r="I65">
            <v>1350.49</v>
          </cell>
          <cell r="J65">
            <v>91163</v>
          </cell>
          <cell r="K65" t="str">
            <v>MP</v>
          </cell>
        </row>
        <row r="66">
          <cell r="A66">
            <v>984744</v>
          </cell>
          <cell r="B66" t="str">
            <v>7041/7042</v>
          </cell>
          <cell r="C66">
            <v>1426</v>
          </cell>
          <cell r="D66">
            <v>112</v>
          </cell>
          <cell r="E66">
            <v>287</v>
          </cell>
          <cell r="F66">
            <v>667</v>
          </cell>
          <cell r="G66">
            <v>3473</v>
          </cell>
          <cell r="H66">
            <v>5967.81</v>
          </cell>
          <cell r="I66">
            <v>16953.599999999999</v>
          </cell>
          <cell r="J66">
            <v>91975</v>
          </cell>
          <cell r="K66" t="str">
            <v>MP</v>
          </cell>
        </row>
        <row r="67">
          <cell r="A67">
            <v>984745</v>
          </cell>
          <cell r="B67">
            <v>7616</v>
          </cell>
          <cell r="C67">
            <v>242</v>
          </cell>
          <cell r="D67">
            <v>324</v>
          </cell>
          <cell r="E67">
            <v>422</v>
          </cell>
          <cell r="F67">
            <v>2541</v>
          </cell>
          <cell r="G67">
            <v>14221</v>
          </cell>
          <cell r="H67">
            <v>17751.490000000002</v>
          </cell>
          <cell r="I67">
            <v>69050.81</v>
          </cell>
          <cell r="J67">
            <v>91468</v>
          </cell>
          <cell r="K67" t="str">
            <v>MP</v>
          </cell>
        </row>
        <row r="68">
          <cell r="A68">
            <v>984746</v>
          </cell>
          <cell r="B68">
            <v>7061</v>
          </cell>
          <cell r="C68">
            <v>233</v>
          </cell>
          <cell r="D68">
            <v>29</v>
          </cell>
          <cell r="E68">
            <v>287</v>
          </cell>
          <cell r="F68">
            <v>237</v>
          </cell>
          <cell r="G68">
            <v>945</v>
          </cell>
          <cell r="H68">
            <v>1733.54</v>
          </cell>
          <cell r="I68">
            <v>4446.5600000000004</v>
          </cell>
          <cell r="J68">
            <v>91337</v>
          </cell>
          <cell r="K68" t="str">
            <v>MP</v>
          </cell>
        </row>
        <row r="69">
          <cell r="A69">
            <v>984752</v>
          </cell>
          <cell r="B69">
            <v>7281</v>
          </cell>
          <cell r="C69">
            <v>146</v>
          </cell>
          <cell r="D69">
            <v>22</v>
          </cell>
          <cell r="E69">
            <v>290</v>
          </cell>
          <cell r="F69">
            <v>325</v>
          </cell>
          <cell r="G69">
            <v>1001</v>
          </cell>
          <cell r="H69">
            <v>1787.22</v>
          </cell>
          <cell r="I69">
            <v>6959.79</v>
          </cell>
          <cell r="J69">
            <v>90097</v>
          </cell>
          <cell r="K69" t="str">
            <v>MP</v>
          </cell>
        </row>
        <row r="70">
          <cell r="A70">
            <v>984756</v>
          </cell>
          <cell r="B70">
            <v>7119</v>
          </cell>
          <cell r="C70">
            <v>185</v>
          </cell>
          <cell r="D70">
            <v>15</v>
          </cell>
          <cell r="E70">
            <v>290</v>
          </cell>
          <cell r="F70">
            <v>187</v>
          </cell>
          <cell r="G70">
            <v>469</v>
          </cell>
          <cell r="H70">
            <v>1148.8499999999999</v>
          </cell>
          <cell r="I70">
            <v>2268.9699999999998</v>
          </cell>
          <cell r="J70">
            <v>92090</v>
          </cell>
          <cell r="K70" t="str">
            <v>MP</v>
          </cell>
        </row>
        <row r="71">
          <cell r="A71">
            <v>984762</v>
          </cell>
          <cell r="B71">
            <v>7171</v>
          </cell>
          <cell r="C71">
            <v>131</v>
          </cell>
          <cell r="D71">
            <v>4</v>
          </cell>
          <cell r="E71">
            <v>290</v>
          </cell>
          <cell r="F71">
            <v>21</v>
          </cell>
          <cell r="G71">
            <v>138</v>
          </cell>
          <cell r="H71">
            <v>585.76</v>
          </cell>
          <cell r="I71">
            <v>519.52</v>
          </cell>
          <cell r="J71">
            <v>90506</v>
          </cell>
          <cell r="K71" t="str">
            <v>MP</v>
          </cell>
        </row>
        <row r="72">
          <cell r="A72">
            <v>984775</v>
          </cell>
          <cell r="B72">
            <v>7394</v>
          </cell>
          <cell r="C72">
            <v>132</v>
          </cell>
          <cell r="D72">
            <v>2</v>
          </cell>
          <cell r="E72">
            <v>290</v>
          </cell>
          <cell r="F72">
            <v>148</v>
          </cell>
          <cell r="G72">
            <v>102</v>
          </cell>
          <cell r="H72">
            <v>676.5</v>
          </cell>
          <cell r="I72">
            <v>595.67999999999995</v>
          </cell>
          <cell r="J72">
            <v>90463</v>
          </cell>
          <cell r="K72" t="str">
            <v>MP</v>
          </cell>
        </row>
        <row r="73">
          <cell r="A73">
            <v>984777</v>
          </cell>
          <cell r="B73">
            <v>7253</v>
          </cell>
          <cell r="C73">
            <v>64</v>
          </cell>
          <cell r="D73">
            <v>73</v>
          </cell>
          <cell r="E73">
            <v>290</v>
          </cell>
          <cell r="F73">
            <v>775</v>
          </cell>
          <cell r="G73">
            <v>3234</v>
          </cell>
          <cell r="H73">
            <v>4439.5600000000004</v>
          </cell>
          <cell r="I73">
            <v>22878.73</v>
          </cell>
          <cell r="J73">
            <v>90485</v>
          </cell>
          <cell r="K73" t="str">
            <v>MP</v>
          </cell>
        </row>
        <row r="74">
          <cell r="A74">
            <v>984778</v>
          </cell>
          <cell r="B74">
            <v>7226</v>
          </cell>
          <cell r="C74">
            <v>416</v>
          </cell>
          <cell r="D74">
            <v>14</v>
          </cell>
          <cell r="E74">
            <v>290</v>
          </cell>
          <cell r="F74">
            <v>236</v>
          </cell>
          <cell r="G74">
            <v>647</v>
          </cell>
          <cell r="H74">
            <v>1605.49</v>
          </cell>
          <cell r="I74">
            <v>4178.33</v>
          </cell>
          <cell r="J74">
            <v>90061</v>
          </cell>
          <cell r="K74" t="str">
            <v>MP</v>
          </cell>
        </row>
        <row r="75">
          <cell r="A75">
            <v>984780</v>
          </cell>
          <cell r="B75">
            <v>7242</v>
          </cell>
          <cell r="C75">
            <v>331</v>
          </cell>
          <cell r="D75">
            <v>35</v>
          </cell>
          <cell r="E75">
            <v>290</v>
          </cell>
          <cell r="F75">
            <v>260</v>
          </cell>
          <cell r="G75">
            <v>1197</v>
          </cell>
          <cell r="H75">
            <v>2114.88</v>
          </cell>
          <cell r="I75">
            <v>5372.37</v>
          </cell>
          <cell r="J75">
            <v>92088</v>
          </cell>
          <cell r="K75" t="str">
            <v>MP</v>
          </cell>
        </row>
        <row r="76">
          <cell r="A76">
            <v>984787</v>
          </cell>
          <cell r="B76">
            <v>7172</v>
          </cell>
          <cell r="C76">
            <v>190</v>
          </cell>
          <cell r="D76">
            <v>8</v>
          </cell>
          <cell r="E76">
            <v>290</v>
          </cell>
          <cell r="F76">
            <v>161</v>
          </cell>
          <cell r="G76">
            <v>249</v>
          </cell>
          <cell r="H76">
            <v>899.31</v>
          </cell>
          <cell r="I76">
            <v>1100.44</v>
          </cell>
          <cell r="J76">
            <v>90662</v>
          </cell>
          <cell r="K76" t="str">
            <v>MP</v>
          </cell>
        </row>
        <row r="77">
          <cell r="A77">
            <v>984789</v>
          </cell>
          <cell r="B77" t="str">
            <v xml:space="preserve"> 7173/7174</v>
          </cell>
          <cell r="C77">
            <v>511</v>
          </cell>
          <cell r="D77">
            <v>54</v>
          </cell>
          <cell r="E77">
            <v>290</v>
          </cell>
          <cell r="F77">
            <v>640</v>
          </cell>
          <cell r="G77">
            <v>2393</v>
          </cell>
          <cell r="H77">
            <v>3890.49</v>
          </cell>
          <cell r="I77">
            <v>16465.7</v>
          </cell>
          <cell r="J77">
            <v>91750</v>
          </cell>
          <cell r="K77" t="str">
            <v>MP</v>
          </cell>
        </row>
        <row r="78">
          <cell r="A78">
            <v>984790</v>
          </cell>
          <cell r="B78">
            <v>7254</v>
          </cell>
          <cell r="C78">
            <v>172</v>
          </cell>
          <cell r="D78">
            <v>21</v>
          </cell>
          <cell r="E78">
            <v>290</v>
          </cell>
          <cell r="F78">
            <v>209</v>
          </cell>
          <cell r="G78">
            <v>654</v>
          </cell>
          <cell r="H78">
            <v>1347.76</v>
          </cell>
          <cell r="I78">
            <v>3237.63</v>
          </cell>
          <cell r="J78">
            <v>90379</v>
          </cell>
          <cell r="K78" t="str">
            <v>MP</v>
          </cell>
        </row>
        <row r="79">
          <cell r="A79">
            <v>984794</v>
          </cell>
          <cell r="B79">
            <v>7304</v>
          </cell>
          <cell r="C79">
            <v>119</v>
          </cell>
          <cell r="D79">
            <v>54</v>
          </cell>
          <cell r="E79">
            <v>287</v>
          </cell>
          <cell r="F79">
            <v>396</v>
          </cell>
          <cell r="G79">
            <v>1311</v>
          </cell>
          <cell r="H79">
            <v>2170.0700000000002</v>
          </cell>
          <cell r="I79">
            <v>8880.99</v>
          </cell>
          <cell r="J79">
            <v>90686</v>
          </cell>
          <cell r="K79" t="str">
            <v>MP</v>
          </cell>
        </row>
        <row r="80">
          <cell r="A80">
            <v>984797</v>
          </cell>
          <cell r="B80">
            <v>7282</v>
          </cell>
          <cell r="C80">
            <v>1436</v>
          </cell>
          <cell r="D80">
            <v>273</v>
          </cell>
          <cell r="E80">
            <v>290</v>
          </cell>
          <cell r="F80">
            <v>1262</v>
          </cell>
          <cell r="G80">
            <v>5771</v>
          </cell>
          <cell r="H80">
            <v>9033.73</v>
          </cell>
          <cell r="I80">
            <v>42899.91</v>
          </cell>
          <cell r="J80">
            <v>92107</v>
          </cell>
          <cell r="K80" t="str">
            <v>MP</v>
          </cell>
        </row>
        <row r="81">
          <cell r="A81">
            <v>984803</v>
          </cell>
          <cell r="B81">
            <v>7426</v>
          </cell>
          <cell r="C81">
            <v>308</v>
          </cell>
          <cell r="D81">
            <v>211</v>
          </cell>
          <cell r="E81">
            <v>290</v>
          </cell>
          <cell r="F81">
            <v>1746</v>
          </cell>
          <cell r="G81">
            <v>3464</v>
          </cell>
          <cell r="H81">
            <v>6020.04</v>
          </cell>
          <cell r="I81">
            <v>65408.21</v>
          </cell>
          <cell r="J81">
            <v>90061</v>
          </cell>
          <cell r="K81" t="str">
            <v>MP</v>
          </cell>
        </row>
        <row r="82">
          <cell r="A82">
            <v>984804</v>
          </cell>
          <cell r="B82">
            <v>7175</v>
          </cell>
          <cell r="C82">
            <v>645</v>
          </cell>
          <cell r="D82">
            <v>112</v>
          </cell>
          <cell r="E82">
            <v>287</v>
          </cell>
          <cell r="F82">
            <v>1047</v>
          </cell>
          <cell r="G82">
            <v>5274</v>
          </cell>
          <cell r="H82">
            <v>7367.11</v>
          </cell>
          <cell r="I82">
            <v>34492.660000000003</v>
          </cell>
          <cell r="J82">
            <v>90061</v>
          </cell>
          <cell r="K82" t="str">
            <v>MP</v>
          </cell>
        </row>
        <row r="83">
          <cell r="A83">
            <v>984814</v>
          </cell>
          <cell r="B83">
            <v>7465</v>
          </cell>
          <cell r="C83">
            <v>126</v>
          </cell>
          <cell r="D83">
            <v>46</v>
          </cell>
          <cell r="E83">
            <v>290</v>
          </cell>
          <cell r="F83">
            <v>583</v>
          </cell>
          <cell r="G83">
            <v>2039</v>
          </cell>
          <cell r="H83">
            <v>3086.29</v>
          </cell>
          <cell r="I83">
            <v>14332.49</v>
          </cell>
          <cell r="J83">
            <v>91750</v>
          </cell>
          <cell r="K83" t="str">
            <v>MP</v>
          </cell>
        </row>
        <row r="84">
          <cell r="A84">
            <v>984815</v>
          </cell>
          <cell r="B84">
            <v>7243</v>
          </cell>
          <cell r="C84">
            <v>335</v>
          </cell>
          <cell r="D84">
            <v>30</v>
          </cell>
          <cell r="E84">
            <v>130</v>
          </cell>
          <cell r="F84">
            <v>357</v>
          </cell>
          <cell r="G84">
            <v>833</v>
          </cell>
          <cell r="H84">
            <v>1686.99</v>
          </cell>
          <cell r="I84">
            <v>4521.7299999999996</v>
          </cell>
          <cell r="J84">
            <v>90981</v>
          </cell>
          <cell r="K84" t="str">
            <v>MP</v>
          </cell>
        </row>
        <row r="85">
          <cell r="A85">
            <v>984830</v>
          </cell>
          <cell r="B85">
            <v>7283</v>
          </cell>
          <cell r="C85">
            <v>102</v>
          </cell>
          <cell r="D85">
            <v>40</v>
          </cell>
          <cell r="E85">
            <v>290</v>
          </cell>
          <cell r="F85">
            <v>583</v>
          </cell>
          <cell r="G85">
            <v>1782</v>
          </cell>
          <cell r="H85">
            <v>2799.78</v>
          </cell>
          <cell r="I85">
            <v>12545.68</v>
          </cell>
          <cell r="J85">
            <v>90097</v>
          </cell>
          <cell r="K85" t="str">
            <v>MP</v>
          </cell>
        </row>
        <row r="86">
          <cell r="A86">
            <v>984835</v>
          </cell>
          <cell r="B86">
            <v>7176</v>
          </cell>
          <cell r="C86">
            <v>126</v>
          </cell>
          <cell r="D86">
            <v>1</v>
          </cell>
          <cell r="E86">
            <v>290</v>
          </cell>
          <cell r="F86">
            <v>145</v>
          </cell>
          <cell r="G86">
            <v>86</v>
          </cell>
          <cell r="H86">
            <v>651.02</v>
          </cell>
          <cell r="I86">
            <v>485.78</v>
          </cell>
          <cell r="J86">
            <v>92233</v>
          </cell>
          <cell r="K86" t="str">
            <v>MP</v>
          </cell>
        </row>
        <row r="87">
          <cell r="A87">
            <v>984836</v>
          </cell>
          <cell r="B87" t="str">
            <v xml:space="preserve"> 7395/7396</v>
          </cell>
          <cell r="C87">
            <v>208</v>
          </cell>
          <cell r="D87">
            <v>45</v>
          </cell>
          <cell r="E87">
            <v>290</v>
          </cell>
          <cell r="F87">
            <v>333</v>
          </cell>
          <cell r="G87">
            <v>1394</v>
          </cell>
          <cell r="H87">
            <v>2271.8000000000002</v>
          </cell>
          <cell r="I87">
            <v>7055.78</v>
          </cell>
          <cell r="J87">
            <v>90379</v>
          </cell>
          <cell r="K87" t="str">
            <v>MP</v>
          </cell>
        </row>
        <row r="88">
          <cell r="A88">
            <v>984837</v>
          </cell>
          <cell r="B88">
            <v>7050</v>
          </cell>
          <cell r="C88">
            <v>126</v>
          </cell>
          <cell r="D88">
            <v>135</v>
          </cell>
          <cell r="E88">
            <v>287</v>
          </cell>
          <cell r="F88">
            <v>751</v>
          </cell>
          <cell r="G88">
            <v>3304</v>
          </cell>
          <cell r="H88">
            <v>4606</v>
          </cell>
          <cell r="I88">
            <v>21747.33</v>
          </cell>
          <cell r="J88">
            <v>92167</v>
          </cell>
          <cell r="K88" t="str">
            <v>MP</v>
          </cell>
        </row>
        <row r="89">
          <cell r="A89">
            <v>984839</v>
          </cell>
          <cell r="B89">
            <v>7445</v>
          </cell>
          <cell r="C89">
            <v>331</v>
          </cell>
          <cell r="D89">
            <v>145</v>
          </cell>
          <cell r="E89">
            <v>290</v>
          </cell>
          <cell r="F89">
            <v>784</v>
          </cell>
          <cell r="G89">
            <v>3805</v>
          </cell>
          <cell r="H89">
            <v>5357.22</v>
          </cell>
          <cell r="I89">
            <v>23077.09</v>
          </cell>
          <cell r="J89">
            <v>91706</v>
          </cell>
          <cell r="K89" t="str">
            <v>MP</v>
          </cell>
        </row>
        <row r="90">
          <cell r="A90">
            <v>984850</v>
          </cell>
          <cell r="B90" t="str">
            <v xml:space="preserve"> 7517/7518</v>
          </cell>
          <cell r="C90">
            <v>1524</v>
          </cell>
          <cell r="D90">
            <v>427</v>
          </cell>
          <cell r="E90">
            <v>290</v>
          </cell>
          <cell r="F90">
            <v>3274</v>
          </cell>
          <cell r="G90">
            <v>13194</v>
          </cell>
          <cell r="H90">
            <v>18711.919999999998</v>
          </cell>
          <cell r="I90">
            <v>131689.65</v>
          </cell>
          <cell r="J90">
            <v>90061</v>
          </cell>
          <cell r="K90" t="str">
            <v>MP</v>
          </cell>
        </row>
        <row r="91">
          <cell r="A91">
            <v>984855</v>
          </cell>
          <cell r="B91">
            <v>7120</v>
          </cell>
          <cell r="C91">
            <v>167</v>
          </cell>
          <cell r="D91">
            <v>38</v>
          </cell>
          <cell r="E91">
            <v>287</v>
          </cell>
          <cell r="F91">
            <v>528</v>
          </cell>
          <cell r="G91">
            <v>1526</v>
          </cell>
          <cell r="H91">
            <v>2549.38</v>
          </cell>
          <cell r="I91">
            <v>11846.2</v>
          </cell>
          <cell r="J91">
            <v>90061</v>
          </cell>
          <cell r="K91" t="str">
            <v>MP</v>
          </cell>
        </row>
        <row r="92">
          <cell r="A92">
            <v>984864</v>
          </cell>
          <cell r="B92">
            <v>7062</v>
          </cell>
          <cell r="C92">
            <v>84</v>
          </cell>
          <cell r="D92">
            <v>3</v>
          </cell>
          <cell r="E92">
            <v>287</v>
          </cell>
          <cell r="F92">
            <v>165</v>
          </cell>
          <cell r="G92">
            <v>103</v>
          </cell>
          <cell r="H92">
            <v>643.97</v>
          </cell>
          <cell r="I92">
            <v>473.07</v>
          </cell>
          <cell r="J92">
            <v>91262</v>
          </cell>
          <cell r="K92" t="str">
            <v>MP</v>
          </cell>
        </row>
        <row r="93">
          <cell r="A93">
            <v>984865</v>
          </cell>
          <cell r="C93">
            <v>84</v>
          </cell>
          <cell r="D93">
            <v>3</v>
          </cell>
          <cell r="E93">
            <v>290</v>
          </cell>
          <cell r="F93">
            <v>144</v>
          </cell>
          <cell r="G93">
            <v>103</v>
          </cell>
          <cell r="H93">
            <v>625.25</v>
          </cell>
          <cell r="I93">
            <v>470.48</v>
          </cell>
          <cell r="J93">
            <v>91262</v>
          </cell>
          <cell r="K93" t="str">
            <v>MP</v>
          </cell>
        </row>
        <row r="94">
          <cell r="A94">
            <v>984868</v>
          </cell>
          <cell r="B94" t="str">
            <v xml:space="preserve"> 7356/7357</v>
          </cell>
          <cell r="C94">
            <v>252</v>
          </cell>
          <cell r="D94">
            <v>86</v>
          </cell>
          <cell r="E94">
            <v>290</v>
          </cell>
          <cell r="F94">
            <v>868</v>
          </cell>
          <cell r="G94">
            <v>3811</v>
          </cell>
          <cell r="H94">
            <v>5309.64</v>
          </cell>
          <cell r="I94">
            <v>26806.799999999999</v>
          </cell>
          <cell r="J94">
            <v>90097</v>
          </cell>
          <cell r="K94" t="str">
            <v>MP</v>
          </cell>
        </row>
        <row r="95">
          <cell r="A95">
            <v>984870</v>
          </cell>
          <cell r="B95">
            <v>7051</v>
          </cell>
          <cell r="C95">
            <v>479</v>
          </cell>
          <cell r="D95">
            <v>198</v>
          </cell>
          <cell r="E95">
            <v>287</v>
          </cell>
          <cell r="F95">
            <v>975</v>
          </cell>
          <cell r="G95">
            <v>4823</v>
          </cell>
          <cell r="H95">
            <v>6763.65</v>
          </cell>
          <cell r="I95">
            <v>31597.13</v>
          </cell>
          <cell r="J95">
            <v>91627</v>
          </cell>
          <cell r="K95" t="str">
            <v>MP</v>
          </cell>
        </row>
        <row r="96">
          <cell r="A96">
            <v>984879</v>
          </cell>
          <cell r="B96">
            <v>7490</v>
          </cell>
          <cell r="C96">
            <v>138</v>
          </cell>
          <cell r="D96">
            <v>112</v>
          </cell>
          <cell r="E96">
            <v>290</v>
          </cell>
          <cell r="F96">
            <v>667</v>
          </cell>
          <cell r="G96">
            <v>2743</v>
          </cell>
          <cell r="H96">
            <v>3952.85</v>
          </cell>
          <cell r="I96">
            <v>17968.830000000002</v>
          </cell>
          <cell r="J96">
            <v>90048</v>
          </cell>
          <cell r="K96" t="str">
            <v>MP</v>
          </cell>
        </row>
        <row r="97">
          <cell r="A97">
            <v>984883</v>
          </cell>
          <cell r="B97">
            <v>7519</v>
          </cell>
          <cell r="C97">
            <v>970</v>
          </cell>
          <cell r="D97">
            <v>114</v>
          </cell>
          <cell r="E97">
            <v>290</v>
          </cell>
          <cell r="F97">
            <v>546</v>
          </cell>
          <cell r="G97">
            <v>3512</v>
          </cell>
          <cell r="H97">
            <v>5434.63</v>
          </cell>
          <cell r="I97">
            <v>17239.04</v>
          </cell>
          <cell r="J97">
            <v>90442</v>
          </cell>
          <cell r="K97" t="str">
            <v>MP</v>
          </cell>
        </row>
        <row r="98">
          <cell r="A98">
            <v>984885</v>
          </cell>
          <cell r="B98" t="str">
            <v xml:space="preserve"> 7466/7467</v>
          </cell>
          <cell r="C98">
            <v>1631</v>
          </cell>
          <cell r="D98">
            <v>6074</v>
          </cell>
          <cell r="E98">
            <v>290</v>
          </cell>
          <cell r="F98">
            <v>22437</v>
          </cell>
          <cell r="G98">
            <v>52802</v>
          </cell>
          <cell r="H98">
            <v>83236.19</v>
          </cell>
          <cell r="I98">
            <v>978028.24</v>
          </cell>
          <cell r="J98">
            <v>91578</v>
          </cell>
          <cell r="K98" t="str">
            <v>MP</v>
          </cell>
        </row>
        <row r="99">
          <cell r="A99">
            <v>984888</v>
          </cell>
          <cell r="B99">
            <v>7520</v>
          </cell>
          <cell r="C99">
            <v>59</v>
          </cell>
          <cell r="D99">
            <v>0</v>
          </cell>
          <cell r="E99">
            <v>290</v>
          </cell>
          <cell r="F99">
            <v>133</v>
          </cell>
          <cell r="G99">
            <v>11</v>
          </cell>
          <cell r="H99">
            <v>494.34</v>
          </cell>
          <cell r="I99">
            <v>1.2</v>
          </cell>
          <cell r="J99">
            <v>91934</v>
          </cell>
          <cell r="K99" t="str">
            <v>MP</v>
          </cell>
        </row>
        <row r="100">
          <cell r="A100">
            <v>984892</v>
          </cell>
          <cell r="B100">
            <v>7397</v>
          </cell>
          <cell r="C100">
            <v>133</v>
          </cell>
          <cell r="D100">
            <v>98</v>
          </cell>
          <cell r="E100">
            <v>362</v>
          </cell>
          <cell r="F100">
            <v>615</v>
          </cell>
          <cell r="G100">
            <v>2446</v>
          </cell>
          <cell r="H100">
            <v>3655.86</v>
          </cell>
          <cell r="I100">
            <v>15680.71</v>
          </cell>
          <cell r="J100">
            <v>90379</v>
          </cell>
          <cell r="K100" t="str">
            <v>MP</v>
          </cell>
        </row>
        <row r="101">
          <cell r="A101">
            <v>984894</v>
          </cell>
          <cell r="B101">
            <v>7214</v>
          </cell>
          <cell r="C101">
            <v>386</v>
          </cell>
          <cell r="D101">
            <v>20</v>
          </cell>
          <cell r="E101">
            <v>290</v>
          </cell>
          <cell r="F101">
            <v>207</v>
          </cell>
          <cell r="G101">
            <v>466</v>
          </cell>
          <cell r="H101">
            <v>1370.88</v>
          </cell>
          <cell r="I101">
            <v>2920.68</v>
          </cell>
          <cell r="J101">
            <v>90558</v>
          </cell>
          <cell r="K101" t="str">
            <v>MP</v>
          </cell>
        </row>
        <row r="102">
          <cell r="A102">
            <v>984901</v>
          </cell>
          <cell r="B102">
            <v>7121</v>
          </cell>
          <cell r="C102">
            <v>111</v>
          </cell>
          <cell r="D102">
            <v>26</v>
          </cell>
          <cell r="E102">
            <v>290</v>
          </cell>
          <cell r="F102">
            <v>227</v>
          </cell>
          <cell r="G102">
            <v>887</v>
          </cell>
          <cell r="H102">
            <v>1543.08</v>
          </cell>
          <cell r="I102">
            <v>4108.37</v>
          </cell>
          <cell r="J102">
            <v>91981</v>
          </cell>
          <cell r="K102" t="str">
            <v>MP</v>
          </cell>
        </row>
        <row r="103">
          <cell r="A103">
            <v>984902</v>
          </cell>
          <cell r="B103">
            <v>7227</v>
          </cell>
          <cell r="C103">
            <v>117</v>
          </cell>
          <cell r="D103">
            <v>6</v>
          </cell>
          <cell r="E103">
            <v>290</v>
          </cell>
          <cell r="F103">
            <v>175</v>
          </cell>
          <cell r="G103">
            <v>271</v>
          </cell>
          <cell r="H103">
            <v>860.74</v>
          </cell>
          <cell r="I103">
            <v>1807.8</v>
          </cell>
          <cell r="J103">
            <v>90496</v>
          </cell>
          <cell r="K103" t="str">
            <v>MP</v>
          </cell>
        </row>
        <row r="104">
          <cell r="A104">
            <v>984905</v>
          </cell>
          <cell r="B104" t="str">
            <v xml:space="preserve"> 7255/7256</v>
          </cell>
          <cell r="C104">
            <v>222</v>
          </cell>
          <cell r="D104">
            <v>11</v>
          </cell>
          <cell r="E104">
            <v>290</v>
          </cell>
          <cell r="F104">
            <v>211</v>
          </cell>
          <cell r="G104">
            <v>672</v>
          </cell>
          <cell r="H104">
            <v>1407.35</v>
          </cell>
          <cell r="I104">
            <v>3295.62</v>
          </cell>
          <cell r="J104">
            <v>91591</v>
          </cell>
          <cell r="K104" t="str">
            <v>MP</v>
          </cell>
        </row>
        <row r="105">
          <cell r="A105">
            <v>984906</v>
          </cell>
          <cell r="B105">
            <v>7178</v>
          </cell>
          <cell r="C105">
            <v>117</v>
          </cell>
          <cell r="D105">
            <v>2</v>
          </cell>
          <cell r="E105">
            <v>290</v>
          </cell>
          <cell r="F105">
            <v>151</v>
          </cell>
          <cell r="G105">
            <v>183</v>
          </cell>
          <cell r="H105">
            <v>746.02</v>
          </cell>
          <cell r="I105">
            <v>752.04</v>
          </cell>
          <cell r="J105">
            <v>90506</v>
          </cell>
          <cell r="K105" t="str">
            <v>MP</v>
          </cell>
        </row>
        <row r="106">
          <cell r="A106">
            <v>984908</v>
          </cell>
          <cell r="B106">
            <v>7321</v>
          </cell>
          <cell r="C106">
            <v>117</v>
          </cell>
          <cell r="D106">
            <v>6</v>
          </cell>
          <cell r="E106">
            <v>290</v>
          </cell>
          <cell r="F106">
            <v>154</v>
          </cell>
          <cell r="G106">
            <v>208</v>
          </cell>
          <cell r="H106">
            <v>777.09</v>
          </cell>
          <cell r="I106">
            <v>867.74</v>
          </cell>
          <cell r="J106">
            <v>90506</v>
          </cell>
          <cell r="K106" t="str">
            <v>MP</v>
          </cell>
        </row>
        <row r="107">
          <cell r="A107">
            <v>984909</v>
          </cell>
          <cell r="B107">
            <v>7468</v>
          </cell>
          <cell r="C107">
            <v>122</v>
          </cell>
          <cell r="D107">
            <v>83</v>
          </cell>
          <cell r="E107">
            <v>290</v>
          </cell>
          <cell r="F107">
            <v>846</v>
          </cell>
          <cell r="G107">
            <v>3676</v>
          </cell>
          <cell r="H107">
            <v>5018.91</v>
          </cell>
          <cell r="I107">
            <v>25984.11</v>
          </cell>
          <cell r="J107">
            <v>91982</v>
          </cell>
          <cell r="K107" t="str">
            <v>MP</v>
          </cell>
        </row>
        <row r="108">
          <cell r="A108">
            <v>984913</v>
          </cell>
          <cell r="B108">
            <v>7305</v>
          </cell>
          <cell r="C108">
            <v>102</v>
          </cell>
          <cell r="D108">
            <v>38</v>
          </cell>
          <cell r="E108">
            <v>290</v>
          </cell>
          <cell r="F108">
            <v>526</v>
          </cell>
          <cell r="G108">
            <v>1681</v>
          </cell>
          <cell r="H108">
            <v>2639.29</v>
          </cell>
          <cell r="I108">
            <v>11841.09</v>
          </cell>
          <cell r="J108">
            <v>90097</v>
          </cell>
          <cell r="K108" t="str">
            <v>MP</v>
          </cell>
        </row>
        <row r="109">
          <cell r="A109">
            <v>984915</v>
          </cell>
          <cell r="B109">
            <v>7257</v>
          </cell>
          <cell r="C109">
            <v>110</v>
          </cell>
          <cell r="D109">
            <v>76</v>
          </cell>
          <cell r="E109">
            <v>290</v>
          </cell>
          <cell r="F109">
            <v>534</v>
          </cell>
          <cell r="G109">
            <v>2597</v>
          </cell>
          <cell r="H109">
            <v>3608.25</v>
          </cell>
          <cell r="I109">
            <v>12148.42</v>
          </cell>
          <cell r="J109">
            <v>91981</v>
          </cell>
          <cell r="K109" t="str">
            <v>MP</v>
          </cell>
        </row>
        <row r="110">
          <cell r="A110">
            <v>984916</v>
          </cell>
          <cell r="B110">
            <v>7491</v>
          </cell>
          <cell r="C110">
            <v>108</v>
          </cell>
          <cell r="D110">
            <v>1</v>
          </cell>
          <cell r="E110">
            <v>290</v>
          </cell>
          <cell r="F110">
            <v>136</v>
          </cell>
          <cell r="G110">
            <v>38</v>
          </cell>
          <cell r="H110">
            <v>574.28</v>
          </cell>
          <cell r="I110">
            <v>88.65</v>
          </cell>
          <cell r="J110">
            <v>91462</v>
          </cell>
          <cell r="K110" t="str">
            <v>MP</v>
          </cell>
        </row>
        <row r="111">
          <cell r="A111">
            <v>984919</v>
          </cell>
          <cell r="B111">
            <v>7322</v>
          </cell>
          <cell r="C111">
            <v>114</v>
          </cell>
          <cell r="D111">
            <v>127</v>
          </cell>
          <cell r="E111">
            <v>290</v>
          </cell>
          <cell r="F111">
            <v>1152</v>
          </cell>
          <cell r="G111">
            <v>5576</v>
          </cell>
          <cell r="H111">
            <v>7260.11</v>
          </cell>
          <cell r="I111">
            <v>39433.21</v>
          </cell>
          <cell r="J111">
            <v>90061</v>
          </cell>
          <cell r="K111" t="str">
            <v>MP</v>
          </cell>
        </row>
        <row r="112">
          <cell r="A112">
            <v>984923</v>
          </cell>
          <cell r="B112" t="str">
            <v xml:space="preserve"> 7284/7285</v>
          </cell>
          <cell r="C112">
            <v>702</v>
          </cell>
          <cell r="D112">
            <v>145</v>
          </cell>
          <cell r="E112">
            <v>290</v>
          </cell>
          <cell r="F112">
            <v>1281</v>
          </cell>
          <cell r="G112">
            <v>6379</v>
          </cell>
          <cell r="H112">
            <v>8798.65</v>
          </cell>
          <cell r="I112">
            <v>44541.54</v>
          </cell>
          <cell r="J112">
            <v>91750</v>
          </cell>
          <cell r="K112" t="str">
            <v>MP</v>
          </cell>
        </row>
        <row r="113">
          <cell r="A113">
            <v>984929</v>
          </cell>
          <cell r="B113">
            <v>7521</v>
          </cell>
          <cell r="C113">
            <v>2583</v>
          </cell>
          <cell r="D113">
            <v>234</v>
          </cell>
          <cell r="E113">
            <v>290</v>
          </cell>
          <cell r="F113">
            <v>1108</v>
          </cell>
          <cell r="G113">
            <v>7200</v>
          </cell>
          <cell r="H113">
            <v>11417.01</v>
          </cell>
          <cell r="I113">
            <v>34697.129999999997</v>
          </cell>
          <cell r="J113">
            <v>90442</v>
          </cell>
          <cell r="K113" t="str">
            <v>MP</v>
          </cell>
        </row>
        <row r="114">
          <cell r="A114">
            <v>984931</v>
          </cell>
          <cell r="B114">
            <v>7469</v>
          </cell>
          <cell r="C114">
            <v>392</v>
          </cell>
          <cell r="D114">
            <v>226</v>
          </cell>
          <cell r="E114">
            <v>290</v>
          </cell>
          <cell r="F114">
            <v>1082</v>
          </cell>
          <cell r="G114">
            <v>4773</v>
          </cell>
          <cell r="H114">
            <v>6765.04</v>
          </cell>
          <cell r="I114">
            <v>35985.42</v>
          </cell>
          <cell r="J114">
            <v>92109</v>
          </cell>
          <cell r="K114" t="str">
            <v>MP</v>
          </cell>
        </row>
        <row r="115">
          <cell r="A115">
            <v>984934</v>
          </cell>
          <cell r="B115">
            <v>7258</v>
          </cell>
          <cell r="C115">
            <v>140</v>
          </cell>
          <cell r="D115">
            <v>27</v>
          </cell>
          <cell r="E115">
            <v>290</v>
          </cell>
          <cell r="F115">
            <v>231</v>
          </cell>
          <cell r="G115">
            <v>842</v>
          </cell>
          <cell r="H115">
            <v>1531.94</v>
          </cell>
          <cell r="I115">
            <v>4303.8900000000003</v>
          </cell>
          <cell r="J115">
            <v>92174</v>
          </cell>
          <cell r="K115" t="str">
            <v>MP</v>
          </cell>
        </row>
        <row r="116">
          <cell r="A116">
            <v>984939</v>
          </cell>
          <cell r="B116">
            <v>7617</v>
          </cell>
          <cell r="C116">
            <v>4426</v>
          </cell>
          <cell r="D116">
            <v>1397</v>
          </cell>
          <cell r="E116">
            <v>422</v>
          </cell>
          <cell r="F116">
            <v>10053</v>
          </cell>
          <cell r="G116">
            <v>56611</v>
          </cell>
          <cell r="H116">
            <v>72911.67</v>
          </cell>
          <cell r="I116">
            <v>294426.71999999997</v>
          </cell>
          <cell r="J116">
            <v>92107</v>
          </cell>
          <cell r="K116" t="str">
            <v>MP</v>
          </cell>
        </row>
        <row r="117">
          <cell r="A117">
            <v>984941</v>
          </cell>
          <cell r="B117">
            <v>7179</v>
          </cell>
          <cell r="C117">
            <v>67</v>
          </cell>
          <cell r="D117">
            <v>2</v>
          </cell>
          <cell r="E117">
            <v>290</v>
          </cell>
          <cell r="F117">
            <v>152</v>
          </cell>
          <cell r="G117">
            <v>119</v>
          </cell>
          <cell r="H117">
            <v>632.16999999999996</v>
          </cell>
          <cell r="I117">
            <v>846.05</v>
          </cell>
          <cell r="J117">
            <v>92107</v>
          </cell>
          <cell r="K117" t="str">
            <v>MP</v>
          </cell>
        </row>
        <row r="118">
          <cell r="A118">
            <v>984942</v>
          </cell>
          <cell r="B118">
            <v>7077</v>
          </cell>
          <cell r="C118">
            <v>721</v>
          </cell>
          <cell r="D118">
            <v>30</v>
          </cell>
          <cell r="E118">
            <v>130</v>
          </cell>
          <cell r="F118">
            <v>257</v>
          </cell>
          <cell r="G118">
            <v>830</v>
          </cell>
          <cell r="H118">
            <v>1970.12</v>
          </cell>
          <cell r="I118">
            <v>4210.45</v>
          </cell>
          <cell r="J118">
            <v>91290</v>
          </cell>
          <cell r="K118" t="str">
            <v>MP</v>
          </cell>
        </row>
        <row r="119">
          <cell r="A119">
            <v>984944</v>
          </cell>
          <cell r="B119">
            <v>7078</v>
          </cell>
          <cell r="C119">
            <v>309</v>
          </cell>
          <cell r="D119">
            <v>24</v>
          </cell>
          <cell r="E119">
            <v>130</v>
          </cell>
          <cell r="F119">
            <v>257</v>
          </cell>
          <cell r="G119">
            <v>747</v>
          </cell>
          <cell r="H119">
            <v>1469.05</v>
          </cell>
          <cell r="I119">
            <v>3668.03</v>
          </cell>
          <cell r="J119">
            <v>91975</v>
          </cell>
          <cell r="K119" t="str">
            <v>MP</v>
          </cell>
        </row>
        <row r="120">
          <cell r="A120">
            <v>984945</v>
          </cell>
          <cell r="B120">
            <v>7079</v>
          </cell>
          <cell r="C120">
            <v>113</v>
          </cell>
          <cell r="D120">
            <v>9</v>
          </cell>
          <cell r="E120">
            <v>130</v>
          </cell>
          <cell r="F120">
            <v>257</v>
          </cell>
          <cell r="G120">
            <v>45</v>
          </cell>
          <cell r="H120">
            <v>556.03</v>
          </cell>
          <cell r="I120">
            <v>1409.62</v>
          </cell>
          <cell r="J120">
            <v>91839</v>
          </cell>
          <cell r="K120" t="str">
            <v>MP</v>
          </cell>
        </row>
        <row r="121">
          <cell r="A121">
            <v>984946</v>
          </cell>
          <cell r="B121">
            <v>7228</v>
          </cell>
          <cell r="C121">
            <v>264</v>
          </cell>
          <cell r="D121">
            <v>15</v>
          </cell>
          <cell r="E121">
            <v>290</v>
          </cell>
          <cell r="F121">
            <v>187</v>
          </cell>
          <cell r="G121">
            <v>471</v>
          </cell>
          <cell r="H121">
            <v>1228.96</v>
          </cell>
          <cell r="I121">
            <v>2196.36</v>
          </cell>
          <cell r="J121">
            <v>91462</v>
          </cell>
          <cell r="K121" t="str">
            <v>MP</v>
          </cell>
        </row>
        <row r="122">
          <cell r="A122">
            <v>984947</v>
          </cell>
          <cell r="B122">
            <v>7306</v>
          </cell>
          <cell r="C122">
            <v>1058</v>
          </cell>
          <cell r="D122">
            <v>87</v>
          </cell>
          <cell r="E122">
            <v>290</v>
          </cell>
          <cell r="F122">
            <v>867</v>
          </cell>
          <cell r="G122">
            <v>5162</v>
          </cell>
          <cell r="H122">
            <v>7465.5</v>
          </cell>
          <cell r="I122">
            <v>25917.63</v>
          </cell>
          <cell r="J122">
            <v>90721</v>
          </cell>
          <cell r="K122" t="str">
            <v>MP</v>
          </cell>
        </row>
        <row r="123">
          <cell r="A123">
            <v>984948</v>
          </cell>
          <cell r="B123">
            <v>7229</v>
          </cell>
          <cell r="C123">
            <v>106</v>
          </cell>
          <cell r="D123">
            <v>14</v>
          </cell>
          <cell r="E123">
            <v>290</v>
          </cell>
          <cell r="F123">
            <v>186</v>
          </cell>
          <cell r="G123">
            <v>339</v>
          </cell>
          <cell r="H123">
            <v>937.2</v>
          </cell>
          <cell r="I123">
            <v>2286.46</v>
          </cell>
          <cell r="J123">
            <v>90558</v>
          </cell>
          <cell r="K123" t="str">
            <v>MP</v>
          </cell>
        </row>
        <row r="124">
          <cell r="A124">
            <v>984950</v>
          </cell>
          <cell r="B124">
            <v>7259</v>
          </cell>
          <cell r="C124">
            <v>119</v>
          </cell>
          <cell r="D124">
            <v>1</v>
          </cell>
          <cell r="E124">
            <v>287</v>
          </cell>
          <cell r="F124">
            <v>137</v>
          </cell>
          <cell r="G124">
            <v>43</v>
          </cell>
          <cell r="H124">
            <v>589.55999999999995</v>
          </cell>
          <cell r="I124">
            <v>107.47</v>
          </cell>
          <cell r="J124">
            <v>91462</v>
          </cell>
          <cell r="K124" t="str">
            <v>MP</v>
          </cell>
        </row>
        <row r="125">
          <cell r="A125">
            <v>984951</v>
          </cell>
          <cell r="B125">
            <v>7470</v>
          </cell>
          <cell r="C125">
            <v>131</v>
          </cell>
          <cell r="D125">
            <v>48</v>
          </cell>
          <cell r="E125">
            <v>290</v>
          </cell>
          <cell r="F125">
            <v>597</v>
          </cell>
          <cell r="G125">
            <v>455</v>
          </cell>
          <cell r="H125">
            <v>1523.3</v>
          </cell>
          <cell r="I125">
            <v>14953.68</v>
          </cell>
          <cell r="J125">
            <v>90061</v>
          </cell>
          <cell r="K125" t="str">
            <v>MP</v>
          </cell>
        </row>
        <row r="126">
          <cell r="A126">
            <v>984952</v>
          </cell>
          <cell r="B126">
            <v>7522</v>
          </cell>
          <cell r="C126">
            <v>122</v>
          </cell>
          <cell r="D126">
            <v>89</v>
          </cell>
          <cell r="E126">
            <v>290</v>
          </cell>
          <cell r="F126">
            <v>580</v>
          </cell>
          <cell r="G126">
            <v>2019</v>
          </cell>
          <cell r="H126">
            <v>3101.82</v>
          </cell>
          <cell r="I126">
            <v>14181.62</v>
          </cell>
          <cell r="J126">
            <v>90086</v>
          </cell>
          <cell r="K126" t="str">
            <v>MP</v>
          </cell>
        </row>
        <row r="127">
          <cell r="A127">
            <v>984954</v>
          </cell>
          <cell r="B127">
            <v>7104</v>
          </cell>
          <cell r="C127">
            <v>95</v>
          </cell>
          <cell r="D127">
            <v>1</v>
          </cell>
          <cell r="E127">
            <v>287</v>
          </cell>
          <cell r="F127">
            <v>142</v>
          </cell>
          <cell r="G127">
            <v>72</v>
          </cell>
          <cell r="H127">
            <v>600.44000000000005</v>
          </cell>
          <cell r="I127">
            <v>360</v>
          </cell>
          <cell r="J127">
            <v>92235</v>
          </cell>
          <cell r="K127" t="str">
            <v>MP</v>
          </cell>
        </row>
        <row r="128">
          <cell r="A128">
            <v>984957</v>
          </cell>
          <cell r="B128">
            <v>7123</v>
          </cell>
          <cell r="C128">
            <v>148</v>
          </cell>
          <cell r="D128">
            <v>66</v>
          </cell>
          <cell r="E128">
            <v>290</v>
          </cell>
          <cell r="F128">
            <v>728</v>
          </cell>
          <cell r="G128">
            <v>2940</v>
          </cell>
          <cell r="H128">
            <v>4174.18</v>
          </cell>
          <cell r="I128">
            <v>20662.36</v>
          </cell>
          <cell r="J128">
            <v>90685</v>
          </cell>
          <cell r="K128" t="str">
            <v>MP</v>
          </cell>
        </row>
        <row r="129">
          <cell r="A129">
            <v>984959</v>
          </cell>
          <cell r="B129">
            <v>7180</v>
          </cell>
          <cell r="C129">
            <v>305</v>
          </cell>
          <cell r="D129">
            <v>7</v>
          </cell>
          <cell r="E129">
            <v>290</v>
          </cell>
          <cell r="F129">
            <v>161</v>
          </cell>
          <cell r="G129">
            <v>180</v>
          </cell>
          <cell r="H129">
            <v>945.8</v>
          </cell>
          <cell r="I129">
            <v>974.75</v>
          </cell>
          <cell r="J129">
            <v>91454</v>
          </cell>
          <cell r="K129" t="str">
            <v>MP</v>
          </cell>
        </row>
        <row r="130">
          <cell r="A130">
            <v>984960</v>
          </cell>
          <cell r="B130">
            <v>7181</v>
          </cell>
          <cell r="C130">
            <v>382</v>
          </cell>
          <cell r="D130">
            <v>29</v>
          </cell>
          <cell r="E130">
            <v>290</v>
          </cell>
          <cell r="F130">
            <v>241</v>
          </cell>
          <cell r="G130">
            <v>1020</v>
          </cell>
          <cell r="H130">
            <v>1965.06</v>
          </cell>
          <cell r="I130">
            <v>4447.92</v>
          </cell>
          <cell r="J130">
            <v>91375</v>
          </cell>
          <cell r="K130" t="str">
            <v>MP</v>
          </cell>
        </row>
        <row r="131">
          <cell r="A131">
            <v>984963</v>
          </cell>
          <cell r="B131">
            <v>7523</v>
          </cell>
          <cell r="C131">
            <v>1580</v>
          </cell>
          <cell r="D131">
            <v>86</v>
          </cell>
          <cell r="E131">
            <v>290</v>
          </cell>
          <cell r="F131">
            <v>248</v>
          </cell>
          <cell r="G131">
            <v>2572</v>
          </cell>
          <cell r="H131">
            <v>4777.8999999999996</v>
          </cell>
          <cell r="I131">
            <v>12415.44</v>
          </cell>
          <cell r="J131">
            <v>91552</v>
          </cell>
          <cell r="K131" t="str">
            <v>MP</v>
          </cell>
        </row>
        <row r="132">
          <cell r="A132">
            <v>984964</v>
          </cell>
          <cell r="B132" t="str">
            <v xml:space="preserve"> 7323/7324/7325</v>
          </cell>
          <cell r="C132">
            <v>5491</v>
          </cell>
          <cell r="D132">
            <v>476</v>
          </cell>
          <cell r="E132">
            <v>290</v>
          </cell>
          <cell r="F132">
            <v>1991</v>
          </cell>
          <cell r="G132">
            <v>14658</v>
          </cell>
          <cell r="H132">
            <v>22907.82</v>
          </cell>
          <cell r="I132">
            <v>71694.289999999994</v>
          </cell>
          <cell r="J132">
            <v>91975</v>
          </cell>
          <cell r="K132" t="str">
            <v>MP</v>
          </cell>
        </row>
        <row r="133">
          <cell r="A133">
            <v>984965</v>
          </cell>
          <cell r="B133">
            <v>7260</v>
          </cell>
          <cell r="C133">
            <v>96</v>
          </cell>
          <cell r="D133">
            <v>21</v>
          </cell>
          <cell r="E133">
            <v>290</v>
          </cell>
          <cell r="F133">
            <v>311</v>
          </cell>
          <cell r="G133">
            <v>1299</v>
          </cell>
          <cell r="H133">
            <v>2018.85</v>
          </cell>
          <cell r="I133">
            <v>6701.47</v>
          </cell>
          <cell r="J133">
            <v>92015</v>
          </cell>
          <cell r="K133" t="str">
            <v>MP</v>
          </cell>
        </row>
        <row r="134">
          <cell r="A134">
            <v>984971</v>
          </cell>
          <cell r="B134">
            <v>7230</v>
          </cell>
          <cell r="C134">
            <v>169</v>
          </cell>
          <cell r="D134">
            <v>22</v>
          </cell>
          <cell r="E134">
            <v>290</v>
          </cell>
          <cell r="F134">
            <v>327</v>
          </cell>
          <cell r="G134">
            <v>1368</v>
          </cell>
          <cell r="H134">
            <v>2178.73</v>
          </cell>
          <cell r="I134">
            <v>6993.15</v>
          </cell>
          <cell r="J134">
            <v>90402</v>
          </cell>
          <cell r="K134" t="str">
            <v>MP</v>
          </cell>
        </row>
        <row r="135">
          <cell r="A135">
            <v>984978</v>
          </cell>
          <cell r="B135">
            <v>7183</v>
          </cell>
          <cell r="C135">
            <v>422</v>
          </cell>
          <cell r="D135">
            <v>28</v>
          </cell>
          <cell r="E135">
            <v>290</v>
          </cell>
          <cell r="F135">
            <v>235</v>
          </cell>
          <cell r="G135">
            <v>960</v>
          </cell>
          <cell r="H135">
            <v>1937.35</v>
          </cell>
          <cell r="I135">
            <v>4150.3599999999997</v>
          </cell>
          <cell r="J135">
            <v>91353</v>
          </cell>
          <cell r="K135" t="str">
            <v>MP</v>
          </cell>
        </row>
        <row r="136">
          <cell r="A136">
            <v>984979</v>
          </cell>
          <cell r="B136" t="str">
            <v>7044</v>
          </cell>
          <cell r="C136">
            <v>181</v>
          </cell>
          <cell r="D136">
            <v>33</v>
          </cell>
          <cell r="E136">
            <v>287</v>
          </cell>
          <cell r="F136">
            <v>252</v>
          </cell>
          <cell r="G136">
            <v>805</v>
          </cell>
          <cell r="H136">
            <v>1560.61</v>
          </cell>
          <cell r="I136">
            <v>5187.95</v>
          </cell>
          <cell r="J136">
            <v>92271</v>
          </cell>
          <cell r="K136" t="str">
            <v>MP</v>
          </cell>
        </row>
        <row r="137">
          <cell r="A137">
            <v>984980</v>
          </cell>
          <cell r="B137">
            <v>7492</v>
          </cell>
          <cell r="C137">
            <v>936</v>
          </cell>
          <cell r="D137">
            <v>155</v>
          </cell>
          <cell r="E137">
            <v>290</v>
          </cell>
          <cell r="F137">
            <v>820</v>
          </cell>
          <cell r="G137">
            <v>5268</v>
          </cell>
          <cell r="H137">
            <v>7471.07</v>
          </cell>
          <cell r="I137">
            <v>23982.63</v>
          </cell>
          <cell r="J137">
            <v>92088</v>
          </cell>
          <cell r="K137" t="str">
            <v>MP</v>
          </cell>
        </row>
        <row r="138">
          <cell r="A138">
            <v>984982</v>
          </cell>
          <cell r="B138">
            <v>7261</v>
          </cell>
          <cell r="C138">
            <v>361</v>
          </cell>
          <cell r="D138">
            <v>38</v>
          </cell>
          <cell r="E138">
            <v>290</v>
          </cell>
          <cell r="F138">
            <v>284</v>
          </cell>
          <cell r="G138">
            <v>1226</v>
          </cell>
          <cell r="H138">
            <v>2201.5500000000002</v>
          </cell>
          <cell r="I138">
            <v>5847.37</v>
          </cell>
          <cell r="J138">
            <v>90424</v>
          </cell>
          <cell r="K138" t="str">
            <v>MP</v>
          </cell>
        </row>
        <row r="139">
          <cell r="A139">
            <v>984983</v>
          </cell>
          <cell r="B139" t="str">
            <v xml:space="preserve"> 7471/7472/7473/7474</v>
          </cell>
          <cell r="C139">
            <v>1432</v>
          </cell>
          <cell r="D139">
            <v>246</v>
          </cell>
          <cell r="E139">
            <v>290</v>
          </cell>
          <cell r="F139">
            <v>1153</v>
          </cell>
          <cell r="G139">
            <v>5558</v>
          </cell>
          <cell r="H139">
            <v>8681.01</v>
          </cell>
          <cell r="I139">
            <v>38152.67</v>
          </cell>
          <cell r="J139">
            <v>90503</v>
          </cell>
          <cell r="K139" t="str">
            <v>MP</v>
          </cell>
        </row>
        <row r="140">
          <cell r="A140">
            <v>984989</v>
          </cell>
          <cell r="B140">
            <v>7184</v>
          </cell>
          <cell r="C140">
            <v>151</v>
          </cell>
          <cell r="D140">
            <v>25</v>
          </cell>
          <cell r="E140">
            <v>290</v>
          </cell>
          <cell r="F140">
            <v>224</v>
          </cell>
          <cell r="G140">
            <v>783</v>
          </cell>
          <cell r="H140">
            <v>1474.39</v>
          </cell>
          <cell r="I140">
            <v>3934.98</v>
          </cell>
          <cell r="J140">
            <v>90392</v>
          </cell>
          <cell r="K140" t="str">
            <v>MP</v>
          </cell>
        </row>
        <row r="141">
          <cell r="A141">
            <v>984992</v>
          </cell>
          <cell r="B141">
            <v>7064</v>
          </cell>
          <cell r="C141">
            <v>151</v>
          </cell>
          <cell r="D141">
            <v>11</v>
          </cell>
          <cell r="E141">
            <v>287</v>
          </cell>
          <cell r="F141">
            <v>174</v>
          </cell>
          <cell r="G141">
            <v>284</v>
          </cell>
          <cell r="H141">
            <v>908.92</v>
          </cell>
          <cell r="I141">
            <v>1726.45</v>
          </cell>
          <cell r="J141">
            <v>92172</v>
          </cell>
          <cell r="K141" t="str">
            <v>MP</v>
          </cell>
        </row>
        <row r="142">
          <cell r="A142">
            <v>984993</v>
          </cell>
          <cell r="B142">
            <v>7524</v>
          </cell>
          <cell r="C142">
            <v>86</v>
          </cell>
          <cell r="D142">
            <v>159</v>
          </cell>
          <cell r="E142">
            <v>290</v>
          </cell>
          <cell r="F142">
            <v>835</v>
          </cell>
          <cell r="G142">
            <v>4477</v>
          </cell>
          <cell r="H142">
            <v>5849.42</v>
          </cell>
          <cell r="I142">
            <v>25747.24</v>
          </cell>
          <cell r="J142">
            <v>91431</v>
          </cell>
          <cell r="K142" t="str">
            <v>MP</v>
          </cell>
        </row>
        <row r="143">
          <cell r="A143">
            <v>984994</v>
          </cell>
          <cell r="B143">
            <v>7360</v>
          </cell>
          <cell r="C143">
            <v>266</v>
          </cell>
          <cell r="D143">
            <v>41</v>
          </cell>
          <cell r="E143">
            <v>290</v>
          </cell>
          <cell r="F143">
            <v>307</v>
          </cell>
          <cell r="G143">
            <v>1281</v>
          </cell>
          <cell r="H143">
            <v>2186.36</v>
          </cell>
          <cell r="I143">
            <v>6388.58</v>
          </cell>
          <cell r="J143">
            <v>90338</v>
          </cell>
          <cell r="K143" t="str">
            <v>MP</v>
          </cell>
        </row>
        <row r="144">
          <cell r="A144">
            <v>984999</v>
          </cell>
          <cell r="B144">
            <v>7475</v>
          </cell>
          <cell r="C144">
            <v>117</v>
          </cell>
          <cell r="D144">
            <v>36</v>
          </cell>
          <cell r="E144">
            <v>290</v>
          </cell>
          <cell r="F144">
            <v>512</v>
          </cell>
          <cell r="G144">
            <v>1594</v>
          </cell>
          <cell r="H144">
            <v>2551.41</v>
          </cell>
          <cell r="I144">
            <v>11197.2</v>
          </cell>
          <cell r="J144">
            <v>90061</v>
          </cell>
          <cell r="K144" t="str">
            <v>MP</v>
          </cell>
        </row>
        <row r="145">
          <cell r="A145">
            <v>985001</v>
          </cell>
          <cell r="B145">
            <v>7428</v>
          </cell>
          <cell r="C145">
            <v>1039</v>
          </cell>
          <cell r="D145">
            <v>541</v>
          </cell>
          <cell r="E145">
            <v>290</v>
          </cell>
          <cell r="F145">
            <v>2226</v>
          </cell>
          <cell r="G145">
            <v>14445</v>
          </cell>
          <cell r="H145">
            <v>18542.740000000002</v>
          </cell>
          <cell r="I145">
            <v>85938</v>
          </cell>
          <cell r="J145">
            <v>91706</v>
          </cell>
          <cell r="K145" t="str">
            <v>MP</v>
          </cell>
        </row>
        <row r="146">
          <cell r="A146">
            <v>985002</v>
          </cell>
          <cell r="B146">
            <v>7263</v>
          </cell>
          <cell r="C146">
            <v>319</v>
          </cell>
          <cell r="D146">
            <v>33</v>
          </cell>
          <cell r="E146">
            <v>290</v>
          </cell>
          <cell r="F146">
            <v>252</v>
          </cell>
          <cell r="G146">
            <v>1020</v>
          </cell>
          <cell r="H146">
            <v>1916.07</v>
          </cell>
          <cell r="I146">
            <v>5012.95</v>
          </cell>
          <cell r="J146">
            <v>91822</v>
          </cell>
          <cell r="K146" t="str">
            <v>MP</v>
          </cell>
        </row>
        <row r="147">
          <cell r="A147">
            <v>985003</v>
          </cell>
          <cell r="B147">
            <v>7447</v>
          </cell>
          <cell r="C147">
            <v>102</v>
          </cell>
          <cell r="D147">
            <v>0</v>
          </cell>
          <cell r="E147">
            <v>290</v>
          </cell>
          <cell r="F147">
            <v>137</v>
          </cell>
          <cell r="G147">
            <v>36</v>
          </cell>
          <cell r="H147">
            <v>567.94000000000005</v>
          </cell>
          <cell r="I147">
            <v>156.85</v>
          </cell>
          <cell r="J147">
            <v>90097</v>
          </cell>
          <cell r="K147" t="str">
            <v>MP</v>
          </cell>
        </row>
        <row r="148">
          <cell r="A148">
            <v>985008</v>
          </cell>
          <cell r="B148">
            <v>7233</v>
          </cell>
          <cell r="C148">
            <v>117</v>
          </cell>
          <cell r="D148">
            <v>13</v>
          </cell>
          <cell r="E148">
            <v>290</v>
          </cell>
          <cell r="F148">
            <v>226</v>
          </cell>
          <cell r="G148">
            <v>584</v>
          </cell>
          <cell r="H148">
            <v>1232.01</v>
          </cell>
          <cell r="I148">
            <v>4035.83</v>
          </cell>
          <cell r="J148">
            <v>90468</v>
          </cell>
          <cell r="K148" t="str">
            <v>MP</v>
          </cell>
        </row>
        <row r="149">
          <cell r="A149">
            <v>985009</v>
          </cell>
          <cell r="B149">
            <v>7361</v>
          </cell>
          <cell r="C149">
            <v>117</v>
          </cell>
          <cell r="D149">
            <v>14</v>
          </cell>
          <cell r="E149">
            <v>290</v>
          </cell>
          <cell r="F149">
            <v>125</v>
          </cell>
          <cell r="G149">
            <v>627</v>
          </cell>
          <cell r="H149">
            <v>1174.6500000000001</v>
          </cell>
          <cell r="I149">
            <v>4343.3999999999996</v>
          </cell>
          <cell r="J149">
            <v>90248</v>
          </cell>
          <cell r="K149" t="str">
            <v>MP</v>
          </cell>
        </row>
        <row r="150">
          <cell r="A150">
            <v>985010</v>
          </cell>
          <cell r="B150">
            <v>7185</v>
          </cell>
          <cell r="C150">
            <v>117</v>
          </cell>
          <cell r="D150">
            <v>12</v>
          </cell>
          <cell r="E150">
            <v>290</v>
          </cell>
          <cell r="F150">
            <v>221</v>
          </cell>
          <cell r="G150">
            <v>559</v>
          </cell>
          <cell r="H150">
            <v>1202.19</v>
          </cell>
          <cell r="I150">
            <v>3860.8</v>
          </cell>
          <cell r="J150">
            <v>90468</v>
          </cell>
          <cell r="K150" t="str">
            <v>MP</v>
          </cell>
        </row>
        <row r="151">
          <cell r="A151">
            <v>985011</v>
          </cell>
          <cell r="B151">
            <v>7186</v>
          </cell>
          <cell r="C151">
            <v>126</v>
          </cell>
          <cell r="D151">
            <v>65</v>
          </cell>
          <cell r="E151">
            <v>290</v>
          </cell>
          <cell r="F151">
            <v>478</v>
          </cell>
          <cell r="G151">
            <v>1481</v>
          </cell>
          <cell r="H151">
            <v>2441</v>
          </cell>
          <cell r="I151">
            <v>9636.6299999999992</v>
          </cell>
          <cell r="J151">
            <v>90685</v>
          </cell>
          <cell r="K151" t="str">
            <v>MP</v>
          </cell>
        </row>
        <row r="152">
          <cell r="A152">
            <v>985012</v>
          </cell>
          <cell r="B152">
            <v>7124</v>
          </cell>
          <cell r="C152">
            <v>118</v>
          </cell>
          <cell r="D152">
            <v>19</v>
          </cell>
          <cell r="E152">
            <v>290</v>
          </cell>
          <cell r="F152">
            <v>202</v>
          </cell>
          <cell r="G152">
            <v>593</v>
          </cell>
          <cell r="H152">
            <v>1224.4100000000001</v>
          </cell>
          <cell r="I152">
            <v>2999.95</v>
          </cell>
          <cell r="J152">
            <v>91978</v>
          </cell>
          <cell r="K152" t="str">
            <v>MP</v>
          </cell>
        </row>
        <row r="153">
          <cell r="A153">
            <v>985013</v>
          </cell>
          <cell r="B153">
            <v>7327</v>
          </cell>
          <cell r="C153">
            <v>126</v>
          </cell>
          <cell r="D153">
            <v>194</v>
          </cell>
          <cell r="E153">
            <v>290</v>
          </cell>
          <cell r="F153">
            <v>964</v>
          </cell>
          <cell r="G153">
            <v>4409</v>
          </cell>
          <cell r="H153">
            <v>5984.67</v>
          </cell>
          <cell r="I153">
            <v>31096.74</v>
          </cell>
          <cell r="J153">
            <v>90685</v>
          </cell>
          <cell r="K153" t="str">
            <v>MP</v>
          </cell>
        </row>
        <row r="154">
          <cell r="A154">
            <v>985014</v>
          </cell>
          <cell r="B154">
            <v>7619</v>
          </cell>
          <cell r="C154">
            <v>342</v>
          </cell>
          <cell r="D154">
            <v>136</v>
          </cell>
          <cell r="E154">
            <v>450</v>
          </cell>
          <cell r="F154">
            <v>753</v>
          </cell>
          <cell r="G154">
            <v>4641</v>
          </cell>
          <cell r="H154">
            <v>6323.42</v>
          </cell>
          <cell r="I154">
            <v>13879.3</v>
          </cell>
          <cell r="J154">
            <v>90639</v>
          </cell>
          <cell r="K154" t="str">
            <v>MP</v>
          </cell>
        </row>
        <row r="155">
          <cell r="A155">
            <v>985021</v>
          </cell>
          <cell r="B155">
            <v>7620</v>
          </cell>
          <cell r="C155">
            <v>1275</v>
          </cell>
          <cell r="D155">
            <v>193</v>
          </cell>
          <cell r="E155">
            <v>450</v>
          </cell>
          <cell r="F155">
            <v>962</v>
          </cell>
          <cell r="G155">
            <v>5964</v>
          </cell>
          <cell r="H155">
            <v>8846.4599999999991</v>
          </cell>
          <cell r="I155">
            <v>19207.64</v>
          </cell>
          <cell r="J155">
            <v>90721</v>
          </cell>
          <cell r="K155" t="str">
            <v>MP</v>
          </cell>
        </row>
        <row r="156">
          <cell r="A156">
            <v>985022</v>
          </cell>
          <cell r="B156">
            <v>7187</v>
          </cell>
          <cell r="C156">
            <v>175</v>
          </cell>
          <cell r="D156">
            <v>9</v>
          </cell>
          <cell r="E156">
            <v>290</v>
          </cell>
          <cell r="F156">
            <v>168</v>
          </cell>
          <cell r="G156">
            <v>305</v>
          </cell>
          <cell r="H156">
            <v>949.43</v>
          </cell>
          <cell r="I156">
            <v>1426.4</v>
          </cell>
          <cell r="J156">
            <v>90633</v>
          </cell>
          <cell r="K156" t="str">
            <v>MP</v>
          </cell>
        </row>
        <row r="157">
          <cell r="A157">
            <v>985023</v>
          </cell>
          <cell r="B157">
            <v>7496</v>
          </cell>
          <cell r="C157">
            <v>513</v>
          </cell>
          <cell r="D157">
            <v>50</v>
          </cell>
          <cell r="E157">
            <v>290</v>
          </cell>
          <cell r="F157">
            <v>368</v>
          </cell>
          <cell r="G157">
            <v>1543</v>
          </cell>
          <cell r="H157">
            <v>2765.53</v>
          </cell>
          <cell r="I157">
            <v>7578.71</v>
          </cell>
          <cell r="J157">
            <v>91462</v>
          </cell>
          <cell r="K157" t="str">
            <v>MP</v>
          </cell>
        </row>
        <row r="158">
          <cell r="A158">
            <v>985024</v>
          </cell>
          <cell r="B158">
            <v>7066</v>
          </cell>
          <cell r="C158">
            <v>860</v>
          </cell>
          <cell r="D158">
            <v>32</v>
          </cell>
          <cell r="E158">
            <v>290</v>
          </cell>
          <cell r="F158">
            <v>251</v>
          </cell>
          <cell r="G158">
            <v>1118</v>
          </cell>
          <cell r="H158">
            <v>2553.34</v>
          </cell>
          <cell r="I158">
            <v>4465.7700000000004</v>
          </cell>
          <cell r="J158">
            <v>92020</v>
          </cell>
          <cell r="K158" t="str">
            <v>MP</v>
          </cell>
        </row>
        <row r="159">
          <cell r="A159">
            <v>985025</v>
          </cell>
          <cell r="B159">
            <v>7188</v>
          </cell>
          <cell r="C159">
            <v>2552</v>
          </cell>
          <cell r="D159">
            <v>10</v>
          </cell>
          <cell r="E159">
            <v>290</v>
          </cell>
          <cell r="F159">
            <v>204</v>
          </cell>
          <cell r="G159">
            <v>613</v>
          </cell>
          <cell r="H159">
            <v>3670.45</v>
          </cell>
          <cell r="I159">
            <v>668.64</v>
          </cell>
          <cell r="J159">
            <v>91550</v>
          </cell>
          <cell r="K159" t="str">
            <v>MP</v>
          </cell>
        </row>
        <row r="160">
          <cell r="A160">
            <v>985027</v>
          </cell>
          <cell r="B160">
            <v>7189</v>
          </cell>
          <cell r="C160">
            <v>114</v>
          </cell>
          <cell r="D160">
            <v>5</v>
          </cell>
          <cell r="E160">
            <v>290</v>
          </cell>
          <cell r="F160">
            <v>173</v>
          </cell>
          <cell r="G160">
            <v>260</v>
          </cell>
          <cell r="H160">
            <v>845.15</v>
          </cell>
          <cell r="I160">
            <v>1735.63</v>
          </cell>
          <cell r="J160">
            <v>90061</v>
          </cell>
          <cell r="K160" t="str">
            <v>MP</v>
          </cell>
        </row>
        <row r="161">
          <cell r="A161">
            <v>985029</v>
          </cell>
          <cell r="B161">
            <v>7067</v>
          </cell>
          <cell r="C161">
            <v>114</v>
          </cell>
          <cell r="D161">
            <v>4</v>
          </cell>
          <cell r="E161">
            <v>290</v>
          </cell>
          <cell r="F161">
            <v>163</v>
          </cell>
          <cell r="G161">
            <v>194</v>
          </cell>
          <cell r="H161">
            <v>766.83</v>
          </cell>
          <cell r="I161">
            <v>1265.57</v>
          </cell>
          <cell r="J161">
            <v>90061</v>
          </cell>
          <cell r="K161" t="str">
            <v>MP</v>
          </cell>
        </row>
        <row r="162">
          <cell r="A162">
            <v>985030</v>
          </cell>
          <cell r="B162">
            <v>7125</v>
          </cell>
          <cell r="C162">
            <v>114</v>
          </cell>
          <cell r="D162">
            <v>5</v>
          </cell>
          <cell r="E162">
            <v>290</v>
          </cell>
          <cell r="F162">
            <v>171</v>
          </cell>
          <cell r="G162">
            <v>245</v>
          </cell>
          <cell r="H162">
            <v>827.08</v>
          </cell>
          <cell r="I162">
            <v>1627.16</v>
          </cell>
          <cell r="J162">
            <v>90061</v>
          </cell>
          <cell r="K162" t="str">
            <v>MP</v>
          </cell>
        </row>
        <row r="163">
          <cell r="A163">
            <v>985032</v>
          </cell>
          <cell r="B163">
            <v>7264</v>
          </cell>
          <cell r="C163">
            <v>209</v>
          </cell>
          <cell r="D163">
            <v>14</v>
          </cell>
          <cell r="E163">
            <v>290</v>
          </cell>
          <cell r="F163">
            <v>233</v>
          </cell>
          <cell r="G163">
            <v>629</v>
          </cell>
          <cell r="H163">
            <v>1377.53</v>
          </cell>
          <cell r="I163">
            <v>4264.25</v>
          </cell>
          <cell r="J163">
            <v>90061</v>
          </cell>
          <cell r="K163" t="str">
            <v>MP</v>
          </cell>
        </row>
        <row r="164">
          <cell r="A164">
            <v>985038</v>
          </cell>
          <cell r="B164" t="str">
            <v xml:space="preserve"> 7234/7235/7236/7237</v>
          </cell>
          <cell r="C164">
            <v>1867</v>
          </cell>
          <cell r="D164">
            <v>139</v>
          </cell>
          <cell r="E164">
            <v>290</v>
          </cell>
          <cell r="F164">
            <v>763</v>
          </cell>
          <cell r="G164">
            <v>4271</v>
          </cell>
          <cell r="H164">
            <v>7331.29</v>
          </cell>
          <cell r="I164">
            <v>20602.62</v>
          </cell>
          <cell r="J164">
            <v>90257</v>
          </cell>
          <cell r="K164" t="str">
            <v>MP</v>
          </cell>
        </row>
        <row r="165">
          <cell r="A165">
            <v>985044</v>
          </cell>
          <cell r="B165">
            <v>7265</v>
          </cell>
          <cell r="C165">
            <v>92</v>
          </cell>
          <cell r="D165">
            <v>23</v>
          </cell>
          <cell r="E165">
            <v>290</v>
          </cell>
          <cell r="F165">
            <v>334</v>
          </cell>
          <cell r="G165">
            <v>1031</v>
          </cell>
          <cell r="H165">
            <v>1772.42</v>
          </cell>
          <cell r="I165">
            <v>7239</v>
          </cell>
          <cell r="J165">
            <v>90485</v>
          </cell>
          <cell r="K165" t="str">
            <v>MP</v>
          </cell>
        </row>
        <row r="166">
          <cell r="A166">
            <v>985047</v>
          </cell>
          <cell r="B166">
            <v>7287</v>
          </cell>
          <cell r="C166">
            <v>176</v>
          </cell>
          <cell r="D166">
            <v>6</v>
          </cell>
          <cell r="E166">
            <v>290</v>
          </cell>
          <cell r="F166">
            <v>156</v>
          </cell>
          <cell r="G166">
            <v>153</v>
          </cell>
          <cell r="H166">
            <v>784.06</v>
          </cell>
          <cell r="I166">
            <v>913.5</v>
          </cell>
          <cell r="J166">
            <v>91441</v>
          </cell>
          <cell r="K166" t="str">
            <v>MP</v>
          </cell>
        </row>
        <row r="167">
          <cell r="A167">
            <v>985048</v>
          </cell>
          <cell r="B167">
            <v>7238</v>
          </cell>
          <cell r="C167">
            <v>117</v>
          </cell>
          <cell r="D167">
            <v>1</v>
          </cell>
          <cell r="E167">
            <v>290</v>
          </cell>
          <cell r="F167">
            <v>142</v>
          </cell>
          <cell r="G167">
            <v>62</v>
          </cell>
          <cell r="H167">
            <v>614.4</v>
          </cell>
          <cell r="I167">
            <v>330.18</v>
          </cell>
          <cell r="J167">
            <v>90496</v>
          </cell>
          <cell r="K167" t="str">
            <v>MP</v>
          </cell>
        </row>
        <row r="168">
          <cell r="A168">
            <v>985052</v>
          </cell>
          <cell r="B168" t="str">
            <v xml:space="preserve"> 7190/7191</v>
          </cell>
          <cell r="C168">
            <v>259</v>
          </cell>
          <cell r="D168">
            <v>158</v>
          </cell>
          <cell r="E168">
            <v>290</v>
          </cell>
          <cell r="F168">
            <v>553</v>
          </cell>
          <cell r="G168">
            <v>1995</v>
          </cell>
          <cell r="H168">
            <v>3257</v>
          </cell>
          <cell r="I168">
            <v>12770.96</v>
          </cell>
          <cell r="J168">
            <v>90503</v>
          </cell>
          <cell r="K168" t="str">
            <v>MP</v>
          </cell>
        </row>
        <row r="169">
          <cell r="A169">
            <v>985058</v>
          </cell>
          <cell r="B169">
            <v>7192</v>
          </cell>
          <cell r="C169">
            <v>138</v>
          </cell>
          <cell r="D169">
            <v>5</v>
          </cell>
          <cell r="E169">
            <v>290</v>
          </cell>
          <cell r="F169">
            <v>171</v>
          </cell>
          <cell r="G169">
            <v>294</v>
          </cell>
          <cell r="H169">
            <v>900.8</v>
          </cell>
          <cell r="I169">
            <v>1603.65</v>
          </cell>
          <cell r="J169">
            <v>92235</v>
          </cell>
          <cell r="K169" t="str">
            <v>MP</v>
          </cell>
        </row>
        <row r="170">
          <cell r="A170">
            <v>985060</v>
          </cell>
          <cell r="B170">
            <v>7068</v>
          </cell>
          <cell r="C170">
            <v>511</v>
          </cell>
          <cell r="D170">
            <v>39</v>
          </cell>
          <cell r="E170">
            <v>290</v>
          </cell>
          <cell r="F170">
            <v>275</v>
          </cell>
          <cell r="G170">
            <v>1199</v>
          </cell>
          <cell r="H170">
            <v>2315.63</v>
          </cell>
          <cell r="I170">
            <v>5756.44</v>
          </cell>
          <cell r="J170">
            <v>92090</v>
          </cell>
          <cell r="K170" t="str">
            <v>MP</v>
          </cell>
        </row>
        <row r="171">
          <cell r="A171">
            <v>985063</v>
          </cell>
          <cell r="B171">
            <v>7193</v>
          </cell>
          <cell r="C171">
            <v>126</v>
          </cell>
          <cell r="D171">
            <v>15</v>
          </cell>
          <cell r="E171">
            <v>290</v>
          </cell>
          <cell r="F171">
            <v>189</v>
          </cell>
          <cell r="G171">
            <v>354</v>
          </cell>
          <cell r="H171">
            <v>976.51</v>
          </cell>
          <cell r="I171">
            <v>2389.66</v>
          </cell>
          <cell r="J171">
            <v>90061</v>
          </cell>
          <cell r="K171" t="str">
            <v>MP</v>
          </cell>
        </row>
        <row r="172">
          <cell r="A172">
            <v>985064</v>
          </cell>
          <cell r="B172">
            <v>7266</v>
          </cell>
          <cell r="C172">
            <v>197</v>
          </cell>
          <cell r="D172">
            <v>42</v>
          </cell>
          <cell r="E172">
            <v>290</v>
          </cell>
          <cell r="F172">
            <v>314</v>
          </cell>
          <cell r="G172">
            <v>967</v>
          </cell>
          <cell r="H172">
            <v>1812.7</v>
          </cell>
          <cell r="I172">
            <v>6661.54</v>
          </cell>
          <cell r="J172">
            <v>90061</v>
          </cell>
          <cell r="K172" t="str">
            <v>MP</v>
          </cell>
        </row>
        <row r="173">
          <cell r="A173">
            <v>985065</v>
          </cell>
          <cell r="B173">
            <v>7448</v>
          </cell>
          <cell r="C173">
            <v>126</v>
          </cell>
          <cell r="D173">
            <v>108</v>
          </cell>
          <cell r="E173">
            <v>290</v>
          </cell>
          <cell r="F173">
            <v>651</v>
          </cell>
          <cell r="G173">
            <v>2460</v>
          </cell>
          <cell r="H173">
            <v>3637.25</v>
          </cell>
          <cell r="I173">
            <v>17313.28</v>
          </cell>
          <cell r="J173">
            <v>91468</v>
          </cell>
          <cell r="K173" t="str">
            <v>MP</v>
          </cell>
        </row>
        <row r="174">
          <cell r="A174">
            <v>985067</v>
          </cell>
          <cell r="B174">
            <v>7398</v>
          </cell>
          <cell r="C174">
            <v>1171</v>
          </cell>
          <cell r="D174">
            <v>109</v>
          </cell>
          <cell r="E174">
            <v>290</v>
          </cell>
          <cell r="F174">
            <v>654</v>
          </cell>
          <cell r="G174">
            <v>3027</v>
          </cell>
          <cell r="H174">
            <v>5252.71</v>
          </cell>
          <cell r="I174">
            <v>16537.61</v>
          </cell>
          <cell r="J174">
            <v>91553</v>
          </cell>
          <cell r="K174" t="str">
            <v>MP</v>
          </cell>
        </row>
        <row r="175">
          <cell r="A175">
            <v>985070</v>
          </cell>
          <cell r="B175" t="str">
            <v xml:space="preserve"> 7498/7499</v>
          </cell>
          <cell r="C175">
            <v>297</v>
          </cell>
          <cell r="D175">
            <v>60</v>
          </cell>
          <cell r="E175">
            <v>290</v>
          </cell>
          <cell r="F175">
            <v>684</v>
          </cell>
          <cell r="G175">
            <v>2666</v>
          </cell>
          <cell r="H175">
            <v>3998.94</v>
          </cell>
          <cell r="I175">
            <v>18665.919999999998</v>
          </cell>
          <cell r="J175">
            <v>90097</v>
          </cell>
          <cell r="K175" t="str">
            <v>MP</v>
          </cell>
        </row>
        <row r="176">
          <cell r="A176">
            <v>985072</v>
          </cell>
          <cell r="B176">
            <v>7362</v>
          </cell>
          <cell r="C176">
            <v>155</v>
          </cell>
          <cell r="D176">
            <v>48</v>
          </cell>
          <cell r="E176">
            <v>290</v>
          </cell>
          <cell r="F176">
            <v>413</v>
          </cell>
          <cell r="G176">
            <v>1027</v>
          </cell>
          <cell r="H176">
            <v>1935.31</v>
          </cell>
          <cell r="I176">
            <v>7694.36</v>
          </cell>
          <cell r="J176">
            <v>92109</v>
          </cell>
          <cell r="K176" t="str">
            <v>MP</v>
          </cell>
        </row>
        <row r="177">
          <cell r="A177">
            <v>985073</v>
          </cell>
          <cell r="B177">
            <v>7476</v>
          </cell>
          <cell r="C177">
            <v>1065</v>
          </cell>
          <cell r="D177">
            <v>223</v>
          </cell>
          <cell r="E177">
            <v>290</v>
          </cell>
          <cell r="F177">
            <v>1070</v>
          </cell>
          <cell r="G177">
            <v>6876</v>
          </cell>
          <cell r="H177">
            <v>9526.09</v>
          </cell>
          <cell r="I177">
            <v>34888.74</v>
          </cell>
          <cell r="J177">
            <v>90424</v>
          </cell>
          <cell r="K177" t="str">
            <v>MP</v>
          </cell>
        </row>
        <row r="178">
          <cell r="A178">
            <v>985074</v>
          </cell>
          <cell r="B178">
            <v>7288</v>
          </cell>
          <cell r="C178">
            <v>117</v>
          </cell>
          <cell r="D178">
            <v>18</v>
          </cell>
          <cell r="E178">
            <v>290</v>
          </cell>
          <cell r="F178">
            <v>271</v>
          </cell>
          <cell r="G178">
            <v>831</v>
          </cell>
          <cell r="H178">
            <v>1529.18</v>
          </cell>
          <cell r="I178">
            <v>5793.12</v>
          </cell>
          <cell r="J178">
            <v>90468</v>
          </cell>
          <cell r="K178" t="str">
            <v>MP</v>
          </cell>
        </row>
        <row r="179">
          <cell r="A179">
            <v>985075</v>
          </cell>
          <cell r="B179">
            <v>7194</v>
          </cell>
          <cell r="C179">
            <v>117</v>
          </cell>
          <cell r="D179">
            <v>10</v>
          </cell>
          <cell r="E179">
            <v>290</v>
          </cell>
          <cell r="F179">
            <v>250</v>
          </cell>
          <cell r="G179">
            <v>474</v>
          </cell>
          <cell r="H179">
            <v>1143.42</v>
          </cell>
          <cell r="I179">
            <v>3258.63</v>
          </cell>
          <cell r="J179">
            <v>90121</v>
          </cell>
          <cell r="K179" t="str">
            <v>MP</v>
          </cell>
        </row>
        <row r="180">
          <cell r="A180">
            <v>985076</v>
          </cell>
          <cell r="B180">
            <v>7363</v>
          </cell>
          <cell r="C180">
            <v>104</v>
          </cell>
          <cell r="D180">
            <v>1</v>
          </cell>
          <cell r="E180">
            <v>290</v>
          </cell>
          <cell r="F180">
            <v>137</v>
          </cell>
          <cell r="G180">
            <v>46</v>
          </cell>
          <cell r="H180">
            <v>580.71</v>
          </cell>
          <cell r="I180">
            <v>140.88999999999999</v>
          </cell>
          <cell r="J180">
            <v>91177</v>
          </cell>
          <cell r="K180" t="str">
            <v>MP</v>
          </cell>
        </row>
        <row r="181">
          <cell r="A181">
            <v>985079</v>
          </cell>
          <cell r="B181">
            <v>7289</v>
          </cell>
          <cell r="C181">
            <v>193</v>
          </cell>
          <cell r="D181">
            <v>11</v>
          </cell>
          <cell r="E181">
            <v>290</v>
          </cell>
          <cell r="F181">
            <v>173</v>
          </cell>
          <cell r="G181">
            <v>346</v>
          </cell>
          <cell r="H181">
            <v>1014.63</v>
          </cell>
          <cell r="I181">
            <v>1603.79</v>
          </cell>
          <cell r="J181">
            <v>90442</v>
          </cell>
          <cell r="K181" t="str">
            <v>MP</v>
          </cell>
        </row>
        <row r="182">
          <cell r="A182">
            <v>985082</v>
          </cell>
          <cell r="C182">
            <v>663</v>
          </cell>
          <cell r="D182">
            <v>83</v>
          </cell>
          <cell r="E182">
            <v>290</v>
          </cell>
          <cell r="F182">
            <v>561</v>
          </cell>
          <cell r="G182">
            <v>2576</v>
          </cell>
          <cell r="H182">
            <v>4174.28</v>
          </cell>
          <cell r="I182">
            <v>12791.31</v>
          </cell>
          <cell r="J182">
            <v>90070</v>
          </cell>
          <cell r="K182" t="str">
            <v>MP</v>
          </cell>
        </row>
        <row r="183">
          <cell r="A183">
            <v>985083</v>
          </cell>
          <cell r="B183">
            <v>7195</v>
          </cell>
          <cell r="C183">
            <v>132</v>
          </cell>
          <cell r="D183">
            <v>25</v>
          </cell>
          <cell r="E183">
            <v>290</v>
          </cell>
          <cell r="F183">
            <v>363</v>
          </cell>
          <cell r="G183">
            <v>1120</v>
          </cell>
          <cell r="H183">
            <v>1932.13</v>
          </cell>
          <cell r="I183">
            <v>7824.81</v>
          </cell>
          <cell r="J183">
            <v>91974</v>
          </cell>
          <cell r="K183" t="str">
            <v>MP</v>
          </cell>
        </row>
        <row r="184">
          <cell r="A184">
            <v>985089</v>
          </cell>
          <cell r="B184">
            <v>7307</v>
          </cell>
          <cell r="C184">
            <v>151</v>
          </cell>
          <cell r="D184">
            <v>5</v>
          </cell>
          <cell r="E184">
            <v>290</v>
          </cell>
          <cell r="F184">
            <v>153</v>
          </cell>
          <cell r="G184">
            <v>131</v>
          </cell>
          <cell r="H184">
            <v>732.03</v>
          </cell>
          <cell r="I184">
            <v>784.23</v>
          </cell>
          <cell r="J184">
            <v>91324</v>
          </cell>
          <cell r="K184" t="str">
            <v>MP</v>
          </cell>
        </row>
        <row r="185">
          <cell r="A185">
            <v>985090</v>
          </cell>
          <cell r="B185">
            <v>7525</v>
          </cell>
          <cell r="C185">
            <v>151</v>
          </cell>
          <cell r="D185">
            <v>141</v>
          </cell>
          <cell r="E185">
            <v>290</v>
          </cell>
          <cell r="F185">
            <v>773</v>
          </cell>
          <cell r="G185">
            <v>3221</v>
          </cell>
          <cell r="H185">
            <v>4577.71</v>
          </cell>
          <cell r="I185">
            <v>22685.43</v>
          </cell>
          <cell r="J185">
            <v>92172</v>
          </cell>
          <cell r="K185" t="str">
            <v>MP</v>
          </cell>
        </row>
        <row r="186">
          <cell r="A186">
            <v>985091</v>
          </cell>
          <cell r="B186">
            <v>7364</v>
          </cell>
          <cell r="C186">
            <v>126</v>
          </cell>
          <cell r="D186">
            <v>10</v>
          </cell>
          <cell r="E186">
            <v>290</v>
          </cell>
          <cell r="F186">
            <v>204</v>
          </cell>
          <cell r="G186">
            <v>675</v>
          </cell>
          <cell r="H186">
            <v>1307.49</v>
          </cell>
          <cell r="I186">
            <v>3073.52</v>
          </cell>
          <cell r="J186">
            <v>91681</v>
          </cell>
          <cell r="K186" t="str">
            <v>MP</v>
          </cell>
        </row>
        <row r="187">
          <cell r="A187">
            <v>985094</v>
          </cell>
          <cell r="B187">
            <v>7526</v>
          </cell>
          <cell r="C187">
            <v>114</v>
          </cell>
          <cell r="D187">
            <v>118</v>
          </cell>
          <cell r="E187">
            <v>290</v>
          </cell>
          <cell r="F187">
            <v>1091</v>
          </cell>
          <cell r="G187">
            <v>7053</v>
          </cell>
          <cell r="H187">
            <v>8667.94</v>
          </cell>
          <cell r="I187">
            <v>36780.129999999997</v>
          </cell>
          <cell r="J187">
            <v>91202</v>
          </cell>
          <cell r="K187" t="str">
            <v>MP</v>
          </cell>
        </row>
        <row r="188">
          <cell r="A188">
            <v>985095</v>
          </cell>
          <cell r="B188">
            <v>7365</v>
          </cell>
          <cell r="C188">
            <v>114</v>
          </cell>
          <cell r="D188">
            <v>33</v>
          </cell>
          <cell r="E188">
            <v>290</v>
          </cell>
          <cell r="F188">
            <v>473</v>
          </cell>
          <cell r="G188">
            <v>1466</v>
          </cell>
          <cell r="H188">
            <v>2378.16</v>
          </cell>
          <cell r="I188">
            <v>10297.43</v>
          </cell>
          <cell r="J188">
            <v>91147</v>
          </cell>
          <cell r="K188" t="str">
            <v>MP</v>
          </cell>
        </row>
        <row r="189">
          <cell r="A189">
            <v>985097</v>
          </cell>
          <cell r="B189">
            <v>7105</v>
          </cell>
          <cell r="C189">
            <v>116</v>
          </cell>
          <cell r="D189">
            <v>13</v>
          </cell>
          <cell r="E189">
            <v>290</v>
          </cell>
          <cell r="F189">
            <v>227</v>
          </cell>
          <cell r="G189">
            <v>126</v>
          </cell>
          <cell r="H189">
            <v>773.39</v>
          </cell>
          <cell r="I189">
            <v>4097.68</v>
          </cell>
          <cell r="J189">
            <v>92166</v>
          </cell>
          <cell r="K189" t="str">
            <v>MP</v>
          </cell>
        </row>
        <row r="190">
          <cell r="A190">
            <v>985103</v>
          </cell>
          <cell r="B190">
            <v>7196</v>
          </cell>
          <cell r="C190">
            <v>151</v>
          </cell>
          <cell r="D190">
            <v>48</v>
          </cell>
          <cell r="E190">
            <v>290</v>
          </cell>
          <cell r="F190">
            <v>353</v>
          </cell>
          <cell r="G190">
            <v>1090</v>
          </cell>
          <cell r="H190">
            <v>1933.46</v>
          </cell>
          <cell r="I190">
            <v>7578.7</v>
          </cell>
          <cell r="J190">
            <v>90349</v>
          </cell>
          <cell r="K190" t="str">
            <v>MP</v>
          </cell>
        </row>
        <row r="191">
          <cell r="A191">
            <v>985104</v>
          </cell>
          <cell r="B191">
            <v>7239</v>
          </cell>
          <cell r="C191">
            <v>120</v>
          </cell>
          <cell r="D191">
            <v>2</v>
          </cell>
          <cell r="E191">
            <v>290</v>
          </cell>
          <cell r="F191">
            <v>141</v>
          </cell>
          <cell r="G191">
            <v>58</v>
          </cell>
          <cell r="H191">
            <v>612.77</v>
          </cell>
          <cell r="I191">
            <v>290.60000000000002</v>
          </cell>
          <cell r="J191">
            <v>91311</v>
          </cell>
          <cell r="K191" t="str">
            <v>MP</v>
          </cell>
        </row>
        <row r="192">
          <cell r="A192">
            <v>985106</v>
          </cell>
          <cell r="B192">
            <v>7267</v>
          </cell>
          <cell r="C192">
            <v>126</v>
          </cell>
          <cell r="D192">
            <v>3</v>
          </cell>
          <cell r="E192">
            <v>290</v>
          </cell>
          <cell r="F192">
            <v>145</v>
          </cell>
          <cell r="G192">
            <v>112</v>
          </cell>
          <cell r="H192">
            <v>678.42</v>
          </cell>
          <cell r="I192">
            <v>460.88</v>
          </cell>
          <cell r="J192">
            <v>90390</v>
          </cell>
          <cell r="K192" t="str">
            <v>MP</v>
          </cell>
        </row>
        <row r="193">
          <cell r="A193">
            <v>985107</v>
          </cell>
          <cell r="B193">
            <v>7197</v>
          </cell>
          <cell r="C193">
            <v>497</v>
          </cell>
          <cell r="D193">
            <v>39</v>
          </cell>
          <cell r="E193">
            <v>290</v>
          </cell>
          <cell r="F193">
            <v>301</v>
          </cell>
          <cell r="G193">
            <v>800</v>
          </cell>
          <cell r="H193">
            <v>1928.99</v>
          </cell>
          <cell r="I193">
            <v>5857.32</v>
          </cell>
          <cell r="J193">
            <v>90061</v>
          </cell>
          <cell r="K193" t="str">
            <v>MP</v>
          </cell>
        </row>
        <row r="194">
          <cell r="A194">
            <v>985109</v>
          </cell>
          <cell r="B194">
            <v>7477</v>
          </cell>
          <cell r="C194">
            <v>126</v>
          </cell>
          <cell r="D194">
            <v>4</v>
          </cell>
          <cell r="E194">
            <v>290</v>
          </cell>
          <cell r="F194">
            <v>163</v>
          </cell>
          <cell r="G194">
            <v>196</v>
          </cell>
          <cell r="H194">
            <v>781.52</v>
          </cell>
          <cell r="I194">
            <v>1269.08</v>
          </cell>
          <cell r="J194">
            <v>91947</v>
          </cell>
          <cell r="K194" t="str">
            <v>MP</v>
          </cell>
        </row>
        <row r="195">
          <cell r="A195">
            <v>985112</v>
          </cell>
          <cell r="B195">
            <v>7399</v>
          </cell>
          <cell r="C195">
            <v>584</v>
          </cell>
          <cell r="D195">
            <v>58</v>
          </cell>
          <cell r="E195">
            <v>290</v>
          </cell>
          <cell r="F195">
            <v>426</v>
          </cell>
          <cell r="G195">
            <v>1226</v>
          </cell>
          <cell r="H195">
            <v>2586.69</v>
          </cell>
          <cell r="I195">
            <v>8781.2800000000007</v>
          </cell>
          <cell r="J195">
            <v>91381</v>
          </cell>
          <cell r="K195" t="str">
            <v>MP</v>
          </cell>
        </row>
        <row r="196">
          <cell r="A196">
            <v>985113</v>
          </cell>
          <cell r="B196">
            <v>7244</v>
          </cell>
          <cell r="C196">
            <v>241</v>
          </cell>
          <cell r="D196">
            <v>46</v>
          </cell>
          <cell r="E196">
            <v>290</v>
          </cell>
          <cell r="F196">
            <v>343</v>
          </cell>
          <cell r="G196">
            <v>1058</v>
          </cell>
          <cell r="H196">
            <v>1980.35</v>
          </cell>
          <cell r="I196">
            <v>7222.5</v>
          </cell>
          <cell r="J196">
            <v>91578</v>
          </cell>
          <cell r="K196" t="str">
            <v>MP</v>
          </cell>
        </row>
        <row r="197">
          <cell r="A197">
            <v>985116</v>
          </cell>
          <cell r="B197">
            <v>7366</v>
          </cell>
          <cell r="C197">
            <v>53</v>
          </cell>
          <cell r="D197">
            <v>2</v>
          </cell>
          <cell r="E197">
            <v>290</v>
          </cell>
          <cell r="F197">
            <v>248</v>
          </cell>
          <cell r="G197">
            <v>129</v>
          </cell>
          <cell r="H197">
            <v>723.76</v>
          </cell>
          <cell r="I197">
            <v>867.75</v>
          </cell>
          <cell r="J197">
            <v>92166</v>
          </cell>
          <cell r="K197" t="str">
            <v>MP</v>
          </cell>
        </row>
        <row r="198">
          <cell r="A198">
            <v>985118</v>
          </cell>
          <cell r="B198">
            <v>7215</v>
          </cell>
          <cell r="C198">
            <v>116</v>
          </cell>
          <cell r="D198">
            <v>25</v>
          </cell>
          <cell r="E198">
            <v>290</v>
          </cell>
          <cell r="F198">
            <v>223</v>
          </cell>
          <cell r="G198">
            <v>569</v>
          </cell>
          <cell r="H198">
            <v>1224.23</v>
          </cell>
          <cell r="I198">
            <v>3922.1</v>
          </cell>
          <cell r="J198">
            <v>91874</v>
          </cell>
          <cell r="K198" t="str">
            <v>MP</v>
          </cell>
        </row>
        <row r="199">
          <cell r="A199">
            <v>985119</v>
          </cell>
          <cell r="B199">
            <v>7198</v>
          </cell>
          <cell r="C199">
            <v>109</v>
          </cell>
          <cell r="D199">
            <v>45</v>
          </cell>
          <cell r="E199">
            <v>290</v>
          </cell>
          <cell r="F199">
            <v>333</v>
          </cell>
          <cell r="G199">
            <v>1026</v>
          </cell>
          <cell r="H199">
            <v>1805.13</v>
          </cell>
          <cell r="I199">
            <v>7168.99</v>
          </cell>
          <cell r="J199">
            <v>91841</v>
          </cell>
          <cell r="K199" t="str">
            <v>MP</v>
          </cell>
        </row>
        <row r="200">
          <cell r="A200">
            <v>985120</v>
          </cell>
          <cell r="B200">
            <v>7400</v>
          </cell>
          <cell r="C200">
            <v>147</v>
          </cell>
          <cell r="D200">
            <v>14</v>
          </cell>
          <cell r="E200">
            <v>290</v>
          </cell>
          <cell r="F200">
            <v>236</v>
          </cell>
          <cell r="G200">
            <v>885</v>
          </cell>
          <cell r="H200">
            <v>1574.17</v>
          </cell>
          <cell r="I200">
            <v>4618.2</v>
          </cell>
          <cell r="J200">
            <v>90342</v>
          </cell>
          <cell r="K200" t="str">
            <v>MP</v>
          </cell>
        </row>
        <row r="201">
          <cell r="A201">
            <v>985122</v>
          </cell>
          <cell r="B201">
            <v>7199</v>
          </cell>
          <cell r="C201">
            <v>86</v>
          </cell>
          <cell r="D201">
            <v>2</v>
          </cell>
          <cell r="E201">
            <v>290</v>
          </cell>
          <cell r="F201">
            <v>140</v>
          </cell>
          <cell r="G201">
            <v>67</v>
          </cell>
          <cell r="H201">
            <v>586.84</v>
          </cell>
          <cell r="I201">
            <v>288.88</v>
          </cell>
          <cell r="J201">
            <v>91262</v>
          </cell>
          <cell r="K201" t="str">
            <v>MP</v>
          </cell>
        </row>
        <row r="202">
          <cell r="A202">
            <v>985123</v>
          </cell>
          <cell r="B202">
            <v>7200</v>
          </cell>
          <cell r="C202">
            <v>140</v>
          </cell>
          <cell r="D202">
            <v>10</v>
          </cell>
          <cell r="E202">
            <v>290</v>
          </cell>
          <cell r="F202">
            <v>171</v>
          </cell>
          <cell r="G202">
            <v>335</v>
          </cell>
          <cell r="H202">
            <v>948.65</v>
          </cell>
          <cell r="I202">
            <v>1611.89</v>
          </cell>
          <cell r="J202">
            <v>92174</v>
          </cell>
          <cell r="K202" t="str">
            <v>MP</v>
          </cell>
        </row>
        <row r="203">
          <cell r="A203">
            <v>985125</v>
          </cell>
          <cell r="B203">
            <v>7201</v>
          </cell>
          <cell r="C203">
            <v>57</v>
          </cell>
          <cell r="D203">
            <v>4</v>
          </cell>
          <cell r="E203">
            <v>290</v>
          </cell>
          <cell r="F203">
            <v>146</v>
          </cell>
          <cell r="G203">
            <v>123</v>
          </cell>
          <cell r="H203">
            <v>622.47</v>
          </cell>
          <cell r="I203">
            <v>591.74</v>
          </cell>
          <cell r="J203">
            <v>90444</v>
          </cell>
          <cell r="K203" t="str">
            <v>MP</v>
          </cell>
        </row>
        <row r="204">
          <cell r="A204">
            <v>985126</v>
          </cell>
          <cell r="B204">
            <v>7202</v>
          </cell>
          <cell r="C204">
            <v>79</v>
          </cell>
          <cell r="D204">
            <v>1</v>
          </cell>
          <cell r="E204">
            <v>290</v>
          </cell>
          <cell r="F204">
            <v>142</v>
          </cell>
          <cell r="G204">
            <v>89</v>
          </cell>
          <cell r="H204">
            <v>602.72</v>
          </cell>
          <cell r="I204">
            <v>398.17</v>
          </cell>
          <cell r="J204">
            <v>90342</v>
          </cell>
          <cell r="K204" t="str">
            <v>MP</v>
          </cell>
        </row>
        <row r="205">
          <cell r="A205">
            <v>985127</v>
          </cell>
          <cell r="B205">
            <v>7401</v>
          </cell>
          <cell r="C205">
            <v>2117</v>
          </cell>
          <cell r="D205">
            <v>58</v>
          </cell>
          <cell r="E205">
            <v>290</v>
          </cell>
          <cell r="F205">
            <v>425</v>
          </cell>
          <cell r="G205">
            <v>1787</v>
          </cell>
          <cell r="H205">
            <v>4678.95</v>
          </cell>
          <cell r="I205">
            <v>7288.81</v>
          </cell>
          <cell r="J205">
            <v>91550</v>
          </cell>
          <cell r="K205" t="str">
            <v>MP</v>
          </cell>
        </row>
        <row r="206">
          <cell r="A206">
            <v>985128</v>
          </cell>
          <cell r="B206">
            <v>7203</v>
          </cell>
          <cell r="C206">
            <v>2321</v>
          </cell>
          <cell r="D206">
            <v>71</v>
          </cell>
          <cell r="E206">
            <v>290</v>
          </cell>
          <cell r="F206">
            <v>517</v>
          </cell>
          <cell r="G206">
            <v>2209</v>
          </cell>
          <cell r="H206">
            <v>5410.45</v>
          </cell>
          <cell r="I206">
            <v>9242.89</v>
          </cell>
          <cell r="J206">
            <v>91550</v>
          </cell>
          <cell r="K206" t="str">
            <v>MP</v>
          </cell>
        </row>
        <row r="207">
          <cell r="A207">
            <v>985129</v>
          </cell>
          <cell r="B207">
            <v>7367</v>
          </cell>
          <cell r="C207">
            <v>1037</v>
          </cell>
          <cell r="D207">
            <v>34</v>
          </cell>
          <cell r="E207">
            <v>290</v>
          </cell>
          <cell r="F207">
            <v>258</v>
          </cell>
          <cell r="G207">
            <v>1071</v>
          </cell>
          <cell r="H207">
            <v>2692.86</v>
          </cell>
          <cell r="I207">
            <v>4564.6000000000004</v>
          </cell>
          <cell r="J207">
            <v>91550</v>
          </cell>
          <cell r="K207" t="str">
            <v>MP</v>
          </cell>
        </row>
        <row r="208">
          <cell r="A208">
            <v>985131</v>
          </cell>
          <cell r="B208">
            <v>7290</v>
          </cell>
          <cell r="C208">
            <v>117</v>
          </cell>
          <cell r="D208">
            <v>2</v>
          </cell>
          <cell r="E208">
            <v>290</v>
          </cell>
          <cell r="F208">
            <v>142</v>
          </cell>
          <cell r="G208">
            <v>86</v>
          </cell>
          <cell r="H208">
            <v>639.85</v>
          </cell>
          <cell r="I208">
            <v>361.49</v>
          </cell>
          <cell r="J208">
            <v>90379</v>
          </cell>
          <cell r="K208" t="str">
            <v>MP</v>
          </cell>
        </row>
        <row r="209">
          <cell r="A209">
            <v>985132</v>
          </cell>
          <cell r="B209">
            <v>7308</v>
          </cell>
          <cell r="C209">
            <v>96</v>
          </cell>
          <cell r="D209">
            <v>5</v>
          </cell>
          <cell r="E209">
            <v>290</v>
          </cell>
          <cell r="F209">
            <v>150</v>
          </cell>
          <cell r="G209">
            <v>152</v>
          </cell>
          <cell r="H209">
            <v>694.27</v>
          </cell>
          <cell r="I209">
            <v>2111.0300000000002</v>
          </cell>
          <cell r="J209">
            <v>91262</v>
          </cell>
          <cell r="K209" t="str">
            <v>MP</v>
          </cell>
        </row>
        <row r="210">
          <cell r="A210">
            <v>985133</v>
          </cell>
          <cell r="B210">
            <v>7329</v>
          </cell>
          <cell r="C210">
            <v>174</v>
          </cell>
          <cell r="D210">
            <v>216</v>
          </cell>
          <cell r="E210">
            <v>290</v>
          </cell>
          <cell r="F210">
            <v>1045</v>
          </cell>
          <cell r="G210">
            <v>4914</v>
          </cell>
          <cell r="H210">
            <v>6640.79</v>
          </cell>
          <cell r="I210">
            <v>34665.33</v>
          </cell>
          <cell r="J210">
            <v>91358</v>
          </cell>
          <cell r="K210" t="str">
            <v>MP</v>
          </cell>
        </row>
        <row r="211">
          <cell r="A211">
            <v>985134</v>
          </cell>
          <cell r="B211">
            <v>7268</v>
          </cell>
          <cell r="C211">
            <v>3306</v>
          </cell>
          <cell r="D211">
            <v>13</v>
          </cell>
          <cell r="E211">
            <v>290</v>
          </cell>
          <cell r="F211">
            <v>227</v>
          </cell>
          <cell r="G211">
            <v>811</v>
          </cell>
          <cell r="H211">
            <v>4649.08</v>
          </cell>
          <cell r="I211">
            <v>949.06</v>
          </cell>
          <cell r="J211">
            <v>91550</v>
          </cell>
          <cell r="K211" t="str">
            <v>MP</v>
          </cell>
        </row>
        <row r="212">
          <cell r="A212">
            <v>985135</v>
          </cell>
          <cell r="B212">
            <v>7291</v>
          </cell>
          <cell r="C212">
            <v>164</v>
          </cell>
          <cell r="D212">
            <v>7</v>
          </cell>
          <cell r="E212">
            <v>290</v>
          </cell>
          <cell r="F212">
            <v>184</v>
          </cell>
          <cell r="G212">
            <v>445</v>
          </cell>
          <cell r="H212">
            <v>1092.97</v>
          </cell>
          <cell r="I212">
            <v>2173.3200000000002</v>
          </cell>
          <cell r="J212">
            <v>91934</v>
          </cell>
          <cell r="K212" t="str">
            <v>MP</v>
          </cell>
        </row>
        <row r="213">
          <cell r="A213">
            <v>985137</v>
          </cell>
          <cell r="B213">
            <v>7292</v>
          </cell>
          <cell r="C213">
            <v>330</v>
          </cell>
          <cell r="D213">
            <v>16</v>
          </cell>
          <cell r="E213">
            <v>290</v>
          </cell>
          <cell r="F213">
            <v>192</v>
          </cell>
          <cell r="G213">
            <v>432</v>
          </cell>
          <cell r="H213">
            <v>1263.3599999999999</v>
          </cell>
          <cell r="I213">
            <v>2374.62</v>
          </cell>
          <cell r="J213">
            <v>91552</v>
          </cell>
          <cell r="K213" t="str">
            <v>MP</v>
          </cell>
        </row>
        <row r="214">
          <cell r="A214">
            <v>985138</v>
          </cell>
          <cell r="B214">
            <v>7293</v>
          </cell>
          <cell r="C214">
            <v>461</v>
          </cell>
          <cell r="D214">
            <v>25</v>
          </cell>
          <cell r="E214">
            <v>290</v>
          </cell>
          <cell r="F214">
            <v>355</v>
          </cell>
          <cell r="G214">
            <v>1489</v>
          </cell>
          <cell r="H214">
            <v>2622.24</v>
          </cell>
          <cell r="I214">
            <v>7345.82</v>
          </cell>
          <cell r="J214">
            <v>90721</v>
          </cell>
          <cell r="K214" t="str">
            <v>MP</v>
          </cell>
        </row>
        <row r="215">
          <cell r="A215">
            <v>985140</v>
          </cell>
          <cell r="B215">
            <v>7294</v>
          </cell>
          <cell r="C215">
            <v>130</v>
          </cell>
          <cell r="D215">
            <v>0</v>
          </cell>
          <cell r="E215">
            <v>290</v>
          </cell>
          <cell r="F215">
            <v>137</v>
          </cell>
          <cell r="G215">
            <v>47</v>
          </cell>
          <cell r="H215">
            <v>606.88</v>
          </cell>
          <cell r="I215">
            <v>118.85</v>
          </cell>
          <cell r="J215">
            <v>90402</v>
          </cell>
          <cell r="K215" t="str">
            <v>MP</v>
          </cell>
        </row>
        <row r="216">
          <cell r="A216">
            <v>985144</v>
          </cell>
          <cell r="B216">
            <v>7295</v>
          </cell>
          <cell r="C216">
            <v>114</v>
          </cell>
          <cell r="D216">
            <v>11</v>
          </cell>
          <cell r="E216">
            <v>290</v>
          </cell>
          <cell r="F216">
            <v>215</v>
          </cell>
          <cell r="G216">
            <v>559</v>
          </cell>
          <cell r="H216">
            <v>1191.1199999999999</v>
          </cell>
          <cell r="I216">
            <v>3575.09</v>
          </cell>
          <cell r="J216">
            <v>90061</v>
          </cell>
          <cell r="K216" t="str">
            <v>MP</v>
          </cell>
        </row>
        <row r="217">
          <cell r="A217">
            <v>985148</v>
          </cell>
          <cell r="B217">
            <v>7368</v>
          </cell>
          <cell r="C217">
            <v>96</v>
          </cell>
          <cell r="D217">
            <v>21</v>
          </cell>
          <cell r="E217">
            <v>290</v>
          </cell>
          <cell r="F217">
            <v>311</v>
          </cell>
          <cell r="G217">
            <v>1299</v>
          </cell>
          <cell r="H217">
            <v>2018.85</v>
          </cell>
          <cell r="I217">
            <v>6715.92</v>
          </cell>
          <cell r="J217">
            <v>92015</v>
          </cell>
          <cell r="K217" t="str">
            <v>MP</v>
          </cell>
        </row>
        <row r="218">
          <cell r="A218">
            <v>985150</v>
          </cell>
          <cell r="B218">
            <v>7621</v>
          </cell>
          <cell r="C218">
            <v>161</v>
          </cell>
          <cell r="D218">
            <v>183</v>
          </cell>
          <cell r="E218">
            <v>409</v>
          </cell>
          <cell r="F218">
            <v>1448</v>
          </cell>
          <cell r="G218">
            <v>8738</v>
          </cell>
          <cell r="H218">
            <v>10942.47</v>
          </cell>
          <cell r="I218">
            <v>40585.440000000002</v>
          </cell>
          <cell r="J218">
            <v>90685</v>
          </cell>
          <cell r="K218" t="str">
            <v>MP</v>
          </cell>
        </row>
        <row r="219">
          <cell r="A219">
            <v>985151</v>
          </cell>
          <cell r="B219">
            <v>7449</v>
          </cell>
          <cell r="C219">
            <v>221</v>
          </cell>
          <cell r="D219">
            <v>348</v>
          </cell>
          <cell r="E219">
            <v>290</v>
          </cell>
          <cell r="F219">
            <v>2715</v>
          </cell>
          <cell r="G219">
            <v>15305</v>
          </cell>
          <cell r="H219">
            <v>18882.27</v>
          </cell>
          <cell r="I219">
            <v>108711</v>
          </cell>
          <cell r="J219">
            <v>90097</v>
          </cell>
          <cell r="K219" t="str">
            <v>MP</v>
          </cell>
        </row>
        <row r="220">
          <cell r="A220">
            <v>985158</v>
          </cell>
          <cell r="B220">
            <v>7296</v>
          </cell>
          <cell r="C220">
            <v>117</v>
          </cell>
          <cell r="D220">
            <v>8</v>
          </cell>
          <cell r="E220">
            <v>290</v>
          </cell>
          <cell r="F220">
            <v>193</v>
          </cell>
          <cell r="G220">
            <v>384</v>
          </cell>
          <cell r="H220">
            <v>994.74</v>
          </cell>
          <cell r="I220">
            <v>2616.6799999999998</v>
          </cell>
          <cell r="J220">
            <v>90496</v>
          </cell>
          <cell r="K220" t="str">
            <v>MP</v>
          </cell>
        </row>
        <row r="221">
          <cell r="A221">
            <v>985160</v>
          </cell>
          <cell r="B221">
            <v>7205</v>
          </cell>
          <cell r="C221">
            <v>148</v>
          </cell>
          <cell r="D221">
            <v>7</v>
          </cell>
          <cell r="E221">
            <v>290</v>
          </cell>
          <cell r="F221">
            <v>184</v>
          </cell>
          <cell r="G221">
            <v>327</v>
          </cell>
          <cell r="H221">
            <v>958.49</v>
          </cell>
          <cell r="I221">
            <v>2181.4699999999998</v>
          </cell>
          <cell r="J221">
            <v>91923</v>
          </cell>
          <cell r="K221" t="str">
            <v>MP</v>
          </cell>
        </row>
        <row r="222">
          <cell r="A222">
            <v>985161</v>
          </cell>
          <cell r="B222">
            <v>7206</v>
          </cell>
          <cell r="C222">
            <v>117</v>
          </cell>
          <cell r="D222">
            <v>11</v>
          </cell>
          <cell r="E222">
            <v>290</v>
          </cell>
          <cell r="F222">
            <v>211</v>
          </cell>
          <cell r="G222">
            <v>491</v>
          </cell>
          <cell r="H222">
            <v>1121.8599999999999</v>
          </cell>
          <cell r="I222">
            <v>3382.12</v>
          </cell>
          <cell r="J222">
            <v>90468</v>
          </cell>
          <cell r="K222" t="str">
            <v>MP</v>
          </cell>
        </row>
        <row r="223">
          <cell r="A223">
            <v>985164</v>
          </cell>
          <cell r="B223">
            <v>7369</v>
          </cell>
          <cell r="C223">
            <v>154</v>
          </cell>
          <cell r="D223">
            <v>29</v>
          </cell>
          <cell r="E223">
            <v>290</v>
          </cell>
          <cell r="F223">
            <v>424</v>
          </cell>
          <cell r="G223">
            <v>1313</v>
          </cell>
          <cell r="H223">
            <v>2211.62</v>
          </cell>
          <cell r="I223">
            <v>9195.92</v>
          </cell>
          <cell r="J223">
            <v>90468</v>
          </cell>
          <cell r="K223" t="str">
            <v>MP</v>
          </cell>
        </row>
        <row r="224">
          <cell r="A224">
            <v>985166</v>
          </cell>
          <cell r="B224">
            <v>7370</v>
          </cell>
          <cell r="C224">
            <v>96</v>
          </cell>
          <cell r="D224">
            <v>4</v>
          </cell>
          <cell r="E224">
            <v>290</v>
          </cell>
          <cell r="F224">
            <v>164</v>
          </cell>
          <cell r="G224">
            <v>303</v>
          </cell>
          <cell r="H224">
            <v>859.64</v>
          </cell>
          <cell r="I224">
            <v>1344.73</v>
          </cell>
          <cell r="J224">
            <v>91983</v>
          </cell>
          <cell r="K224" t="str">
            <v>MP</v>
          </cell>
        </row>
        <row r="225">
          <cell r="A225">
            <v>985168</v>
          </cell>
          <cell r="B225">
            <v>7330</v>
          </cell>
          <cell r="C225">
            <v>164</v>
          </cell>
          <cell r="D225">
            <v>5</v>
          </cell>
          <cell r="E225">
            <v>290</v>
          </cell>
          <cell r="F225">
            <v>171</v>
          </cell>
          <cell r="G225">
            <v>332</v>
          </cell>
          <cell r="H225">
            <v>964.4</v>
          </cell>
          <cell r="I225">
            <v>1578.07</v>
          </cell>
          <cell r="J225">
            <v>90402</v>
          </cell>
          <cell r="K225" t="str">
            <v>MP</v>
          </cell>
        </row>
        <row r="226">
          <cell r="A226">
            <v>985170</v>
          </cell>
          <cell r="B226">
            <v>7371</v>
          </cell>
          <cell r="C226">
            <v>114</v>
          </cell>
          <cell r="D226">
            <v>2</v>
          </cell>
          <cell r="E226">
            <v>290</v>
          </cell>
          <cell r="F226">
            <v>152</v>
          </cell>
          <cell r="G226">
            <v>172</v>
          </cell>
          <cell r="H226">
            <v>732.17</v>
          </cell>
          <cell r="I226">
            <v>786.83</v>
          </cell>
          <cell r="J226">
            <v>90685</v>
          </cell>
          <cell r="K226" t="str">
            <v>MP</v>
          </cell>
        </row>
        <row r="227">
          <cell r="A227">
            <v>985171</v>
          </cell>
          <cell r="B227">
            <v>7331</v>
          </cell>
          <cell r="C227">
            <v>102</v>
          </cell>
          <cell r="D227">
            <v>1</v>
          </cell>
          <cell r="E227">
            <v>290</v>
          </cell>
          <cell r="F227">
            <v>145</v>
          </cell>
          <cell r="G227">
            <v>82</v>
          </cell>
          <cell r="H227">
            <v>622.16999999999996</v>
          </cell>
          <cell r="I227">
            <v>482.96</v>
          </cell>
          <cell r="J227">
            <v>90097</v>
          </cell>
          <cell r="K227" t="str">
            <v>MP</v>
          </cell>
        </row>
        <row r="228">
          <cell r="A228">
            <v>985173</v>
          </cell>
          <cell r="B228">
            <v>7372</v>
          </cell>
          <cell r="C228">
            <v>132</v>
          </cell>
          <cell r="D228">
            <v>5</v>
          </cell>
          <cell r="E228">
            <v>290</v>
          </cell>
          <cell r="F228">
            <v>167</v>
          </cell>
          <cell r="G228">
            <v>298</v>
          </cell>
          <cell r="H228">
            <v>893.58</v>
          </cell>
          <cell r="I228">
            <v>1430.77</v>
          </cell>
          <cell r="J228">
            <v>91591</v>
          </cell>
          <cell r="K228" t="str">
            <v>MP</v>
          </cell>
        </row>
        <row r="229">
          <cell r="A229">
            <v>985179</v>
          </cell>
          <cell r="C229">
            <v>136</v>
          </cell>
          <cell r="D229">
            <v>22</v>
          </cell>
          <cell r="E229">
            <v>290</v>
          </cell>
          <cell r="F229">
            <v>212</v>
          </cell>
          <cell r="G229">
            <v>678</v>
          </cell>
          <cell r="H229">
            <v>1338.95</v>
          </cell>
          <cell r="I229">
            <v>3409.7</v>
          </cell>
          <cell r="J229">
            <v>90379</v>
          </cell>
          <cell r="K229" t="str">
            <v>MP</v>
          </cell>
        </row>
        <row r="230">
          <cell r="A230">
            <v>985183</v>
          </cell>
          <cell r="B230">
            <v>7402</v>
          </cell>
          <cell r="C230">
            <v>131</v>
          </cell>
          <cell r="D230">
            <v>278</v>
          </cell>
          <cell r="E230">
            <v>362</v>
          </cell>
          <cell r="F230">
            <v>1267</v>
          </cell>
          <cell r="G230">
            <v>6317</v>
          </cell>
          <cell r="H230">
            <v>8357.6299999999992</v>
          </cell>
          <cell r="I230">
            <v>44289</v>
          </cell>
          <cell r="J230">
            <v>90614</v>
          </cell>
          <cell r="K230" t="str">
            <v>MP</v>
          </cell>
        </row>
        <row r="231">
          <cell r="A231">
            <v>985184</v>
          </cell>
          <cell r="B231">
            <v>7332</v>
          </cell>
          <cell r="C231">
            <v>62</v>
          </cell>
          <cell r="D231">
            <v>9</v>
          </cell>
          <cell r="E231">
            <v>290</v>
          </cell>
          <cell r="F231">
            <v>165</v>
          </cell>
          <cell r="G231">
            <v>207</v>
          </cell>
          <cell r="H231">
            <v>735.07</v>
          </cell>
          <cell r="I231">
            <v>1396.58</v>
          </cell>
          <cell r="J231">
            <v>91227</v>
          </cell>
          <cell r="K231" t="str">
            <v>MP</v>
          </cell>
        </row>
        <row r="232">
          <cell r="A232">
            <v>985185</v>
          </cell>
          <cell r="B232">
            <v>7373</v>
          </cell>
          <cell r="C232">
            <v>117</v>
          </cell>
          <cell r="D232">
            <v>24</v>
          </cell>
          <cell r="E232">
            <v>290</v>
          </cell>
          <cell r="F232">
            <v>341</v>
          </cell>
          <cell r="G232">
            <v>1052</v>
          </cell>
          <cell r="H232">
            <v>1826.45</v>
          </cell>
          <cell r="I232">
            <v>7359.43</v>
          </cell>
          <cell r="J232">
            <v>90468</v>
          </cell>
          <cell r="K232" t="str">
            <v>MP</v>
          </cell>
        </row>
        <row r="233">
          <cell r="A233">
            <v>985187</v>
          </cell>
          <cell r="B233">
            <v>7374</v>
          </cell>
          <cell r="C233">
            <v>126</v>
          </cell>
          <cell r="D233">
            <v>30</v>
          </cell>
          <cell r="E233">
            <v>290</v>
          </cell>
          <cell r="F233">
            <v>428</v>
          </cell>
          <cell r="G233">
            <v>1989</v>
          </cell>
          <cell r="H233">
            <v>2864.98</v>
          </cell>
          <cell r="I233">
            <v>9305.2000000000007</v>
          </cell>
          <cell r="J233">
            <v>91681</v>
          </cell>
          <cell r="K233" t="str">
            <v>MP</v>
          </cell>
        </row>
        <row r="234">
          <cell r="A234">
            <v>985188</v>
          </cell>
          <cell r="B234">
            <v>7450</v>
          </cell>
          <cell r="C234">
            <v>96</v>
          </cell>
          <cell r="D234">
            <v>23</v>
          </cell>
          <cell r="E234">
            <v>290</v>
          </cell>
          <cell r="F234">
            <v>218</v>
          </cell>
          <cell r="G234">
            <v>571</v>
          </cell>
          <cell r="H234">
            <v>1200.6600000000001</v>
          </cell>
          <cell r="I234">
            <v>3720.82</v>
          </cell>
          <cell r="J234">
            <v>90971</v>
          </cell>
          <cell r="K234" t="str">
            <v>MP</v>
          </cell>
        </row>
        <row r="235">
          <cell r="A235">
            <v>985193</v>
          </cell>
          <cell r="B235">
            <v>7309</v>
          </cell>
          <cell r="C235">
            <v>122</v>
          </cell>
          <cell r="D235">
            <v>91</v>
          </cell>
          <cell r="E235">
            <v>290</v>
          </cell>
          <cell r="F235">
            <v>587</v>
          </cell>
          <cell r="G235">
            <v>2064</v>
          </cell>
          <cell r="H235">
            <v>3156.88</v>
          </cell>
          <cell r="I235">
            <v>14534.99</v>
          </cell>
          <cell r="J235">
            <v>90686</v>
          </cell>
          <cell r="K235" t="str">
            <v>MP</v>
          </cell>
        </row>
        <row r="236">
          <cell r="A236">
            <v>985195</v>
          </cell>
          <cell r="B236" t="str">
            <v xml:space="preserve"> 7375/7376</v>
          </cell>
          <cell r="C236">
            <v>713</v>
          </cell>
          <cell r="D236">
            <v>822</v>
          </cell>
          <cell r="E236">
            <v>290</v>
          </cell>
          <cell r="F236">
            <v>6060</v>
          </cell>
          <cell r="G236">
            <v>36118</v>
          </cell>
          <cell r="H236">
            <v>44005.13</v>
          </cell>
          <cell r="I236">
            <v>255792.62</v>
          </cell>
          <cell r="J236">
            <v>90097</v>
          </cell>
          <cell r="K236" t="str">
            <v>MP</v>
          </cell>
        </row>
        <row r="237">
          <cell r="A237">
            <v>985196</v>
          </cell>
          <cell r="B237">
            <v>7478</v>
          </cell>
          <cell r="C237">
            <v>397</v>
          </cell>
          <cell r="D237">
            <v>20</v>
          </cell>
          <cell r="E237">
            <v>290</v>
          </cell>
          <cell r="F237">
            <v>293</v>
          </cell>
          <cell r="G237">
            <v>900</v>
          </cell>
          <cell r="H237">
            <v>1901.89</v>
          </cell>
          <cell r="I237">
            <v>5996.63</v>
          </cell>
          <cell r="J237">
            <v>91750</v>
          </cell>
          <cell r="K237" t="str">
            <v>MP</v>
          </cell>
        </row>
        <row r="238">
          <cell r="A238">
            <v>985197</v>
          </cell>
          <cell r="B238">
            <v>7403</v>
          </cell>
          <cell r="C238">
            <v>114</v>
          </cell>
          <cell r="D238">
            <v>17</v>
          </cell>
          <cell r="E238">
            <v>290</v>
          </cell>
          <cell r="F238">
            <v>258</v>
          </cell>
          <cell r="G238">
            <v>787</v>
          </cell>
          <cell r="H238">
            <v>1469.33</v>
          </cell>
          <cell r="I238">
            <v>5486.56</v>
          </cell>
          <cell r="J238">
            <v>90061</v>
          </cell>
          <cell r="K238" t="str">
            <v>MP</v>
          </cell>
        </row>
        <row r="239">
          <cell r="A239">
            <v>985198</v>
          </cell>
          <cell r="B239">
            <v>7527</v>
          </cell>
          <cell r="C239">
            <v>137</v>
          </cell>
          <cell r="D239">
            <v>80</v>
          </cell>
          <cell r="E239">
            <v>290</v>
          </cell>
          <cell r="F239">
            <v>826</v>
          </cell>
          <cell r="G239">
            <v>3547</v>
          </cell>
          <cell r="H239">
            <v>4881.74</v>
          </cell>
          <cell r="I239">
            <v>25083.14</v>
          </cell>
          <cell r="J239">
            <v>90061</v>
          </cell>
          <cell r="K239" t="str">
            <v>MP</v>
          </cell>
        </row>
        <row r="240">
          <cell r="A240">
            <v>985200</v>
          </cell>
          <cell r="B240">
            <v>7377</v>
          </cell>
          <cell r="C240">
            <v>151</v>
          </cell>
          <cell r="D240">
            <v>14</v>
          </cell>
          <cell r="E240">
            <v>290</v>
          </cell>
          <cell r="F240">
            <v>233</v>
          </cell>
          <cell r="G240">
            <v>854</v>
          </cell>
          <cell r="H240">
            <v>1543.43</v>
          </cell>
          <cell r="I240">
            <v>4327.9399999999996</v>
          </cell>
          <cell r="J240">
            <v>91349</v>
          </cell>
          <cell r="K240" t="str">
            <v>MP</v>
          </cell>
        </row>
        <row r="241">
          <cell r="A241">
            <v>985201</v>
          </cell>
          <cell r="B241">
            <v>7404</v>
          </cell>
          <cell r="C241">
            <v>114</v>
          </cell>
          <cell r="D241">
            <v>24</v>
          </cell>
          <cell r="E241">
            <v>362</v>
          </cell>
          <cell r="F241">
            <v>348</v>
          </cell>
          <cell r="G241">
            <v>639</v>
          </cell>
          <cell r="H241">
            <v>1489.75</v>
          </cell>
          <cell r="I241">
            <v>7519.09</v>
          </cell>
          <cell r="J241">
            <v>90061</v>
          </cell>
          <cell r="K241" t="str">
            <v>MP</v>
          </cell>
        </row>
        <row r="242">
          <cell r="A242">
            <v>985202</v>
          </cell>
          <cell r="B242">
            <v>7378</v>
          </cell>
          <cell r="C242">
            <v>119</v>
          </cell>
          <cell r="D242">
            <v>27</v>
          </cell>
          <cell r="E242">
            <v>290</v>
          </cell>
          <cell r="F242">
            <v>233</v>
          </cell>
          <cell r="G242">
            <v>632</v>
          </cell>
          <cell r="H242">
            <v>1303.58</v>
          </cell>
          <cell r="I242">
            <v>4365.12</v>
          </cell>
          <cell r="J242">
            <v>90889</v>
          </cell>
          <cell r="K242" t="str">
            <v>MP</v>
          </cell>
        </row>
        <row r="243">
          <cell r="A243">
            <v>985204</v>
          </cell>
          <cell r="B243">
            <v>7379</v>
          </cell>
          <cell r="C243">
            <v>219</v>
          </cell>
          <cell r="D243">
            <v>495</v>
          </cell>
          <cell r="E243">
            <v>290</v>
          </cell>
          <cell r="F243">
            <v>2054</v>
          </cell>
          <cell r="G243">
            <v>11228</v>
          </cell>
          <cell r="H243">
            <v>14288</v>
          </cell>
          <cell r="I243">
            <v>78986.8</v>
          </cell>
          <cell r="J243">
            <v>90614</v>
          </cell>
          <cell r="K243" t="str">
            <v>MP</v>
          </cell>
        </row>
        <row r="244">
          <cell r="A244">
            <v>985206</v>
          </cell>
          <cell r="B244">
            <v>7405</v>
          </cell>
          <cell r="C244">
            <v>1163</v>
          </cell>
          <cell r="D244">
            <v>162</v>
          </cell>
          <cell r="E244">
            <v>183</v>
          </cell>
          <cell r="F244">
            <v>590</v>
          </cell>
          <cell r="G244">
            <v>4988</v>
          </cell>
          <cell r="H244">
            <v>7087.44</v>
          </cell>
          <cell r="I244">
            <v>25095.02</v>
          </cell>
          <cell r="J244">
            <v>91975</v>
          </cell>
          <cell r="K244" t="str">
            <v>MP</v>
          </cell>
        </row>
        <row r="245">
          <cell r="A245">
            <v>985211</v>
          </cell>
          <cell r="B245">
            <v>7380</v>
          </cell>
          <cell r="C245">
            <v>130</v>
          </cell>
          <cell r="D245">
            <v>1</v>
          </cell>
          <cell r="E245">
            <v>290</v>
          </cell>
          <cell r="F245">
            <v>141</v>
          </cell>
          <cell r="G245">
            <v>81</v>
          </cell>
          <cell r="H245">
            <v>645.46</v>
          </cell>
          <cell r="I245">
            <v>297.20999999999998</v>
          </cell>
          <cell r="J245">
            <v>90402</v>
          </cell>
          <cell r="K245" t="str">
            <v>MP</v>
          </cell>
        </row>
        <row r="246">
          <cell r="A246">
            <v>985212</v>
          </cell>
          <cell r="B246">
            <v>7381</v>
          </cell>
          <cell r="C246">
            <v>102</v>
          </cell>
          <cell r="D246">
            <v>30</v>
          </cell>
          <cell r="E246">
            <v>290</v>
          </cell>
          <cell r="F246">
            <v>437</v>
          </cell>
          <cell r="G246">
            <v>1353</v>
          </cell>
          <cell r="H246">
            <v>2214.29</v>
          </cell>
          <cell r="I246">
            <v>9534.2800000000007</v>
          </cell>
          <cell r="J246">
            <v>90097</v>
          </cell>
          <cell r="K246" t="str">
            <v>MP</v>
          </cell>
        </row>
        <row r="247">
          <cell r="A247">
            <v>985218</v>
          </cell>
          <cell r="B247">
            <v>7479</v>
          </cell>
          <cell r="C247">
            <v>117</v>
          </cell>
          <cell r="D247">
            <v>21</v>
          </cell>
          <cell r="E247">
            <v>290</v>
          </cell>
          <cell r="F247">
            <v>312</v>
          </cell>
          <cell r="G247">
            <v>1031</v>
          </cell>
          <cell r="H247">
            <v>1774.23</v>
          </cell>
          <cell r="I247">
            <v>6736.83</v>
          </cell>
          <cell r="J247">
            <v>90236</v>
          </cell>
          <cell r="K247" t="str">
            <v>MP</v>
          </cell>
        </row>
        <row r="248">
          <cell r="A248">
            <v>985219</v>
          </cell>
          <cell r="B248">
            <v>7528</v>
          </cell>
          <cell r="C248">
            <v>1679</v>
          </cell>
          <cell r="D248">
            <v>181</v>
          </cell>
          <cell r="E248">
            <v>290</v>
          </cell>
          <cell r="F248">
            <v>1537</v>
          </cell>
          <cell r="G248">
            <v>10823</v>
          </cell>
          <cell r="H248">
            <v>14512.29</v>
          </cell>
          <cell r="I248">
            <v>55098.48</v>
          </cell>
          <cell r="J248">
            <v>90472</v>
          </cell>
          <cell r="K248" t="str">
            <v>MP</v>
          </cell>
        </row>
        <row r="249">
          <cell r="A249">
            <v>985220</v>
          </cell>
          <cell r="B249" t="str">
            <v xml:space="preserve"> 7500/7501</v>
          </cell>
          <cell r="C249">
            <v>1243</v>
          </cell>
          <cell r="D249">
            <v>219</v>
          </cell>
          <cell r="E249">
            <v>290</v>
          </cell>
          <cell r="F249">
            <v>1057</v>
          </cell>
          <cell r="G249">
            <v>4986</v>
          </cell>
          <cell r="H249">
            <v>7797.11</v>
          </cell>
          <cell r="I249">
            <v>34127.31</v>
          </cell>
          <cell r="J249">
            <v>90061</v>
          </cell>
          <cell r="K249" t="str">
            <v>MP</v>
          </cell>
        </row>
        <row r="250">
          <cell r="A250">
            <v>985221</v>
          </cell>
          <cell r="B250">
            <v>7406</v>
          </cell>
          <cell r="C250">
            <v>126</v>
          </cell>
          <cell r="D250">
            <v>24</v>
          </cell>
          <cell r="E250">
            <v>290</v>
          </cell>
          <cell r="F250">
            <v>219</v>
          </cell>
          <cell r="G250">
            <v>545</v>
          </cell>
          <cell r="H250">
            <v>1206.19</v>
          </cell>
          <cell r="I250">
            <v>3744.49</v>
          </cell>
          <cell r="J250">
            <v>90061</v>
          </cell>
          <cell r="K250" t="str">
            <v>MP</v>
          </cell>
        </row>
        <row r="251">
          <cell r="A251">
            <v>985224</v>
          </cell>
          <cell r="B251">
            <v>7207</v>
          </cell>
          <cell r="C251">
            <v>126</v>
          </cell>
          <cell r="D251">
            <v>8</v>
          </cell>
          <cell r="E251">
            <v>290</v>
          </cell>
          <cell r="F251">
            <v>162</v>
          </cell>
          <cell r="G251">
            <v>259</v>
          </cell>
          <cell r="H251">
            <v>848.03</v>
          </cell>
          <cell r="I251">
            <v>1231.55</v>
          </cell>
          <cell r="J251">
            <v>91468</v>
          </cell>
          <cell r="K251" t="str">
            <v>MP</v>
          </cell>
        </row>
        <row r="252">
          <cell r="A252">
            <v>985225</v>
          </cell>
          <cell r="B252">
            <v>7382</v>
          </cell>
          <cell r="C252">
            <v>348</v>
          </cell>
          <cell r="D252">
            <v>34</v>
          </cell>
          <cell r="E252">
            <v>290</v>
          </cell>
          <cell r="F252">
            <v>256</v>
          </cell>
          <cell r="G252">
            <v>775</v>
          </cell>
          <cell r="H252">
            <v>1705.15</v>
          </cell>
          <cell r="I252">
            <v>5153.51</v>
          </cell>
          <cell r="J252">
            <v>90061</v>
          </cell>
          <cell r="K252" t="str">
            <v>MP</v>
          </cell>
        </row>
        <row r="253">
          <cell r="A253">
            <v>985226</v>
          </cell>
          <cell r="B253">
            <v>7529</v>
          </cell>
          <cell r="C253">
            <v>2137</v>
          </cell>
          <cell r="D253">
            <v>310</v>
          </cell>
          <cell r="E253">
            <v>290</v>
          </cell>
          <cell r="F253">
            <v>1386</v>
          </cell>
          <cell r="G253">
            <v>9550</v>
          </cell>
          <cell r="H253">
            <v>13675.08</v>
          </cell>
          <cell r="I253">
            <v>47597.56</v>
          </cell>
          <cell r="J253">
            <v>90338</v>
          </cell>
          <cell r="K253" t="str">
            <v>MP</v>
          </cell>
        </row>
        <row r="254">
          <cell r="A254">
            <v>985227</v>
          </cell>
          <cell r="B254">
            <v>7208</v>
          </cell>
          <cell r="C254">
            <v>120</v>
          </cell>
          <cell r="D254">
            <v>3</v>
          </cell>
          <cell r="E254">
            <v>290</v>
          </cell>
          <cell r="F254">
            <v>145</v>
          </cell>
          <cell r="G254">
            <v>82</v>
          </cell>
          <cell r="H254">
            <v>641.13</v>
          </cell>
          <cell r="I254">
            <v>461.83</v>
          </cell>
          <cell r="J254">
            <v>91311</v>
          </cell>
          <cell r="K254" t="str">
            <v>MP</v>
          </cell>
        </row>
        <row r="255">
          <cell r="A255">
            <v>985228</v>
          </cell>
          <cell r="B255">
            <v>7407</v>
          </cell>
          <cell r="C255">
            <v>112</v>
          </cell>
          <cell r="D255">
            <v>26</v>
          </cell>
          <cell r="E255">
            <v>290</v>
          </cell>
          <cell r="F255">
            <v>229</v>
          </cell>
          <cell r="G255">
            <v>912</v>
          </cell>
          <cell r="H255">
            <v>1571.26</v>
          </cell>
          <cell r="I255">
            <v>4198.62</v>
          </cell>
          <cell r="J255">
            <v>91981</v>
          </cell>
          <cell r="K255" t="str">
            <v>MP</v>
          </cell>
        </row>
        <row r="256">
          <cell r="A256">
            <v>985229</v>
          </cell>
          <cell r="B256">
            <v>7333</v>
          </cell>
          <cell r="C256">
            <v>86</v>
          </cell>
          <cell r="D256">
            <v>1</v>
          </cell>
          <cell r="E256">
            <v>290</v>
          </cell>
          <cell r="F256">
            <v>142</v>
          </cell>
          <cell r="G256">
            <v>72</v>
          </cell>
          <cell r="H256">
            <v>592.41</v>
          </cell>
          <cell r="I256">
            <v>392.41</v>
          </cell>
          <cell r="J256">
            <v>90236</v>
          </cell>
          <cell r="K256" t="str">
            <v>MP</v>
          </cell>
        </row>
        <row r="257">
          <cell r="A257">
            <v>985230</v>
          </cell>
          <cell r="B257">
            <v>7209</v>
          </cell>
          <cell r="C257">
            <v>486</v>
          </cell>
          <cell r="D257">
            <v>5</v>
          </cell>
          <cell r="E257">
            <v>290</v>
          </cell>
          <cell r="F257">
            <v>173</v>
          </cell>
          <cell r="G257">
            <v>259</v>
          </cell>
          <cell r="H257">
            <v>1214.97</v>
          </cell>
          <cell r="I257">
            <v>1359.45</v>
          </cell>
          <cell r="J257">
            <v>90485</v>
          </cell>
          <cell r="K257" t="str">
            <v>MP</v>
          </cell>
        </row>
        <row r="258">
          <cell r="A258">
            <v>985231</v>
          </cell>
          <cell r="B258">
            <v>7334</v>
          </cell>
          <cell r="C258">
            <v>114</v>
          </cell>
          <cell r="D258">
            <v>72</v>
          </cell>
          <cell r="E258">
            <v>290</v>
          </cell>
          <cell r="F258">
            <v>770</v>
          </cell>
          <cell r="G258">
            <v>3198</v>
          </cell>
          <cell r="H258">
            <v>4446.05</v>
          </cell>
          <cell r="I258">
            <v>22638.75</v>
          </cell>
          <cell r="J258">
            <v>91979</v>
          </cell>
          <cell r="K258" t="str">
            <v>MP</v>
          </cell>
        </row>
        <row r="259">
          <cell r="A259">
            <v>985232</v>
          </cell>
          <cell r="B259">
            <v>7270</v>
          </cell>
          <cell r="C259">
            <v>126</v>
          </cell>
          <cell r="D259">
            <v>108</v>
          </cell>
          <cell r="E259">
            <v>290</v>
          </cell>
          <cell r="F259">
            <v>652</v>
          </cell>
          <cell r="G259">
            <v>2469</v>
          </cell>
          <cell r="H259">
            <v>3646.74</v>
          </cell>
          <cell r="I259">
            <v>17330.400000000001</v>
          </cell>
          <cell r="J259">
            <v>90379</v>
          </cell>
          <cell r="K259" t="str">
            <v>MP</v>
          </cell>
        </row>
        <row r="260">
          <cell r="A260">
            <v>985233</v>
          </cell>
          <cell r="B260">
            <v>7216</v>
          </cell>
          <cell r="C260">
            <v>645</v>
          </cell>
          <cell r="D260">
            <v>11</v>
          </cell>
          <cell r="E260">
            <v>290</v>
          </cell>
          <cell r="F260">
            <v>175</v>
          </cell>
          <cell r="G260">
            <v>367</v>
          </cell>
          <cell r="H260">
            <v>1490.41</v>
          </cell>
          <cell r="I260">
            <v>1285.25</v>
          </cell>
          <cell r="J260">
            <v>91062</v>
          </cell>
          <cell r="K260" t="str">
            <v>MP</v>
          </cell>
        </row>
        <row r="261">
          <cell r="A261">
            <v>985234</v>
          </cell>
          <cell r="C261">
            <v>5301</v>
          </cell>
          <cell r="D261">
            <v>542</v>
          </cell>
          <cell r="E261">
            <v>290</v>
          </cell>
          <cell r="F261">
            <v>2225</v>
          </cell>
          <cell r="G261">
            <v>16666</v>
          </cell>
          <cell r="H261">
            <v>25026.12</v>
          </cell>
          <cell r="I261">
            <v>79994.33</v>
          </cell>
          <cell r="J261">
            <v>90442</v>
          </cell>
          <cell r="K261" t="str">
            <v>MP</v>
          </cell>
        </row>
        <row r="262">
          <cell r="A262">
            <v>985235</v>
          </cell>
          <cell r="B262">
            <v>7451</v>
          </cell>
          <cell r="C262">
            <v>16056</v>
          </cell>
          <cell r="D262">
            <v>1273</v>
          </cell>
          <cell r="E262">
            <v>290</v>
          </cell>
          <cell r="F262">
            <v>4904</v>
          </cell>
          <cell r="G262">
            <v>43391</v>
          </cell>
          <cell r="H262">
            <v>65916.13</v>
          </cell>
          <cell r="I262">
            <v>188812.92</v>
          </cell>
          <cell r="J262">
            <v>91375</v>
          </cell>
          <cell r="K262" t="str">
            <v>MP</v>
          </cell>
        </row>
        <row r="263">
          <cell r="A263">
            <v>985236</v>
          </cell>
          <cell r="B263">
            <v>7335</v>
          </cell>
          <cell r="C263">
            <v>3134</v>
          </cell>
          <cell r="D263">
            <v>574</v>
          </cell>
          <cell r="E263">
            <v>290</v>
          </cell>
          <cell r="F263">
            <v>4285</v>
          </cell>
          <cell r="G263">
            <v>23280</v>
          </cell>
          <cell r="H263">
            <v>31564.79</v>
          </cell>
          <cell r="I263">
            <v>175226.96</v>
          </cell>
          <cell r="J263">
            <v>92107</v>
          </cell>
          <cell r="K263" t="str">
            <v>MP</v>
          </cell>
        </row>
        <row r="264">
          <cell r="A264">
            <v>985241</v>
          </cell>
          <cell r="B264">
            <v>7310</v>
          </cell>
          <cell r="C264">
            <v>130</v>
          </cell>
          <cell r="D264">
            <v>13</v>
          </cell>
          <cell r="E264">
            <v>290</v>
          </cell>
          <cell r="F264">
            <v>228</v>
          </cell>
          <cell r="G264">
            <v>816</v>
          </cell>
          <cell r="H264">
            <v>1479.97</v>
          </cell>
          <cell r="I264">
            <v>4153.53</v>
          </cell>
          <cell r="J264">
            <v>90402</v>
          </cell>
          <cell r="K264" t="str">
            <v>MP</v>
          </cell>
        </row>
        <row r="265">
          <cell r="A265">
            <v>985242</v>
          </cell>
          <cell r="B265" t="str">
            <v xml:space="preserve"> 7429/7430/7431/7432/7433</v>
          </cell>
          <cell r="C265">
            <v>1323</v>
          </cell>
          <cell r="D265">
            <v>143</v>
          </cell>
          <cell r="E265">
            <v>290</v>
          </cell>
          <cell r="F265">
            <v>1265</v>
          </cell>
          <cell r="G265">
            <v>6281</v>
          </cell>
          <cell r="H265">
            <v>9303.0300000000007</v>
          </cell>
          <cell r="I265">
            <v>43399.3</v>
          </cell>
          <cell r="J265">
            <v>91750</v>
          </cell>
          <cell r="K265" t="str">
            <v>MP</v>
          </cell>
        </row>
        <row r="266">
          <cell r="A266">
            <v>985245</v>
          </cell>
          <cell r="B266">
            <v>7556</v>
          </cell>
          <cell r="C266">
            <v>147</v>
          </cell>
          <cell r="D266">
            <v>21</v>
          </cell>
          <cell r="E266">
            <v>290</v>
          </cell>
          <cell r="F266">
            <v>300</v>
          </cell>
          <cell r="G266">
            <v>1253</v>
          </cell>
          <cell r="H266">
            <v>2012.34</v>
          </cell>
          <cell r="I266">
            <v>6428.16</v>
          </cell>
          <cell r="J266">
            <v>92063</v>
          </cell>
          <cell r="K266" t="str">
            <v>MP</v>
          </cell>
        </row>
        <row r="267">
          <cell r="A267">
            <v>985246</v>
          </cell>
          <cell r="B267">
            <v>7557</v>
          </cell>
          <cell r="C267">
            <v>123</v>
          </cell>
          <cell r="D267">
            <v>6</v>
          </cell>
          <cell r="E267">
            <v>290</v>
          </cell>
          <cell r="F267">
            <v>154</v>
          </cell>
          <cell r="G267">
            <v>130</v>
          </cell>
          <cell r="H267">
            <v>704.58</v>
          </cell>
          <cell r="I267">
            <v>872.95</v>
          </cell>
          <cell r="J267">
            <v>91394</v>
          </cell>
          <cell r="K267" t="str">
            <v>MP</v>
          </cell>
        </row>
        <row r="268">
          <cell r="A268">
            <v>985248</v>
          </cell>
          <cell r="B268">
            <v>7383</v>
          </cell>
          <cell r="C268">
            <v>906</v>
          </cell>
          <cell r="D268">
            <v>25</v>
          </cell>
          <cell r="E268">
            <v>290</v>
          </cell>
          <cell r="F268">
            <v>226</v>
          </cell>
          <cell r="G268">
            <v>798</v>
          </cell>
          <cell r="H268">
            <v>2247.42</v>
          </cell>
          <cell r="I268">
            <v>3266.54</v>
          </cell>
          <cell r="J268">
            <v>91550</v>
          </cell>
          <cell r="K268" t="str">
            <v>MP</v>
          </cell>
        </row>
        <row r="269">
          <cell r="A269">
            <v>985249</v>
          </cell>
          <cell r="B269">
            <v>7384</v>
          </cell>
          <cell r="C269">
            <v>2374</v>
          </cell>
          <cell r="D269">
            <v>46</v>
          </cell>
          <cell r="E269">
            <v>290</v>
          </cell>
          <cell r="F269">
            <v>343</v>
          </cell>
          <cell r="G269">
            <v>1436</v>
          </cell>
          <cell r="H269">
            <v>4491.09</v>
          </cell>
          <cell r="I269">
            <v>5189.3</v>
          </cell>
          <cell r="J269">
            <v>91550</v>
          </cell>
          <cell r="K269" t="str">
            <v>MP</v>
          </cell>
        </row>
        <row r="270">
          <cell r="A270">
            <v>985250</v>
          </cell>
          <cell r="B270">
            <v>7452</v>
          </cell>
          <cell r="C270">
            <v>1515</v>
          </cell>
          <cell r="D270">
            <v>221</v>
          </cell>
          <cell r="E270">
            <v>290</v>
          </cell>
          <cell r="F270">
            <v>1805</v>
          </cell>
          <cell r="G270">
            <v>8951</v>
          </cell>
          <cell r="H270">
            <v>12783.52</v>
          </cell>
          <cell r="I270">
            <v>67087.25</v>
          </cell>
          <cell r="J270">
            <v>92107</v>
          </cell>
          <cell r="K270" t="str">
            <v>MP</v>
          </cell>
        </row>
        <row r="271">
          <cell r="A271">
            <v>985256</v>
          </cell>
          <cell r="B271">
            <v>7453</v>
          </cell>
          <cell r="C271">
            <v>205</v>
          </cell>
          <cell r="D271">
            <v>289</v>
          </cell>
          <cell r="E271">
            <v>290</v>
          </cell>
          <cell r="F271">
            <v>2285</v>
          </cell>
          <cell r="G271">
            <v>12630</v>
          </cell>
          <cell r="H271">
            <v>15701.49</v>
          </cell>
          <cell r="I271">
            <v>89723.7</v>
          </cell>
          <cell r="J271">
            <v>91468</v>
          </cell>
          <cell r="K271" t="str">
            <v>MP</v>
          </cell>
        </row>
        <row r="272">
          <cell r="A272">
            <v>985257</v>
          </cell>
          <cell r="B272">
            <v>7297</v>
          </cell>
          <cell r="C272">
            <v>114</v>
          </cell>
          <cell r="D272">
            <v>28</v>
          </cell>
          <cell r="E272">
            <v>290</v>
          </cell>
          <cell r="F272">
            <v>404</v>
          </cell>
          <cell r="G272">
            <v>1250</v>
          </cell>
          <cell r="H272">
            <v>2088.7199999999998</v>
          </cell>
          <cell r="I272">
            <v>8791.11</v>
          </cell>
          <cell r="J272">
            <v>90061</v>
          </cell>
          <cell r="K272" t="str">
            <v>MP</v>
          </cell>
        </row>
        <row r="273">
          <cell r="A273">
            <v>985258</v>
          </cell>
          <cell r="B273">
            <v>7298</v>
          </cell>
          <cell r="C273">
            <v>114</v>
          </cell>
          <cell r="D273">
            <v>24</v>
          </cell>
          <cell r="E273">
            <v>290</v>
          </cell>
          <cell r="F273">
            <v>352</v>
          </cell>
          <cell r="G273">
            <v>1085</v>
          </cell>
          <cell r="H273">
            <v>1866.9</v>
          </cell>
          <cell r="I273">
            <v>7612.92</v>
          </cell>
          <cell r="J273">
            <v>90061</v>
          </cell>
          <cell r="K273" t="str">
            <v>MP</v>
          </cell>
        </row>
        <row r="274">
          <cell r="A274">
            <v>985264</v>
          </cell>
          <cell r="C274">
            <v>392</v>
          </cell>
          <cell r="D274">
            <v>8</v>
          </cell>
          <cell r="E274">
            <v>290</v>
          </cell>
          <cell r="F274">
            <v>164</v>
          </cell>
          <cell r="G274">
            <v>276</v>
          </cell>
          <cell r="H274">
            <v>1132.71</v>
          </cell>
          <cell r="I274">
            <v>1049.3699999999999</v>
          </cell>
          <cell r="J274">
            <v>90257</v>
          </cell>
          <cell r="K274" t="str">
            <v>MP</v>
          </cell>
        </row>
        <row r="275">
          <cell r="A275">
            <v>985265</v>
          </cell>
          <cell r="B275">
            <v>7385</v>
          </cell>
          <cell r="C275">
            <v>681</v>
          </cell>
          <cell r="D275">
            <v>296</v>
          </cell>
          <cell r="E275">
            <v>290</v>
          </cell>
          <cell r="F275">
            <v>1333</v>
          </cell>
          <cell r="G275">
            <v>8115</v>
          </cell>
          <cell r="H275">
            <v>10716.54</v>
          </cell>
          <cell r="I275">
            <v>46893.96</v>
          </cell>
          <cell r="J275">
            <v>91351</v>
          </cell>
          <cell r="K275" t="str">
            <v>MP</v>
          </cell>
        </row>
        <row r="276">
          <cell r="A276">
            <v>985266</v>
          </cell>
          <cell r="B276">
            <v>7337</v>
          </cell>
          <cell r="C276">
            <v>726</v>
          </cell>
          <cell r="D276">
            <v>27</v>
          </cell>
          <cell r="E276">
            <v>290</v>
          </cell>
          <cell r="F276">
            <v>233</v>
          </cell>
          <cell r="G276">
            <v>854</v>
          </cell>
          <cell r="H276">
            <v>2132.2800000000002</v>
          </cell>
          <cell r="I276">
            <v>3742.95</v>
          </cell>
          <cell r="J276">
            <v>91163</v>
          </cell>
          <cell r="K276" t="str">
            <v>MP</v>
          </cell>
        </row>
        <row r="277">
          <cell r="A277">
            <v>985267</v>
          </cell>
          <cell r="B277">
            <v>7338</v>
          </cell>
          <cell r="C277">
            <v>503</v>
          </cell>
          <cell r="D277">
            <v>61</v>
          </cell>
          <cell r="E277">
            <v>290</v>
          </cell>
          <cell r="F277">
            <v>448</v>
          </cell>
          <cell r="G277">
            <v>2082</v>
          </cell>
          <cell r="H277">
            <v>3385.45</v>
          </cell>
          <cell r="I277">
            <v>9344.51</v>
          </cell>
          <cell r="J277">
            <v>92088</v>
          </cell>
          <cell r="K277" t="str">
            <v>MP</v>
          </cell>
        </row>
        <row r="278">
          <cell r="A278">
            <v>985268</v>
          </cell>
          <cell r="B278">
            <v>7339</v>
          </cell>
          <cell r="C278">
            <v>285</v>
          </cell>
          <cell r="D278">
            <v>47</v>
          </cell>
          <cell r="E278">
            <v>290</v>
          </cell>
          <cell r="F278">
            <v>352</v>
          </cell>
          <cell r="G278">
            <v>1473</v>
          </cell>
          <cell r="H278">
            <v>2448.79</v>
          </cell>
          <cell r="I278">
            <v>7415.69</v>
          </cell>
          <cell r="J278">
            <v>91706</v>
          </cell>
          <cell r="K278" t="str">
            <v>MP</v>
          </cell>
        </row>
        <row r="279">
          <cell r="A279">
            <v>985269</v>
          </cell>
          <cell r="B279">
            <v>7340</v>
          </cell>
          <cell r="C279">
            <v>312</v>
          </cell>
          <cell r="D279">
            <v>7</v>
          </cell>
          <cell r="E279">
            <v>290</v>
          </cell>
          <cell r="F279">
            <v>160</v>
          </cell>
          <cell r="G279">
            <v>242</v>
          </cell>
          <cell r="H279">
            <v>1013.65</v>
          </cell>
          <cell r="I279">
            <v>956.34</v>
          </cell>
          <cell r="J279">
            <v>91496</v>
          </cell>
          <cell r="K279" t="str">
            <v>MP</v>
          </cell>
        </row>
        <row r="280">
          <cell r="A280">
            <v>985271</v>
          </cell>
          <cell r="B280">
            <v>7341</v>
          </cell>
          <cell r="C280">
            <v>126</v>
          </cell>
          <cell r="D280">
            <v>4</v>
          </cell>
          <cell r="E280">
            <v>290</v>
          </cell>
          <cell r="F280">
            <v>162</v>
          </cell>
          <cell r="G280">
            <v>286</v>
          </cell>
          <cell r="H280">
            <v>870.36</v>
          </cell>
          <cell r="I280">
            <v>1232.57</v>
          </cell>
          <cell r="J280">
            <v>91681</v>
          </cell>
          <cell r="K280" t="str">
            <v>MP</v>
          </cell>
        </row>
        <row r="281">
          <cell r="A281">
            <v>985272</v>
          </cell>
          <cell r="B281">
            <v>7480</v>
          </cell>
          <cell r="C281">
            <v>126</v>
          </cell>
          <cell r="D281">
            <v>50</v>
          </cell>
          <cell r="E281">
            <v>290</v>
          </cell>
          <cell r="F281">
            <v>614</v>
          </cell>
          <cell r="G281">
            <v>3341</v>
          </cell>
          <cell r="H281">
            <v>4422.9399999999996</v>
          </cell>
          <cell r="I281">
            <v>15733.37</v>
          </cell>
          <cell r="J281">
            <v>91681</v>
          </cell>
          <cell r="K281" t="str">
            <v>MP</v>
          </cell>
        </row>
        <row r="282">
          <cell r="A282">
            <v>985276</v>
          </cell>
          <cell r="B282">
            <v>7342</v>
          </cell>
          <cell r="C282">
            <v>137</v>
          </cell>
          <cell r="D282">
            <v>22</v>
          </cell>
          <cell r="E282">
            <v>290</v>
          </cell>
          <cell r="F282">
            <v>213</v>
          </cell>
          <cell r="G282">
            <v>764</v>
          </cell>
          <cell r="H282">
            <v>1427.87</v>
          </cell>
          <cell r="I282">
            <v>3478.75</v>
          </cell>
          <cell r="J282">
            <v>90639</v>
          </cell>
          <cell r="K282" t="str">
            <v>MP</v>
          </cell>
        </row>
        <row r="283">
          <cell r="A283">
            <v>985279</v>
          </cell>
          <cell r="B283">
            <v>7343</v>
          </cell>
          <cell r="C283">
            <v>62</v>
          </cell>
          <cell r="D283">
            <v>7</v>
          </cell>
          <cell r="E283">
            <v>290</v>
          </cell>
          <cell r="F283">
            <v>160</v>
          </cell>
          <cell r="G283">
            <v>179</v>
          </cell>
          <cell r="H283">
            <v>700.39</v>
          </cell>
          <cell r="I283">
            <v>1205.82</v>
          </cell>
          <cell r="J283">
            <v>91227</v>
          </cell>
          <cell r="K283" t="str">
            <v>MP</v>
          </cell>
        </row>
        <row r="284">
          <cell r="A284">
            <v>985284</v>
          </cell>
          <cell r="B284">
            <v>7481</v>
          </cell>
          <cell r="C284">
            <v>471</v>
          </cell>
          <cell r="D284">
            <v>8</v>
          </cell>
          <cell r="E284">
            <v>290</v>
          </cell>
          <cell r="F284">
            <v>161</v>
          </cell>
          <cell r="G284">
            <v>226</v>
          </cell>
          <cell r="H284">
            <v>1157.9000000000001</v>
          </cell>
          <cell r="I284">
            <v>836.5</v>
          </cell>
          <cell r="J284">
            <v>91821</v>
          </cell>
          <cell r="K284" t="str">
            <v>MP</v>
          </cell>
        </row>
        <row r="285">
          <cell r="A285">
            <v>990001</v>
          </cell>
          <cell r="B285">
            <v>7409</v>
          </cell>
          <cell r="C285">
            <v>64</v>
          </cell>
          <cell r="D285">
            <v>1</v>
          </cell>
          <cell r="E285">
            <v>290</v>
          </cell>
          <cell r="F285">
            <v>144</v>
          </cell>
          <cell r="G285">
            <v>105</v>
          </cell>
          <cell r="H285">
            <v>605.76</v>
          </cell>
          <cell r="I285">
            <v>487.01</v>
          </cell>
          <cell r="J285">
            <v>90322</v>
          </cell>
          <cell r="K285" t="str">
            <v>MP</v>
          </cell>
        </row>
        <row r="286">
          <cell r="A286">
            <v>990003</v>
          </cell>
          <cell r="B286">
            <v>7344</v>
          </cell>
          <cell r="C286">
            <v>117</v>
          </cell>
          <cell r="D286">
            <v>19</v>
          </cell>
          <cell r="E286">
            <v>290</v>
          </cell>
          <cell r="F286">
            <v>277</v>
          </cell>
          <cell r="G286">
            <v>852</v>
          </cell>
          <cell r="H286">
            <v>1557.57</v>
          </cell>
          <cell r="I286">
            <v>5952.61</v>
          </cell>
          <cell r="J286">
            <v>90496</v>
          </cell>
          <cell r="K286" t="str">
            <v>MP</v>
          </cell>
        </row>
        <row r="287">
          <cell r="A287">
            <v>990006</v>
          </cell>
          <cell r="B287">
            <v>7345</v>
          </cell>
          <cell r="C287">
            <v>114</v>
          </cell>
          <cell r="D287">
            <v>5</v>
          </cell>
          <cell r="E287">
            <v>290</v>
          </cell>
          <cell r="F287">
            <v>169</v>
          </cell>
          <cell r="G287">
            <v>231</v>
          </cell>
          <cell r="H287">
            <v>810.65</v>
          </cell>
          <cell r="I287">
            <v>1532.12</v>
          </cell>
          <cell r="J287">
            <v>90061</v>
          </cell>
          <cell r="K287" t="str">
            <v>MP</v>
          </cell>
        </row>
        <row r="288">
          <cell r="A288">
            <v>990007</v>
          </cell>
          <cell r="B288">
            <v>7346</v>
          </cell>
          <cell r="C288">
            <v>114</v>
          </cell>
          <cell r="D288">
            <v>5</v>
          </cell>
          <cell r="E288">
            <v>290</v>
          </cell>
          <cell r="F288">
            <v>169</v>
          </cell>
          <cell r="G288">
            <v>229</v>
          </cell>
          <cell r="H288">
            <v>809.04</v>
          </cell>
          <cell r="I288">
            <v>1522.58</v>
          </cell>
          <cell r="J288">
            <v>90061</v>
          </cell>
          <cell r="K288" t="str">
            <v>MP</v>
          </cell>
        </row>
        <row r="289">
          <cell r="A289">
            <v>990011</v>
          </cell>
          <cell r="B289">
            <v>7410</v>
          </cell>
          <cell r="C289">
            <v>114</v>
          </cell>
          <cell r="D289">
            <v>21</v>
          </cell>
          <cell r="E289">
            <v>290</v>
          </cell>
          <cell r="F289">
            <v>302</v>
          </cell>
          <cell r="G289">
            <v>930</v>
          </cell>
          <cell r="H289">
            <v>1659.85</v>
          </cell>
          <cell r="I289">
            <v>6510.04</v>
          </cell>
          <cell r="J289">
            <v>91982</v>
          </cell>
          <cell r="K289" t="str">
            <v>MP</v>
          </cell>
        </row>
        <row r="290">
          <cell r="A290">
            <v>990013</v>
          </cell>
          <cell r="B290">
            <v>7502</v>
          </cell>
          <cell r="C290">
            <v>335</v>
          </cell>
          <cell r="D290">
            <v>645</v>
          </cell>
          <cell r="E290">
            <v>290</v>
          </cell>
          <cell r="F290">
            <v>4812</v>
          </cell>
          <cell r="G290">
            <v>28348</v>
          </cell>
          <cell r="H290">
            <v>34432.68</v>
          </cell>
          <cell r="I290">
            <v>201409.35</v>
          </cell>
          <cell r="J290">
            <v>90097</v>
          </cell>
          <cell r="K290" t="str">
            <v>MP</v>
          </cell>
        </row>
        <row r="291">
          <cell r="A291">
            <v>990014</v>
          </cell>
          <cell r="B291">
            <v>7482</v>
          </cell>
          <cell r="C291">
            <v>355</v>
          </cell>
          <cell r="D291">
            <v>13</v>
          </cell>
          <cell r="E291">
            <v>290</v>
          </cell>
          <cell r="F291">
            <v>181</v>
          </cell>
          <cell r="G291">
            <v>307</v>
          </cell>
          <cell r="H291">
            <v>1147.79</v>
          </cell>
          <cell r="I291">
            <v>1829.43</v>
          </cell>
          <cell r="J291">
            <v>91441</v>
          </cell>
          <cell r="K291" t="str">
            <v>MP</v>
          </cell>
        </row>
        <row r="292">
          <cell r="A292">
            <v>990018</v>
          </cell>
          <cell r="B292">
            <v>7599</v>
          </cell>
          <cell r="C292">
            <v>201</v>
          </cell>
          <cell r="D292">
            <v>126</v>
          </cell>
          <cell r="E292">
            <v>422</v>
          </cell>
          <cell r="F292">
            <v>717</v>
          </cell>
          <cell r="G292">
            <v>3893</v>
          </cell>
          <cell r="H292">
            <v>5361.91</v>
          </cell>
          <cell r="I292">
            <v>13987.77</v>
          </cell>
          <cell r="J292">
            <v>92174</v>
          </cell>
          <cell r="K292" t="str">
            <v>MP</v>
          </cell>
        </row>
        <row r="293">
          <cell r="A293">
            <v>990020</v>
          </cell>
          <cell r="B293">
            <v>7455</v>
          </cell>
          <cell r="C293">
            <v>120</v>
          </cell>
          <cell r="D293">
            <v>7</v>
          </cell>
          <cell r="E293">
            <v>290</v>
          </cell>
          <cell r="F293">
            <v>182</v>
          </cell>
          <cell r="G293">
            <v>292</v>
          </cell>
          <cell r="H293">
            <v>892.87</v>
          </cell>
          <cell r="I293">
            <v>2120.7399999999998</v>
          </cell>
          <cell r="J293">
            <v>92107</v>
          </cell>
          <cell r="K293" t="str">
            <v>MP</v>
          </cell>
        </row>
        <row r="294">
          <cell r="A294">
            <v>990022</v>
          </cell>
          <cell r="B294">
            <v>7411</v>
          </cell>
          <cell r="C294">
            <v>128</v>
          </cell>
          <cell r="D294">
            <v>8</v>
          </cell>
          <cell r="E294">
            <v>290</v>
          </cell>
          <cell r="F294">
            <v>190</v>
          </cell>
          <cell r="G294">
            <v>494</v>
          </cell>
          <cell r="H294">
            <v>1112.26</v>
          </cell>
          <cell r="I294">
            <v>2465.14</v>
          </cell>
          <cell r="J294">
            <v>91984</v>
          </cell>
          <cell r="K294" t="str">
            <v>MP</v>
          </cell>
        </row>
        <row r="295">
          <cell r="A295">
            <v>990024</v>
          </cell>
          <cell r="B295">
            <v>7412</v>
          </cell>
          <cell r="C295">
            <v>226</v>
          </cell>
          <cell r="D295">
            <v>2</v>
          </cell>
          <cell r="E295">
            <v>290</v>
          </cell>
          <cell r="F295">
            <v>139</v>
          </cell>
          <cell r="G295">
            <v>60</v>
          </cell>
          <cell r="H295">
            <v>718.18</v>
          </cell>
          <cell r="I295">
            <v>108.58</v>
          </cell>
          <cell r="J295">
            <v>91553</v>
          </cell>
          <cell r="K295" t="str">
            <v>MP</v>
          </cell>
        </row>
        <row r="296">
          <cell r="A296">
            <v>990025</v>
          </cell>
          <cell r="B296" t="str">
            <v xml:space="preserve"> 7561/7562</v>
          </cell>
          <cell r="C296">
            <v>634</v>
          </cell>
          <cell r="D296">
            <v>351</v>
          </cell>
          <cell r="E296">
            <v>409</v>
          </cell>
          <cell r="F296">
            <v>1539</v>
          </cell>
          <cell r="G296">
            <v>9922</v>
          </cell>
          <cell r="H296">
            <v>12856.79</v>
          </cell>
          <cell r="I296">
            <v>38651.82</v>
          </cell>
          <cell r="J296">
            <v>90570</v>
          </cell>
          <cell r="K296" t="str">
            <v>MP</v>
          </cell>
        </row>
        <row r="297">
          <cell r="A297">
            <v>990026</v>
          </cell>
          <cell r="B297">
            <v>7503</v>
          </cell>
          <cell r="C297">
            <v>2755</v>
          </cell>
          <cell r="D297">
            <v>23</v>
          </cell>
          <cell r="E297">
            <v>290</v>
          </cell>
          <cell r="F297">
            <v>215</v>
          </cell>
          <cell r="G297">
            <v>782</v>
          </cell>
          <cell r="H297">
            <v>4066.63</v>
          </cell>
          <cell r="I297">
            <v>965.82</v>
          </cell>
          <cell r="J297">
            <v>91066</v>
          </cell>
          <cell r="K297" t="str">
            <v>MP</v>
          </cell>
        </row>
        <row r="298">
          <cell r="A298">
            <v>990032</v>
          </cell>
          <cell r="B298">
            <v>7530</v>
          </cell>
          <cell r="C298">
            <v>193</v>
          </cell>
          <cell r="D298">
            <v>7</v>
          </cell>
          <cell r="E298">
            <v>290</v>
          </cell>
          <cell r="F298">
            <v>158</v>
          </cell>
          <cell r="G298">
            <v>165</v>
          </cell>
          <cell r="H298">
            <v>814.29</v>
          </cell>
          <cell r="I298">
            <v>962.04</v>
          </cell>
          <cell r="J298">
            <v>91454</v>
          </cell>
          <cell r="K298" t="str">
            <v>MP</v>
          </cell>
        </row>
        <row r="299">
          <cell r="A299">
            <v>990037</v>
          </cell>
          <cell r="B299">
            <v>7413</v>
          </cell>
          <cell r="C299">
            <v>140</v>
          </cell>
          <cell r="D299">
            <v>5</v>
          </cell>
          <cell r="E299">
            <v>290</v>
          </cell>
          <cell r="F299">
            <v>168</v>
          </cell>
          <cell r="G299">
            <v>305</v>
          </cell>
          <cell r="H299">
            <v>909.4</v>
          </cell>
          <cell r="I299">
            <v>1464.7</v>
          </cell>
          <cell r="J299">
            <v>90402</v>
          </cell>
          <cell r="K299" t="str">
            <v>MP</v>
          </cell>
        </row>
        <row r="300">
          <cell r="A300">
            <v>990038</v>
          </cell>
          <cell r="B300">
            <v>7347</v>
          </cell>
          <cell r="C300">
            <v>114</v>
          </cell>
          <cell r="D300">
            <v>2</v>
          </cell>
          <cell r="E300">
            <v>290</v>
          </cell>
          <cell r="F300">
            <v>150</v>
          </cell>
          <cell r="G300">
            <v>156</v>
          </cell>
          <cell r="H300">
            <v>714.64</v>
          </cell>
          <cell r="I300">
            <v>706.97</v>
          </cell>
          <cell r="J300">
            <v>91178</v>
          </cell>
          <cell r="K300" t="str">
            <v>MP</v>
          </cell>
        </row>
        <row r="301">
          <cell r="A301">
            <v>990040</v>
          </cell>
          <cell r="B301">
            <v>7240</v>
          </cell>
          <cell r="C301">
            <v>220</v>
          </cell>
          <cell r="D301">
            <v>16</v>
          </cell>
          <cell r="E301">
            <v>290</v>
          </cell>
          <cell r="F301">
            <v>192</v>
          </cell>
          <cell r="G301">
            <v>377</v>
          </cell>
          <cell r="H301">
            <v>1097.32</v>
          </cell>
          <cell r="I301">
            <v>2459.3000000000002</v>
          </cell>
          <cell r="J301">
            <v>90061</v>
          </cell>
          <cell r="K301" t="str">
            <v>MP</v>
          </cell>
        </row>
        <row r="302">
          <cell r="A302">
            <v>990046</v>
          </cell>
          <cell r="B302">
            <v>7622</v>
          </cell>
          <cell r="C302">
            <v>171</v>
          </cell>
          <cell r="D302">
            <v>10</v>
          </cell>
          <cell r="E302">
            <v>422</v>
          </cell>
          <cell r="F302">
            <v>207</v>
          </cell>
          <cell r="G302">
            <v>469</v>
          </cell>
          <cell r="H302">
            <v>1281.54</v>
          </cell>
          <cell r="I302">
            <v>2175.3000000000002</v>
          </cell>
          <cell r="J302">
            <v>90248</v>
          </cell>
          <cell r="K302" t="str">
            <v>MP</v>
          </cell>
        </row>
        <row r="303">
          <cell r="A303">
            <v>990048</v>
          </cell>
          <cell r="B303" t="str">
            <v xml:space="preserve"> 7210/7211</v>
          </cell>
          <cell r="C303">
            <v>259</v>
          </cell>
          <cell r="D303">
            <v>73</v>
          </cell>
          <cell r="E303">
            <v>290</v>
          </cell>
          <cell r="F303">
            <v>772</v>
          </cell>
          <cell r="G303">
            <v>3213</v>
          </cell>
          <cell r="H303">
            <v>4609.4799999999996</v>
          </cell>
          <cell r="I303">
            <v>22625.439999999999</v>
          </cell>
          <cell r="J303">
            <v>90062</v>
          </cell>
          <cell r="K303" t="str">
            <v>MP</v>
          </cell>
        </row>
        <row r="304">
          <cell r="A304">
            <v>990050</v>
          </cell>
          <cell r="B304">
            <v>7386</v>
          </cell>
          <cell r="C304">
            <v>117</v>
          </cell>
          <cell r="D304">
            <v>3</v>
          </cell>
          <cell r="E304">
            <v>290</v>
          </cell>
          <cell r="F304">
            <v>157</v>
          </cell>
          <cell r="G304">
            <v>160</v>
          </cell>
          <cell r="H304">
            <v>730.17</v>
          </cell>
          <cell r="I304">
            <v>1027.23</v>
          </cell>
          <cell r="J304">
            <v>90468</v>
          </cell>
          <cell r="K304" t="str">
            <v>MP</v>
          </cell>
        </row>
        <row r="305">
          <cell r="A305">
            <v>990051</v>
          </cell>
          <cell r="B305">
            <v>7241</v>
          </cell>
          <cell r="C305">
            <v>106</v>
          </cell>
          <cell r="D305">
            <v>18</v>
          </cell>
          <cell r="E305">
            <v>290</v>
          </cell>
          <cell r="F305">
            <v>261</v>
          </cell>
          <cell r="G305">
            <v>799</v>
          </cell>
          <cell r="H305">
            <v>1474.6</v>
          </cell>
          <cell r="I305">
            <v>5583.27</v>
          </cell>
          <cell r="J305">
            <v>90121</v>
          </cell>
          <cell r="K305" t="str">
            <v>MP</v>
          </cell>
        </row>
        <row r="306">
          <cell r="A306">
            <v>990052</v>
          </cell>
          <cell r="B306">
            <v>7271</v>
          </cell>
          <cell r="C306">
            <v>117</v>
          </cell>
          <cell r="D306">
            <v>13</v>
          </cell>
          <cell r="E306">
            <v>290</v>
          </cell>
          <cell r="F306">
            <v>224</v>
          </cell>
          <cell r="G306">
            <v>573</v>
          </cell>
          <cell r="H306">
            <v>1218.9000000000001</v>
          </cell>
          <cell r="I306">
            <v>3967.75</v>
          </cell>
          <cell r="J306">
            <v>90496</v>
          </cell>
          <cell r="K306" t="str">
            <v>MP</v>
          </cell>
        </row>
        <row r="307">
          <cell r="A307">
            <v>990053</v>
          </cell>
          <cell r="B307">
            <v>7387</v>
          </cell>
          <cell r="C307">
            <v>174</v>
          </cell>
          <cell r="D307">
            <v>45</v>
          </cell>
          <cell r="E307">
            <v>290</v>
          </cell>
          <cell r="F307">
            <v>338</v>
          </cell>
          <cell r="G307">
            <v>1414</v>
          </cell>
          <cell r="H307">
            <v>2262.58</v>
          </cell>
          <cell r="I307">
            <v>7221.79</v>
          </cell>
          <cell r="J307">
            <v>90379</v>
          </cell>
          <cell r="K307" t="str">
            <v>MP</v>
          </cell>
        </row>
        <row r="308">
          <cell r="A308">
            <v>990054</v>
          </cell>
          <cell r="B308">
            <v>7414</v>
          </cell>
          <cell r="C308">
            <v>121</v>
          </cell>
          <cell r="D308">
            <v>10</v>
          </cell>
          <cell r="E308">
            <v>290</v>
          </cell>
          <cell r="F308">
            <v>170</v>
          </cell>
          <cell r="G308">
            <v>356</v>
          </cell>
          <cell r="H308">
            <v>948.73</v>
          </cell>
          <cell r="I308">
            <v>1566.48</v>
          </cell>
          <cell r="J308">
            <v>90506</v>
          </cell>
          <cell r="K308" t="str">
            <v>MP</v>
          </cell>
        </row>
        <row r="309">
          <cell r="A309">
            <v>990059</v>
          </cell>
          <cell r="B309">
            <v>7388</v>
          </cell>
          <cell r="C309">
            <v>116</v>
          </cell>
          <cell r="D309">
            <v>14</v>
          </cell>
          <cell r="E309">
            <v>290</v>
          </cell>
          <cell r="F309">
            <v>231</v>
          </cell>
          <cell r="G309">
            <v>930</v>
          </cell>
          <cell r="H309">
            <v>1582.76</v>
          </cell>
          <cell r="I309">
            <v>4302.97</v>
          </cell>
          <cell r="J309">
            <v>91365</v>
          </cell>
          <cell r="K309" t="str">
            <v>MP</v>
          </cell>
        </row>
        <row r="310">
          <cell r="A310">
            <v>990060</v>
          </cell>
          <cell r="B310" t="str">
            <v xml:space="preserve"> 7623/7624</v>
          </cell>
          <cell r="C310">
            <v>833</v>
          </cell>
          <cell r="D310">
            <v>260</v>
          </cell>
          <cell r="E310">
            <v>450</v>
          </cell>
          <cell r="F310">
            <v>1018</v>
          </cell>
          <cell r="G310">
            <v>6450</v>
          </cell>
          <cell r="H310">
            <v>9013.5300000000007</v>
          </cell>
          <cell r="I310">
            <v>21083.87</v>
          </cell>
          <cell r="J310">
            <v>91462</v>
          </cell>
          <cell r="K310" t="str">
            <v>MP</v>
          </cell>
        </row>
        <row r="311">
          <cell r="A311">
            <v>990061</v>
          </cell>
          <cell r="B311">
            <v>7436</v>
          </cell>
          <cell r="C311">
            <v>91</v>
          </cell>
          <cell r="D311">
            <v>7</v>
          </cell>
          <cell r="E311">
            <v>290</v>
          </cell>
          <cell r="F311">
            <v>185</v>
          </cell>
          <cell r="G311">
            <v>455</v>
          </cell>
          <cell r="H311">
            <v>1030.26</v>
          </cell>
          <cell r="I311">
            <v>2295.0100000000002</v>
          </cell>
          <cell r="J311">
            <v>90322</v>
          </cell>
          <cell r="K311" t="str">
            <v>MP</v>
          </cell>
        </row>
        <row r="312">
          <cell r="A312">
            <v>990063</v>
          </cell>
          <cell r="B312">
            <v>7493</v>
          </cell>
          <cell r="C312">
            <v>204</v>
          </cell>
          <cell r="D312">
            <v>2</v>
          </cell>
          <cell r="E312">
            <v>290</v>
          </cell>
          <cell r="F312">
            <v>140</v>
          </cell>
          <cell r="G312">
            <v>66</v>
          </cell>
          <cell r="H312">
            <v>702.93</v>
          </cell>
          <cell r="I312">
            <v>143.09</v>
          </cell>
          <cell r="J312">
            <v>90720</v>
          </cell>
          <cell r="K312" t="str">
            <v>MP</v>
          </cell>
        </row>
        <row r="313">
          <cell r="A313">
            <v>990064</v>
          </cell>
          <cell r="B313">
            <v>7311</v>
          </cell>
          <cell r="C313">
            <v>114</v>
          </cell>
          <cell r="D313">
            <v>26</v>
          </cell>
          <cell r="E313">
            <v>290</v>
          </cell>
          <cell r="F313">
            <v>381</v>
          </cell>
          <cell r="G313">
            <v>1176</v>
          </cell>
          <cell r="H313">
            <v>1989.78</v>
          </cell>
          <cell r="I313">
            <v>8264.77</v>
          </cell>
          <cell r="J313">
            <v>91358</v>
          </cell>
          <cell r="K313" t="str">
            <v>MP</v>
          </cell>
        </row>
        <row r="314">
          <cell r="A314">
            <v>990067</v>
          </cell>
          <cell r="B314">
            <v>7348</v>
          </cell>
          <cell r="C314">
            <v>335</v>
          </cell>
          <cell r="D314">
            <v>66</v>
          </cell>
          <cell r="E314">
            <v>290</v>
          </cell>
          <cell r="F314">
            <v>485</v>
          </cell>
          <cell r="G314">
            <v>1504</v>
          </cell>
          <cell r="H314">
            <v>2680.9</v>
          </cell>
          <cell r="I314">
            <v>10340.629999999999</v>
          </cell>
          <cell r="J314">
            <v>90061</v>
          </cell>
          <cell r="K314" t="str">
            <v>MP</v>
          </cell>
        </row>
        <row r="315">
          <cell r="A315">
            <v>990070</v>
          </cell>
          <cell r="B315">
            <v>7349</v>
          </cell>
          <cell r="C315">
            <v>126</v>
          </cell>
          <cell r="D315">
            <v>35</v>
          </cell>
          <cell r="E315">
            <v>290</v>
          </cell>
          <cell r="F315">
            <v>509</v>
          </cell>
          <cell r="G315">
            <v>2368</v>
          </cell>
          <cell r="H315">
            <v>3330.69</v>
          </cell>
          <cell r="I315">
            <v>11111.76</v>
          </cell>
          <cell r="J315">
            <v>91981</v>
          </cell>
          <cell r="K315" t="str">
            <v>MP</v>
          </cell>
        </row>
        <row r="316">
          <cell r="A316">
            <v>990074</v>
          </cell>
          <cell r="B316">
            <v>7625</v>
          </cell>
          <cell r="C316">
            <v>79</v>
          </cell>
          <cell r="D316">
            <v>38</v>
          </cell>
          <cell r="E316">
            <v>422</v>
          </cell>
          <cell r="F316">
            <v>527</v>
          </cell>
          <cell r="G316">
            <v>2289</v>
          </cell>
          <cell r="H316">
            <v>3357.69</v>
          </cell>
          <cell r="I316">
            <v>8170.13</v>
          </cell>
          <cell r="J316">
            <v>90459</v>
          </cell>
          <cell r="K316" t="str">
            <v>MP</v>
          </cell>
        </row>
        <row r="317">
          <cell r="A317">
            <v>990075</v>
          </cell>
          <cell r="B317" t="str">
            <v xml:space="preserve"> 7504/7505</v>
          </cell>
          <cell r="C317">
            <v>1063</v>
          </cell>
          <cell r="D317">
            <v>213</v>
          </cell>
          <cell r="E317">
            <v>290</v>
          </cell>
          <cell r="F317">
            <v>248</v>
          </cell>
          <cell r="G317">
            <v>4837</v>
          </cell>
          <cell r="H317">
            <v>6653.43</v>
          </cell>
          <cell r="I317">
            <v>33310.93</v>
          </cell>
          <cell r="J317">
            <v>92271</v>
          </cell>
          <cell r="K317" t="str">
            <v>MP</v>
          </cell>
        </row>
        <row r="318">
          <cell r="A318">
            <v>990076</v>
          </cell>
          <cell r="B318">
            <v>7531</v>
          </cell>
          <cell r="C318">
            <v>184</v>
          </cell>
          <cell r="D318">
            <v>28</v>
          </cell>
          <cell r="E318">
            <v>290</v>
          </cell>
          <cell r="F318">
            <v>406</v>
          </cell>
          <cell r="G318">
            <v>1257</v>
          </cell>
          <cell r="H318">
            <v>2166.7199999999998</v>
          </cell>
          <cell r="I318">
            <v>8767.67</v>
          </cell>
          <cell r="J318">
            <v>90083</v>
          </cell>
          <cell r="K318" t="str">
            <v>MP</v>
          </cell>
        </row>
        <row r="319">
          <cell r="A319">
            <v>990078</v>
          </cell>
          <cell r="B319">
            <v>7563</v>
          </cell>
          <cell r="C319">
            <v>166</v>
          </cell>
          <cell r="D319">
            <v>29</v>
          </cell>
          <cell r="E319">
            <v>409</v>
          </cell>
          <cell r="F319">
            <v>425</v>
          </cell>
          <cell r="G319">
            <v>1316</v>
          </cell>
          <cell r="H319">
            <v>2347.1999999999998</v>
          </cell>
          <cell r="I319">
            <v>6531.84</v>
          </cell>
          <cell r="J319">
            <v>90121</v>
          </cell>
          <cell r="K319" t="str">
            <v>MP</v>
          </cell>
        </row>
        <row r="320">
          <cell r="A320">
            <v>990079</v>
          </cell>
          <cell r="B320" t="str">
            <v xml:space="preserve"> 7506/7507</v>
          </cell>
          <cell r="C320">
            <v>283</v>
          </cell>
          <cell r="D320">
            <v>91</v>
          </cell>
          <cell r="E320">
            <v>290</v>
          </cell>
          <cell r="F320">
            <v>898</v>
          </cell>
          <cell r="G320">
            <v>3996</v>
          </cell>
          <cell r="H320">
            <v>5559.01</v>
          </cell>
          <cell r="I320">
            <v>28200.13</v>
          </cell>
          <cell r="J320">
            <v>90097</v>
          </cell>
          <cell r="K320" t="str">
            <v>MP</v>
          </cell>
        </row>
        <row r="321">
          <cell r="A321">
            <v>990080</v>
          </cell>
          <cell r="B321">
            <v>7272</v>
          </cell>
          <cell r="C321">
            <v>126</v>
          </cell>
          <cell r="D321">
            <v>34</v>
          </cell>
          <cell r="E321">
            <v>290</v>
          </cell>
          <cell r="F321">
            <v>258</v>
          </cell>
          <cell r="G321">
            <v>168</v>
          </cell>
          <cell r="H321">
            <v>878.98</v>
          </cell>
          <cell r="I321">
            <v>5470.42</v>
          </cell>
          <cell r="J321">
            <v>90061</v>
          </cell>
          <cell r="K321" t="str">
            <v>MP</v>
          </cell>
        </row>
        <row r="322">
          <cell r="A322">
            <v>990083</v>
          </cell>
          <cell r="B322">
            <v>7437</v>
          </cell>
          <cell r="C322">
            <v>585</v>
          </cell>
          <cell r="D322">
            <v>15</v>
          </cell>
          <cell r="E322">
            <v>290</v>
          </cell>
          <cell r="F322">
            <v>239</v>
          </cell>
          <cell r="G322">
            <v>999</v>
          </cell>
          <cell r="H322">
            <v>2129.5</v>
          </cell>
          <cell r="I322">
            <v>4162.74</v>
          </cell>
          <cell r="J322">
            <v>91353</v>
          </cell>
          <cell r="K322" t="str">
            <v>MP</v>
          </cell>
        </row>
        <row r="323">
          <cell r="A323">
            <v>990085</v>
          </cell>
          <cell r="B323">
            <v>7483</v>
          </cell>
          <cell r="C323">
            <v>253</v>
          </cell>
          <cell r="D323">
            <v>17</v>
          </cell>
          <cell r="E323">
            <v>290</v>
          </cell>
          <cell r="F323">
            <v>196</v>
          </cell>
          <cell r="G323">
            <v>403</v>
          </cell>
          <cell r="H323">
            <v>1161.03</v>
          </cell>
          <cell r="I323">
            <v>2573.21</v>
          </cell>
          <cell r="J323">
            <v>91454</v>
          </cell>
          <cell r="K323" t="str">
            <v>MP</v>
          </cell>
        </row>
        <row r="324">
          <cell r="A324">
            <v>990087</v>
          </cell>
          <cell r="B324">
            <v>7389</v>
          </cell>
          <cell r="C324">
            <v>114</v>
          </cell>
          <cell r="D324">
            <v>18</v>
          </cell>
          <cell r="E324">
            <v>290</v>
          </cell>
          <cell r="F324">
            <v>263</v>
          </cell>
          <cell r="G324">
            <v>805</v>
          </cell>
          <cell r="H324">
            <v>1491.47</v>
          </cell>
          <cell r="I324">
            <v>5616.27</v>
          </cell>
          <cell r="J324">
            <v>90061</v>
          </cell>
          <cell r="K324" t="str">
            <v>MP</v>
          </cell>
        </row>
        <row r="325">
          <cell r="A325">
            <v>990088</v>
          </cell>
          <cell r="B325">
            <v>7350</v>
          </cell>
          <cell r="C325">
            <v>114</v>
          </cell>
          <cell r="D325">
            <v>7</v>
          </cell>
          <cell r="E325">
            <v>290</v>
          </cell>
          <cell r="F325">
            <v>187</v>
          </cell>
          <cell r="G325">
            <v>74</v>
          </cell>
          <cell r="H325">
            <v>674.9</v>
          </cell>
          <cell r="I325">
            <v>2355.14</v>
          </cell>
          <cell r="J325">
            <v>90061</v>
          </cell>
          <cell r="K325" t="str">
            <v>MP</v>
          </cell>
        </row>
        <row r="326">
          <cell r="A326">
            <v>990089</v>
          </cell>
          <cell r="B326">
            <v>7415</v>
          </cell>
          <cell r="C326">
            <v>114</v>
          </cell>
          <cell r="D326">
            <v>2</v>
          </cell>
          <cell r="E326">
            <v>290</v>
          </cell>
          <cell r="F326">
            <v>151</v>
          </cell>
          <cell r="G326">
            <v>184</v>
          </cell>
          <cell r="H326">
            <v>743.99</v>
          </cell>
          <cell r="I326">
            <v>761.48</v>
          </cell>
          <cell r="J326">
            <v>90564</v>
          </cell>
          <cell r="K326" t="str">
            <v>MP</v>
          </cell>
        </row>
        <row r="327">
          <cell r="A327">
            <v>990094</v>
          </cell>
          <cell r="B327">
            <v>7456</v>
          </cell>
          <cell r="C327">
            <v>108</v>
          </cell>
          <cell r="D327">
            <v>9</v>
          </cell>
          <cell r="E327">
            <v>290</v>
          </cell>
          <cell r="F327">
            <v>199</v>
          </cell>
          <cell r="G327">
            <v>422</v>
          </cell>
          <cell r="H327">
            <v>1030.31</v>
          </cell>
          <cell r="I327">
            <v>2903.04</v>
          </cell>
          <cell r="J327">
            <v>90379</v>
          </cell>
          <cell r="K327" t="str">
            <v>MP</v>
          </cell>
        </row>
        <row r="328">
          <cell r="A328">
            <v>990098</v>
          </cell>
          <cell r="B328">
            <v>7416</v>
          </cell>
          <cell r="C328">
            <v>120</v>
          </cell>
          <cell r="D328">
            <v>6</v>
          </cell>
          <cell r="E328">
            <v>290</v>
          </cell>
          <cell r="F328">
            <v>181</v>
          </cell>
          <cell r="G328">
            <v>414</v>
          </cell>
          <cell r="H328">
            <v>1013.54</v>
          </cell>
          <cell r="I328">
            <v>2056.3200000000002</v>
          </cell>
          <cell r="J328">
            <v>91978</v>
          </cell>
          <cell r="K328" t="str">
            <v>MP</v>
          </cell>
        </row>
        <row r="329">
          <cell r="A329">
            <v>990100</v>
          </cell>
          <cell r="B329">
            <v>7641</v>
          </cell>
          <cell r="C329">
            <v>169</v>
          </cell>
          <cell r="D329">
            <v>36</v>
          </cell>
          <cell r="E329">
            <v>422</v>
          </cell>
          <cell r="F329">
            <v>270</v>
          </cell>
          <cell r="G329">
            <v>829</v>
          </cell>
          <cell r="H329">
            <v>1728.69</v>
          </cell>
          <cell r="I329">
            <v>3925.35</v>
          </cell>
          <cell r="J329">
            <v>91874</v>
          </cell>
          <cell r="K329" t="str">
            <v>MP</v>
          </cell>
        </row>
        <row r="330">
          <cell r="A330">
            <v>990103</v>
          </cell>
          <cell r="B330" t="str">
            <v xml:space="preserve"> 7626/7627/7628</v>
          </cell>
          <cell r="C330">
            <v>916</v>
          </cell>
          <cell r="D330">
            <v>687</v>
          </cell>
          <cell r="E330">
            <v>450</v>
          </cell>
          <cell r="F330">
            <v>248</v>
          </cell>
          <cell r="G330">
            <v>11199</v>
          </cell>
          <cell r="H330">
            <v>13502.73</v>
          </cell>
          <cell r="I330">
            <v>213984.27</v>
          </cell>
          <cell r="J330">
            <v>90062</v>
          </cell>
          <cell r="K330" t="str">
            <v>MP</v>
          </cell>
        </row>
        <row r="331">
          <cell r="A331">
            <v>990104</v>
          </cell>
          <cell r="B331">
            <v>7273</v>
          </cell>
          <cell r="C331">
            <v>138</v>
          </cell>
          <cell r="D331">
            <v>112</v>
          </cell>
          <cell r="E331">
            <v>290</v>
          </cell>
          <cell r="F331">
            <v>667</v>
          </cell>
          <cell r="G331">
            <v>2560</v>
          </cell>
          <cell r="H331">
            <v>3769.91</v>
          </cell>
          <cell r="I331">
            <v>18039</v>
          </cell>
          <cell r="J331">
            <v>90048</v>
          </cell>
          <cell r="K331" t="str">
            <v>MP</v>
          </cell>
        </row>
        <row r="332">
          <cell r="A332">
            <v>990105</v>
          </cell>
          <cell r="B332">
            <v>7351</v>
          </cell>
          <cell r="C332">
            <v>114</v>
          </cell>
          <cell r="D332">
            <v>25</v>
          </cell>
          <cell r="E332">
            <v>290</v>
          </cell>
          <cell r="F332">
            <v>368</v>
          </cell>
          <cell r="G332">
            <v>1136</v>
          </cell>
          <cell r="H332">
            <v>1935.15</v>
          </cell>
          <cell r="I332">
            <v>7971.48</v>
          </cell>
          <cell r="J332">
            <v>92167</v>
          </cell>
          <cell r="K332" t="str">
            <v>MP</v>
          </cell>
        </row>
        <row r="333">
          <cell r="A333">
            <v>990106</v>
          </cell>
          <cell r="B333">
            <v>7312</v>
          </cell>
          <cell r="C333">
            <v>108</v>
          </cell>
          <cell r="D333">
            <v>5</v>
          </cell>
          <cell r="E333">
            <v>290</v>
          </cell>
          <cell r="F333">
            <v>290</v>
          </cell>
          <cell r="G333">
            <v>46</v>
          </cell>
          <cell r="H333">
            <v>740.51</v>
          </cell>
          <cell r="I333">
            <v>811.37</v>
          </cell>
          <cell r="J333">
            <v>91462</v>
          </cell>
          <cell r="K333" t="str">
            <v>MP</v>
          </cell>
        </row>
        <row r="334">
          <cell r="A334">
            <v>990107</v>
          </cell>
          <cell r="B334">
            <v>7217</v>
          </cell>
          <cell r="C334">
            <v>485</v>
          </cell>
          <cell r="D334">
            <v>47</v>
          </cell>
          <cell r="E334">
            <v>290</v>
          </cell>
          <cell r="F334">
            <v>351</v>
          </cell>
          <cell r="G334">
            <v>1470</v>
          </cell>
          <cell r="H334">
            <v>2644.74</v>
          </cell>
          <cell r="I334">
            <v>7105.18</v>
          </cell>
          <cell r="J334">
            <v>91462</v>
          </cell>
          <cell r="K334" t="str">
            <v>MP</v>
          </cell>
        </row>
        <row r="335">
          <cell r="A335">
            <v>990108</v>
          </cell>
          <cell r="B335">
            <v>7218</v>
          </cell>
          <cell r="C335">
            <v>108</v>
          </cell>
          <cell r="D335">
            <v>6</v>
          </cell>
          <cell r="E335">
            <v>290</v>
          </cell>
          <cell r="F335">
            <v>155</v>
          </cell>
          <cell r="G335">
            <v>201</v>
          </cell>
          <cell r="H335">
            <v>762.85</v>
          </cell>
          <cell r="I335">
            <v>946.92</v>
          </cell>
          <cell r="J335">
            <v>91462</v>
          </cell>
          <cell r="K335" t="str">
            <v>MP</v>
          </cell>
        </row>
        <row r="336">
          <cell r="A336">
            <v>990109</v>
          </cell>
          <cell r="B336">
            <v>7219</v>
          </cell>
          <cell r="C336">
            <v>108</v>
          </cell>
          <cell r="D336">
            <v>2</v>
          </cell>
          <cell r="E336">
            <v>290</v>
          </cell>
          <cell r="F336">
            <v>141</v>
          </cell>
          <cell r="G336">
            <v>77</v>
          </cell>
          <cell r="H336">
            <v>619.29999999999995</v>
          </cell>
          <cell r="I336">
            <v>294.43</v>
          </cell>
          <cell r="J336">
            <v>91462</v>
          </cell>
          <cell r="K336" t="str">
            <v>MP</v>
          </cell>
        </row>
        <row r="337">
          <cell r="A337">
            <v>990110</v>
          </cell>
          <cell r="B337">
            <v>7508</v>
          </cell>
          <cell r="C337">
            <v>525</v>
          </cell>
          <cell r="D337">
            <v>122</v>
          </cell>
          <cell r="E337">
            <v>290</v>
          </cell>
          <cell r="F337">
            <v>699</v>
          </cell>
          <cell r="G337">
            <v>3749</v>
          </cell>
          <cell r="H337">
            <v>5387.4</v>
          </cell>
          <cell r="I337">
            <v>19554.88</v>
          </cell>
          <cell r="J337">
            <v>91337</v>
          </cell>
          <cell r="K337" t="str">
            <v>MP</v>
          </cell>
        </row>
        <row r="338">
          <cell r="A338">
            <v>990111</v>
          </cell>
          <cell r="B338">
            <v>7532</v>
          </cell>
          <cell r="C338">
            <v>108</v>
          </cell>
          <cell r="D338">
            <v>11</v>
          </cell>
          <cell r="E338">
            <v>290</v>
          </cell>
          <cell r="F338">
            <v>174</v>
          </cell>
          <cell r="G338">
            <v>358</v>
          </cell>
          <cell r="H338">
            <v>943.08</v>
          </cell>
          <cell r="I338">
            <v>1766.77</v>
          </cell>
          <cell r="J338">
            <v>90379</v>
          </cell>
          <cell r="K338" t="str">
            <v>MP</v>
          </cell>
        </row>
        <row r="339">
          <cell r="A339">
            <v>990113</v>
          </cell>
          <cell r="B339">
            <v>7417</v>
          </cell>
          <cell r="C339">
            <v>293</v>
          </cell>
          <cell r="D339">
            <v>15</v>
          </cell>
          <cell r="E339">
            <v>290</v>
          </cell>
          <cell r="F339">
            <v>189</v>
          </cell>
          <cell r="G339">
            <v>488</v>
          </cell>
          <cell r="H339">
            <v>1277.23</v>
          </cell>
          <cell r="I339">
            <v>2223.9699999999998</v>
          </cell>
          <cell r="J339">
            <v>90338</v>
          </cell>
          <cell r="K339" t="str">
            <v>MP</v>
          </cell>
        </row>
        <row r="340">
          <cell r="A340">
            <v>990114</v>
          </cell>
          <cell r="B340">
            <v>7438</v>
          </cell>
          <cell r="C340">
            <v>381</v>
          </cell>
          <cell r="D340">
            <v>72</v>
          </cell>
          <cell r="E340">
            <v>290</v>
          </cell>
          <cell r="F340">
            <v>520</v>
          </cell>
          <cell r="G340">
            <v>2231</v>
          </cell>
          <cell r="H340">
            <v>3495.82</v>
          </cell>
          <cell r="I340">
            <v>11080.5</v>
          </cell>
          <cell r="J340">
            <v>90338</v>
          </cell>
          <cell r="K340" t="str">
            <v>MP</v>
          </cell>
        </row>
        <row r="341">
          <cell r="A341">
            <v>990117</v>
          </cell>
          <cell r="B341">
            <v>7418</v>
          </cell>
          <cell r="C341">
            <v>292</v>
          </cell>
          <cell r="D341">
            <v>12</v>
          </cell>
          <cell r="E341">
            <v>290</v>
          </cell>
          <cell r="F341">
            <v>220</v>
          </cell>
          <cell r="G341">
            <v>749</v>
          </cell>
          <cell r="H341">
            <v>1564.92</v>
          </cell>
          <cell r="I341">
            <v>3643.01</v>
          </cell>
          <cell r="J341">
            <v>91178</v>
          </cell>
          <cell r="K341" t="str">
            <v>MP</v>
          </cell>
        </row>
        <row r="342">
          <cell r="A342">
            <v>990120</v>
          </cell>
          <cell r="B342">
            <v>7419</v>
          </cell>
          <cell r="C342">
            <v>141</v>
          </cell>
          <cell r="D342">
            <v>25</v>
          </cell>
          <cell r="E342">
            <v>290</v>
          </cell>
          <cell r="F342">
            <v>368</v>
          </cell>
          <cell r="G342">
            <v>243</v>
          </cell>
          <cell r="H342">
            <v>1070.05</v>
          </cell>
          <cell r="I342">
            <v>7967.58</v>
          </cell>
          <cell r="J342">
            <v>90083</v>
          </cell>
          <cell r="K342" t="str">
            <v>MP</v>
          </cell>
        </row>
        <row r="343">
          <cell r="A343">
            <v>990121</v>
          </cell>
          <cell r="B343">
            <v>7600</v>
          </cell>
          <cell r="C343">
            <v>455</v>
          </cell>
          <cell r="D343">
            <v>137</v>
          </cell>
          <cell r="E343">
            <v>422</v>
          </cell>
          <cell r="F343">
            <v>1227</v>
          </cell>
          <cell r="G343">
            <v>6042</v>
          </cell>
          <cell r="H343">
            <v>8284.89</v>
          </cell>
          <cell r="I343">
            <v>29255.38</v>
          </cell>
          <cell r="J343">
            <v>90061</v>
          </cell>
          <cell r="K343" t="str">
            <v>MP</v>
          </cell>
        </row>
        <row r="344">
          <cell r="A344">
            <v>990122</v>
          </cell>
          <cell r="B344">
            <v>7420</v>
          </cell>
          <cell r="C344">
            <v>134</v>
          </cell>
          <cell r="D344">
            <v>5</v>
          </cell>
          <cell r="E344">
            <v>290</v>
          </cell>
          <cell r="F344">
            <v>170</v>
          </cell>
          <cell r="G344">
            <v>397</v>
          </cell>
          <cell r="H344">
            <v>998.48</v>
          </cell>
          <cell r="I344">
            <v>1588.86</v>
          </cell>
          <cell r="J344">
            <v>90463</v>
          </cell>
          <cell r="K344" t="str">
            <v>MP</v>
          </cell>
        </row>
        <row r="345">
          <cell r="A345">
            <v>990124</v>
          </cell>
          <cell r="B345" t="str">
            <v xml:space="preserve"> 7601/7602</v>
          </cell>
          <cell r="C345">
            <v>297</v>
          </cell>
          <cell r="D345">
            <v>178</v>
          </cell>
          <cell r="E345">
            <v>422</v>
          </cell>
          <cell r="F345">
            <v>1517</v>
          </cell>
          <cell r="G345">
            <v>7850</v>
          </cell>
          <cell r="H345">
            <v>10266.51</v>
          </cell>
          <cell r="I345">
            <v>38213.57</v>
          </cell>
          <cell r="J345">
            <v>90062</v>
          </cell>
          <cell r="K345" t="str">
            <v>MP</v>
          </cell>
        </row>
        <row r="346">
          <cell r="A346">
            <v>990125</v>
          </cell>
          <cell r="B346">
            <v>7457</v>
          </cell>
          <cell r="C346">
            <v>117</v>
          </cell>
          <cell r="D346">
            <v>7</v>
          </cell>
          <cell r="E346">
            <v>290</v>
          </cell>
          <cell r="F346">
            <v>187</v>
          </cell>
          <cell r="G346">
            <v>343</v>
          </cell>
          <cell r="H346">
            <v>946.38</v>
          </cell>
          <cell r="I346">
            <v>2331.14</v>
          </cell>
          <cell r="J346">
            <v>90496</v>
          </cell>
          <cell r="K346" t="str">
            <v>MP</v>
          </cell>
        </row>
        <row r="347">
          <cell r="A347">
            <v>990126</v>
          </cell>
          <cell r="B347">
            <v>7603</v>
          </cell>
          <cell r="C347">
            <v>335</v>
          </cell>
          <cell r="D347">
            <v>110</v>
          </cell>
          <cell r="E347">
            <v>422</v>
          </cell>
          <cell r="F347">
            <v>1035</v>
          </cell>
          <cell r="G347">
            <v>1906</v>
          </cell>
          <cell r="H347">
            <v>3810.65</v>
          </cell>
          <cell r="I347">
            <v>23500.14</v>
          </cell>
          <cell r="J347">
            <v>90097</v>
          </cell>
          <cell r="K347" t="str">
            <v>MP</v>
          </cell>
        </row>
        <row r="348">
          <cell r="A348">
            <v>990131</v>
          </cell>
          <cell r="B348" t="str">
            <v xml:space="preserve"> 7539/7540</v>
          </cell>
          <cell r="C348">
            <v>768</v>
          </cell>
          <cell r="D348">
            <v>146</v>
          </cell>
          <cell r="E348">
            <v>290</v>
          </cell>
          <cell r="F348">
            <v>1292</v>
          </cell>
          <cell r="G348">
            <v>5618</v>
          </cell>
          <cell r="H348">
            <v>8116.3</v>
          </cell>
          <cell r="I348">
            <v>45200.74</v>
          </cell>
          <cell r="J348">
            <v>90061</v>
          </cell>
          <cell r="K348" t="str">
            <v>MP</v>
          </cell>
        </row>
        <row r="349">
          <cell r="A349">
            <v>990137</v>
          </cell>
          <cell r="B349">
            <v>7629</v>
          </cell>
          <cell r="C349">
            <v>507</v>
          </cell>
          <cell r="D349">
            <v>11</v>
          </cell>
          <cell r="E349">
            <v>422</v>
          </cell>
          <cell r="F349">
            <v>175</v>
          </cell>
          <cell r="G349">
            <v>367</v>
          </cell>
          <cell r="H349">
            <v>1484.88</v>
          </cell>
          <cell r="I349">
            <v>922.09</v>
          </cell>
          <cell r="J349">
            <v>91163</v>
          </cell>
          <cell r="K349" t="str">
            <v>MP</v>
          </cell>
        </row>
        <row r="350">
          <cell r="A350">
            <v>990138</v>
          </cell>
          <cell r="B350">
            <v>7630</v>
          </cell>
          <cell r="C350">
            <v>291</v>
          </cell>
          <cell r="D350">
            <v>26</v>
          </cell>
          <cell r="E350">
            <v>422</v>
          </cell>
          <cell r="F350">
            <v>227</v>
          </cell>
          <cell r="G350">
            <v>802</v>
          </cell>
          <cell r="H350">
            <v>1770.18</v>
          </cell>
          <cell r="I350">
            <v>2682.43</v>
          </cell>
          <cell r="J350">
            <v>91822</v>
          </cell>
          <cell r="K350" t="str">
            <v>MP</v>
          </cell>
        </row>
        <row r="351">
          <cell r="A351">
            <v>990140</v>
          </cell>
          <cell r="B351">
            <v>7421</v>
          </cell>
          <cell r="C351">
            <v>784</v>
          </cell>
          <cell r="D351">
            <v>41</v>
          </cell>
          <cell r="E351">
            <v>290</v>
          </cell>
          <cell r="F351">
            <v>309</v>
          </cell>
          <cell r="G351">
            <v>1426</v>
          </cell>
          <cell r="H351">
            <v>2852.24</v>
          </cell>
          <cell r="I351">
            <v>5948.96</v>
          </cell>
          <cell r="J351">
            <v>92020</v>
          </cell>
          <cell r="K351" t="str">
            <v>MP</v>
          </cell>
        </row>
        <row r="352">
          <cell r="A352">
            <v>990141</v>
          </cell>
          <cell r="B352">
            <v>7352</v>
          </cell>
          <cell r="C352">
            <v>331</v>
          </cell>
          <cell r="D352">
            <v>25</v>
          </cell>
          <cell r="E352">
            <v>290</v>
          </cell>
          <cell r="F352">
            <v>224</v>
          </cell>
          <cell r="G352">
            <v>866</v>
          </cell>
          <cell r="H352">
            <v>1738.39</v>
          </cell>
          <cell r="I352">
            <v>3758.26</v>
          </cell>
          <cell r="J352">
            <v>92088</v>
          </cell>
          <cell r="K352" t="str">
            <v>MP</v>
          </cell>
        </row>
        <row r="353">
          <cell r="A353">
            <v>990149</v>
          </cell>
          <cell r="B353">
            <v>7458</v>
          </cell>
          <cell r="C353">
            <v>582</v>
          </cell>
          <cell r="D353">
            <v>29</v>
          </cell>
          <cell r="E353">
            <v>290</v>
          </cell>
          <cell r="F353">
            <v>239</v>
          </cell>
          <cell r="G353">
            <v>1001</v>
          </cell>
          <cell r="H353">
            <v>2143.02</v>
          </cell>
          <cell r="I353">
            <v>4156.8999999999996</v>
          </cell>
          <cell r="J353">
            <v>91353</v>
          </cell>
          <cell r="K353" t="str">
            <v>MP</v>
          </cell>
        </row>
        <row r="354">
          <cell r="A354">
            <v>990151</v>
          </cell>
          <cell r="B354">
            <v>7459</v>
          </cell>
          <cell r="C354">
            <v>102</v>
          </cell>
          <cell r="D354">
            <v>96</v>
          </cell>
          <cell r="E354">
            <v>290</v>
          </cell>
          <cell r="F354">
            <v>938</v>
          </cell>
          <cell r="G354">
            <v>4248</v>
          </cell>
          <cell r="H354">
            <v>5677.26</v>
          </cell>
          <cell r="I354">
            <v>30147.09</v>
          </cell>
          <cell r="J354">
            <v>90097</v>
          </cell>
          <cell r="K354" t="str">
            <v>MP</v>
          </cell>
        </row>
        <row r="355">
          <cell r="A355">
            <v>990152</v>
          </cell>
          <cell r="B355">
            <v>7422</v>
          </cell>
          <cell r="C355">
            <v>305</v>
          </cell>
          <cell r="D355">
            <v>17</v>
          </cell>
          <cell r="E355">
            <v>290</v>
          </cell>
          <cell r="F355">
            <v>195</v>
          </cell>
          <cell r="G355">
            <v>503</v>
          </cell>
          <cell r="H355">
            <v>1312.05</v>
          </cell>
          <cell r="I355">
            <v>2495.7399999999998</v>
          </cell>
          <cell r="J355">
            <v>91403</v>
          </cell>
          <cell r="K355" t="str">
            <v>MP</v>
          </cell>
        </row>
        <row r="356">
          <cell r="A356">
            <v>990159</v>
          </cell>
          <cell r="B356">
            <v>7460</v>
          </cell>
          <cell r="C356">
            <v>204</v>
          </cell>
          <cell r="D356">
            <v>5</v>
          </cell>
          <cell r="E356">
            <v>290</v>
          </cell>
          <cell r="F356">
            <v>153</v>
          </cell>
          <cell r="G356">
            <v>125</v>
          </cell>
          <cell r="H356">
            <v>778.95</v>
          </cell>
          <cell r="I356">
            <v>754.93</v>
          </cell>
          <cell r="J356">
            <v>91381</v>
          </cell>
          <cell r="K356" t="str">
            <v>MP</v>
          </cell>
        </row>
        <row r="357">
          <cell r="A357">
            <v>990163</v>
          </cell>
          <cell r="B357">
            <v>7606</v>
          </cell>
          <cell r="C357">
            <v>797</v>
          </cell>
          <cell r="D357">
            <v>87</v>
          </cell>
          <cell r="E357">
            <v>422</v>
          </cell>
          <cell r="F357">
            <v>573</v>
          </cell>
          <cell r="G357">
            <v>3020</v>
          </cell>
          <cell r="H357">
            <v>4900.6899999999996</v>
          </cell>
          <cell r="I357">
            <v>8801.75</v>
          </cell>
          <cell r="J357">
            <v>91552</v>
          </cell>
          <cell r="K357" t="str">
            <v>MP</v>
          </cell>
        </row>
        <row r="358">
          <cell r="A358">
            <v>990165</v>
          </cell>
          <cell r="B358">
            <v>7274</v>
          </cell>
          <cell r="C358">
            <v>140</v>
          </cell>
          <cell r="D358">
            <v>5</v>
          </cell>
          <cell r="E358">
            <v>290</v>
          </cell>
          <cell r="F358">
            <v>170</v>
          </cell>
          <cell r="G358">
            <v>321</v>
          </cell>
          <cell r="H358">
            <v>927.42</v>
          </cell>
          <cell r="I358">
            <v>1550.14</v>
          </cell>
          <cell r="J358">
            <v>90402</v>
          </cell>
          <cell r="K358" t="str">
            <v>MP</v>
          </cell>
        </row>
        <row r="359">
          <cell r="A359">
            <v>990167</v>
          </cell>
          <cell r="B359">
            <v>7353</v>
          </cell>
          <cell r="C359">
            <v>122</v>
          </cell>
          <cell r="D359">
            <v>52</v>
          </cell>
          <cell r="E359">
            <v>290</v>
          </cell>
          <cell r="F359">
            <v>381</v>
          </cell>
          <cell r="G359">
            <v>1178</v>
          </cell>
          <cell r="H359">
            <v>2025.27</v>
          </cell>
          <cell r="I359">
            <v>8180.99</v>
          </cell>
          <cell r="J359">
            <v>90686</v>
          </cell>
          <cell r="K359" t="str">
            <v>MP</v>
          </cell>
        </row>
        <row r="360">
          <cell r="A360">
            <v>990169</v>
          </cell>
          <cell r="B360">
            <v>7564</v>
          </cell>
          <cell r="C360">
            <v>144</v>
          </cell>
          <cell r="D360">
            <v>2</v>
          </cell>
          <cell r="E360">
            <v>409</v>
          </cell>
          <cell r="F360">
            <v>146</v>
          </cell>
          <cell r="G360">
            <v>92</v>
          </cell>
          <cell r="H360">
            <v>795.23</v>
          </cell>
          <cell r="I360">
            <v>363.12</v>
          </cell>
          <cell r="J360">
            <v>90097</v>
          </cell>
          <cell r="K360" t="str">
            <v>MP</v>
          </cell>
        </row>
        <row r="361">
          <cell r="A361">
            <v>990171</v>
          </cell>
          <cell r="B361">
            <v>7631</v>
          </cell>
          <cell r="C361">
            <v>516</v>
          </cell>
          <cell r="D361">
            <v>40</v>
          </cell>
          <cell r="E361">
            <v>409</v>
          </cell>
          <cell r="F361">
            <v>297</v>
          </cell>
          <cell r="G361">
            <v>913</v>
          </cell>
          <cell r="H361">
            <v>2177.02</v>
          </cell>
          <cell r="I361">
            <v>4240.09</v>
          </cell>
          <cell r="J361">
            <v>91441</v>
          </cell>
          <cell r="K361" t="str">
            <v>MP</v>
          </cell>
        </row>
        <row r="362">
          <cell r="A362">
            <v>990172</v>
          </cell>
          <cell r="B362">
            <v>7607</v>
          </cell>
          <cell r="C362">
            <v>906</v>
          </cell>
          <cell r="D362">
            <v>55</v>
          </cell>
          <cell r="E362">
            <v>422</v>
          </cell>
          <cell r="F362">
            <v>403</v>
          </cell>
          <cell r="G362">
            <v>1871</v>
          </cell>
          <cell r="H362">
            <v>3659.02</v>
          </cell>
          <cell r="I362">
            <v>5467.21</v>
          </cell>
          <cell r="J362">
            <v>91353</v>
          </cell>
          <cell r="K362" t="str">
            <v>MP</v>
          </cell>
        </row>
        <row r="363">
          <cell r="A363">
            <v>990173</v>
          </cell>
          <cell r="B363">
            <v>7484</v>
          </cell>
          <cell r="C363">
            <v>132</v>
          </cell>
          <cell r="D363">
            <v>9</v>
          </cell>
          <cell r="E363">
            <v>290</v>
          </cell>
          <cell r="F363">
            <v>198</v>
          </cell>
          <cell r="G363">
            <v>557</v>
          </cell>
          <cell r="H363">
            <v>1187.73</v>
          </cell>
          <cell r="I363">
            <v>2797.18</v>
          </cell>
          <cell r="J363">
            <v>91978</v>
          </cell>
          <cell r="K363" t="str">
            <v>MP</v>
          </cell>
        </row>
        <row r="364">
          <cell r="A364">
            <v>990174</v>
          </cell>
          <cell r="B364">
            <v>7439</v>
          </cell>
          <cell r="C364">
            <v>1285</v>
          </cell>
          <cell r="D364">
            <v>90</v>
          </cell>
          <cell r="E364">
            <v>290</v>
          </cell>
          <cell r="F364">
            <v>584</v>
          </cell>
          <cell r="G364">
            <v>2478</v>
          </cell>
          <cell r="H364">
            <v>4727.53</v>
          </cell>
          <cell r="I364">
            <v>12831.69</v>
          </cell>
          <cell r="J364">
            <v>90981</v>
          </cell>
          <cell r="K364" t="str">
            <v>MP</v>
          </cell>
        </row>
        <row r="365">
          <cell r="A365">
            <v>990177</v>
          </cell>
          <cell r="B365">
            <v>7608</v>
          </cell>
          <cell r="C365">
            <v>1029</v>
          </cell>
          <cell r="D365">
            <v>140</v>
          </cell>
          <cell r="E365">
            <v>422</v>
          </cell>
          <cell r="F365">
            <v>834</v>
          </cell>
          <cell r="G365">
            <v>5394</v>
          </cell>
          <cell r="H365">
            <v>7820.84</v>
          </cell>
          <cell r="I365">
            <v>16524.900000000001</v>
          </cell>
          <cell r="J365">
            <v>92088</v>
          </cell>
          <cell r="K365" t="str">
            <v>MP</v>
          </cell>
        </row>
        <row r="366">
          <cell r="A366">
            <v>990180</v>
          </cell>
          <cell r="B366">
            <v>7423</v>
          </cell>
          <cell r="C366">
            <v>96</v>
          </cell>
          <cell r="D366">
            <v>25</v>
          </cell>
          <cell r="E366">
            <v>290</v>
          </cell>
          <cell r="F366">
            <v>223</v>
          </cell>
          <cell r="G366">
            <v>770</v>
          </cell>
          <cell r="H366">
            <v>1405.73</v>
          </cell>
          <cell r="I366">
            <v>3938.93</v>
          </cell>
          <cell r="J366">
            <v>90392</v>
          </cell>
          <cell r="K366" t="str">
            <v>MP</v>
          </cell>
        </row>
        <row r="367">
          <cell r="A367">
            <v>990181</v>
          </cell>
          <cell r="B367">
            <v>7566</v>
          </cell>
          <cell r="C367">
            <v>117</v>
          </cell>
          <cell r="D367">
            <v>36</v>
          </cell>
          <cell r="E367">
            <v>290</v>
          </cell>
          <cell r="F367">
            <v>512</v>
          </cell>
          <cell r="G367">
            <v>1594</v>
          </cell>
          <cell r="H367">
            <v>2551.42</v>
          </cell>
          <cell r="I367">
            <v>11249.28</v>
          </cell>
          <cell r="J367">
            <v>90061</v>
          </cell>
          <cell r="K367" t="str">
            <v>MP</v>
          </cell>
        </row>
        <row r="368">
          <cell r="A368">
            <v>990182</v>
          </cell>
          <cell r="C368">
            <v>614</v>
          </cell>
          <cell r="D368">
            <v>26</v>
          </cell>
          <cell r="E368">
            <v>290</v>
          </cell>
          <cell r="F368">
            <v>382</v>
          </cell>
          <cell r="G368">
            <v>1604</v>
          </cell>
          <cell r="H368">
            <v>2919.17</v>
          </cell>
          <cell r="I368">
            <v>7799.37</v>
          </cell>
          <cell r="J368">
            <v>91934</v>
          </cell>
          <cell r="K368" t="str">
            <v>MP</v>
          </cell>
        </row>
        <row r="369">
          <cell r="A369">
            <v>990183</v>
          </cell>
          <cell r="B369" t="str">
            <v xml:space="preserve"> 7509/7510</v>
          </cell>
          <cell r="C369">
            <v>192</v>
          </cell>
          <cell r="D369">
            <v>11</v>
          </cell>
          <cell r="E369">
            <v>290</v>
          </cell>
          <cell r="F369">
            <v>216</v>
          </cell>
          <cell r="G369">
            <v>711</v>
          </cell>
          <cell r="H369">
            <v>1422.25</v>
          </cell>
          <cell r="I369">
            <v>3546.2</v>
          </cell>
          <cell r="J369">
            <v>91591</v>
          </cell>
          <cell r="K369" t="str">
            <v>MP</v>
          </cell>
        </row>
        <row r="370">
          <cell r="A370">
            <v>990185</v>
          </cell>
          <cell r="B370">
            <v>7632</v>
          </cell>
          <cell r="C370">
            <v>184</v>
          </cell>
          <cell r="D370">
            <v>147</v>
          </cell>
          <cell r="E370">
            <v>450</v>
          </cell>
          <cell r="F370">
            <v>830</v>
          </cell>
          <cell r="G370">
            <v>4551</v>
          </cell>
          <cell r="H370">
            <v>6164.51</v>
          </cell>
          <cell r="I370">
            <v>16238.73</v>
          </cell>
          <cell r="J370">
            <v>91468</v>
          </cell>
          <cell r="K370" t="str">
            <v>MP</v>
          </cell>
        </row>
        <row r="371">
          <cell r="A371">
            <v>990186</v>
          </cell>
          <cell r="B371">
            <v>7567</v>
          </cell>
          <cell r="C371">
            <v>223</v>
          </cell>
          <cell r="D371">
            <v>15</v>
          </cell>
          <cell r="E371">
            <v>409</v>
          </cell>
          <cell r="F371">
            <v>241</v>
          </cell>
          <cell r="G371">
            <v>680</v>
          </cell>
          <cell r="H371">
            <v>1570.49</v>
          </cell>
          <cell r="I371">
            <v>3281.52</v>
          </cell>
          <cell r="J371">
            <v>90061</v>
          </cell>
          <cell r="K371" t="str">
            <v>MP</v>
          </cell>
        </row>
        <row r="372">
          <cell r="A372">
            <v>990188</v>
          </cell>
          <cell r="B372">
            <v>7568</v>
          </cell>
          <cell r="C372">
            <v>161</v>
          </cell>
          <cell r="D372">
            <v>2</v>
          </cell>
          <cell r="E372">
            <v>409</v>
          </cell>
          <cell r="F372">
            <v>150</v>
          </cell>
          <cell r="G372">
            <v>157</v>
          </cell>
          <cell r="H372">
            <v>882.11</v>
          </cell>
          <cell r="I372">
            <v>472.25</v>
          </cell>
          <cell r="J372">
            <v>91178</v>
          </cell>
          <cell r="K372" t="str">
            <v>MP</v>
          </cell>
        </row>
        <row r="373">
          <cell r="A373">
            <v>990197</v>
          </cell>
          <cell r="B373" t="str">
            <v xml:space="preserve"> 7299/7300/7301/7302</v>
          </cell>
          <cell r="C373">
            <v>1084</v>
          </cell>
          <cell r="D373">
            <v>516</v>
          </cell>
          <cell r="E373">
            <v>290</v>
          </cell>
          <cell r="F373">
            <v>2136</v>
          </cell>
          <cell r="G373">
            <v>13427</v>
          </cell>
          <cell r="H373">
            <v>17455.78</v>
          </cell>
          <cell r="I373">
            <v>82168.84</v>
          </cell>
          <cell r="J373">
            <v>91395</v>
          </cell>
          <cell r="K373" t="str">
            <v>MP</v>
          </cell>
        </row>
        <row r="374">
          <cell r="A374">
            <v>990202</v>
          </cell>
          <cell r="B374">
            <v>7569</v>
          </cell>
          <cell r="C374">
            <v>161</v>
          </cell>
          <cell r="D374">
            <v>26</v>
          </cell>
          <cell r="E374">
            <v>409</v>
          </cell>
          <cell r="F374">
            <v>379</v>
          </cell>
          <cell r="G374">
            <v>1172</v>
          </cell>
          <cell r="H374">
            <v>2149.56</v>
          </cell>
          <cell r="I374">
            <v>5812.32</v>
          </cell>
          <cell r="J374">
            <v>90061</v>
          </cell>
          <cell r="K374" t="str">
            <v>MP</v>
          </cell>
        </row>
        <row r="375">
          <cell r="A375">
            <v>990204</v>
          </cell>
          <cell r="C375">
            <v>236</v>
          </cell>
          <cell r="D375">
            <v>8</v>
          </cell>
          <cell r="E375">
            <v>290</v>
          </cell>
          <cell r="F375">
            <v>190</v>
          </cell>
          <cell r="G375">
            <v>525</v>
          </cell>
          <cell r="H375">
            <v>1250.51</v>
          </cell>
          <cell r="I375">
            <v>2383.4299999999998</v>
          </cell>
          <cell r="J375">
            <v>91162</v>
          </cell>
          <cell r="K375" t="str">
            <v>MP</v>
          </cell>
        </row>
        <row r="376">
          <cell r="A376">
            <v>990207</v>
          </cell>
          <cell r="B376">
            <v>7536</v>
          </cell>
          <cell r="C376">
            <v>131</v>
          </cell>
          <cell r="D376">
            <v>32</v>
          </cell>
          <cell r="E376">
            <v>290</v>
          </cell>
          <cell r="F376">
            <v>249</v>
          </cell>
          <cell r="G376">
            <v>994</v>
          </cell>
          <cell r="H376">
            <v>1698.11</v>
          </cell>
          <cell r="I376">
            <v>5074.51</v>
          </cell>
          <cell r="J376">
            <v>90379</v>
          </cell>
          <cell r="K376" t="str">
            <v>MP</v>
          </cell>
        </row>
        <row r="377">
          <cell r="A377">
            <v>990209</v>
          </cell>
          <cell r="B377">
            <v>7541</v>
          </cell>
          <cell r="C377">
            <v>142</v>
          </cell>
          <cell r="D377">
            <v>3</v>
          </cell>
          <cell r="E377">
            <v>290</v>
          </cell>
          <cell r="F377">
            <v>146</v>
          </cell>
          <cell r="G377">
            <v>121</v>
          </cell>
          <cell r="H377">
            <v>704.55</v>
          </cell>
          <cell r="I377">
            <v>462.64</v>
          </cell>
          <cell r="J377">
            <v>91162</v>
          </cell>
          <cell r="K377" t="str">
            <v>MP</v>
          </cell>
        </row>
        <row r="378">
          <cell r="A378">
            <v>990210</v>
          </cell>
          <cell r="B378">
            <v>7275</v>
          </cell>
          <cell r="C378">
            <v>114</v>
          </cell>
          <cell r="D378">
            <v>35</v>
          </cell>
          <cell r="E378">
            <v>290</v>
          </cell>
          <cell r="F378">
            <v>505</v>
          </cell>
          <cell r="G378">
            <v>1566</v>
          </cell>
          <cell r="H378">
            <v>2512.5100000000002</v>
          </cell>
          <cell r="I378">
            <v>11042.67</v>
          </cell>
          <cell r="J378">
            <v>90061</v>
          </cell>
          <cell r="K378" t="str">
            <v>MP</v>
          </cell>
        </row>
        <row r="379">
          <cell r="A379">
            <v>990211</v>
          </cell>
          <cell r="B379">
            <v>7542</v>
          </cell>
          <cell r="C379">
            <v>129</v>
          </cell>
          <cell r="D379">
            <v>20</v>
          </cell>
          <cell r="E379">
            <v>290</v>
          </cell>
          <cell r="F379">
            <v>287</v>
          </cell>
          <cell r="G379">
            <v>189</v>
          </cell>
          <cell r="H379">
            <v>917.29</v>
          </cell>
          <cell r="I379">
            <v>6171.51</v>
          </cell>
          <cell r="J379">
            <v>92166</v>
          </cell>
          <cell r="K379" t="str">
            <v>MP</v>
          </cell>
        </row>
        <row r="380">
          <cell r="A380">
            <v>990214</v>
          </cell>
          <cell r="C380">
            <v>117</v>
          </cell>
          <cell r="D380">
            <v>2</v>
          </cell>
          <cell r="E380">
            <v>290</v>
          </cell>
          <cell r="F380">
            <v>139</v>
          </cell>
          <cell r="G380">
            <v>59</v>
          </cell>
          <cell r="H380">
            <v>608.01</v>
          </cell>
          <cell r="I380">
            <v>210.56</v>
          </cell>
          <cell r="J380">
            <v>91799</v>
          </cell>
          <cell r="K380" t="str">
            <v>MP</v>
          </cell>
        </row>
        <row r="381">
          <cell r="A381">
            <v>990229</v>
          </cell>
          <cell r="B381">
            <v>7571</v>
          </cell>
          <cell r="C381">
            <v>187</v>
          </cell>
          <cell r="D381">
            <v>0</v>
          </cell>
          <cell r="E381">
            <v>409</v>
          </cell>
          <cell r="F381">
            <v>136</v>
          </cell>
          <cell r="G381">
            <v>38</v>
          </cell>
          <cell r="H381">
            <v>772.09</v>
          </cell>
          <cell r="I381">
            <v>9.09</v>
          </cell>
          <cell r="J381">
            <v>91591</v>
          </cell>
          <cell r="K381" t="str">
            <v>MP</v>
          </cell>
        </row>
        <row r="382">
          <cell r="A382">
            <v>990236</v>
          </cell>
          <cell r="B382">
            <v>7537</v>
          </cell>
          <cell r="C382">
            <v>114</v>
          </cell>
          <cell r="D382">
            <v>68</v>
          </cell>
          <cell r="E382">
            <v>290</v>
          </cell>
          <cell r="F382">
            <v>499</v>
          </cell>
          <cell r="G382">
            <v>1548</v>
          </cell>
          <cell r="H382">
            <v>2520.31</v>
          </cell>
          <cell r="I382">
            <v>10893.6</v>
          </cell>
          <cell r="J382">
            <v>91358</v>
          </cell>
          <cell r="K382" t="str">
            <v>MP</v>
          </cell>
        </row>
        <row r="383">
          <cell r="A383">
            <v>990237</v>
          </cell>
          <cell r="B383">
            <v>7609</v>
          </cell>
          <cell r="C383">
            <v>143</v>
          </cell>
          <cell r="D383">
            <v>40</v>
          </cell>
          <cell r="E383">
            <v>409</v>
          </cell>
          <cell r="F383">
            <v>422</v>
          </cell>
          <cell r="G383">
            <v>1256</v>
          </cell>
          <cell r="H383">
            <v>2272.41</v>
          </cell>
          <cell r="I383">
            <v>6439.33</v>
          </cell>
          <cell r="J383">
            <v>92063</v>
          </cell>
          <cell r="K383" t="str">
            <v>MP</v>
          </cell>
        </row>
        <row r="384">
          <cell r="A384">
            <v>990240</v>
          </cell>
          <cell r="B384">
            <v>7572</v>
          </cell>
          <cell r="C384">
            <v>158</v>
          </cell>
          <cell r="D384">
            <v>24</v>
          </cell>
          <cell r="E384">
            <v>409</v>
          </cell>
          <cell r="F384">
            <v>222</v>
          </cell>
          <cell r="G384">
            <v>840</v>
          </cell>
          <cell r="H384">
            <v>1654.92</v>
          </cell>
          <cell r="I384">
            <v>2705.47</v>
          </cell>
          <cell r="J384">
            <v>91981</v>
          </cell>
          <cell r="K384" t="str">
            <v>MP</v>
          </cell>
        </row>
        <row r="385">
          <cell r="A385">
            <v>990243</v>
          </cell>
          <cell r="B385">
            <v>7313</v>
          </cell>
          <cell r="C385">
            <v>478</v>
          </cell>
          <cell r="D385">
            <v>31</v>
          </cell>
          <cell r="E385">
            <v>130</v>
          </cell>
          <cell r="F385">
            <v>257</v>
          </cell>
          <cell r="G385">
            <v>971</v>
          </cell>
          <cell r="H385">
            <v>1868.96</v>
          </cell>
          <cell r="I385">
            <v>4535.8500000000004</v>
          </cell>
          <cell r="J385">
            <v>90642</v>
          </cell>
          <cell r="K385" t="str">
            <v>MP</v>
          </cell>
        </row>
        <row r="386">
          <cell r="A386">
            <v>990244</v>
          </cell>
          <cell r="B386">
            <v>7573</v>
          </cell>
          <cell r="C386">
            <v>477</v>
          </cell>
          <cell r="D386">
            <v>11</v>
          </cell>
          <cell r="E386">
            <v>409</v>
          </cell>
          <cell r="F386">
            <v>173</v>
          </cell>
          <cell r="G386">
            <v>346</v>
          </cell>
          <cell r="H386">
            <v>1417.7</v>
          </cell>
          <cell r="I386">
            <v>1028.6099999999999</v>
          </cell>
          <cell r="J386">
            <v>90338</v>
          </cell>
          <cell r="K386" t="str">
            <v>MP</v>
          </cell>
        </row>
        <row r="387">
          <cell r="A387">
            <v>990245</v>
          </cell>
          <cell r="B387">
            <v>7610</v>
          </cell>
          <cell r="C387">
            <v>693</v>
          </cell>
          <cell r="D387">
            <v>56</v>
          </cell>
          <cell r="E387">
            <v>422</v>
          </cell>
          <cell r="F387">
            <v>417</v>
          </cell>
          <cell r="G387">
            <v>1753</v>
          </cell>
          <cell r="H387">
            <v>3344.09</v>
          </cell>
          <cell r="I387">
            <v>5831.69</v>
          </cell>
          <cell r="J387">
            <v>91462</v>
          </cell>
          <cell r="K387" t="str">
            <v>MP</v>
          </cell>
        </row>
        <row r="388">
          <cell r="A388">
            <v>990252</v>
          </cell>
          <cell r="B388">
            <v>7511</v>
          </cell>
          <cell r="C388">
            <v>184</v>
          </cell>
          <cell r="D388">
            <v>75</v>
          </cell>
          <cell r="E388">
            <v>290</v>
          </cell>
          <cell r="F388">
            <v>529</v>
          </cell>
          <cell r="G388">
            <v>2312</v>
          </cell>
          <cell r="H388">
            <v>3391.72</v>
          </cell>
          <cell r="I388">
            <v>13004.01</v>
          </cell>
          <cell r="J388">
            <v>91462</v>
          </cell>
          <cell r="K388" t="str">
            <v>MP</v>
          </cell>
        </row>
        <row r="389">
          <cell r="A389">
            <v>990259</v>
          </cell>
          <cell r="B389">
            <v>7574</v>
          </cell>
          <cell r="C389">
            <v>166</v>
          </cell>
          <cell r="D389">
            <v>6</v>
          </cell>
          <cell r="E389">
            <v>409</v>
          </cell>
          <cell r="F389">
            <v>175</v>
          </cell>
          <cell r="G389">
            <v>449</v>
          </cell>
          <cell r="H389">
            <v>1206.6500000000001</v>
          </cell>
          <cell r="I389">
            <v>1377.35</v>
          </cell>
          <cell r="J389">
            <v>90121</v>
          </cell>
          <cell r="K389" t="str">
            <v>MP</v>
          </cell>
        </row>
        <row r="390">
          <cell r="A390">
            <v>990260</v>
          </cell>
          <cell r="B390">
            <v>7575</v>
          </cell>
          <cell r="C390">
            <v>488</v>
          </cell>
          <cell r="D390">
            <v>37</v>
          </cell>
          <cell r="E390">
            <v>409</v>
          </cell>
          <cell r="F390">
            <v>277</v>
          </cell>
          <cell r="G390">
            <v>954</v>
          </cell>
          <cell r="H390">
            <v>2167.63</v>
          </cell>
          <cell r="I390">
            <v>3869.17</v>
          </cell>
          <cell r="J390">
            <v>91552</v>
          </cell>
          <cell r="K390" t="str">
            <v>MP</v>
          </cell>
        </row>
        <row r="391">
          <cell r="A391">
            <v>990263</v>
          </cell>
          <cell r="B391">
            <v>7576</v>
          </cell>
          <cell r="C391">
            <v>166</v>
          </cell>
          <cell r="D391">
            <v>38</v>
          </cell>
          <cell r="E391">
            <v>409</v>
          </cell>
          <cell r="F391">
            <v>531</v>
          </cell>
          <cell r="G391">
            <v>1711</v>
          </cell>
          <cell r="H391">
            <v>2856.96</v>
          </cell>
          <cell r="I391">
            <v>8540.3700000000008</v>
          </cell>
          <cell r="J391">
            <v>90496</v>
          </cell>
          <cell r="K391" t="str">
            <v>MP</v>
          </cell>
        </row>
        <row r="392">
          <cell r="A392">
            <v>990264</v>
          </cell>
          <cell r="B392">
            <v>7577</v>
          </cell>
          <cell r="C392">
            <v>166</v>
          </cell>
          <cell r="D392">
            <v>10</v>
          </cell>
          <cell r="E392">
            <v>409</v>
          </cell>
          <cell r="F392">
            <v>209</v>
          </cell>
          <cell r="G392">
            <v>479</v>
          </cell>
          <cell r="H392">
            <v>1274.6300000000001</v>
          </cell>
          <cell r="I392">
            <v>2511.9499999999998</v>
          </cell>
          <cell r="J392">
            <v>90468</v>
          </cell>
          <cell r="K392" t="str">
            <v>MP</v>
          </cell>
        </row>
        <row r="393">
          <cell r="A393">
            <v>990267</v>
          </cell>
          <cell r="B393">
            <v>7440</v>
          </cell>
          <cell r="C393">
            <v>126</v>
          </cell>
          <cell r="D393">
            <v>22</v>
          </cell>
          <cell r="E393">
            <v>290</v>
          </cell>
          <cell r="F393">
            <v>314</v>
          </cell>
          <cell r="G393">
            <v>1314</v>
          </cell>
          <cell r="H393">
            <v>2067.9499999999998</v>
          </cell>
          <cell r="I393">
            <v>7388.08</v>
          </cell>
          <cell r="J393">
            <v>91468</v>
          </cell>
          <cell r="K393" t="str">
            <v>MP</v>
          </cell>
        </row>
        <row r="394">
          <cell r="A394">
            <v>990268</v>
          </cell>
          <cell r="B394">
            <v>7485</v>
          </cell>
          <cell r="C394">
            <v>106</v>
          </cell>
          <cell r="D394">
            <v>14</v>
          </cell>
          <cell r="E394">
            <v>290</v>
          </cell>
          <cell r="F394">
            <v>186</v>
          </cell>
          <cell r="G394">
            <v>339</v>
          </cell>
          <cell r="H394">
            <v>937.2</v>
          </cell>
          <cell r="I394">
            <v>2296.8000000000002</v>
          </cell>
          <cell r="J394">
            <v>90558</v>
          </cell>
          <cell r="K394" t="str">
            <v>MP</v>
          </cell>
        </row>
        <row r="395">
          <cell r="A395">
            <v>990274</v>
          </cell>
          <cell r="B395">
            <v>7512</v>
          </cell>
          <cell r="C395">
            <v>564</v>
          </cell>
          <cell r="D395">
            <v>49</v>
          </cell>
          <cell r="E395">
            <v>290</v>
          </cell>
          <cell r="F395">
            <v>366</v>
          </cell>
          <cell r="G395">
            <v>1535</v>
          </cell>
          <cell r="H395">
            <v>2806.69</v>
          </cell>
          <cell r="I395">
            <v>7483.36</v>
          </cell>
          <cell r="J395">
            <v>92090</v>
          </cell>
          <cell r="K395" t="str">
            <v>MP</v>
          </cell>
        </row>
        <row r="396">
          <cell r="A396">
            <v>990275</v>
          </cell>
          <cell r="B396">
            <v>7314</v>
          </cell>
          <cell r="C396">
            <v>248</v>
          </cell>
          <cell r="D396">
            <v>8</v>
          </cell>
          <cell r="E396">
            <v>130</v>
          </cell>
          <cell r="F396">
            <v>257</v>
          </cell>
          <cell r="G396">
            <v>250</v>
          </cell>
          <cell r="H396">
            <v>894.9</v>
          </cell>
          <cell r="I396">
            <v>1096.3800000000001</v>
          </cell>
          <cell r="J396">
            <v>91975</v>
          </cell>
          <cell r="K396" t="str">
            <v>MP</v>
          </cell>
        </row>
        <row r="397">
          <cell r="A397">
            <v>990276</v>
          </cell>
          <cell r="B397">
            <v>7315</v>
          </cell>
          <cell r="C397">
            <v>52</v>
          </cell>
          <cell r="D397">
            <v>7</v>
          </cell>
          <cell r="E397">
            <v>130</v>
          </cell>
          <cell r="F397">
            <v>257</v>
          </cell>
          <cell r="G397">
            <v>163</v>
          </cell>
          <cell r="H397">
            <v>610.9</v>
          </cell>
          <cell r="I397">
            <v>1114.03</v>
          </cell>
          <cell r="J397">
            <v>90118</v>
          </cell>
          <cell r="K397" t="str">
            <v>MP</v>
          </cell>
        </row>
        <row r="398">
          <cell r="A398">
            <v>990277</v>
          </cell>
          <cell r="B398">
            <v>7424</v>
          </cell>
          <cell r="C398">
            <v>248</v>
          </cell>
          <cell r="D398">
            <v>7</v>
          </cell>
          <cell r="E398">
            <v>130</v>
          </cell>
          <cell r="F398">
            <v>257</v>
          </cell>
          <cell r="G398">
            <v>215</v>
          </cell>
          <cell r="H398">
            <v>858.01</v>
          </cell>
          <cell r="I398">
            <v>903.65</v>
          </cell>
          <cell r="J398">
            <v>91975</v>
          </cell>
          <cell r="K398" t="str">
            <v>MP</v>
          </cell>
        </row>
        <row r="399">
          <cell r="A399">
            <v>990278</v>
          </cell>
          <cell r="B399">
            <v>7316</v>
          </cell>
          <cell r="C399">
            <v>134</v>
          </cell>
          <cell r="D399">
            <v>47</v>
          </cell>
          <cell r="E399">
            <v>130</v>
          </cell>
          <cell r="F399">
            <v>302</v>
          </cell>
          <cell r="G399">
            <v>1353</v>
          </cell>
          <cell r="H399">
            <v>1968.37</v>
          </cell>
          <cell r="I399">
            <v>7548.77</v>
          </cell>
          <cell r="J399">
            <v>91839</v>
          </cell>
          <cell r="K399" t="str">
            <v>MP</v>
          </cell>
        </row>
        <row r="400">
          <cell r="A400">
            <v>990283</v>
          </cell>
          <cell r="B400">
            <v>7543</v>
          </cell>
          <cell r="C400">
            <v>511</v>
          </cell>
          <cell r="D400">
            <v>13</v>
          </cell>
          <cell r="E400">
            <v>290</v>
          </cell>
          <cell r="F400">
            <v>182</v>
          </cell>
          <cell r="G400">
            <v>443</v>
          </cell>
          <cell r="H400">
            <v>1441.03</v>
          </cell>
          <cell r="I400">
            <v>1926.77</v>
          </cell>
          <cell r="J400">
            <v>91163</v>
          </cell>
          <cell r="K400" t="str">
            <v>MP</v>
          </cell>
        </row>
        <row r="401">
          <cell r="A401">
            <v>990284</v>
          </cell>
          <cell r="B401">
            <v>7578</v>
          </cell>
          <cell r="C401">
            <v>367</v>
          </cell>
          <cell r="D401">
            <v>50</v>
          </cell>
          <cell r="E401">
            <v>409</v>
          </cell>
          <cell r="F401">
            <v>373</v>
          </cell>
          <cell r="G401">
            <v>1566</v>
          </cell>
          <cell r="H401">
            <v>2767.04</v>
          </cell>
          <cell r="I401">
            <v>6032.59</v>
          </cell>
          <cell r="J401">
            <v>90338</v>
          </cell>
          <cell r="K401" t="str">
            <v>MP</v>
          </cell>
        </row>
        <row r="402">
          <cell r="A402">
            <v>990286</v>
          </cell>
          <cell r="B402">
            <v>7579</v>
          </cell>
          <cell r="C402">
            <v>179</v>
          </cell>
          <cell r="D402">
            <v>17</v>
          </cell>
          <cell r="E402">
            <v>409</v>
          </cell>
          <cell r="F402">
            <v>196</v>
          </cell>
          <cell r="G402">
            <v>403</v>
          </cell>
          <cell r="H402">
            <v>1206.1400000000001</v>
          </cell>
          <cell r="I402">
            <v>2077.2399999999998</v>
          </cell>
          <cell r="J402">
            <v>91468</v>
          </cell>
          <cell r="K402" t="str">
            <v>MP</v>
          </cell>
        </row>
        <row r="403">
          <cell r="A403">
            <v>990299</v>
          </cell>
          <cell r="B403">
            <v>7580</v>
          </cell>
          <cell r="C403">
            <v>179</v>
          </cell>
          <cell r="D403">
            <v>1</v>
          </cell>
          <cell r="E403">
            <v>409</v>
          </cell>
          <cell r="F403">
            <v>138</v>
          </cell>
          <cell r="G403">
            <v>57</v>
          </cell>
          <cell r="H403">
            <v>785.85</v>
          </cell>
          <cell r="I403">
            <v>92.35</v>
          </cell>
          <cell r="J403">
            <v>90390</v>
          </cell>
          <cell r="K403" t="str">
            <v>MP</v>
          </cell>
        </row>
        <row r="404">
          <cell r="A404">
            <v>990312</v>
          </cell>
          <cell r="B404">
            <v>7538</v>
          </cell>
          <cell r="C404">
            <v>190</v>
          </cell>
          <cell r="D404">
            <v>5</v>
          </cell>
          <cell r="E404">
            <v>290</v>
          </cell>
          <cell r="F404">
            <v>151</v>
          </cell>
          <cell r="G404">
            <v>165</v>
          </cell>
          <cell r="H404">
            <v>802.78</v>
          </cell>
          <cell r="I404">
            <v>736.23</v>
          </cell>
          <cell r="J404">
            <v>91913</v>
          </cell>
          <cell r="K404" t="str">
            <v>MP</v>
          </cell>
        </row>
        <row r="405">
          <cell r="A405">
            <v>990313</v>
          </cell>
          <cell r="B405">
            <v>7581</v>
          </cell>
          <cell r="C405">
            <v>489</v>
          </cell>
          <cell r="D405">
            <v>11</v>
          </cell>
          <cell r="E405">
            <v>409</v>
          </cell>
          <cell r="F405">
            <v>173</v>
          </cell>
          <cell r="G405">
            <v>383</v>
          </cell>
          <cell r="H405">
            <v>1466.59</v>
          </cell>
          <cell r="I405">
            <v>1010.48</v>
          </cell>
          <cell r="J405">
            <v>91351</v>
          </cell>
          <cell r="K405" t="str">
            <v>MP</v>
          </cell>
        </row>
        <row r="406">
          <cell r="A406">
            <v>990314</v>
          </cell>
          <cell r="B406">
            <v>7582</v>
          </cell>
          <cell r="C406">
            <v>884</v>
          </cell>
          <cell r="D406">
            <v>26</v>
          </cell>
          <cell r="E406">
            <v>409</v>
          </cell>
          <cell r="F406">
            <v>228</v>
          </cell>
          <cell r="G406">
            <v>731</v>
          </cell>
          <cell r="H406">
            <v>2279.61</v>
          </cell>
          <cell r="I406">
            <v>2566.54</v>
          </cell>
          <cell r="J406">
            <v>91553</v>
          </cell>
          <cell r="K406" t="str">
            <v>MP</v>
          </cell>
        </row>
        <row r="407">
          <cell r="A407">
            <v>990317</v>
          </cell>
          <cell r="B407">
            <v>7583</v>
          </cell>
          <cell r="C407">
            <v>1767</v>
          </cell>
          <cell r="D407">
            <v>38</v>
          </cell>
          <cell r="E407">
            <v>409</v>
          </cell>
          <cell r="F407">
            <v>283</v>
          </cell>
          <cell r="G407">
            <v>1304</v>
          </cell>
          <cell r="H407">
            <v>3802.84</v>
          </cell>
          <cell r="I407">
            <v>3719.54</v>
          </cell>
          <cell r="J407">
            <v>91064</v>
          </cell>
          <cell r="K407" t="str">
            <v>MP</v>
          </cell>
        </row>
        <row r="408">
          <cell r="A408">
            <v>990319</v>
          </cell>
          <cell r="B408">
            <v>7513</v>
          </cell>
          <cell r="C408">
            <v>244</v>
          </cell>
          <cell r="D408">
            <v>98</v>
          </cell>
          <cell r="E408">
            <v>290</v>
          </cell>
          <cell r="F408">
            <v>613</v>
          </cell>
          <cell r="G408">
            <v>3047</v>
          </cell>
          <cell r="H408">
            <v>4293.1000000000004</v>
          </cell>
          <cell r="I408">
            <v>16955.64</v>
          </cell>
          <cell r="J408">
            <v>91462</v>
          </cell>
          <cell r="K408" t="str">
            <v>MP</v>
          </cell>
        </row>
        <row r="409">
          <cell r="A409">
            <v>990325</v>
          </cell>
          <cell r="B409">
            <v>7634</v>
          </cell>
          <cell r="C409">
            <v>281</v>
          </cell>
          <cell r="D409">
            <v>15</v>
          </cell>
          <cell r="E409">
            <v>422</v>
          </cell>
          <cell r="F409">
            <v>189</v>
          </cell>
          <cell r="G409">
            <v>483</v>
          </cell>
          <cell r="H409">
            <v>1392.59</v>
          </cell>
          <cell r="I409">
            <v>1543.63</v>
          </cell>
          <cell r="J409">
            <v>90424</v>
          </cell>
          <cell r="K409" t="str">
            <v>MP</v>
          </cell>
        </row>
        <row r="410">
          <cell r="A410">
            <v>990326</v>
          </cell>
          <cell r="B410">
            <v>7635</v>
          </cell>
          <cell r="C410">
            <v>281</v>
          </cell>
          <cell r="D410">
            <v>17</v>
          </cell>
          <cell r="E410">
            <v>422</v>
          </cell>
          <cell r="F410">
            <v>196</v>
          </cell>
          <cell r="G410">
            <v>544</v>
          </cell>
          <cell r="H410">
            <v>1463.21</v>
          </cell>
          <cell r="I410">
            <v>1938.94</v>
          </cell>
          <cell r="J410">
            <v>90424</v>
          </cell>
          <cell r="K410" t="str">
            <v>MP</v>
          </cell>
        </row>
        <row r="411">
          <cell r="A411">
            <v>990328</v>
          </cell>
          <cell r="B411">
            <v>7584</v>
          </cell>
          <cell r="C411">
            <v>187</v>
          </cell>
          <cell r="D411">
            <v>3</v>
          </cell>
          <cell r="E411">
            <v>409</v>
          </cell>
          <cell r="F411">
            <v>155</v>
          </cell>
          <cell r="G411">
            <v>199</v>
          </cell>
          <cell r="H411">
            <v>955.67</v>
          </cell>
          <cell r="I411">
            <v>666.3</v>
          </cell>
          <cell r="J411">
            <v>91591</v>
          </cell>
          <cell r="K411" t="str">
            <v>MP</v>
          </cell>
        </row>
        <row r="412">
          <cell r="A412">
            <v>990330</v>
          </cell>
          <cell r="B412">
            <v>7585</v>
          </cell>
          <cell r="C412">
            <v>302</v>
          </cell>
          <cell r="D412">
            <v>14</v>
          </cell>
          <cell r="E412">
            <v>409</v>
          </cell>
          <cell r="F412">
            <v>185</v>
          </cell>
          <cell r="G412">
            <v>331</v>
          </cell>
          <cell r="H412">
            <v>1243.1500000000001</v>
          </cell>
          <cell r="I412">
            <v>1763.48</v>
          </cell>
          <cell r="J412">
            <v>90061</v>
          </cell>
          <cell r="K412" t="str">
            <v>MP</v>
          </cell>
        </row>
        <row r="413">
          <cell r="A413">
            <v>990333</v>
          </cell>
          <cell r="B413">
            <v>7586</v>
          </cell>
          <cell r="C413">
            <v>179</v>
          </cell>
          <cell r="D413">
            <v>45</v>
          </cell>
          <cell r="E413">
            <v>409</v>
          </cell>
          <cell r="F413">
            <v>335</v>
          </cell>
          <cell r="G413">
            <v>1033</v>
          </cell>
          <cell r="H413">
            <v>2003.28</v>
          </cell>
          <cell r="I413">
            <v>6156.78</v>
          </cell>
          <cell r="J413">
            <v>92360</v>
          </cell>
          <cell r="K413" t="str">
            <v>MP</v>
          </cell>
        </row>
        <row r="414">
          <cell r="A414">
            <v>990337</v>
          </cell>
          <cell r="B414">
            <v>7636</v>
          </cell>
          <cell r="C414">
            <v>248</v>
          </cell>
          <cell r="D414">
            <v>20</v>
          </cell>
          <cell r="E414">
            <v>422</v>
          </cell>
          <cell r="F414">
            <v>205</v>
          </cell>
          <cell r="G414">
            <v>424</v>
          </cell>
          <cell r="H414">
            <v>1291.83</v>
          </cell>
          <cell r="I414">
            <v>2517.6</v>
          </cell>
          <cell r="J414">
            <v>92109</v>
          </cell>
          <cell r="K414" t="str">
            <v>MP</v>
          </cell>
        </row>
        <row r="415">
          <cell r="A415">
            <v>990341</v>
          </cell>
          <cell r="B415">
            <v>7611</v>
          </cell>
          <cell r="C415">
            <v>177</v>
          </cell>
          <cell r="D415">
            <v>51</v>
          </cell>
          <cell r="E415">
            <v>422</v>
          </cell>
          <cell r="F415">
            <v>374</v>
          </cell>
          <cell r="G415">
            <v>1155</v>
          </cell>
          <cell r="H415">
            <v>2180.23</v>
          </cell>
          <cell r="I415">
            <v>6670.86</v>
          </cell>
          <cell r="J415">
            <v>90605</v>
          </cell>
          <cell r="K415" t="str">
            <v>MP</v>
          </cell>
        </row>
        <row r="416">
          <cell r="A416">
            <v>990342</v>
          </cell>
          <cell r="B416">
            <v>7587</v>
          </cell>
          <cell r="C416">
            <v>171</v>
          </cell>
          <cell r="D416">
            <v>2</v>
          </cell>
          <cell r="E416">
            <v>409</v>
          </cell>
          <cell r="F416">
            <v>139</v>
          </cell>
          <cell r="G416">
            <v>61</v>
          </cell>
          <cell r="H416">
            <v>784.48</v>
          </cell>
          <cell r="I416">
            <v>130.38999999999999</v>
          </cell>
          <cell r="J416">
            <v>91462</v>
          </cell>
          <cell r="K416" t="str">
            <v>MP</v>
          </cell>
        </row>
        <row r="417">
          <cell r="A417">
            <v>990343</v>
          </cell>
          <cell r="B417">
            <v>7612</v>
          </cell>
          <cell r="C417">
            <v>218</v>
          </cell>
          <cell r="D417">
            <v>48</v>
          </cell>
          <cell r="E417">
            <v>422</v>
          </cell>
          <cell r="F417">
            <v>356</v>
          </cell>
          <cell r="G417">
            <v>1099</v>
          </cell>
          <cell r="H417">
            <v>2145.9299999999998</v>
          </cell>
          <cell r="I417">
            <v>6307</v>
          </cell>
          <cell r="J417">
            <v>90605</v>
          </cell>
          <cell r="K417" t="str">
            <v>MP</v>
          </cell>
        </row>
        <row r="418">
          <cell r="A418">
            <v>990346</v>
          </cell>
          <cell r="B418">
            <v>7588</v>
          </cell>
          <cell r="C418">
            <v>179</v>
          </cell>
          <cell r="D418">
            <v>31</v>
          </cell>
          <cell r="E418">
            <v>409</v>
          </cell>
          <cell r="F418">
            <v>447</v>
          </cell>
          <cell r="G418">
            <v>296</v>
          </cell>
          <cell r="H418">
            <v>1363.91</v>
          </cell>
          <cell r="I418">
            <v>8738.11</v>
          </cell>
          <cell r="J418">
            <v>91974</v>
          </cell>
          <cell r="K418" t="str">
            <v>MP</v>
          </cell>
        </row>
        <row r="419">
          <cell r="A419">
            <v>990348</v>
          </cell>
          <cell r="B419">
            <v>7589</v>
          </cell>
          <cell r="C419">
            <v>161</v>
          </cell>
          <cell r="D419">
            <v>23</v>
          </cell>
          <cell r="E419">
            <v>409</v>
          </cell>
          <cell r="F419">
            <v>333</v>
          </cell>
          <cell r="G419">
            <v>1027</v>
          </cell>
          <cell r="H419">
            <v>1955.59</v>
          </cell>
          <cell r="I419">
            <v>4695.9399999999996</v>
          </cell>
          <cell r="J419">
            <v>91147</v>
          </cell>
          <cell r="K419" t="str">
            <v>MP</v>
          </cell>
        </row>
        <row r="420">
          <cell r="A420">
            <v>990352</v>
          </cell>
          <cell r="B420">
            <v>7486</v>
          </cell>
          <cell r="C420">
            <v>617</v>
          </cell>
          <cell r="D420">
            <v>124</v>
          </cell>
          <cell r="E420">
            <v>290</v>
          </cell>
          <cell r="F420">
            <v>707</v>
          </cell>
          <cell r="G420">
            <v>2810</v>
          </cell>
          <cell r="H420">
            <v>4550</v>
          </cell>
          <cell r="I420">
            <v>23454.400000000001</v>
          </cell>
          <cell r="J420">
            <v>92162</v>
          </cell>
          <cell r="K420" t="str">
            <v>MP</v>
          </cell>
        </row>
        <row r="421">
          <cell r="A421">
            <v>990361</v>
          </cell>
          <cell r="B421">
            <v>7590</v>
          </cell>
          <cell r="C421">
            <v>168</v>
          </cell>
          <cell r="D421">
            <v>37</v>
          </cell>
          <cell r="E421">
            <v>409</v>
          </cell>
          <cell r="F421">
            <v>519</v>
          </cell>
          <cell r="G421">
            <v>350</v>
          </cell>
          <cell r="H421">
            <v>1484.86</v>
          </cell>
          <cell r="I421">
            <v>8164.74</v>
          </cell>
          <cell r="J421">
            <v>90061</v>
          </cell>
          <cell r="K421" t="str">
            <v>MP</v>
          </cell>
        </row>
        <row r="422">
          <cell r="A422">
            <v>990367</v>
          </cell>
          <cell r="B422">
            <v>7591</v>
          </cell>
          <cell r="C422">
            <v>179</v>
          </cell>
          <cell r="D422">
            <v>6</v>
          </cell>
          <cell r="E422">
            <v>409</v>
          </cell>
          <cell r="F422">
            <v>156</v>
          </cell>
          <cell r="G422">
            <v>152</v>
          </cell>
          <cell r="H422">
            <v>903.34</v>
          </cell>
          <cell r="I422">
            <v>812.28</v>
          </cell>
          <cell r="J422">
            <v>90061</v>
          </cell>
          <cell r="K422" t="str">
            <v>MP</v>
          </cell>
        </row>
        <row r="423">
          <cell r="A423">
            <v>990368</v>
          </cell>
          <cell r="B423">
            <v>7637</v>
          </cell>
          <cell r="C423">
            <v>167</v>
          </cell>
          <cell r="D423">
            <v>6</v>
          </cell>
          <cell r="E423">
            <v>422</v>
          </cell>
          <cell r="F423">
            <v>176</v>
          </cell>
          <cell r="G423">
            <v>273</v>
          </cell>
          <cell r="H423">
            <v>1045.6500000000001</v>
          </cell>
          <cell r="I423">
            <v>1482.76</v>
          </cell>
          <cell r="J423">
            <v>90061</v>
          </cell>
          <cell r="K423" t="str">
            <v>MP</v>
          </cell>
        </row>
        <row r="424">
          <cell r="A424">
            <v>990379</v>
          </cell>
          <cell r="B424">
            <v>7613</v>
          </cell>
          <cell r="C424">
            <v>212</v>
          </cell>
          <cell r="D424">
            <v>62</v>
          </cell>
          <cell r="E424">
            <v>409</v>
          </cell>
          <cell r="F424">
            <v>454</v>
          </cell>
          <cell r="G424">
            <v>1406</v>
          </cell>
          <cell r="H424">
            <v>2544.17</v>
          </cell>
          <cell r="I424">
            <v>14860.94</v>
          </cell>
          <cell r="J424">
            <v>90605</v>
          </cell>
          <cell r="K424" t="str">
            <v>MP</v>
          </cell>
        </row>
        <row r="425">
          <cell r="A425">
            <v>990387</v>
          </cell>
          <cell r="B425">
            <v>7638</v>
          </cell>
          <cell r="C425">
            <v>199</v>
          </cell>
          <cell r="D425">
            <v>43</v>
          </cell>
          <cell r="E425">
            <v>422</v>
          </cell>
          <cell r="F425">
            <v>318</v>
          </cell>
          <cell r="G425">
            <v>1470</v>
          </cell>
          <cell r="H425">
            <v>2454.9699999999998</v>
          </cell>
          <cell r="I425">
            <v>4649.8599999999997</v>
          </cell>
          <cell r="J425">
            <v>90639</v>
          </cell>
          <cell r="K425" t="str">
            <v>MP</v>
          </cell>
        </row>
        <row r="426">
          <cell r="A426">
            <v>990418</v>
          </cell>
          <cell r="B426">
            <v>7592</v>
          </cell>
          <cell r="C426">
            <v>1020</v>
          </cell>
          <cell r="D426">
            <v>52</v>
          </cell>
          <cell r="E426">
            <v>409</v>
          </cell>
          <cell r="F426">
            <v>387</v>
          </cell>
          <cell r="G426">
            <v>1459</v>
          </cell>
          <cell r="H426">
            <v>3329.69</v>
          </cell>
          <cell r="I426">
            <v>6808.99</v>
          </cell>
          <cell r="J426">
            <v>91553</v>
          </cell>
          <cell r="K426" t="str">
            <v>MP</v>
          </cell>
        </row>
        <row r="427">
          <cell r="A427">
            <v>990425</v>
          </cell>
          <cell r="B427">
            <v>7614</v>
          </cell>
          <cell r="C427">
            <v>171</v>
          </cell>
          <cell r="D427">
            <v>21</v>
          </cell>
          <cell r="E427">
            <v>422</v>
          </cell>
          <cell r="F427">
            <v>300</v>
          </cell>
          <cell r="G427">
            <v>923</v>
          </cell>
          <cell r="H427">
            <v>1839.68</v>
          </cell>
          <cell r="I427">
            <v>5668.63</v>
          </cell>
          <cell r="J427">
            <v>91919</v>
          </cell>
          <cell r="K427" t="str">
            <v>MP</v>
          </cell>
        </row>
        <row r="428">
          <cell r="A428">
            <v>990426</v>
          </cell>
          <cell r="B428">
            <v>7593</v>
          </cell>
          <cell r="C428">
            <v>586</v>
          </cell>
          <cell r="D428">
            <v>74</v>
          </cell>
          <cell r="E428">
            <v>409</v>
          </cell>
          <cell r="F428">
            <v>525</v>
          </cell>
          <cell r="G428">
            <v>2519</v>
          </cell>
          <cell r="H428">
            <v>4114.33</v>
          </cell>
          <cell r="I428">
            <v>7912.45</v>
          </cell>
          <cell r="J428">
            <v>92105</v>
          </cell>
          <cell r="K428" t="str">
            <v>MP</v>
          </cell>
        </row>
        <row r="429">
          <cell r="A429">
            <v>990430</v>
          </cell>
          <cell r="B429">
            <v>7594</v>
          </cell>
          <cell r="C429">
            <v>458</v>
          </cell>
          <cell r="D429">
            <v>73</v>
          </cell>
          <cell r="E429">
            <v>409</v>
          </cell>
          <cell r="F429">
            <v>523</v>
          </cell>
          <cell r="G429">
            <v>2492</v>
          </cell>
          <cell r="H429">
            <v>3956.15</v>
          </cell>
          <cell r="I429">
            <v>7912.45</v>
          </cell>
          <cell r="J429">
            <v>92105</v>
          </cell>
          <cell r="K429" t="str">
            <v>MP</v>
          </cell>
        </row>
        <row r="430">
          <cell r="A430">
            <v>990434</v>
          </cell>
          <cell r="B430">
            <v>7639</v>
          </cell>
          <cell r="C430">
            <v>194</v>
          </cell>
          <cell r="D430">
            <v>16</v>
          </cell>
          <cell r="E430">
            <v>422</v>
          </cell>
          <cell r="F430">
            <v>248</v>
          </cell>
          <cell r="G430">
            <v>986</v>
          </cell>
          <cell r="H430">
            <v>1869.34</v>
          </cell>
          <cell r="I430">
            <v>3428.26</v>
          </cell>
          <cell r="J430">
            <v>92199</v>
          </cell>
          <cell r="K430" t="str">
            <v>MP</v>
          </cell>
        </row>
        <row r="431">
          <cell r="A431">
            <v>990439</v>
          </cell>
          <cell r="B431">
            <v>7615</v>
          </cell>
          <cell r="C431">
            <v>5948</v>
          </cell>
          <cell r="D431">
            <v>280</v>
          </cell>
          <cell r="E431">
            <v>422</v>
          </cell>
          <cell r="F431">
            <v>1275</v>
          </cell>
          <cell r="G431">
            <v>8162</v>
          </cell>
          <cell r="H431">
            <v>16089.83</v>
          </cell>
          <cell r="I431">
            <v>31878.13</v>
          </cell>
          <cell r="J431">
            <v>92158</v>
          </cell>
          <cell r="K431" t="str">
            <v>MP</v>
          </cell>
        </row>
        <row r="432">
          <cell r="A432">
            <v>990529</v>
          </cell>
          <cell r="B432">
            <v>7595</v>
          </cell>
          <cell r="C432">
            <v>127</v>
          </cell>
          <cell r="D432">
            <v>31</v>
          </cell>
          <cell r="E432">
            <v>409</v>
          </cell>
          <cell r="F432">
            <v>248</v>
          </cell>
          <cell r="G432">
            <v>726</v>
          </cell>
          <cell r="H432">
            <v>1543.89</v>
          </cell>
          <cell r="I432">
            <v>4541.3599999999997</v>
          </cell>
          <cell r="J432">
            <v>91919</v>
          </cell>
          <cell r="K432" t="str">
            <v>MP</v>
          </cell>
        </row>
        <row r="435">
          <cell r="A435" t="str">
            <v>TOTAIS</v>
          </cell>
          <cell r="C435">
            <v>206990.51</v>
          </cell>
          <cell r="D435">
            <v>46553.97</v>
          </cell>
          <cell r="E435">
            <v>131263.81</v>
          </cell>
          <cell r="F435">
            <v>289397.2</v>
          </cell>
          <cell r="G435">
            <v>1289054.06</v>
          </cell>
          <cell r="H435">
            <v>1964155.9499999981</v>
          </cell>
          <cell r="I435">
            <v>9090042.6199999936</v>
          </cell>
        </row>
        <row r="438">
          <cell r="A438" t="str">
            <v>ATIVO FIXO - LOCAL 91</v>
          </cell>
        </row>
        <row r="439">
          <cell r="A439" t="str">
            <v>PROC</v>
          </cell>
          <cell r="B439" t="str">
            <v>NF</v>
          </cell>
          <cell r="C439" t="str">
            <v>FRETE</v>
          </cell>
          <cell r="D439" t="str">
            <v>SEG</v>
          </cell>
          <cell r="E439" t="str">
            <v>COM</v>
          </cell>
          <cell r="F439" t="str">
            <v>ALF</v>
          </cell>
          <cell r="G439" t="str">
            <v>IMP</v>
          </cell>
          <cell r="H439" t="str">
            <v>TOTAL</v>
          </cell>
          <cell r="I439" t="str">
            <v>FOB</v>
          </cell>
          <cell r="J439" t="str">
            <v>FORN</v>
          </cell>
          <cell r="K439" t="str">
            <v>TIPO</v>
          </cell>
          <cell r="L439" t="str">
            <v>ICMS</v>
          </cell>
          <cell r="N439" t="str">
            <v>IPI</v>
          </cell>
        </row>
        <row r="440">
          <cell r="A440">
            <v>984251</v>
          </cell>
          <cell r="B440">
            <v>7220</v>
          </cell>
          <cell r="C440">
            <v>162</v>
          </cell>
          <cell r="D440">
            <v>57</v>
          </cell>
          <cell r="E440">
            <v>290</v>
          </cell>
          <cell r="F440">
            <v>422</v>
          </cell>
          <cell r="G440">
            <v>280</v>
          </cell>
          <cell r="H440">
            <v>2655.9</v>
          </cell>
          <cell r="I440">
            <v>9180.25</v>
          </cell>
          <cell r="J440">
            <v>91531</v>
          </cell>
          <cell r="K440" t="str">
            <v>AF</v>
          </cell>
          <cell r="L440">
            <v>0</v>
          </cell>
          <cell r="N440">
            <v>1442</v>
          </cell>
        </row>
        <row r="441">
          <cell r="A441">
            <v>984590</v>
          </cell>
          <cell r="B441">
            <v>7247</v>
          </cell>
          <cell r="C441">
            <v>16306</v>
          </cell>
          <cell r="D441">
            <v>1142</v>
          </cell>
          <cell r="E441">
            <v>290</v>
          </cell>
          <cell r="F441">
            <v>2598</v>
          </cell>
          <cell r="G441">
            <v>35228</v>
          </cell>
          <cell r="H441">
            <v>73217.95</v>
          </cell>
          <cell r="I441">
            <v>166975.89000000001</v>
          </cell>
          <cell r="J441">
            <v>91952</v>
          </cell>
          <cell r="K441" t="str">
            <v>AF</v>
          </cell>
          <cell r="L441">
            <v>0</v>
          </cell>
          <cell r="N441">
            <v>17651</v>
          </cell>
        </row>
        <row r="442">
          <cell r="A442">
            <v>984670</v>
          </cell>
          <cell r="C442">
            <v>93568</v>
          </cell>
          <cell r="D442">
            <v>10193</v>
          </cell>
          <cell r="E442">
            <v>290</v>
          </cell>
          <cell r="F442">
            <v>37241</v>
          </cell>
          <cell r="G442">
            <v>82447</v>
          </cell>
          <cell r="H442">
            <v>362251.13</v>
          </cell>
          <cell r="I442">
            <v>1493768.81</v>
          </cell>
          <cell r="J442">
            <v>91953</v>
          </cell>
          <cell r="K442" t="str">
            <v>AF</v>
          </cell>
          <cell r="L442">
            <v>0</v>
          </cell>
          <cell r="N442">
            <v>138511</v>
          </cell>
        </row>
        <row r="443">
          <cell r="A443">
            <v>984981</v>
          </cell>
          <cell r="C443">
            <v>822</v>
          </cell>
          <cell r="D443">
            <v>252</v>
          </cell>
          <cell r="E443">
            <v>290</v>
          </cell>
          <cell r="F443">
            <v>1173</v>
          </cell>
          <cell r="G443">
            <v>7751</v>
          </cell>
          <cell r="H443">
            <v>14174.14</v>
          </cell>
          <cell r="I443">
            <v>39472.61</v>
          </cell>
          <cell r="J443">
            <v>91953</v>
          </cell>
          <cell r="K443" t="str">
            <v>AF</v>
          </cell>
          <cell r="L443">
            <v>0</v>
          </cell>
          <cell r="N443">
            <v>3883</v>
          </cell>
        </row>
        <row r="444">
          <cell r="A444">
            <v>985069</v>
          </cell>
          <cell r="B444">
            <v>7555</v>
          </cell>
          <cell r="C444">
            <v>449</v>
          </cell>
          <cell r="D444">
            <v>4</v>
          </cell>
          <cell r="E444">
            <v>290</v>
          </cell>
          <cell r="F444">
            <v>318</v>
          </cell>
          <cell r="G444">
            <v>1330</v>
          </cell>
          <cell r="H444">
            <v>3643.81</v>
          </cell>
          <cell r="I444">
            <v>6593.69</v>
          </cell>
          <cell r="J444">
            <v>91700</v>
          </cell>
          <cell r="K444" t="str">
            <v>AF</v>
          </cell>
          <cell r="L444">
            <v>0</v>
          </cell>
          <cell r="N444">
            <v>1250</v>
          </cell>
        </row>
        <row r="445">
          <cell r="A445">
            <v>985141</v>
          </cell>
          <cell r="B445">
            <v>7204</v>
          </cell>
          <cell r="C445">
            <v>55111</v>
          </cell>
          <cell r="D445">
            <v>5873</v>
          </cell>
          <cell r="E445">
            <v>290</v>
          </cell>
          <cell r="F445">
            <v>21561</v>
          </cell>
          <cell r="G445">
            <v>47507</v>
          </cell>
          <cell r="H445">
            <v>210157.08</v>
          </cell>
          <cell r="I445">
            <v>859586.67</v>
          </cell>
          <cell r="J445">
            <v>91953</v>
          </cell>
          <cell r="K445" t="str">
            <v>AF</v>
          </cell>
          <cell r="L445">
            <v>0</v>
          </cell>
          <cell r="N445">
            <v>79813</v>
          </cell>
        </row>
        <row r="446">
          <cell r="A446">
            <v>990055</v>
          </cell>
          <cell r="B446">
            <v>7434</v>
          </cell>
          <cell r="C446">
            <v>65288</v>
          </cell>
          <cell r="D446">
            <v>3528</v>
          </cell>
          <cell r="E446">
            <v>290</v>
          </cell>
          <cell r="F446">
            <v>13141</v>
          </cell>
          <cell r="G446">
            <v>28635</v>
          </cell>
          <cell r="H446">
            <v>158992.09</v>
          </cell>
          <cell r="I446">
            <v>503846.6</v>
          </cell>
          <cell r="J446">
            <v>91952</v>
          </cell>
          <cell r="K446" t="str">
            <v>AF</v>
          </cell>
          <cell r="L446">
            <v>0</v>
          </cell>
          <cell r="N446">
            <v>48107</v>
          </cell>
        </row>
        <row r="447">
          <cell r="A447">
            <v>990057</v>
          </cell>
          <cell r="B447">
            <v>7435</v>
          </cell>
          <cell r="C447">
            <v>661</v>
          </cell>
          <cell r="D447">
            <v>74</v>
          </cell>
          <cell r="E447">
            <v>290</v>
          </cell>
          <cell r="F447">
            <v>778</v>
          </cell>
          <cell r="G447">
            <v>4407</v>
          </cell>
          <cell r="H447">
            <v>8419.84</v>
          </cell>
          <cell r="I447">
            <v>22453</v>
          </cell>
          <cell r="J447">
            <v>92270</v>
          </cell>
          <cell r="K447" t="str">
            <v>AF</v>
          </cell>
          <cell r="L447">
            <v>0</v>
          </cell>
          <cell r="N447">
            <v>2208</v>
          </cell>
        </row>
        <row r="449">
          <cell r="H449">
            <v>0</v>
          </cell>
        </row>
        <row r="450">
          <cell r="A450" t="str">
            <v>TOTAIS</v>
          </cell>
          <cell r="C450">
            <v>232367</v>
          </cell>
          <cell r="D450">
            <v>21123</v>
          </cell>
          <cell r="E450">
            <v>2320</v>
          </cell>
          <cell r="F450">
            <v>77232</v>
          </cell>
          <cell r="G450">
            <v>207585</v>
          </cell>
          <cell r="H450">
            <v>833511.94</v>
          </cell>
          <cell r="I450">
            <v>3101877.5200000005</v>
          </cell>
          <cell r="L450">
            <v>0</v>
          </cell>
          <cell r="N450">
            <v>292865</v>
          </cell>
        </row>
        <row r="453">
          <cell r="A453" t="str">
            <v>MATERIAL DE CONSUMO - LOCAL 91</v>
          </cell>
        </row>
        <row r="454">
          <cell r="A454" t="str">
            <v>PROC</v>
          </cell>
          <cell r="B454" t="str">
            <v>NF</v>
          </cell>
          <cell r="C454" t="str">
            <v>FRETE</v>
          </cell>
          <cell r="D454" t="str">
            <v>SEG</v>
          </cell>
          <cell r="E454" t="str">
            <v>COM</v>
          </cell>
          <cell r="F454" t="str">
            <v>ALF</v>
          </cell>
          <cell r="G454" t="str">
            <v>IMP</v>
          </cell>
          <cell r="H454" t="str">
            <v>TOTAL</v>
          </cell>
          <cell r="I454" t="str">
            <v>FOB</v>
          </cell>
          <cell r="J454" t="str">
            <v>FORN</v>
          </cell>
          <cell r="K454" t="str">
            <v>TIPO</v>
          </cell>
          <cell r="L454" t="str">
            <v>DESP</v>
          </cell>
          <cell r="M454" t="str">
            <v>CC</v>
          </cell>
          <cell r="N454" t="str">
            <v>IPI</v>
          </cell>
          <cell r="O454" t="str">
            <v>ICMS</v>
          </cell>
        </row>
        <row r="455">
          <cell r="A455">
            <v>983756</v>
          </cell>
          <cell r="C455">
            <v>182</v>
          </cell>
          <cell r="D455">
            <v>16</v>
          </cell>
          <cell r="E455">
            <v>141</v>
          </cell>
          <cell r="F455">
            <v>119</v>
          </cell>
          <cell r="G455">
            <v>412</v>
          </cell>
          <cell r="H455">
            <v>1833.26</v>
          </cell>
          <cell r="I455">
            <v>2468.4299999999998</v>
          </cell>
          <cell r="J455">
            <v>91330</v>
          </cell>
          <cell r="K455" t="str">
            <v>MC</v>
          </cell>
          <cell r="L455">
            <v>85</v>
          </cell>
          <cell r="M455">
            <v>312200</v>
          </cell>
          <cell r="N455">
            <v>344</v>
          </cell>
          <cell r="O455">
            <v>618</v>
          </cell>
        </row>
        <row r="456">
          <cell r="A456">
            <v>983756</v>
          </cell>
          <cell r="C456">
            <v>77</v>
          </cell>
          <cell r="D456">
            <v>7</v>
          </cell>
          <cell r="E456">
            <v>59</v>
          </cell>
          <cell r="F456">
            <v>50</v>
          </cell>
          <cell r="G456">
            <v>173</v>
          </cell>
          <cell r="H456">
            <v>768.3</v>
          </cell>
          <cell r="I456">
            <v>1034.5</v>
          </cell>
          <cell r="J456">
            <v>91330</v>
          </cell>
          <cell r="K456" t="str">
            <v>MC</v>
          </cell>
          <cell r="L456">
            <v>24</v>
          </cell>
          <cell r="M456">
            <v>315350</v>
          </cell>
          <cell r="N456">
            <v>144</v>
          </cell>
          <cell r="O456">
            <v>259</v>
          </cell>
        </row>
        <row r="457">
          <cell r="A457">
            <v>983949</v>
          </cell>
          <cell r="C457">
            <v>342</v>
          </cell>
          <cell r="D457">
            <v>5</v>
          </cell>
          <cell r="E457">
            <v>287</v>
          </cell>
          <cell r="F457">
            <v>171</v>
          </cell>
          <cell r="G457">
            <v>193</v>
          </cell>
          <cell r="H457">
            <v>1323.82</v>
          </cell>
          <cell r="I457">
            <v>1392.89</v>
          </cell>
          <cell r="J457">
            <v>91944</v>
          </cell>
          <cell r="K457" t="str">
            <v>MC</v>
          </cell>
          <cell r="L457">
            <v>0</v>
          </cell>
          <cell r="M457">
            <v>575900</v>
          </cell>
          <cell r="N457">
            <v>78</v>
          </cell>
          <cell r="O457">
            <v>244</v>
          </cell>
        </row>
        <row r="458">
          <cell r="A458">
            <v>984311</v>
          </cell>
          <cell r="B458" t="str">
            <v xml:space="preserve"> 7494/7495</v>
          </cell>
          <cell r="C458">
            <v>150</v>
          </cell>
          <cell r="D458">
            <v>43</v>
          </cell>
          <cell r="E458">
            <v>289</v>
          </cell>
          <cell r="F458">
            <v>324</v>
          </cell>
          <cell r="G458">
            <v>1416</v>
          </cell>
          <cell r="H458">
            <v>4407.3999999999996</v>
          </cell>
          <cell r="I458">
            <v>6849.93</v>
          </cell>
          <cell r="J458">
            <v>91330</v>
          </cell>
          <cell r="K458" t="str">
            <v>MC</v>
          </cell>
          <cell r="L458">
            <v>85</v>
          </cell>
          <cell r="M458">
            <v>312200</v>
          </cell>
          <cell r="N458">
            <v>764</v>
          </cell>
          <cell r="O458">
            <v>1415</v>
          </cell>
        </row>
        <row r="459">
          <cell r="A459">
            <v>984603</v>
          </cell>
          <cell r="B459">
            <v>7640</v>
          </cell>
          <cell r="C459">
            <v>213</v>
          </cell>
          <cell r="D459">
            <v>22</v>
          </cell>
          <cell r="E459">
            <v>422</v>
          </cell>
          <cell r="F459">
            <v>214</v>
          </cell>
          <cell r="G459">
            <v>694</v>
          </cell>
          <cell r="H459">
            <v>2760.77</v>
          </cell>
          <cell r="I459">
            <v>2156.94</v>
          </cell>
          <cell r="J459">
            <v>91953</v>
          </cell>
          <cell r="K459" t="str">
            <v>MC</v>
          </cell>
          <cell r="L459">
            <v>85</v>
          </cell>
          <cell r="M459">
            <v>312200</v>
          </cell>
          <cell r="N459">
            <v>347</v>
          </cell>
          <cell r="O459">
            <v>845</v>
          </cell>
        </row>
        <row r="460">
          <cell r="A460">
            <v>984662</v>
          </cell>
          <cell r="B460">
            <v>7249</v>
          </cell>
          <cell r="C460">
            <v>151</v>
          </cell>
          <cell r="D460">
            <v>3</v>
          </cell>
          <cell r="E460">
            <v>290</v>
          </cell>
          <cell r="F460">
            <v>144</v>
          </cell>
          <cell r="G460">
            <v>103</v>
          </cell>
          <cell r="H460">
            <v>743.31</v>
          </cell>
          <cell r="I460">
            <v>385.71</v>
          </cell>
          <cell r="J460">
            <v>91330</v>
          </cell>
          <cell r="K460" t="str">
            <v>MC</v>
          </cell>
          <cell r="L460">
            <v>85</v>
          </cell>
          <cell r="M460">
            <v>312200</v>
          </cell>
          <cell r="N460">
            <v>51</v>
          </cell>
        </row>
        <row r="461">
          <cell r="A461">
            <v>984733</v>
          </cell>
          <cell r="B461">
            <v>7355</v>
          </cell>
          <cell r="C461">
            <v>62</v>
          </cell>
          <cell r="D461">
            <v>3</v>
          </cell>
          <cell r="E461">
            <v>290</v>
          </cell>
          <cell r="F461">
            <v>145</v>
          </cell>
          <cell r="G461">
            <v>110</v>
          </cell>
          <cell r="H461">
            <v>860.65</v>
          </cell>
          <cell r="I461">
            <v>482.63</v>
          </cell>
          <cell r="J461">
            <v>91953</v>
          </cell>
          <cell r="K461" t="str">
            <v>MC</v>
          </cell>
          <cell r="L461">
            <v>82</v>
          </cell>
          <cell r="M461">
            <v>301300</v>
          </cell>
          <cell r="N461">
            <v>247</v>
          </cell>
        </row>
        <row r="462">
          <cell r="A462">
            <v>984805</v>
          </cell>
          <cell r="B462">
            <v>7464</v>
          </cell>
          <cell r="C462">
            <v>2639</v>
          </cell>
          <cell r="D462">
            <v>125</v>
          </cell>
          <cell r="E462">
            <v>142</v>
          </cell>
          <cell r="F462">
            <v>481</v>
          </cell>
          <cell r="G462">
            <v>4684</v>
          </cell>
          <cell r="H462">
            <v>15539.88</v>
          </cell>
          <cell r="I462">
            <v>17555.169999999998</v>
          </cell>
          <cell r="J462">
            <v>91062</v>
          </cell>
          <cell r="K462" t="str">
            <v>MC</v>
          </cell>
          <cell r="L462">
            <v>28</v>
          </cell>
          <cell r="M462">
            <v>362000</v>
          </cell>
          <cell r="N462">
            <v>7465</v>
          </cell>
        </row>
        <row r="463">
          <cell r="A463">
            <v>984990</v>
          </cell>
          <cell r="C463">
            <v>151</v>
          </cell>
          <cell r="D463">
            <v>13</v>
          </cell>
          <cell r="E463">
            <v>290</v>
          </cell>
          <cell r="F463">
            <v>226</v>
          </cell>
          <cell r="G463">
            <v>761</v>
          </cell>
          <cell r="H463">
            <v>2822.56</v>
          </cell>
          <cell r="I463">
            <v>4001.91</v>
          </cell>
          <cell r="J463">
            <v>91330</v>
          </cell>
          <cell r="K463" t="str">
            <v>MC</v>
          </cell>
          <cell r="L463">
            <v>85</v>
          </cell>
          <cell r="M463">
            <v>312200</v>
          </cell>
          <cell r="N463">
            <v>527</v>
          </cell>
          <cell r="O463">
            <v>852</v>
          </cell>
        </row>
        <row r="464">
          <cell r="A464">
            <v>985281</v>
          </cell>
          <cell r="B464">
            <v>7454</v>
          </cell>
          <cell r="C464">
            <v>62</v>
          </cell>
          <cell r="D464">
            <v>1</v>
          </cell>
          <cell r="E464">
            <v>290</v>
          </cell>
          <cell r="F464">
            <v>138</v>
          </cell>
          <cell r="G464">
            <v>50</v>
          </cell>
          <cell r="H464">
            <v>599.55999999999995</v>
          </cell>
          <cell r="I464">
            <v>201.46</v>
          </cell>
          <cell r="J464">
            <v>91953</v>
          </cell>
          <cell r="K464" t="str">
            <v>MC</v>
          </cell>
          <cell r="L464">
            <v>85</v>
          </cell>
          <cell r="M464">
            <v>312200</v>
          </cell>
          <cell r="N464">
            <v>55</v>
          </cell>
        </row>
        <row r="466">
          <cell r="H466">
            <v>0</v>
          </cell>
        </row>
        <row r="467">
          <cell r="A467" t="str">
            <v>TOTAIS</v>
          </cell>
          <cell r="C467">
            <v>4029</v>
          </cell>
          <cell r="D467">
            <v>238</v>
          </cell>
          <cell r="E467">
            <v>2500</v>
          </cell>
          <cell r="F467">
            <v>2012</v>
          </cell>
          <cell r="G467">
            <v>8596</v>
          </cell>
          <cell r="H467">
            <v>31659.510000000002</v>
          </cell>
          <cell r="I467">
            <v>36529.57</v>
          </cell>
        </row>
        <row r="470">
          <cell r="H470">
            <v>12228449.709999995</v>
          </cell>
          <cell r="I470">
            <v>2829327.3999999943</v>
          </cell>
        </row>
        <row r="471">
          <cell r="G471" t="str">
            <v>PROC</v>
          </cell>
          <cell r="H471" t="str">
            <v>FOB</v>
          </cell>
          <cell r="I471" t="str">
            <v>DESP</v>
          </cell>
        </row>
        <row r="472">
          <cell r="G472">
            <v>983373</v>
          </cell>
          <cell r="H472">
            <v>146.19999999999999</v>
          </cell>
          <cell r="I472">
            <v>587.89</v>
          </cell>
        </row>
        <row r="473">
          <cell r="G473">
            <v>983652</v>
          </cell>
          <cell r="H473">
            <v>1418.72</v>
          </cell>
          <cell r="I473">
            <v>806.73</v>
          </cell>
        </row>
        <row r="474">
          <cell r="G474">
            <v>983727</v>
          </cell>
          <cell r="H474">
            <v>18371.95</v>
          </cell>
          <cell r="I474">
            <v>4965.3500000000004</v>
          </cell>
        </row>
        <row r="475">
          <cell r="G475">
            <v>983756</v>
          </cell>
          <cell r="H475">
            <v>2468.4299999999998</v>
          </cell>
          <cell r="I475">
            <v>1833.26</v>
          </cell>
        </row>
        <row r="476">
          <cell r="G476">
            <v>983756</v>
          </cell>
          <cell r="H476">
            <v>1034.5</v>
          </cell>
          <cell r="I476">
            <v>768.3</v>
          </cell>
        </row>
        <row r="477">
          <cell r="G477">
            <v>983871</v>
          </cell>
          <cell r="H477">
            <v>20180.7</v>
          </cell>
          <cell r="I477">
            <v>4341.5600000000004</v>
          </cell>
        </row>
        <row r="478">
          <cell r="G478">
            <v>983949</v>
          </cell>
          <cell r="H478">
            <v>1392.89</v>
          </cell>
          <cell r="I478">
            <v>1323.82</v>
          </cell>
        </row>
        <row r="479">
          <cell r="G479">
            <v>983955</v>
          </cell>
          <cell r="H479">
            <v>1543.01</v>
          </cell>
          <cell r="I479">
            <v>932.97</v>
          </cell>
        </row>
        <row r="480">
          <cell r="G480">
            <v>984161</v>
          </cell>
          <cell r="H480">
            <v>7170.67</v>
          </cell>
          <cell r="I480">
            <v>1973.17</v>
          </cell>
        </row>
        <row r="481">
          <cell r="G481">
            <v>984215</v>
          </cell>
          <cell r="H481">
            <v>20644.919999999998</v>
          </cell>
          <cell r="I481">
            <v>4790.92</v>
          </cell>
        </row>
        <row r="482">
          <cell r="G482">
            <v>984223</v>
          </cell>
          <cell r="H482">
            <v>411.07</v>
          </cell>
          <cell r="I482">
            <v>673.92</v>
          </cell>
        </row>
        <row r="483">
          <cell r="G483">
            <v>984247</v>
          </cell>
          <cell r="H483">
            <v>89.42</v>
          </cell>
          <cell r="I483">
            <v>558.09</v>
          </cell>
        </row>
        <row r="484">
          <cell r="G484">
            <v>984251</v>
          </cell>
          <cell r="H484">
            <v>9180.25</v>
          </cell>
          <cell r="I484">
            <v>2655.9</v>
          </cell>
        </row>
        <row r="485">
          <cell r="G485">
            <v>984259</v>
          </cell>
          <cell r="H485">
            <v>1994.57</v>
          </cell>
          <cell r="I485">
            <v>1405.78</v>
          </cell>
        </row>
        <row r="486">
          <cell r="G486">
            <v>984300</v>
          </cell>
          <cell r="H486">
            <v>2328.89</v>
          </cell>
          <cell r="I486">
            <v>1276.7</v>
          </cell>
        </row>
        <row r="487">
          <cell r="G487">
            <v>984303</v>
          </cell>
          <cell r="H487">
            <v>27280.36</v>
          </cell>
          <cell r="I487">
            <v>6380.8</v>
          </cell>
        </row>
        <row r="488">
          <cell r="G488">
            <v>984311</v>
          </cell>
          <cell r="H488">
            <v>6849.93</v>
          </cell>
          <cell r="I488">
            <v>4407.3999999999996</v>
          </cell>
        </row>
        <row r="489">
          <cell r="G489">
            <v>984333</v>
          </cell>
          <cell r="H489">
            <v>44591.65</v>
          </cell>
          <cell r="I489">
            <v>7565.2</v>
          </cell>
        </row>
        <row r="490">
          <cell r="G490">
            <v>984339</v>
          </cell>
          <cell r="H490">
            <v>1335.41</v>
          </cell>
          <cell r="I490">
            <v>728.2</v>
          </cell>
        </row>
        <row r="491">
          <cell r="G491">
            <v>984358</v>
          </cell>
          <cell r="H491">
            <v>20075.13</v>
          </cell>
          <cell r="I491">
            <v>2429.14</v>
          </cell>
        </row>
        <row r="492">
          <cell r="G492">
            <v>984412</v>
          </cell>
          <cell r="H492">
            <v>19318.14</v>
          </cell>
          <cell r="I492">
            <v>5590.1</v>
          </cell>
        </row>
        <row r="493">
          <cell r="G493">
            <v>984430</v>
          </cell>
          <cell r="H493">
            <v>65499.5</v>
          </cell>
          <cell r="I493">
            <v>16556.38</v>
          </cell>
        </row>
        <row r="494">
          <cell r="G494">
            <v>984451</v>
          </cell>
          <cell r="H494">
            <v>17353.099999999999</v>
          </cell>
          <cell r="I494">
            <v>5753.34</v>
          </cell>
        </row>
        <row r="495">
          <cell r="G495">
            <v>984467</v>
          </cell>
          <cell r="H495">
            <v>408484.39</v>
          </cell>
          <cell r="I495">
            <v>69906.98</v>
          </cell>
        </row>
        <row r="496">
          <cell r="G496">
            <v>984478</v>
          </cell>
          <cell r="H496">
            <v>25542.38</v>
          </cell>
          <cell r="I496">
            <v>7215.56</v>
          </cell>
        </row>
        <row r="497">
          <cell r="G497">
            <v>984479</v>
          </cell>
          <cell r="H497">
            <v>898.35</v>
          </cell>
          <cell r="I497">
            <v>700.14</v>
          </cell>
        </row>
        <row r="498">
          <cell r="G498">
            <v>984484</v>
          </cell>
          <cell r="H498">
            <v>487140.75</v>
          </cell>
          <cell r="I498">
            <v>88869.61</v>
          </cell>
        </row>
        <row r="499">
          <cell r="G499">
            <v>984497</v>
          </cell>
          <cell r="H499">
            <v>28186.25</v>
          </cell>
          <cell r="I499">
            <v>5402.97</v>
          </cell>
        </row>
        <row r="500">
          <cell r="G500">
            <v>984502</v>
          </cell>
          <cell r="H500">
            <v>30543.9</v>
          </cell>
          <cell r="I500">
            <v>8066.11</v>
          </cell>
        </row>
        <row r="501">
          <cell r="G501">
            <v>984517</v>
          </cell>
          <cell r="H501">
            <v>53382.53</v>
          </cell>
          <cell r="I501">
            <v>5501.49</v>
          </cell>
        </row>
        <row r="502">
          <cell r="G502">
            <v>984524</v>
          </cell>
          <cell r="H502">
            <v>3746.11</v>
          </cell>
          <cell r="I502">
            <v>1768.51</v>
          </cell>
        </row>
        <row r="503">
          <cell r="G503">
            <v>984538</v>
          </cell>
          <cell r="H503">
            <v>56148.87</v>
          </cell>
          <cell r="I503">
            <v>10836.79</v>
          </cell>
        </row>
        <row r="504">
          <cell r="G504">
            <v>984570</v>
          </cell>
          <cell r="H504">
            <v>28584.09</v>
          </cell>
          <cell r="I504">
            <v>5475.07</v>
          </cell>
        </row>
        <row r="505">
          <cell r="G505">
            <v>984574</v>
          </cell>
          <cell r="H505">
            <v>10754.32</v>
          </cell>
          <cell r="I505">
            <v>2532.64</v>
          </cell>
        </row>
        <row r="506">
          <cell r="G506">
            <v>984583</v>
          </cell>
          <cell r="H506">
            <v>12948.94</v>
          </cell>
          <cell r="I506">
            <v>2878.2</v>
          </cell>
        </row>
        <row r="507">
          <cell r="G507">
            <v>984590</v>
          </cell>
          <cell r="H507">
            <v>166975.89000000001</v>
          </cell>
          <cell r="I507">
            <v>73217.95</v>
          </cell>
        </row>
        <row r="508">
          <cell r="G508">
            <v>984592</v>
          </cell>
          <cell r="H508">
            <v>273761.36</v>
          </cell>
          <cell r="I508">
            <v>43163.67</v>
          </cell>
        </row>
        <row r="509">
          <cell r="G509">
            <v>984593</v>
          </cell>
          <cell r="H509">
            <v>23851.81</v>
          </cell>
          <cell r="I509">
            <v>4689.22</v>
          </cell>
        </row>
        <row r="510">
          <cell r="G510">
            <v>984598</v>
          </cell>
          <cell r="H510">
            <v>34437.550000000003</v>
          </cell>
          <cell r="I510">
            <v>8239.2800000000007</v>
          </cell>
        </row>
        <row r="511">
          <cell r="G511">
            <v>984603</v>
          </cell>
          <cell r="H511">
            <v>2156.94</v>
          </cell>
          <cell r="I511">
            <v>2760.77</v>
          </cell>
        </row>
        <row r="512">
          <cell r="G512">
            <v>984605</v>
          </cell>
          <cell r="H512">
            <v>8447.1200000000008</v>
          </cell>
          <cell r="I512">
            <v>2066.7399999999998</v>
          </cell>
        </row>
        <row r="513">
          <cell r="G513">
            <v>984614</v>
          </cell>
          <cell r="H513">
            <v>21412.51</v>
          </cell>
          <cell r="I513">
            <v>4336.1400000000003</v>
          </cell>
        </row>
        <row r="514">
          <cell r="G514">
            <v>984615</v>
          </cell>
          <cell r="H514">
            <v>3448.51</v>
          </cell>
          <cell r="I514">
            <v>1445.84</v>
          </cell>
        </row>
        <row r="515">
          <cell r="G515">
            <v>984619</v>
          </cell>
          <cell r="H515">
            <v>20929.04</v>
          </cell>
          <cell r="I515">
            <v>6201.03</v>
          </cell>
        </row>
        <row r="516">
          <cell r="G516">
            <v>984620</v>
          </cell>
          <cell r="H516">
            <v>12849</v>
          </cell>
          <cell r="I516">
            <v>4580.37</v>
          </cell>
        </row>
        <row r="517">
          <cell r="G517">
            <v>984640</v>
          </cell>
          <cell r="H517">
            <v>7050.19</v>
          </cell>
          <cell r="I517">
            <v>2693.06</v>
          </cell>
        </row>
        <row r="518">
          <cell r="G518">
            <v>984642</v>
          </cell>
          <cell r="H518">
            <v>662644.32999999996</v>
          </cell>
          <cell r="I518">
            <v>55411.02</v>
          </cell>
        </row>
        <row r="519">
          <cell r="G519">
            <v>984650</v>
          </cell>
          <cell r="H519">
            <v>561.30999999999995</v>
          </cell>
          <cell r="I519">
            <v>701.55</v>
          </cell>
        </row>
        <row r="520">
          <cell r="G520">
            <v>984654</v>
          </cell>
          <cell r="H520">
            <v>83177.06</v>
          </cell>
          <cell r="I520">
            <v>31906.31</v>
          </cell>
        </row>
        <row r="521">
          <cell r="G521">
            <v>984662</v>
          </cell>
          <cell r="H521">
            <v>385.71</v>
          </cell>
          <cell r="I521">
            <v>743.31</v>
          </cell>
        </row>
        <row r="522">
          <cell r="G522">
            <v>984664</v>
          </cell>
          <cell r="H522">
            <v>4953.8100000000004</v>
          </cell>
          <cell r="I522">
            <v>1695.54</v>
          </cell>
        </row>
        <row r="523">
          <cell r="G523">
            <v>984665</v>
          </cell>
          <cell r="H523">
            <v>1287.21</v>
          </cell>
          <cell r="I523">
            <v>1018.56</v>
          </cell>
        </row>
        <row r="524">
          <cell r="G524">
            <v>984666</v>
          </cell>
          <cell r="H524">
            <v>4533.91</v>
          </cell>
          <cell r="I524">
            <v>2628.95</v>
          </cell>
        </row>
        <row r="525">
          <cell r="G525">
            <v>984667</v>
          </cell>
          <cell r="H525">
            <v>189.32</v>
          </cell>
          <cell r="I525">
            <v>611.33000000000004</v>
          </cell>
        </row>
        <row r="526">
          <cell r="G526">
            <v>984668</v>
          </cell>
          <cell r="H526">
            <v>3304.36</v>
          </cell>
          <cell r="I526">
            <v>1951.25</v>
          </cell>
        </row>
        <row r="527">
          <cell r="G527">
            <v>984669</v>
          </cell>
          <cell r="H527">
            <v>12693.44</v>
          </cell>
          <cell r="I527">
            <v>3143.85</v>
          </cell>
        </row>
        <row r="528">
          <cell r="G528">
            <v>984670</v>
          </cell>
          <cell r="H528">
            <v>1493768.81</v>
          </cell>
          <cell r="I528">
            <v>362251.13</v>
          </cell>
        </row>
        <row r="529">
          <cell r="G529">
            <v>984673</v>
          </cell>
          <cell r="H529">
            <v>12777.49</v>
          </cell>
          <cell r="I529">
            <v>3683.03</v>
          </cell>
        </row>
        <row r="530">
          <cell r="G530">
            <v>984675</v>
          </cell>
          <cell r="H530">
            <v>1022.81</v>
          </cell>
          <cell r="I530">
            <v>739.39</v>
          </cell>
        </row>
        <row r="531">
          <cell r="G531">
            <v>984677</v>
          </cell>
          <cell r="H531">
            <v>54371.08</v>
          </cell>
          <cell r="I531">
            <v>13674.49</v>
          </cell>
        </row>
        <row r="532">
          <cell r="G532">
            <v>984679</v>
          </cell>
          <cell r="H532">
            <v>7217.4</v>
          </cell>
          <cell r="I532">
            <v>1802.23</v>
          </cell>
        </row>
        <row r="533">
          <cell r="G533">
            <v>984690</v>
          </cell>
          <cell r="H533">
            <v>17250.669999999998</v>
          </cell>
          <cell r="I533">
            <v>4805.83</v>
          </cell>
        </row>
        <row r="534">
          <cell r="G534">
            <v>984693</v>
          </cell>
          <cell r="H534">
            <v>14922.62</v>
          </cell>
          <cell r="I534">
            <v>3335.55</v>
          </cell>
        </row>
        <row r="535">
          <cell r="G535">
            <v>984708</v>
          </cell>
          <cell r="H535">
            <v>1556.73</v>
          </cell>
          <cell r="I535">
            <v>915.96</v>
          </cell>
        </row>
        <row r="536">
          <cell r="G536">
            <v>984709</v>
          </cell>
          <cell r="H536">
            <v>180.53</v>
          </cell>
          <cell r="I536">
            <v>531.47</v>
          </cell>
        </row>
        <row r="537">
          <cell r="G537">
            <v>984714</v>
          </cell>
          <cell r="H537">
            <v>70585.279999999999</v>
          </cell>
          <cell r="I537">
            <v>13446.56</v>
          </cell>
        </row>
        <row r="538">
          <cell r="G538">
            <v>984723</v>
          </cell>
          <cell r="H538">
            <v>889.66</v>
          </cell>
          <cell r="I538">
            <v>770.77</v>
          </cell>
        </row>
        <row r="539">
          <cell r="G539">
            <v>984728</v>
          </cell>
          <cell r="H539">
            <v>13527.15</v>
          </cell>
          <cell r="I539">
            <v>3987.75</v>
          </cell>
        </row>
        <row r="540">
          <cell r="G540">
            <v>984730</v>
          </cell>
          <cell r="H540">
            <v>44967.14</v>
          </cell>
          <cell r="I540">
            <v>8139.56</v>
          </cell>
        </row>
        <row r="541">
          <cell r="G541">
            <v>984733</v>
          </cell>
          <cell r="H541">
            <v>482.63</v>
          </cell>
          <cell r="I541">
            <v>860.65</v>
          </cell>
        </row>
        <row r="542">
          <cell r="G542">
            <v>984736</v>
          </cell>
          <cell r="H542">
            <v>51236.09</v>
          </cell>
          <cell r="I542">
            <v>14703.34</v>
          </cell>
        </row>
        <row r="543">
          <cell r="G543">
            <v>984740</v>
          </cell>
          <cell r="H543">
            <v>1350.49</v>
          </cell>
          <cell r="I543">
            <v>1125.3</v>
          </cell>
        </row>
        <row r="544">
          <cell r="G544">
            <v>984744</v>
          </cell>
          <cell r="H544">
            <v>16953.599999999999</v>
          </cell>
          <cell r="I544">
            <v>5967.81</v>
          </cell>
        </row>
        <row r="545">
          <cell r="G545">
            <v>984745</v>
          </cell>
          <cell r="H545">
            <v>69050.81</v>
          </cell>
          <cell r="I545">
            <v>17751.490000000002</v>
          </cell>
        </row>
        <row r="546">
          <cell r="G546">
            <v>984746</v>
          </cell>
          <cell r="H546">
            <v>4446.5600000000004</v>
          </cell>
          <cell r="I546">
            <v>1733.54</v>
          </cell>
        </row>
        <row r="547">
          <cell r="G547">
            <v>984752</v>
          </cell>
          <cell r="H547">
            <v>6959.79</v>
          </cell>
          <cell r="I547">
            <v>1787.22</v>
          </cell>
        </row>
        <row r="548">
          <cell r="G548">
            <v>984756</v>
          </cell>
          <cell r="H548">
            <v>2268.9699999999998</v>
          </cell>
          <cell r="I548">
            <v>1148.8499999999999</v>
          </cell>
        </row>
        <row r="549">
          <cell r="G549">
            <v>984762</v>
          </cell>
          <cell r="H549">
            <v>519.52</v>
          </cell>
          <cell r="I549">
            <v>585.76</v>
          </cell>
        </row>
        <row r="550">
          <cell r="G550">
            <v>984775</v>
          </cell>
          <cell r="H550">
            <v>595.67999999999995</v>
          </cell>
          <cell r="I550">
            <v>676.5</v>
          </cell>
        </row>
        <row r="551">
          <cell r="G551">
            <v>984777</v>
          </cell>
          <cell r="H551">
            <v>22878.73</v>
          </cell>
          <cell r="I551">
            <v>4439.5600000000004</v>
          </cell>
        </row>
        <row r="552">
          <cell r="G552">
            <v>984778</v>
          </cell>
          <cell r="H552">
            <v>4178.33</v>
          </cell>
          <cell r="I552">
            <v>1605.49</v>
          </cell>
        </row>
        <row r="553">
          <cell r="G553">
            <v>984780</v>
          </cell>
          <cell r="H553">
            <v>5372.37</v>
          </cell>
          <cell r="I553">
            <v>2114.88</v>
          </cell>
        </row>
        <row r="554">
          <cell r="G554">
            <v>984787</v>
          </cell>
          <cell r="H554">
            <v>1100.44</v>
          </cell>
          <cell r="I554">
            <v>899.31</v>
          </cell>
        </row>
        <row r="555">
          <cell r="G555">
            <v>984789</v>
          </cell>
          <cell r="H555">
            <v>16465.7</v>
          </cell>
          <cell r="I555">
            <v>3890.49</v>
          </cell>
        </row>
        <row r="556">
          <cell r="G556">
            <v>984790</v>
          </cell>
          <cell r="H556">
            <v>3237.63</v>
          </cell>
          <cell r="I556">
            <v>1347.76</v>
          </cell>
        </row>
        <row r="557">
          <cell r="G557">
            <v>984794</v>
          </cell>
          <cell r="H557">
            <v>8880.99</v>
          </cell>
          <cell r="I557">
            <v>2170.0700000000002</v>
          </cell>
        </row>
        <row r="558">
          <cell r="G558">
            <v>984797</v>
          </cell>
          <cell r="H558">
            <v>42899.91</v>
          </cell>
          <cell r="I558">
            <v>9033.73</v>
          </cell>
        </row>
        <row r="559">
          <cell r="G559">
            <v>984803</v>
          </cell>
          <cell r="H559">
            <v>65408.21</v>
          </cell>
          <cell r="I559">
            <v>6020.04</v>
          </cell>
        </row>
        <row r="560">
          <cell r="G560">
            <v>984804</v>
          </cell>
          <cell r="H560">
            <v>34492.660000000003</v>
          </cell>
          <cell r="I560">
            <v>7367.11</v>
          </cell>
        </row>
        <row r="561">
          <cell r="G561">
            <v>984805</v>
          </cell>
          <cell r="H561">
            <v>17555.169999999998</v>
          </cell>
          <cell r="I561">
            <v>15539.88</v>
          </cell>
        </row>
        <row r="562">
          <cell r="G562">
            <v>984814</v>
          </cell>
          <cell r="H562">
            <v>14332.49</v>
          </cell>
          <cell r="I562">
            <v>3086.29</v>
          </cell>
        </row>
        <row r="563">
          <cell r="G563">
            <v>984815</v>
          </cell>
          <cell r="H563">
            <v>4521.7299999999996</v>
          </cell>
          <cell r="I563">
            <v>1686.99</v>
          </cell>
        </row>
        <row r="564">
          <cell r="G564">
            <v>984830</v>
          </cell>
          <cell r="H564">
            <v>12545.68</v>
          </cell>
          <cell r="I564">
            <v>2799.78</v>
          </cell>
        </row>
        <row r="565">
          <cell r="G565">
            <v>984835</v>
          </cell>
          <cell r="H565">
            <v>485.78</v>
          </cell>
          <cell r="I565">
            <v>651.02</v>
          </cell>
        </row>
        <row r="566">
          <cell r="G566">
            <v>984836</v>
          </cell>
          <cell r="H566">
            <v>7055.78</v>
          </cell>
          <cell r="I566">
            <v>2271.8000000000002</v>
          </cell>
        </row>
        <row r="567">
          <cell r="G567">
            <v>984837</v>
          </cell>
          <cell r="H567">
            <v>21747.33</v>
          </cell>
          <cell r="I567">
            <v>4606</v>
          </cell>
        </row>
        <row r="568">
          <cell r="G568">
            <v>984839</v>
          </cell>
          <cell r="H568">
            <v>23077.09</v>
          </cell>
          <cell r="I568">
            <v>5357.22</v>
          </cell>
        </row>
        <row r="569">
          <cell r="G569">
            <v>984850</v>
          </cell>
          <cell r="H569">
            <v>131689.65</v>
          </cell>
          <cell r="I569">
            <v>18711.919999999998</v>
          </cell>
        </row>
        <row r="570">
          <cell r="G570">
            <v>984855</v>
          </cell>
          <cell r="H570">
            <v>11846.2</v>
          </cell>
          <cell r="I570">
            <v>2549.38</v>
          </cell>
        </row>
        <row r="571">
          <cell r="G571">
            <v>984864</v>
          </cell>
          <cell r="H571">
            <v>473.07</v>
          </cell>
          <cell r="I571">
            <v>643.97</v>
          </cell>
        </row>
        <row r="572">
          <cell r="G572">
            <v>984865</v>
          </cell>
          <cell r="H572">
            <v>470.48</v>
          </cell>
          <cell r="I572">
            <v>625.25</v>
          </cell>
        </row>
        <row r="573">
          <cell r="G573">
            <v>984868</v>
          </cell>
          <cell r="H573">
            <v>26806.799999999999</v>
          </cell>
          <cell r="I573">
            <v>5309.64</v>
          </cell>
        </row>
        <row r="574">
          <cell r="G574">
            <v>984870</v>
          </cell>
          <cell r="H574">
            <v>31597.13</v>
          </cell>
          <cell r="I574">
            <v>6763.65</v>
          </cell>
        </row>
        <row r="575">
          <cell r="G575">
            <v>984879</v>
          </cell>
          <cell r="H575">
            <v>17968.830000000002</v>
          </cell>
          <cell r="I575">
            <v>3952.85</v>
          </cell>
        </row>
        <row r="576">
          <cell r="G576">
            <v>984883</v>
          </cell>
          <cell r="H576">
            <v>17239.04</v>
          </cell>
          <cell r="I576">
            <v>5434.63</v>
          </cell>
        </row>
        <row r="577">
          <cell r="G577">
            <v>984885</v>
          </cell>
          <cell r="H577">
            <v>978028.24</v>
          </cell>
          <cell r="I577">
            <v>83236.19</v>
          </cell>
        </row>
        <row r="578">
          <cell r="G578">
            <v>984888</v>
          </cell>
          <cell r="H578">
            <v>1.2</v>
          </cell>
          <cell r="I578">
            <v>494.34</v>
          </cell>
        </row>
        <row r="579">
          <cell r="G579">
            <v>984892</v>
          </cell>
          <cell r="H579">
            <v>15680.71</v>
          </cell>
          <cell r="I579">
            <v>3655.86</v>
          </cell>
        </row>
        <row r="580">
          <cell r="G580">
            <v>984894</v>
          </cell>
          <cell r="H580">
            <v>2920.68</v>
          </cell>
          <cell r="I580">
            <v>1370.88</v>
          </cell>
        </row>
        <row r="581">
          <cell r="G581">
            <v>984901</v>
          </cell>
          <cell r="H581">
            <v>4108.37</v>
          </cell>
          <cell r="I581">
            <v>1543.08</v>
          </cell>
        </row>
        <row r="582">
          <cell r="G582">
            <v>984902</v>
          </cell>
          <cell r="H582">
            <v>1807.8</v>
          </cell>
          <cell r="I582">
            <v>860.74</v>
          </cell>
        </row>
        <row r="583">
          <cell r="G583">
            <v>984905</v>
          </cell>
          <cell r="H583">
            <v>3295.62</v>
          </cell>
          <cell r="I583">
            <v>1407.35</v>
          </cell>
        </row>
        <row r="584">
          <cell r="G584">
            <v>984906</v>
          </cell>
          <cell r="H584">
            <v>752.04</v>
          </cell>
          <cell r="I584">
            <v>746.02</v>
          </cell>
        </row>
        <row r="585">
          <cell r="G585">
            <v>984908</v>
          </cell>
          <cell r="H585">
            <v>867.74</v>
          </cell>
          <cell r="I585">
            <v>777.09</v>
          </cell>
        </row>
        <row r="586">
          <cell r="G586">
            <v>984909</v>
          </cell>
          <cell r="H586">
            <v>25984.11</v>
          </cell>
          <cell r="I586">
            <v>5018.91</v>
          </cell>
        </row>
        <row r="587">
          <cell r="G587">
            <v>984913</v>
          </cell>
          <cell r="H587">
            <v>11841.09</v>
          </cell>
          <cell r="I587">
            <v>2639.29</v>
          </cell>
        </row>
        <row r="588">
          <cell r="G588">
            <v>984915</v>
          </cell>
          <cell r="H588">
            <v>12148.42</v>
          </cell>
          <cell r="I588">
            <v>3608.25</v>
          </cell>
        </row>
        <row r="589">
          <cell r="G589">
            <v>984916</v>
          </cell>
          <cell r="H589">
            <v>88.65</v>
          </cell>
          <cell r="I589">
            <v>574.28</v>
          </cell>
        </row>
        <row r="590">
          <cell r="G590">
            <v>984919</v>
          </cell>
          <cell r="H590">
            <v>39433.21</v>
          </cell>
          <cell r="I590">
            <v>7260.11</v>
          </cell>
        </row>
        <row r="591">
          <cell r="G591">
            <v>984923</v>
          </cell>
          <cell r="H591">
            <v>44541.54</v>
          </cell>
          <cell r="I591">
            <v>8798.65</v>
          </cell>
        </row>
        <row r="592">
          <cell r="G592">
            <v>984929</v>
          </cell>
          <cell r="H592">
            <v>34697.129999999997</v>
          </cell>
          <cell r="I592">
            <v>11417.01</v>
          </cell>
        </row>
        <row r="593">
          <cell r="G593">
            <v>984931</v>
          </cell>
          <cell r="H593">
            <v>35985.42</v>
          </cell>
          <cell r="I593">
            <v>6765.04</v>
          </cell>
        </row>
        <row r="594">
          <cell r="G594">
            <v>984934</v>
          </cell>
          <cell r="H594">
            <v>4303.8900000000003</v>
          </cell>
          <cell r="I594">
            <v>1531.94</v>
          </cell>
        </row>
        <row r="595">
          <cell r="G595">
            <v>984939</v>
          </cell>
          <cell r="H595">
            <v>294426.71999999997</v>
          </cell>
          <cell r="I595">
            <v>72911.67</v>
          </cell>
        </row>
        <row r="596">
          <cell r="G596">
            <v>984941</v>
          </cell>
          <cell r="H596">
            <v>846.05</v>
          </cell>
          <cell r="I596">
            <v>632.16999999999996</v>
          </cell>
        </row>
        <row r="597">
          <cell r="G597">
            <v>984942</v>
          </cell>
          <cell r="H597">
            <v>4210.45</v>
          </cell>
          <cell r="I597">
            <v>1970.12</v>
          </cell>
        </row>
        <row r="598">
          <cell r="G598">
            <v>984944</v>
          </cell>
          <cell r="H598">
            <v>3668.03</v>
          </cell>
          <cell r="I598">
            <v>1469.05</v>
          </cell>
        </row>
        <row r="599">
          <cell r="G599">
            <v>984945</v>
          </cell>
          <cell r="H599">
            <v>1409.62</v>
          </cell>
          <cell r="I599">
            <v>556.03</v>
          </cell>
        </row>
        <row r="600">
          <cell r="G600">
            <v>984946</v>
          </cell>
          <cell r="H600">
            <v>2196.36</v>
          </cell>
          <cell r="I600">
            <v>1228.96</v>
          </cell>
        </row>
        <row r="601">
          <cell r="G601">
            <v>984947</v>
          </cell>
          <cell r="H601">
            <v>25917.63</v>
          </cell>
          <cell r="I601">
            <v>7465.5</v>
          </cell>
        </row>
        <row r="602">
          <cell r="G602">
            <v>984948</v>
          </cell>
          <cell r="H602">
            <v>2286.46</v>
          </cell>
          <cell r="I602">
            <v>937.2</v>
          </cell>
        </row>
        <row r="603">
          <cell r="G603">
            <v>984950</v>
          </cell>
          <cell r="H603">
            <v>107.47</v>
          </cell>
          <cell r="I603">
            <v>589.55999999999995</v>
          </cell>
        </row>
        <row r="604">
          <cell r="G604">
            <v>984951</v>
          </cell>
          <cell r="H604">
            <v>14953.68</v>
          </cell>
          <cell r="I604">
            <v>1523.3</v>
          </cell>
        </row>
        <row r="605">
          <cell r="G605">
            <v>984952</v>
          </cell>
          <cell r="H605">
            <v>14181.62</v>
          </cell>
          <cell r="I605">
            <v>3101.82</v>
          </cell>
        </row>
        <row r="606">
          <cell r="G606">
            <v>984954</v>
          </cell>
          <cell r="H606">
            <v>360</v>
          </cell>
          <cell r="I606">
            <v>600.44000000000005</v>
          </cell>
        </row>
        <row r="607">
          <cell r="G607">
            <v>984957</v>
          </cell>
          <cell r="H607">
            <v>20662.36</v>
          </cell>
          <cell r="I607">
            <v>4174.18</v>
          </cell>
        </row>
        <row r="608">
          <cell r="G608">
            <v>984959</v>
          </cell>
          <cell r="H608">
            <v>974.75</v>
          </cell>
          <cell r="I608">
            <v>945.8</v>
          </cell>
        </row>
        <row r="609">
          <cell r="G609">
            <v>984960</v>
          </cell>
          <cell r="H609">
            <v>4447.92</v>
          </cell>
          <cell r="I609">
            <v>1965.06</v>
          </cell>
        </row>
        <row r="610">
          <cell r="G610">
            <v>984963</v>
          </cell>
          <cell r="H610">
            <v>12415.44</v>
          </cell>
          <cell r="I610">
            <v>4777.8999999999996</v>
          </cell>
        </row>
        <row r="611">
          <cell r="G611">
            <v>984964</v>
          </cell>
          <cell r="H611">
            <v>71694.289999999994</v>
          </cell>
          <cell r="I611">
            <v>22907.82</v>
          </cell>
        </row>
        <row r="612">
          <cell r="G612">
            <v>984965</v>
          </cell>
          <cell r="H612">
            <v>6701.47</v>
          </cell>
          <cell r="I612">
            <v>2018.85</v>
          </cell>
        </row>
        <row r="613">
          <cell r="G613">
            <v>984971</v>
          </cell>
          <cell r="H613">
            <v>6993.15</v>
          </cell>
          <cell r="I613">
            <v>2178.73</v>
          </cell>
        </row>
        <row r="614">
          <cell r="G614">
            <v>984978</v>
          </cell>
          <cell r="H614">
            <v>4150.3599999999997</v>
          </cell>
          <cell r="I614">
            <v>1937.35</v>
          </cell>
        </row>
        <row r="615">
          <cell r="G615">
            <v>984979</v>
          </cell>
          <cell r="H615">
            <v>5187.95</v>
          </cell>
          <cell r="I615">
            <v>1560.61</v>
          </cell>
        </row>
        <row r="616">
          <cell r="G616">
            <v>984980</v>
          </cell>
          <cell r="H616">
            <v>23982.63</v>
          </cell>
          <cell r="I616">
            <v>7471.07</v>
          </cell>
        </row>
        <row r="617">
          <cell r="G617">
            <v>984981</v>
          </cell>
          <cell r="H617">
            <v>39472.61</v>
          </cell>
          <cell r="I617">
            <v>14174.14</v>
          </cell>
        </row>
        <row r="618">
          <cell r="G618">
            <v>984982</v>
          </cell>
          <cell r="H618">
            <v>5847.37</v>
          </cell>
          <cell r="I618">
            <v>2201.5500000000002</v>
          </cell>
        </row>
        <row r="619">
          <cell r="G619">
            <v>984983</v>
          </cell>
          <cell r="H619">
            <v>38152.67</v>
          </cell>
          <cell r="I619">
            <v>8681.01</v>
          </cell>
        </row>
        <row r="620">
          <cell r="G620">
            <v>984989</v>
          </cell>
          <cell r="H620">
            <v>3934.98</v>
          </cell>
          <cell r="I620">
            <v>1474.39</v>
          </cell>
        </row>
        <row r="621">
          <cell r="G621">
            <v>984990</v>
          </cell>
          <cell r="H621">
            <v>4001.91</v>
          </cell>
          <cell r="I621">
            <v>2822.56</v>
          </cell>
        </row>
        <row r="622">
          <cell r="G622">
            <v>984992</v>
          </cell>
          <cell r="H622">
            <v>1726.45</v>
          </cell>
          <cell r="I622">
            <v>908.92</v>
          </cell>
        </row>
        <row r="623">
          <cell r="G623">
            <v>984993</v>
          </cell>
          <cell r="H623">
            <v>25747.24</v>
          </cell>
          <cell r="I623">
            <v>5849.42</v>
          </cell>
        </row>
        <row r="624">
          <cell r="G624">
            <v>984994</v>
          </cell>
          <cell r="H624">
            <v>6388.58</v>
          </cell>
          <cell r="I624">
            <v>2186.36</v>
          </cell>
        </row>
        <row r="625">
          <cell r="G625">
            <v>984999</v>
          </cell>
          <cell r="H625">
            <v>11197.2</v>
          </cell>
          <cell r="I625">
            <v>2551.41</v>
          </cell>
        </row>
        <row r="626">
          <cell r="G626">
            <v>985001</v>
          </cell>
          <cell r="H626">
            <v>85938</v>
          </cell>
          <cell r="I626">
            <v>18542.740000000002</v>
          </cell>
        </row>
        <row r="627">
          <cell r="G627">
            <v>985002</v>
          </cell>
          <cell r="H627">
            <v>5012.95</v>
          </cell>
          <cell r="I627">
            <v>1916.07</v>
          </cell>
        </row>
        <row r="628">
          <cell r="G628">
            <v>985003</v>
          </cell>
          <cell r="H628">
            <v>156.85</v>
          </cell>
          <cell r="I628">
            <v>567.94000000000005</v>
          </cell>
        </row>
        <row r="629">
          <cell r="G629">
            <v>985008</v>
          </cell>
          <cell r="H629">
            <v>4035.83</v>
          </cell>
          <cell r="I629">
            <v>1232.01</v>
          </cell>
        </row>
        <row r="630">
          <cell r="G630">
            <v>985009</v>
          </cell>
          <cell r="H630">
            <v>4343.3999999999996</v>
          </cell>
          <cell r="I630">
            <v>1174.6500000000001</v>
          </cell>
        </row>
        <row r="631">
          <cell r="G631">
            <v>985010</v>
          </cell>
          <cell r="H631">
            <v>3860.8</v>
          </cell>
          <cell r="I631">
            <v>1202.19</v>
          </cell>
        </row>
        <row r="632">
          <cell r="G632">
            <v>985011</v>
          </cell>
          <cell r="H632">
            <v>9636.6299999999992</v>
          </cell>
          <cell r="I632">
            <v>2441</v>
          </cell>
        </row>
        <row r="633">
          <cell r="G633">
            <v>985012</v>
          </cell>
          <cell r="H633">
            <v>2999.95</v>
          </cell>
          <cell r="I633">
            <v>1224.4100000000001</v>
          </cell>
        </row>
        <row r="634">
          <cell r="G634">
            <v>985013</v>
          </cell>
          <cell r="H634">
            <v>31096.74</v>
          </cell>
          <cell r="I634">
            <v>5984.67</v>
          </cell>
        </row>
        <row r="635">
          <cell r="G635">
            <v>985014</v>
          </cell>
          <cell r="H635">
            <v>13879.3</v>
          </cell>
          <cell r="I635">
            <v>6323.42</v>
          </cell>
        </row>
        <row r="636">
          <cell r="G636">
            <v>985021</v>
          </cell>
          <cell r="H636">
            <v>19207.64</v>
          </cell>
          <cell r="I636">
            <v>8846.4599999999991</v>
          </cell>
        </row>
        <row r="637">
          <cell r="G637">
            <v>985022</v>
          </cell>
          <cell r="H637">
            <v>1426.4</v>
          </cell>
          <cell r="I637">
            <v>949.43</v>
          </cell>
        </row>
        <row r="638">
          <cell r="G638">
            <v>985023</v>
          </cell>
          <cell r="H638">
            <v>7578.71</v>
          </cell>
          <cell r="I638">
            <v>2765.53</v>
          </cell>
        </row>
        <row r="639">
          <cell r="G639">
            <v>985024</v>
          </cell>
          <cell r="H639">
            <v>4465.7700000000004</v>
          </cell>
          <cell r="I639">
            <v>2553.34</v>
          </cell>
        </row>
        <row r="640">
          <cell r="G640">
            <v>985025</v>
          </cell>
          <cell r="H640">
            <v>668.64</v>
          </cell>
          <cell r="I640">
            <v>3670.45</v>
          </cell>
        </row>
        <row r="641">
          <cell r="G641">
            <v>985027</v>
          </cell>
          <cell r="H641">
            <v>1735.63</v>
          </cell>
          <cell r="I641">
            <v>845.15</v>
          </cell>
        </row>
        <row r="642">
          <cell r="G642">
            <v>985029</v>
          </cell>
          <cell r="H642">
            <v>1265.57</v>
          </cell>
          <cell r="I642">
            <v>766.83</v>
          </cell>
        </row>
        <row r="643">
          <cell r="G643">
            <v>985030</v>
          </cell>
          <cell r="H643">
            <v>1627.16</v>
          </cell>
          <cell r="I643">
            <v>827.08</v>
          </cell>
        </row>
        <row r="644">
          <cell r="G644">
            <v>985032</v>
          </cell>
          <cell r="H644">
            <v>4264.25</v>
          </cell>
          <cell r="I644">
            <v>1377.53</v>
          </cell>
        </row>
        <row r="645">
          <cell r="G645">
            <v>985038</v>
          </cell>
          <cell r="H645">
            <v>20602.62</v>
          </cell>
          <cell r="I645">
            <v>7331.29</v>
          </cell>
        </row>
        <row r="646">
          <cell r="G646">
            <v>985044</v>
          </cell>
          <cell r="H646">
            <v>7239</v>
          </cell>
          <cell r="I646">
            <v>1772.42</v>
          </cell>
        </row>
        <row r="647">
          <cell r="G647">
            <v>985047</v>
          </cell>
          <cell r="H647">
            <v>913.5</v>
          </cell>
          <cell r="I647">
            <v>784.06</v>
          </cell>
        </row>
        <row r="648">
          <cell r="G648">
            <v>985048</v>
          </cell>
          <cell r="H648">
            <v>330.18</v>
          </cell>
          <cell r="I648">
            <v>614.4</v>
          </cell>
        </row>
        <row r="649">
          <cell r="G649">
            <v>985052</v>
          </cell>
          <cell r="H649">
            <v>12770.96</v>
          </cell>
          <cell r="I649">
            <v>3257</v>
          </cell>
        </row>
        <row r="650">
          <cell r="G650">
            <v>985058</v>
          </cell>
          <cell r="H650">
            <v>1603.65</v>
          </cell>
          <cell r="I650">
            <v>900.8</v>
          </cell>
        </row>
        <row r="651">
          <cell r="G651">
            <v>985060</v>
          </cell>
          <cell r="H651">
            <v>5756.44</v>
          </cell>
          <cell r="I651">
            <v>2315.63</v>
          </cell>
        </row>
        <row r="652">
          <cell r="G652">
            <v>985063</v>
          </cell>
          <cell r="H652">
            <v>2389.66</v>
          </cell>
          <cell r="I652">
            <v>976.51</v>
          </cell>
        </row>
        <row r="653">
          <cell r="G653">
            <v>985064</v>
          </cell>
          <cell r="H653">
            <v>6661.54</v>
          </cell>
          <cell r="I653">
            <v>1812.7</v>
          </cell>
        </row>
        <row r="654">
          <cell r="G654">
            <v>985065</v>
          </cell>
          <cell r="H654">
            <v>17313.28</v>
          </cell>
          <cell r="I654">
            <v>3637.25</v>
          </cell>
        </row>
        <row r="655">
          <cell r="G655">
            <v>985067</v>
          </cell>
          <cell r="H655">
            <v>16537.61</v>
          </cell>
          <cell r="I655">
            <v>5252.71</v>
          </cell>
        </row>
        <row r="656">
          <cell r="G656">
            <v>985069</v>
          </cell>
          <cell r="H656">
            <v>6593.69</v>
          </cell>
          <cell r="I656">
            <v>3643.81</v>
          </cell>
        </row>
        <row r="657">
          <cell r="G657">
            <v>985070</v>
          </cell>
          <cell r="H657">
            <v>18665.919999999998</v>
          </cell>
          <cell r="I657">
            <v>3998.94</v>
          </cell>
        </row>
        <row r="658">
          <cell r="G658">
            <v>985072</v>
          </cell>
          <cell r="H658">
            <v>7694.36</v>
          </cell>
          <cell r="I658">
            <v>1935.31</v>
          </cell>
        </row>
        <row r="659">
          <cell r="G659">
            <v>985073</v>
          </cell>
          <cell r="H659">
            <v>34888.74</v>
          </cell>
          <cell r="I659">
            <v>9526.09</v>
          </cell>
        </row>
        <row r="660">
          <cell r="G660">
            <v>985074</v>
          </cell>
          <cell r="H660">
            <v>5793.12</v>
          </cell>
          <cell r="I660">
            <v>1529.18</v>
          </cell>
        </row>
        <row r="661">
          <cell r="G661">
            <v>985075</v>
          </cell>
          <cell r="H661">
            <v>3258.63</v>
          </cell>
          <cell r="I661">
            <v>1143.42</v>
          </cell>
        </row>
        <row r="662">
          <cell r="G662">
            <v>985076</v>
          </cell>
          <cell r="H662">
            <v>140.88999999999999</v>
          </cell>
          <cell r="I662">
            <v>580.71</v>
          </cell>
        </row>
        <row r="663">
          <cell r="G663">
            <v>985079</v>
          </cell>
          <cell r="H663">
            <v>1603.79</v>
          </cell>
          <cell r="I663">
            <v>1014.63</v>
          </cell>
        </row>
        <row r="664">
          <cell r="G664">
            <v>985082</v>
          </cell>
          <cell r="H664">
            <v>12791.31</v>
          </cell>
          <cell r="I664">
            <v>4174.28</v>
          </cell>
        </row>
        <row r="665">
          <cell r="G665">
            <v>985083</v>
          </cell>
          <cell r="H665">
            <v>7824.81</v>
          </cell>
          <cell r="I665">
            <v>1932.13</v>
          </cell>
        </row>
        <row r="666">
          <cell r="G666">
            <v>985089</v>
          </cell>
          <cell r="H666">
            <v>784.23</v>
          </cell>
          <cell r="I666">
            <v>732.03</v>
          </cell>
        </row>
        <row r="667">
          <cell r="G667">
            <v>985090</v>
          </cell>
          <cell r="H667">
            <v>22685.43</v>
          </cell>
          <cell r="I667">
            <v>4577.71</v>
          </cell>
        </row>
        <row r="668">
          <cell r="G668">
            <v>985091</v>
          </cell>
          <cell r="H668">
            <v>3073.52</v>
          </cell>
          <cell r="I668">
            <v>1307.49</v>
          </cell>
        </row>
        <row r="669">
          <cell r="G669">
            <v>985094</v>
          </cell>
          <cell r="H669">
            <v>36780.129999999997</v>
          </cell>
          <cell r="I669">
            <v>8667.94</v>
          </cell>
        </row>
        <row r="670">
          <cell r="G670">
            <v>985095</v>
          </cell>
          <cell r="H670">
            <v>10297.43</v>
          </cell>
          <cell r="I670">
            <v>2378.16</v>
          </cell>
        </row>
        <row r="671">
          <cell r="G671">
            <v>985097</v>
          </cell>
          <cell r="H671">
            <v>4097.68</v>
          </cell>
          <cell r="I671">
            <v>773.39</v>
          </cell>
        </row>
        <row r="672">
          <cell r="G672">
            <v>985103</v>
          </cell>
          <cell r="H672">
            <v>7578.7</v>
          </cell>
          <cell r="I672">
            <v>1933.46</v>
          </cell>
        </row>
        <row r="673">
          <cell r="G673">
            <v>985104</v>
          </cell>
          <cell r="H673">
            <v>290.60000000000002</v>
          </cell>
          <cell r="I673">
            <v>612.77</v>
          </cell>
        </row>
        <row r="674">
          <cell r="G674">
            <v>985106</v>
          </cell>
          <cell r="H674">
            <v>460.88</v>
          </cell>
          <cell r="I674">
            <v>678.42</v>
          </cell>
        </row>
        <row r="675">
          <cell r="G675">
            <v>985107</v>
          </cell>
          <cell r="H675">
            <v>5857.32</v>
          </cell>
          <cell r="I675">
            <v>1928.99</v>
          </cell>
        </row>
        <row r="676">
          <cell r="G676">
            <v>985109</v>
          </cell>
          <cell r="H676">
            <v>1269.08</v>
          </cell>
          <cell r="I676">
            <v>781.52</v>
          </cell>
        </row>
        <row r="677">
          <cell r="G677">
            <v>985112</v>
          </cell>
          <cell r="H677">
            <v>8781.2800000000007</v>
          </cell>
          <cell r="I677">
            <v>2586.69</v>
          </cell>
        </row>
        <row r="678">
          <cell r="G678">
            <v>985113</v>
          </cell>
          <cell r="H678">
            <v>7222.5</v>
          </cell>
          <cell r="I678">
            <v>1980.35</v>
          </cell>
        </row>
        <row r="679">
          <cell r="G679">
            <v>985116</v>
          </cell>
          <cell r="H679">
            <v>867.75</v>
          </cell>
          <cell r="I679">
            <v>723.76</v>
          </cell>
        </row>
        <row r="680">
          <cell r="G680">
            <v>985118</v>
          </cell>
          <cell r="H680">
            <v>3922.1</v>
          </cell>
          <cell r="I680">
            <v>1224.23</v>
          </cell>
        </row>
        <row r="681">
          <cell r="G681">
            <v>985119</v>
          </cell>
          <cell r="H681">
            <v>7168.99</v>
          </cell>
          <cell r="I681">
            <v>1805.13</v>
          </cell>
        </row>
        <row r="682">
          <cell r="G682">
            <v>985120</v>
          </cell>
          <cell r="H682">
            <v>4618.2</v>
          </cell>
          <cell r="I682">
            <v>1574.17</v>
          </cell>
        </row>
        <row r="683">
          <cell r="G683">
            <v>985122</v>
          </cell>
          <cell r="H683">
            <v>288.88</v>
          </cell>
          <cell r="I683">
            <v>586.84</v>
          </cell>
        </row>
        <row r="684">
          <cell r="G684">
            <v>985123</v>
          </cell>
          <cell r="H684">
            <v>1611.89</v>
          </cell>
          <cell r="I684">
            <v>948.65</v>
          </cell>
        </row>
        <row r="685">
          <cell r="G685">
            <v>985125</v>
          </cell>
          <cell r="H685">
            <v>591.74</v>
          </cell>
          <cell r="I685">
            <v>622.47</v>
          </cell>
        </row>
        <row r="686">
          <cell r="G686">
            <v>985126</v>
          </cell>
          <cell r="H686">
            <v>398.17</v>
          </cell>
          <cell r="I686">
            <v>602.72</v>
          </cell>
        </row>
        <row r="687">
          <cell r="G687">
            <v>985127</v>
          </cell>
          <cell r="H687">
            <v>7288.81</v>
          </cell>
          <cell r="I687">
            <v>4678.95</v>
          </cell>
        </row>
        <row r="688">
          <cell r="G688">
            <v>985128</v>
          </cell>
          <cell r="H688">
            <v>9242.89</v>
          </cell>
          <cell r="I688">
            <v>5410.45</v>
          </cell>
        </row>
        <row r="689">
          <cell r="G689">
            <v>985129</v>
          </cell>
          <cell r="H689">
            <v>4564.6000000000004</v>
          </cell>
          <cell r="I689">
            <v>2692.86</v>
          </cell>
        </row>
        <row r="690">
          <cell r="G690">
            <v>985131</v>
          </cell>
          <cell r="H690">
            <v>361.49</v>
          </cell>
          <cell r="I690">
            <v>639.85</v>
          </cell>
        </row>
        <row r="691">
          <cell r="G691">
            <v>985132</v>
          </cell>
          <cell r="H691">
            <v>2111.0300000000002</v>
          </cell>
          <cell r="I691">
            <v>694.27</v>
          </cell>
        </row>
        <row r="692">
          <cell r="G692">
            <v>985133</v>
          </cell>
          <cell r="H692">
            <v>34665.33</v>
          </cell>
          <cell r="I692">
            <v>6640.79</v>
          </cell>
        </row>
        <row r="693">
          <cell r="G693">
            <v>985134</v>
          </cell>
          <cell r="H693">
            <v>949.06</v>
          </cell>
          <cell r="I693">
            <v>4649.08</v>
          </cell>
        </row>
        <row r="694">
          <cell r="G694">
            <v>985135</v>
          </cell>
          <cell r="H694">
            <v>2173.3200000000002</v>
          </cell>
          <cell r="I694">
            <v>1092.97</v>
          </cell>
        </row>
        <row r="695">
          <cell r="G695">
            <v>985137</v>
          </cell>
          <cell r="H695">
            <v>2374.62</v>
          </cell>
          <cell r="I695">
            <v>1263.3599999999999</v>
          </cell>
        </row>
        <row r="696">
          <cell r="G696">
            <v>985138</v>
          </cell>
          <cell r="H696">
            <v>7345.82</v>
          </cell>
          <cell r="I696">
            <v>2622.24</v>
          </cell>
        </row>
        <row r="697">
          <cell r="G697">
            <v>985140</v>
          </cell>
          <cell r="H697">
            <v>118.85</v>
          </cell>
          <cell r="I697">
            <v>606.88</v>
          </cell>
        </row>
        <row r="698">
          <cell r="G698">
            <v>985141</v>
          </cell>
          <cell r="H698">
            <v>859586.67</v>
          </cell>
          <cell r="I698">
            <v>210157.08</v>
          </cell>
        </row>
        <row r="699">
          <cell r="G699">
            <v>985144</v>
          </cell>
          <cell r="H699">
            <v>3575.09</v>
          </cell>
          <cell r="I699">
            <v>1191.1199999999999</v>
          </cell>
        </row>
        <row r="700">
          <cell r="G700">
            <v>985148</v>
          </cell>
          <cell r="H700">
            <v>6715.92</v>
          </cell>
          <cell r="I700">
            <v>2018.85</v>
          </cell>
        </row>
        <row r="701">
          <cell r="G701">
            <v>985150</v>
          </cell>
          <cell r="H701">
            <v>40585.440000000002</v>
          </cell>
          <cell r="I701">
            <v>10942.47</v>
          </cell>
        </row>
        <row r="702">
          <cell r="G702">
            <v>985151</v>
          </cell>
          <cell r="H702">
            <v>108711</v>
          </cell>
          <cell r="I702">
            <v>18882.27</v>
          </cell>
        </row>
        <row r="703">
          <cell r="G703">
            <v>985158</v>
          </cell>
          <cell r="H703">
            <v>2616.6799999999998</v>
          </cell>
          <cell r="I703">
            <v>994.74</v>
          </cell>
        </row>
        <row r="704">
          <cell r="G704">
            <v>985160</v>
          </cell>
          <cell r="H704">
            <v>2181.4699999999998</v>
          </cell>
          <cell r="I704">
            <v>958.49</v>
          </cell>
        </row>
        <row r="705">
          <cell r="G705">
            <v>985161</v>
          </cell>
          <cell r="H705">
            <v>3382.12</v>
          </cell>
          <cell r="I705">
            <v>1121.8599999999999</v>
          </cell>
        </row>
        <row r="706">
          <cell r="G706">
            <v>985164</v>
          </cell>
          <cell r="H706">
            <v>9195.92</v>
          </cell>
          <cell r="I706">
            <v>2211.62</v>
          </cell>
        </row>
        <row r="707">
          <cell r="G707">
            <v>985166</v>
          </cell>
          <cell r="H707">
            <v>1344.73</v>
          </cell>
          <cell r="I707">
            <v>859.64</v>
          </cell>
        </row>
        <row r="708">
          <cell r="G708">
            <v>985168</v>
          </cell>
          <cell r="H708">
            <v>1578.07</v>
          </cell>
          <cell r="I708">
            <v>964.4</v>
          </cell>
        </row>
        <row r="709">
          <cell r="G709">
            <v>985170</v>
          </cell>
          <cell r="H709">
            <v>786.83</v>
          </cell>
          <cell r="I709">
            <v>732.17</v>
          </cell>
        </row>
        <row r="710">
          <cell r="G710">
            <v>985171</v>
          </cell>
          <cell r="H710">
            <v>482.96</v>
          </cell>
          <cell r="I710">
            <v>622.16999999999996</v>
          </cell>
        </row>
        <row r="711">
          <cell r="G711">
            <v>985173</v>
          </cell>
          <cell r="H711">
            <v>1430.77</v>
          </cell>
          <cell r="I711">
            <v>893.58</v>
          </cell>
        </row>
        <row r="712">
          <cell r="G712">
            <v>985179</v>
          </cell>
          <cell r="H712">
            <v>3409.7</v>
          </cell>
          <cell r="I712">
            <v>1338.95</v>
          </cell>
        </row>
        <row r="713">
          <cell r="G713">
            <v>985183</v>
          </cell>
          <cell r="H713">
            <v>44289</v>
          </cell>
          <cell r="I713">
            <v>8357.6299999999992</v>
          </cell>
        </row>
        <row r="714">
          <cell r="G714">
            <v>985184</v>
          </cell>
          <cell r="H714">
            <v>1396.58</v>
          </cell>
          <cell r="I714">
            <v>735.07</v>
          </cell>
        </row>
        <row r="715">
          <cell r="G715">
            <v>985185</v>
          </cell>
          <cell r="H715">
            <v>7359.43</v>
          </cell>
          <cell r="I715">
            <v>1826.45</v>
          </cell>
        </row>
        <row r="716">
          <cell r="G716">
            <v>985187</v>
          </cell>
          <cell r="H716">
            <v>9305.2000000000007</v>
          </cell>
          <cell r="I716">
            <v>2864.98</v>
          </cell>
        </row>
        <row r="717">
          <cell r="G717">
            <v>985188</v>
          </cell>
          <cell r="H717">
            <v>3720.82</v>
          </cell>
          <cell r="I717">
            <v>1200.6600000000001</v>
          </cell>
        </row>
        <row r="718">
          <cell r="G718">
            <v>985193</v>
          </cell>
          <cell r="H718">
            <v>14534.99</v>
          </cell>
          <cell r="I718">
            <v>3156.88</v>
          </cell>
        </row>
        <row r="719">
          <cell r="G719">
            <v>985195</v>
          </cell>
          <cell r="H719">
            <v>255792.62</v>
          </cell>
          <cell r="I719">
            <v>44005.13</v>
          </cell>
        </row>
        <row r="720">
          <cell r="G720">
            <v>985196</v>
          </cell>
          <cell r="H720">
            <v>5996.63</v>
          </cell>
          <cell r="I720">
            <v>1901.89</v>
          </cell>
        </row>
        <row r="721">
          <cell r="G721">
            <v>985197</v>
          </cell>
          <cell r="H721">
            <v>5486.56</v>
          </cell>
          <cell r="I721">
            <v>1469.33</v>
          </cell>
        </row>
        <row r="722">
          <cell r="G722">
            <v>985198</v>
          </cell>
          <cell r="H722">
            <v>25083.14</v>
          </cell>
          <cell r="I722">
            <v>4881.74</v>
          </cell>
        </row>
        <row r="723">
          <cell r="G723">
            <v>985200</v>
          </cell>
          <cell r="H723">
            <v>4327.9399999999996</v>
          </cell>
          <cell r="I723">
            <v>1543.43</v>
          </cell>
        </row>
        <row r="724">
          <cell r="G724">
            <v>985201</v>
          </cell>
          <cell r="H724">
            <v>7519.09</v>
          </cell>
          <cell r="I724">
            <v>1489.75</v>
          </cell>
        </row>
        <row r="725">
          <cell r="G725">
            <v>985202</v>
          </cell>
          <cell r="H725">
            <v>4365.12</v>
          </cell>
          <cell r="I725">
            <v>1303.58</v>
          </cell>
        </row>
        <row r="726">
          <cell r="G726">
            <v>985204</v>
          </cell>
          <cell r="H726">
            <v>78986.8</v>
          </cell>
          <cell r="I726">
            <v>14288</v>
          </cell>
        </row>
        <row r="727">
          <cell r="G727">
            <v>985206</v>
          </cell>
          <cell r="H727">
            <v>25095.02</v>
          </cell>
          <cell r="I727">
            <v>7087.44</v>
          </cell>
        </row>
        <row r="728">
          <cell r="G728">
            <v>985211</v>
          </cell>
          <cell r="H728">
            <v>297.20999999999998</v>
          </cell>
          <cell r="I728">
            <v>645.46</v>
          </cell>
        </row>
        <row r="729">
          <cell r="G729">
            <v>985212</v>
          </cell>
          <cell r="H729">
            <v>9534.2800000000007</v>
          </cell>
          <cell r="I729">
            <v>2214.29</v>
          </cell>
        </row>
        <row r="730">
          <cell r="G730">
            <v>985218</v>
          </cell>
          <cell r="H730">
            <v>6736.83</v>
          </cell>
          <cell r="I730">
            <v>1774.23</v>
          </cell>
        </row>
        <row r="731">
          <cell r="G731">
            <v>985219</v>
          </cell>
          <cell r="H731">
            <v>55098.48</v>
          </cell>
          <cell r="I731">
            <v>14512.29</v>
          </cell>
        </row>
        <row r="732">
          <cell r="G732">
            <v>985220</v>
          </cell>
          <cell r="H732">
            <v>34127.31</v>
          </cell>
          <cell r="I732">
            <v>7797.11</v>
          </cell>
        </row>
        <row r="733">
          <cell r="G733">
            <v>985221</v>
          </cell>
          <cell r="H733">
            <v>3744.49</v>
          </cell>
          <cell r="I733">
            <v>1206.19</v>
          </cell>
        </row>
        <row r="734">
          <cell r="G734">
            <v>985224</v>
          </cell>
          <cell r="H734">
            <v>1231.55</v>
          </cell>
          <cell r="I734">
            <v>848.03</v>
          </cell>
        </row>
        <row r="735">
          <cell r="G735">
            <v>985225</v>
          </cell>
          <cell r="H735">
            <v>5153.51</v>
          </cell>
          <cell r="I735">
            <v>1705.15</v>
          </cell>
        </row>
        <row r="736">
          <cell r="G736">
            <v>985226</v>
          </cell>
          <cell r="H736">
            <v>47597.56</v>
          </cell>
          <cell r="I736">
            <v>13675.08</v>
          </cell>
        </row>
        <row r="737">
          <cell r="G737">
            <v>985227</v>
          </cell>
          <cell r="H737">
            <v>461.83</v>
          </cell>
          <cell r="I737">
            <v>641.13</v>
          </cell>
        </row>
        <row r="738">
          <cell r="G738">
            <v>985228</v>
          </cell>
          <cell r="H738">
            <v>4198.62</v>
          </cell>
          <cell r="I738">
            <v>1571.26</v>
          </cell>
        </row>
        <row r="739">
          <cell r="G739">
            <v>985229</v>
          </cell>
          <cell r="H739">
            <v>392.41</v>
          </cell>
          <cell r="I739">
            <v>592.41</v>
          </cell>
        </row>
        <row r="740">
          <cell r="G740">
            <v>985230</v>
          </cell>
          <cell r="H740">
            <v>1359.45</v>
          </cell>
          <cell r="I740">
            <v>1214.97</v>
          </cell>
        </row>
        <row r="741">
          <cell r="G741">
            <v>985231</v>
          </cell>
          <cell r="H741">
            <v>22638.75</v>
          </cell>
          <cell r="I741">
            <v>4446.05</v>
          </cell>
        </row>
        <row r="742">
          <cell r="G742">
            <v>985232</v>
          </cell>
          <cell r="H742">
            <v>17330.400000000001</v>
          </cell>
          <cell r="I742">
            <v>3646.74</v>
          </cell>
        </row>
        <row r="743">
          <cell r="G743">
            <v>985233</v>
          </cell>
          <cell r="H743">
            <v>1285.25</v>
          </cell>
          <cell r="I743">
            <v>1490.41</v>
          </cell>
        </row>
        <row r="744">
          <cell r="G744">
            <v>985234</v>
          </cell>
          <cell r="H744">
            <v>79994.33</v>
          </cell>
          <cell r="I744">
            <v>25026.12</v>
          </cell>
        </row>
        <row r="745">
          <cell r="G745">
            <v>985235</v>
          </cell>
          <cell r="H745">
            <v>188812.92</v>
          </cell>
          <cell r="I745">
            <v>65916.13</v>
          </cell>
        </row>
        <row r="746">
          <cell r="G746">
            <v>985236</v>
          </cell>
          <cell r="H746">
            <v>175226.96</v>
          </cell>
          <cell r="I746">
            <v>31564.79</v>
          </cell>
        </row>
        <row r="747">
          <cell r="G747">
            <v>985241</v>
          </cell>
          <cell r="H747">
            <v>4153.53</v>
          </cell>
          <cell r="I747">
            <v>1479.97</v>
          </cell>
        </row>
        <row r="748">
          <cell r="G748">
            <v>985242</v>
          </cell>
          <cell r="H748">
            <v>43399.3</v>
          </cell>
          <cell r="I748">
            <v>9303.0300000000007</v>
          </cell>
        </row>
        <row r="749">
          <cell r="G749">
            <v>985245</v>
          </cell>
          <cell r="H749">
            <v>6428.16</v>
          </cell>
          <cell r="I749">
            <v>2012.34</v>
          </cell>
        </row>
        <row r="750">
          <cell r="G750">
            <v>985246</v>
          </cell>
          <cell r="H750">
            <v>872.95</v>
          </cell>
          <cell r="I750">
            <v>704.58</v>
          </cell>
        </row>
        <row r="751">
          <cell r="G751">
            <v>985248</v>
          </cell>
          <cell r="H751">
            <v>3266.54</v>
          </cell>
          <cell r="I751">
            <v>2247.42</v>
          </cell>
        </row>
        <row r="752">
          <cell r="G752">
            <v>985249</v>
          </cell>
          <cell r="H752">
            <v>5189.3</v>
          </cell>
          <cell r="I752">
            <v>4491.09</v>
          </cell>
        </row>
        <row r="753">
          <cell r="G753">
            <v>985250</v>
          </cell>
          <cell r="H753">
            <v>67087.25</v>
          </cell>
          <cell r="I753">
            <v>12783.52</v>
          </cell>
        </row>
        <row r="754">
          <cell r="G754">
            <v>985256</v>
          </cell>
          <cell r="H754">
            <v>89723.7</v>
          </cell>
          <cell r="I754">
            <v>15701.49</v>
          </cell>
        </row>
        <row r="755">
          <cell r="G755">
            <v>985257</v>
          </cell>
          <cell r="H755">
            <v>8791.11</v>
          </cell>
          <cell r="I755">
            <v>2088.7199999999998</v>
          </cell>
        </row>
        <row r="756">
          <cell r="G756">
            <v>985258</v>
          </cell>
          <cell r="H756">
            <v>7612.92</v>
          </cell>
          <cell r="I756">
            <v>1866.9</v>
          </cell>
        </row>
        <row r="757">
          <cell r="G757">
            <v>985264</v>
          </cell>
          <cell r="H757">
            <v>1049.3699999999999</v>
          </cell>
          <cell r="I757">
            <v>1132.71</v>
          </cell>
        </row>
        <row r="758">
          <cell r="G758">
            <v>985265</v>
          </cell>
          <cell r="H758">
            <v>46893.96</v>
          </cell>
          <cell r="I758">
            <v>10716.54</v>
          </cell>
        </row>
        <row r="759">
          <cell r="G759">
            <v>985266</v>
          </cell>
          <cell r="H759">
            <v>3742.95</v>
          </cell>
          <cell r="I759">
            <v>2132.2800000000002</v>
          </cell>
        </row>
        <row r="760">
          <cell r="G760">
            <v>985267</v>
          </cell>
          <cell r="H760">
            <v>9344.51</v>
          </cell>
          <cell r="I760">
            <v>3385.45</v>
          </cell>
        </row>
        <row r="761">
          <cell r="G761">
            <v>985268</v>
          </cell>
          <cell r="H761">
            <v>7415.69</v>
          </cell>
          <cell r="I761">
            <v>2448.79</v>
          </cell>
        </row>
        <row r="762">
          <cell r="G762">
            <v>985269</v>
          </cell>
          <cell r="H762">
            <v>956.34</v>
          </cell>
          <cell r="I762">
            <v>1013.65</v>
          </cell>
        </row>
        <row r="763">
          <cell r="G763">
            <v>985271</v>
          </cell>
          <cell r="H763">
            <v>1232.57</v>
          </cell>
          <cell r="I763">
            <v>870.36</v>
          </cell>
        </row>
        <row r="764">
          <cell r="G764">
            <v>985272</v>
          </cell>
          <cell r="H764">
            <v>15733.37</v>
          </cell>
          <cell r="I764">
            <v>4422.9399999999996</v>
          </cell>
        </row>
        <row r="765">
          <cell r="G765">
            <v>985276</v>
          </cell>
          <cell r="H765">
            <v>3478.75</v>
          </cell>
          <cell r="I765">
            <v>1427.87</v>
          </cell>
        </row>
        <row r="766">
          <cell r="G766">
            <v>985279</v>
          </cell>
          <cell r="H766">
            <v>1205.82</v>
          </cell>
          <cell r="I766">
            <v>700.39</v>
          </cell>
        </row>
        <row r="767">
          <cell r="G767">
            <v>985281</v>
          </cell>
          <cell r="H767">
            <v>201.46</v>
          </cell>
          <cell r="I767">
            <v>599.55999999999995</v>
          </cell>
        </row>
        <row r="768">
          <cell r="G768">
            <v>985284</v>
          </cell>
          <cell r="H768">
            <v>836.5</v>
          </cell>
          <cell r="I768">
            <v>1157.9000000000001</v>
          </cell>
        </row>
        <row r="769">
          <cell r="G769">
            <v>990001</v>
          </cell>
          <cell r="H769">
            <v>487.01</v>
          </cell>
          <cell r="I769">
            <v>605.76</v>
          </cell>
        </row>
        <row r="770">
          <cell r="G770">
            <v>990003</v>
          </cell>
          <cell r="H770">
            <v>5952.61</v>
          </cell>
          <cell r="I770">
            <v>1557.57</v>
          </cell>
        </row>
        <row r="771">
          <cell r="G771">
            <v>990006</v>
          </cell>
          <cell r="H771">
            <v>1532.12</v>
          </cell>
          <cell r="I771">
            <v>810.65</v>
          </cell>
        </row>
        <row r="772">
          <cell r="G772">
            <v>990007</v>
          </cell>
          <cell r="H772">
            <v>1522.58</v>
          </cell>
          <cell r="I772">
            <v>809.04</v>
          </cell>
        </row>
        <row r="773">
          <cell r="G773">
            <v>990011</v>
          </cell>
          <cell r="H773">
            <v>6510.04</v>
          </cell>
          <cell r="I773">
            <v>1659.85</v>
          </cell>
        </row>
        <row r="774">
          <cell r="G774">
            <v>990013</v>
          </cell>
          <cell r="H774">
            <v>201409.35</v>
          </cell>
          <cell r="I774">
            <v>34432.68</v>
          </cell>
        </row>
        <row r="775">
          <cell r="G775">
            <v>990014</v>
          </cell>
          <cell r="H775">
            <v>1829.43</v>
          </cell>
          <cell r="I775">
            <v>1147.79</v>
          </cell>
        </row>
        <row r="776">
          <cell r="G776">
            <v>990018</v>
          </cell>
          <cell r="H776">
            <v>13987.77</v>
          </cell>
          <cell r="I776">
            <v>5361.91</v>
          </cell>
        </row>
        <row r="777">
          <cell r="G777">
            <v>990020</v>
          </cell>
          <cell r="H777">
            <v>2120.7399999999998</v>
          </cell>
          <cell r="I777">
            <v>892.87</v>
          </cell>
        </row>
        <row r="778">
          <cell r="G778">
            <v>990022</v>
          </cell>
          <cell r="H778">
            <v>2465.14</v>
          </cell>
          <cell r="I778">
            <v>1112.26</v>
          </cell>
        </row>
        <row r="779">
          <cell r="G779">
            <v>990024</v>
          </cell>
          <cell r="H779">
            <v>108.58</v>
          </cell>
          <cell r="I779">
            <v>718.18</v>
          </cell>
        </row>
        <row r="780">
          <cell r="G780">
            <v>990025</v>
          </cell>
          <cell r="H780">
            <v>38651.82</v>
          </cell>
          <cell r="I780">
            <v>12856.79</v>
          </cell>
        </row>
        <row r="781">
          <cell r="G781">
            <v>990026</v>
          </cell>
          <cell r="H781">
            <v>965.82</v>
          </cell>
          <cell r="I781">
            <v>4066.63</v>
          </cell>
        </row>
        <row r="782">
          <cell r="G782">
            <v>990032</v>
          </cell>
          <cell r="H782">
            <v>962.04</v>
          </cell>
          <cell r="I782">
            <v>814.29</v>
          </cell>
        </row>
        <row r="783">
          <cell r="G783">
            <v>990037</v>
          </cell>
          <cell r="H783">
            <v>1464.7</v>
          </cell>
          <cell r="I783">
            <v>909.4</v>
          </cell>
        </row>
        <row r="784">
          <cell r="G784">
            <v>990038</v>
          </cell>
          <cell r="H784">
            <v>706.97</v>
          </cell>
          <cell r="I784">
            <v>714.64</v>
          </cell>
        </row>
        <row r="785">
          <cell r="G785">
            <v>990040</v>
          </cell>
          <cell r="H785">
            <v>2459.3000000000002</v>
          </cell>
          <cell r="I785">
            <v>1097.32</v>
          </cell>
        </row>
        <row r="786">
          <cell r="G786">
            <v>990046</v>
          </cell>
          <cell r="H786">
            <v>2175.3000000000002</v>
          </cell>
          <cell r="I786">
            <v>1281.54</v>
          </cell>
        </row>
        <row r="787">
          <cell r="G787">
            <v>990048</v>
          </cell>
          <cell r="H787">
            <v>22625.439999999999</v>
          </cell>
          <cell r="I787">
            <v>4609.4799999999996</v>
          </cell>
        </row>
        <row r="788">
          <cell r="G788">
            <v>990050</v>
          </cell>
          <cell r="H788">
            <v>1027.23</v>
          </cell>
          <cell r="I788">
            <v>730.17</v>
          </cell>
        </row>
        <row r="789">
          <cell r="G789">
            <v>990051</v>
          </cell>
          <cell r="H789">
            <v>5583.27</v>
          </cell>
          <cell r="I789">
            <v>1474.6</v>
          </cell>
        </row>
        <row r="790">
          <cell r="G790">
            <v>990052</v>
          </cell>
          <cell r="H790">
            <v>3967.75</v>
          </cell>
          <cell r="I790">
            <v>1218.9000000000001</v>
          </cell>
        </row>
        <row r="791">
          <cell r="G791">
            <v>990053</v>
          </cell>
          <cell r="H791">
            <v>7221.79</v>
          </cell>
          <cell r="I791">
            <v>2262.58</v>
          </cell>
        </row>
        <row r="792">
          <cell r="G792">
            <v>990054</v>
          </cell>
          <cell r="H792">
            <v>1566.48</v>
          </cell>
          <cell r="I792">
            <v>948.73</v>
          </cell>
        </row>
        <row r="793">
          <cell r="G793">
            <v>990055</v>
          </cell>
          <cell r="H793">
            <v>503846.6</v>
          </cell>
          <cell r="I793">
            <v>158992.09</v>
          </cell>
        </row>
        <row r="794">
          <cell r="G794">
            <v>990057</v>
          </cell>
          <cell r="H794">
            <v>22453</v>
          </cell>
          <cell r="I794">
            <v>8419.84</v>
          </cell>
        </row>
        <row r="795">
          <cell r="G795">
            <v>990059</v>
          </cell>
          <cell r="H795">
            <v>4302.97</v>
          </cell>
          <cell r="I795">
            <v>1582.76</v>
          </cell>
        </row>
        <row r="796">
          <cell r="G796">
            <v>990060</v>
          </cell>
          <cell r="H796">
            <v>21083.87</v>
          </cell>
          <cell r="I796">
            <v>9013.5300000000007</v>
          </cell>
        </row>
        <row r="797">
          <cell r="G797">
            <v>990061</v>
          </cell>
          <cell r="H797">
            <v>2295.0100000000002</v>
          </cell>
          <cell r="I797">
            <v>1030.26</v>
          </cell>
        </row>
        <row r="798">
          <cell r="G798">
            <v>990063</v>
          </cell>
          <cell r="H798">
            <v>143.09</v>
          </cell>
          <cell r="I798">
            <v>702.93</v>
          </cell>
        </row>
        <row r="799">
          <cell r="G799">
            <v>990064</v>
          </cell>
          <cell r="H799">
            <v>8264.77</v>
          </cell>
          <cell r="I799">
            <v>1989.78</v>
          </cell>
        </row>
        <row r="800">
          <cell r="G800">
            <v>990067</v>
          </cell>
          <cell r="H800">
            <v>10340.629999999999</v>
          </cell>
          <cell r="I800">
            <v>2680.9</v>
          </cell>
        </row>
        <row r="801">
          <cell r="G801">
            <v>990070</v>
          </cell>
          <cell r="H801">
            <v>11111.76</v>
          </cell>
          <cell r="I801">
            <v>3330.69</v>
          </cell>
        </row>
        <row r="802">
          <cell r="G802">
            <v>990074</v>
          </cell>
          <cell r="H802">
            <v>8170.13</v>
          </cell>
          <cell r="I802">
            <v>3357.69</v>
          </cell>
        </row>
        <row r="803">
          <cell r="G803">
            <v>990075</v>
          </cell>
          <cell r="H803">
            <v>33310.93</v>
          </cell>
          <cell r="I803">
            <v>6653.43</v>
          </cell>
        </row>
        <row r="804">
          <cell r="G804">
            <v>990076</v>
          </cell>
          <cell r="H804">
            <v>8767.67</v>
          </cell>
          <cell r="I804">
            <v>2166.7199999999998</v>
          </cell>
        </row>
        <row r="805">
          <cell r="G805">
            <v>990078</v>
          </cell>
          <cell r="H805">
            <v>6531.84</v>
          </cell>
          <cell r="I805">
            <v>2347.1999999999998</v>
          </cell>
        </row>
        <row r="806">
          <cell r="G806">
            <v>990079</v>
          </cell>
          <cell r="H806">
            <v>28200.13</v>
          </cell>
          <cell r="I806">
            <v>5559.01</v>
          </cell>
        </row>
        <row r="807">
          <cell r="G807">
            <v>990080</v>
          </cell>
          <cell r="H807">
            <v>5470.42</v>
          </cell>
          <cell r="I807">
            <v>878.98</v>
          </cell>
        </row>
        <row r="808">
          <cell r="G808">
            <v>990083</v>
          </cell>
          <cell r="H808">
            <v>4162.74</v>
          </cell>
          <cell r="I808">
            <v>2129.5</v>
          </cell>
        </row>
        <row r="809">
          <cell r="G809">
            <v>990085</v>
          </cell>
          <cell r="H809">
            <v>2573.21</v>
          </cell>
          <cell r="I809">
            <v>1161.03</v>
          </cell>
        </row>
        <row r="810">
          <cell r="G810">
            <v>990087</v>
          </cell>
          <cell r="H810">
            <v>5616.27</v>
          </cell>
          <cell r="I810">
            <v>1491.47</v>
          </cell>
        </row>
        <row r="811">
          <cell r="G811">
            <v>990088</v>
          </cell>
          <cell r="H811">
            <v>2355.14</v>
          </cell>
          <cell r="I811">
            <v>674.9</v>
          </cell>
        </row>
        <row r="812">
          <cell r="G812">
            <v>990089</v>
          </cell>
          <cell r="H812">
            <v>761.48</v>
          </cell>
          <cell r="I812">
            <v>743.99</v>
          </cell>
        </row>
        <row r="813">
          <cell r="G813">
            <v>990094</v>
          </cell>
          <cell r="H813">
            <v>2903.04</v>
          </cell>
          <cell r="I813">
            <v>1030.31</v>
          </cell>
        </row>
        <row r="814">
          <cell r="G814">
            <v>990098</v>
          </cell>
          <cell r="H814">
            <v>2056.3200000000002</v>
          </cell>
          <cell r="I814">
            <v>1013.54</v>
          </cell>
        </row>
        <row r="815">
          <cell r="G815">
            <v>990100</v>
          </cell>
          <cell r="H815">
            <v>3925.35</v>
          </cell>
          <cell r="I815">
            <v>1728.69</v>
          </cell>
        </row>
        <row r="816">
          <cell r="G816">
            <v>990103</v>
          </cell>
          <cell r="H816">
            <v>213984.27</v>
          </cell>
          <cell r="I816">
            <v>13502.73</v>
          </cell>
        </row>
        <row r="817">
          <cell r="G817">
            <v>990104</v>
          </cell>
          <cell r="H817">
            <v>18039</v>
          </cell>
          <cell r="I817">
            <v>3769.91</v>
          </cell>
        </row>
        <row r="818">
          <cell r="G818">
            <v>990105</v>
          </cell>
          <cell r="H818">
            <v>7971.48</v>
          </cell>
          <cell r="I818">
            <v>1935.15</v>
          </cell>
        </row>
        <row r="819">
          <cell r="G819">
            <v>990106</v>
          </cell>
          <cell r="H819">
            <v>811.37</v>
          </cell>
          <cell r="I819">
            <v>740.51</v>
          </cell>
        </row>
        <row r="820">
          <cell r="G820">
            <v>990107</v>
          </cell>
          <cell r="H820">
            <v>7105.18</v>
          </cell>
          <cell r="I820">
            <v>2644.74</v>
          </cell>
        </row>
        <row r="821">
          <cell r="G821">
            <v>990108</v>
          </cell>
          <cell r="H821">
            <v>946.92</v>
          </cell>
          <cell r="I821">
            <v>762.85</v>
          </cell>
        </row>
        <row r="822">
          <cell r="G822">
            <v>990109</v>
          </cell>
          <cell r="H822">
            <v>294.43</v>
          </cell>
          <cell r="I822">
            <v>619.29999999999995</v>
          </cell>
        </row>
        <row r="823">
          <cell r="G823">
            <v>990110</v>
          </cell>
          <cell r="H823">
            <v>19554.88</v>
          </cell>
          <cell r="I823">
            <v>5387.4</v>
          </cell>
        </row>
        <row r="824">
          <cell r="G824">
            <v>990111</v>
          </cell>
          <cell r="H824">
            <v>1766.77</v>
          </cell>
          <cell r="I824">
            <v>943.08</v>
          </cell>
        </row>
        <row r="825">
          <cell r="G825">
            <v>990113</v>
          </cell>
          <cell r="H825">
            <v>2223.9699999999998</v>
          </cell>
          <cell r="I825">
            <v>1277.23</v>
          </cell>
        </row>
        <row r="826">
          <cell r="G826">
            <v>990114</v>
          </cell>
          <cell r="H826">
            <v>11080.5</v>
          </cell>
          <cell r="I826">
            <v>3495.82</v>
          </cell>
        </row>
        <row r="827">
          <cell r="G827">
            <v>990117</v>
          </cell>
          <cell r="H827">
            <v>3643.01</v>
          </cell>
          <cell r="I827">
            <v>1564.92</v>
          </cell>
        </row>
        <row r="828">
          <cell r="G828">
            <v>990120</v>
          </cell>
          <cell r="H828">
            <v>7967.58</v>
          </cell>
          <cell r="I828">
            <v>1070.05</v>
          </cell>
        </row>
        <row r="829">
          <cell r="G829">
            <v>990121</v>
          </cell>
          <cell r="H829">
            <v>29255.38</v>
          </cell>
          <cell r="I829">
            <v>8284.89</v>
          </cell>
        </row>
        <row r="830">
          <cell r="G830">
            <v>990122</v>
          </cell>
          <cell r="H830">
            <v>1588.86</v>
          </cell>
          <cell r="I830">
            <v>998.48</v>
          </cell>
        </row>
        <row r="831">
          <cell r="G831">
            <v>990124</v>
          </cell>
          <cell r="H831">
            <v>38213.57</v>
          </cell>
          <cell r="I831">
            <v>10266.51</v>
          </cell>
        </row>
        <row r="832">
          <cell r="G832">
            <v>990125</v>
          </cell>
          <cell r="H832">
            <v>2331.14</v>
          </cell>
          <cell r="I832">
            <v>946.38</v>
          </cell>
        </row>
        <row r="833">
          <cell r="G833">
            <v>990126</v>
          </cell>
          <cell r="H833">
            <v>23500.14</v>
          </cell>
          <cell r="I833">
            <v>3810.65</v>
          </cell>
        </row>
        <row r="834">
          <cell r="G834">
            <v>990131</v>
          </cell>
          <cell r="H834">
            <v>45200.74</v>
          </cell>
          <cell r="I834">
            <v>8116.3</v>
          </cell>
        </row>
        <row r="835">
          <cell r="G835">
            <v>990137</v>
          </cell>
          <cell r="H835">
            <v>922.09</v>
          </cell>
          <cell r="I835">
            <v>1484.88</v>
          </cell>
        </row>
        <row r="836">
          <cell r="G836">
            <v>990138</v>
          </cell>
          <cell r="H836">
            <v>2682.43</v>
          </cell>
          <cell r="I836">
            <v>1770.18</v>
          </cell>
        </row>
        <row r="837">
          <cell r="G837">
            <v>990140</v>
          </cell>
          <cell r="H837">
            <v>5948.96</v>
          </cell>
          <cell r="I837">
            <v>2852.24</v>
          </cell>
        </row>
        <row r="838">
          <cell r="G838">
            <v>990141</v>
          </cell>
          <cell r="H838">
            <v>3758.26</v>
          </cell>
          <cell r="I838">
            <v>1738.39</v>
          </cell>
        </row>
        <row r="839">
          <cell r="G839">
            <v>990149</v>
          </cell>
          <cell r="H839">
            <v>4156.8999999999996</v>
          </cell>
          <cell r="I839">
            <v>2143.02</v>
          </cell>
        </row>
        <row r="840">
          <cell r="G840">
            <v>990151</v>
          </cell>
          <cell r="H840">
            <v>30147.09</v>
          </cell>
          <cell r="I840">
            <v>5677.26</v>
          </cell>
        </row>
        <row r="841">
          <cell r="G841">
            <v>990152</v>
          </cell>
          <cell r="H841">
            <v>2495.7399999999998</v>
          </cell>
          <cell r="I841">
            <v>1312.05</v>
          </cell>
        </row>
        <row r="842">
          <cell r="G842">
            <v>990159</v>
          </cell>
          <cell r="H842">
            <v>754.93</v>
          </cell>
          <cell r="I842">
            <v>778.95</v>
          </cell>
        </row>
        <row r="843">
          <cell r="G843">
            <v>990163</v>
          </cell>
          <cell r="H843">
            <v>8801.75</v>
          </cell>
          <cell r="I843">
            <v>4900.6899999999996</v>
          </cell>
        </row>
        <row r="844">
          <cell r="G844">
            <v>990165</v>
          </cell>
          <cell r="H844">
            <v>1550.14</v>
          </cell>
          <cell r="I844">
            <v>927.42</v>
          </cell>
        </row>
        <row r="845">
          <cell r="G845">
            <v>990167</v>
          </cell>
          <cell r="H845">
            <v>8180.99</v>
          </cell>
          <cell r="I845">
            <v>2025.27</v>
          </cell>
        </row>
        <row r="846">
          <cell r="G846">
            <v>990169</v>
          </cell>
          <cell r="H846">
            <v>363.12</v>
          </cell>
          <cell r="I846">
            <v>795.23</v>
          </cell>
        </row>
        <row r="847">
          <cell r="G847">
            <v>990171</v>
          </cell>
          <cell r="H847">
            <v>4240.09</v>
          </cell>
          <cell r="I847">
            <v>2177.02</v>
          </cell>
        </row>
        <row r="848">
          <cell r="G848">
            <v>990172</v>
          </cell>
          <cell r="H848">
            <v>5467.21</v>
          </cell>
          <cell r="I848">
            <v>3659.02</v>
          </cell>
        </row>
        <row r="849">
          <cell r="G849">
            <v>990173</v>
          </cell>
          <cell r="H849">
            <v>2797.18</v>
          </cell>
          <cell r="I849">
            <v>1187.73</v>
          </cell>
        </row>
        <row r="850">
          <cell r="G850">
            <v>990174</v>
          </cell>
          <cell r="H850">
            <v>12831.69</v>
          </cell>
          <cell r="I850">
            <v>4727.53</v>
          </cell>
        </row>
        <row r="851">
          <cell r="G851">
            <v>990177</v>
          </cell>
          <cell r="H851">
            <v>16524.900000000001</v>
          </cell>
          <cell r="I851">
            <v>7820.84</v>
          </cell>
        </row>
        <row r="852">
          <cell r="G852">
            <v>990180</v>
          </cell>
          <cell r="H852">
            <v>3938.93</v>
          </cell>
          <cell r="I852">
            <v>1405.73</v>
          </cell>
        </row>
        <row r="853">
          <cell r="G853">
            <v>990181</v>
          </cell>
          <cell r="H853">
            <v>11249.28</v>
          </cell>
          <cell r="I853">
            <v>2551.42</v>
          </cell>
        </row>
        <row r="854">
          <cell r="G854">
            <v>990182</v>
          </cell>
          <cell r="H854">
            <v>7799.37</v>
          </cell>
          <cell r="I854">
            <v>2919.17</v>
          </cell>
        </row>
        <row r="855">
          <cell r="G855">
            <v>990183</v>
          </cell>
          <cell r="H855">
            <v>3546.2</v>
          </cell>
          <cell r="I855">
            <v>1422.25</v>
          </cell>
        </row>
        <row r="856">
          <cell r="G856">
            <v>990185</v>
          </cell>
          <cell r="H856">
            <v>16238.73</v>
          </cell>
          <cell r="I856">
            <v>6164.51</v>
          </cell>
        </row>
        <row r="857">
          <cell r="G857">
            <v>990186</v>
          </cell>
          <cell r="H857">
            <v>3281.52</v>
          </cell>
          <cell r="I857">
            <v>1570.49</v>
          </cell>
        </row>
        <row r="858">
          <cell r="G858">
            <v>990188</v>
          </cell>
          <cell r="H858">
            <v>472.25</v>
          </cell>
          <cell r="I858">
            <v>882.11</v>
          </cell>
        </row>
        <row r="859">
          <cell r="G859">
            <v>990197</v>
          </cell>
          <cell r="H859">
            <v>82168.84</v>
          </cell>
          <cell r="I859">
            <v>17455.78</v>
          </cell>
        </row>
        <row r="860">
          <cell r="G860">
            <v>990202</v>
          </cell>
          <cell r="H860">
            <v>5812.32</v>
          </cell>
          <cell r="I860">
            <v>2149.56</v>
          </cell>
        </row>
        <row r="861">
          <cell r="G861">
            <v>990204</v>
          </cell>
          <cell r="H861">
            <v>2383.4299999999998</v>
          </cell>
          <cell r="I861">
            <v>1250.51</v>
          </cell>
        </row>
        <row r="862">
          <cell r="G862">
            <v>990207</v>
          </cell>
          <cell r="H862">
            <v>5074.51</v>
          </cell>
          <cell r="I862">
            <v>1698.11</v>
          </cell>
        </row>
        <row r="863">
          <cell r="G863">
            <v>990209</v>
          </cell>
          <cell r="H863">
            <v>462.64</v>
          </cell>
          <cell r="I863">
            <v>704.55</v>
          </cell>
        </row>
        <row r="864">
          <cell r="G864">
            <v>990210</v>
          </cell>
          <cell r="H864">
            <v>11042.67</v>
          </cell>
          <cell r="I864">
            <v>2512.5100000000002</v>
          </cell>
        </row>
        <row r="865">
          <cell r="G865">
            <v>990211</v>
          </cell>
          <cell r="H865">
            <v>6171.51</v>
          </cell>
          <cell r="I865">
            <v>917.29</v>
          </cell>
        </row>
        <row r="866">
          <cell r="G866">
            <v>990214</v>
          </cell>
          <cell r="H866">
            <v>210.56</v>
          </cell>
          <cell r="I866">
            <v>608.01</v>
          </cell>
        </row>
        <row r="867">
          <cell r="G867">
            <v>990229</v>
          </cell>
          <cell r="H867">
            <v>9.09</v>
          </cell>
          <cell r="I867">
            <v>772.09</v>
          </cell>
        </row>
        <row r="868">
          <cell r="G868">
            <v>990236</v>
          </cell>
          <cell r="H868">
            <v>10893.6</v>
          </cell>
          <cell r="I868">
            <v>2520.31</v>
          </cell>
        </row>
        <row r="869">
          <cell r="G869">
            <v>990237</v>
          </cell>
          <cell r="H869">
            <v>6439.33</v>
          </cell>
          <cell r="I869">
            <v>2272.41</v>
          </cell>
        </row>
        <row r="870">
          <cell r="G870">
            <v>990240</v>
          </cell>
          <cell r="H870">
            <v>2705.47</v>
          </cell>
          <cell r="I870">
            <v>1654.92</v>
          </cell>
        </row>
        <row r="871">
          <cell r="G871">
            <v>990243</v>
          </cell>
          <cell r="H871">
            <v>4535.8500000000004</v>
          </cell>
          <cell r="I871">
            <v>1868.96</v>
          </cell>
        </row>
        <row r="872">
          <cell r="G872">
            <v>990244</v>
          </cell>
          <cell r="H872">
            <v>1028.6099999999999</v>
          </cell>
          <cell r="I872">
            <v>1417.7</v>
          </cell>
        </row>
        <row r="873">
          <cell r="G873">
            <v>990245</v>
          </cell>
          <cell r="H873">
            <v>5831.69</v>
          </cell>
          <cell r="I873">
            <v>3344.09</v>
          </cell>
        </row>
        <row r="874">
          <cell r="G874">
            <v>990252</v>
          </cell>
          <cell r="H874">
            <v>13004.01</v>
          </cell>
          <cell r="I874">
            <v>3391.72</v>
          </cell>
        </row>
        <row r="875">
          <cell r="G875">
            <v>990259</v>
          </cell>
          <cell r="H875">
            <v>1377.35</v>
          </cell>
          <cell r="I875">
            <v>1206.6500000000001</v>
          </cell>
        </row>
        <row r="876">
          <cell r="G876">
            <v>990260</v>
          </cell>
          <cell r="H876">
            <v>3869.17</v>
          </cell>
          <cell r="I876">
            <v>2167.63</v>
          </cell>
        </row>
        <row r="877">
          <cell r="G877">
            <v>990263</v>
          </cell>
          <cell r="H877">
            <v>8540.3700000000008</v>
          </cell>
          <cell r="I877">
            <v>2856.96</v>
          </cell>
        </row>
        <row r="878">
          <cell r="G878">
            <v>990264</v>
          </cell>
          <cell r="H878">
            <v>2511.9499999999998</v>
          </cell>
          <cell r="I878">
            <v>1274.6300000000001</v>
          </cell>
        </row>
        <row r="879">
          <cell r="G879">
            <v>990267</v>
          </cell>
          <cell r="H879">
            <v>7388.08</v>
          </cell>
          <cell r="I879">
            <v>2067.9499999999998</v>
          </cell>
        </row>
        <row r="880">
          <cell r="G880">
            <v>990268</v>
          </cell>
          <cell r="H880">
            <v>2296.8000000000002</v>
          </cell>
          <cell r="I880">
            <v>937.2</v>
          </cell>
        </row>
        <row r="881">
          <cell r="G881">
            <v>990274</v>
          </cell>
          <cell r="H881">
            <v>7483.36</v>
          </cell>
          <cell r="I881">
            <v>2806.69</v>
          </cell>
        </row>
        <row r="882">
          <cell r="G882">
            <v>990275</v>
          </cell>
          <cell r="H882">
            <v>1096.3800000000001</v>
          </cell>
          <cell r="I882">
            <v>894.9</v>
          </cell>
        </row>
        <row r="883">
          <cell r="G883">
            <v>990276</v>
          </cell>
          <cell r="H883">
            <v>1114.03</v>
          </cell>
          <cell r="I883">
            <v>610.9</v>
          </cell>
        </row>
        <row r="884">
          <cell r="G884">
            <v>990277</v>
          </cell>
          <cell r="H884">
            <v>903.65</v>
          </cell>
          <cell r="I884">
            <v>858.01</v>
          </cell>
        </row>
        <row r="885">
          <cell r="G885">
            <v>990278</v>
          </cell>
          <cell r="H885">
            <v>7548.77</v>
          </cell>
          <cell r="I885">
            <v>1968.37</v>
          </cell>
        </row>
        <row r="886">
          <cell r="G886">
            <v>990283</v>
          </cell>
          <cell r="H886">
            <v>1926.77</v>
          </cell>
          <cell r="I886">
            <v>1441.03</v>
          </cell>
        </row>
        <row r="887">
          <cell r="G887">
            <v>990284</v>
          </cell>
          <cell r="H887">
            <v>6032.59</v>
          </cell>
          <cell r="I887">
            <v>2767.04</v>
          </cell>
        </row>
        <row r="888">
          <cell r="G888">
            <v>990286</v>
          </cell>
          <cell r="H888">
            <v>2077.2399999999998</v>
          </cell>
          <cell r="I888">
            <v>1206.1400000000001</v>
          </cell>
        </row>
        <row r="889">
          <cell r="G889">
            <v>990299</v>
          </cell>
          <cell r="H889">
            <v>92.35</v>
          </cell>
          <cell r="I889">
            <v>785.85</v>
          </cell>
        </row>
        <row r="890">
          <cell r="G890">
            <v>990312</v>
          </cell>
          <cell r="H890">
            <v>736.23</v>
          </cell>
          <cell r="I890">
            <v>802.78</v>
          </cell>
        </row>
        <row r="891">
          <cell r="G891">
            <v>990313</v>
          </cell>
          <cell r="H891">
            <v>1010.48</v>
          </cell>
          <cell r="I891">
            <v>1466.59</v>
          </cell>
        </row>
        <row r="892">
          <cell r="G892">
            <v>990314</v>
          </cell>
          <cell r="H892">
            <v>2566.54</v>
          </cell>
          <cell r="I892">
            <v>2279.61</v>
          </cell>
        </row>
        <row r="893">
          <cell r="G893">
            <v>990317</v>
          </cell>
          <cell r="H893">
            <v>3719.54</v>
          </cell>
          <cell r="I893">
            <v>3802.84</v>
          </cell>
        </row>
        <row r="894">
          <cell r="G894">
            <v>990319</v>
          </cell>
          <cell r="H894">
            <v>16955.64</v>
          </cell>
          <cell r="I894">
            <v>4293.1000000000004</v>
          </cell>
        </row>
        <row r="895">
          <cell r="G895">
            <v>990325</v>
          </cell>
          <cell r="H895">
            <v>1543.63</v>
          </cell>
          <cell r="I895">
            <v>1392.59</v>
          </cell>
        </row>
        <row r="896">
          <cell r="G896">
            <v>990326</v>
          </cell>
          <cell r="H896">
            <v>1938.94</v>
          </cell>
          <cell r="I896">
            <v>1463.21</v>
          </cell>
        </row>
        <row r="897">
          <cell r="G897">
            <v>990328</v>
          </cell>
          <cell r="H897">
            <v>666.3</v>
          </cell>
          <cell r="I897">
            <v>955.67</v>
          </cell>
        </row>
        <row r="898">
          <cell r="G898">
            <v>990330</v>
          </cell>
          <cell r="H898">
            <v>1763.48</v>
          </cell>
          <cell r="I898">
            <v>1243.1500000000001</v>
          </cell>
        </row>
        <row r="899">
          <cell r="G899">
            <v>990333</v>
          </cell>
          <cell r="H899">
            <v>6156.78</v>
          </cell>
          <cell r="I899">
            <v>2003.28</v>
          </cell>
        </row>
        <row r="900">
          <cell r="G900">
            <v>990337</v>
          </cell>
          <cell r="H900">
            <v>2517.6</v>
          </cell>
          <cell r="I900">
            <v>1291.83</v>
          </cell>
        </row>
        <row r="901">
          <cell r="G901">
            <v>990341</v>
          </cell>
          <cell r="H901">
            <v>6670.86</v>
          </cell>
          <cell r="I901">
            <v>2180.23</v>
          </cell>
        </row>
        <row r="902">
          <cell r="G902">
            <v>990342</v>
          </cell>
          <cell r="H902">
            <v>130.38999999999999</v>
          </cell>
          <cell r="I902">
            <v>784.48</v>
          </cell>
        </row>
        <row r="903">
          <cell r="G903">
            <v>990343</v>
          </cell>
          <cell r="H903">
            <v>6307</v>
          </cell>
          <cell r="I903">
            <v>2145.9299999999998</v>
          </cell>
        </row>
        <row r="904">
          <cell r="G904">
            <v>990346</v>
          </cell>
          <cell r="H904">
            <v>8738.11</v>
          </cell>
          <cell r="I904">
            <v>1363.91</v>
          </cell>
        </row>
        <row r="905">
          <cell r="G905">
            <v>990348</v>
          </cell>
          <cell r="H905">
            <v>4695.9399999999996</v>
          </cell>
          <cell r="I905">
            <v>1955.59</v>
          </cell>
        </row>
        <row r="906">
          <cell r="G906">
            <v>990352</v>
          </cell>
          <cell r="H906">
            <v>23454.400000000001</v>
          </cell>
          <cell r="I906">
            <v>4550</v>
          </cell>
        </row>
        <row r="907">
          <cell r="G907">
            <v>990361</v>
          </cell>
          <cell r="H907">
            <v>8164.74</v>
          </cell>
          <cell r="I907">
            <v>1484.86</v>
          </cell>
        </row>
        <row r="908">
          <cell r="G908">
            <v>990367</v>
          </cell>
          <cell r="H908">
            <v>812.28</v>
          </cell>
          <cell r="I908">
            <v>903.34</v>
          </cell>
        </row>
        <row r="909">
          <cell r="G909">
            <v>990368</v>
          </cell>
          <cell r="H909">
            <v>1482.76</v>
          </cell>
          <cell r="I909">
            <v>1045.6500000000001</v>
          </cell>
        </row>
        <row r="910">
          <cell r="G910">
            <v>990379</v>
          </cell>
          <cell r="H910">
            <v>14860.94</v>
          </cell>
          <cell r="I910">
            <v>2544.17</v>
          </cell>
        </row>
        <row r="911">
          <cell r="G911">
            <v>990387</v>
          </cell>
          <cell r="H911">
            <v>4649.8599999999997</v>
          </cell>
          <cell r="I911">
            <v>2454.9699999999998</v>
          </cell>
        </row>
        <row r="912">
          <cell r="G912">
            <v>990418</v>
          </cell>
          <cell r="H912">
            <v>6808.99</v>
          </cell>
          <cell r="I912">
            <v>3329.69</v>
          </cell>
        </row>
        <row r="913">
          <cell r="G913">
            <v>990425</v>
          </cell>
          <cell r="H913">
            <v>5668.63</v>
          </cell>
          <cell r="I913">
            <v>1839.68</v>
          </cell>
        </row>
        <row r="914">
          <cell r="G914">
            <v>990426</v>
          </cell>
          <cell r="H914">
            <v>7912.45</v>
          </cell>
          <cell r="I914">
            <v>4114.33</v>
          </cell>
        </row>
        <row r="915">
          <cell r="G915">
            <v>990430</v>
          </cell>
          <cell r="H915">
            <v>7912.45</v>
          </cell>
          <cell r="I915">
            <v>3956.15</v>
          </cell>
        </row>
        <row r="916">
          <cell r="G916">
            <v>990434</v>
          </cell>
          <cell r="H916">
            <v>3428.26</v>
          </cell>
          <cell r="I916">
            <v>1869.34</v>
          </cell>
        </row>
        <row r="917">
          <cell r="G917">
            <v>990439</v>
          </cell>
          <cell r="H917">
            <v>31878.13</v>
          </cell>
          <cell r="I917">
            <v>16089.83</v>
          </cell>
        </row>
        <row r="918">
          <cell r="G918">
            <v>990529</v>
          </cell>
          <cell r="H918">
            <v>4541.3599999999997</v>
          </cell>
          <cell r="I918">
            <v>1543.89</v>
          </cell>
        </row>
        <row r="919">
          <cell r="G919" t="str">
            <v/>
          </cell>
        </row>
      </sheetData>
      <sheetData sheetId="1"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522429.06</v>
          </cell>
          <cell r="R3">
            <v>97739.069999999992</v>
          </cell>
          <cell r="S3">
            <v>195994.3</v>
          </cell>
          <cell r="T3">
            <v>472527.28</v>
          </cell>
          <cell r="U3">
            <v>2504221.5000000005</v>
          </cell>
          <cell r="V3">
            <v>12789206.869999999</v>
          </cell>
          <cell r="Y3">
            <v>70731</v>
          </cell>
          <cell r="Z3">
            <v>9276</v>
          </cell>
          <cell r="AA3">
            <v>2700</v>
          </cell>
          <cell r="AB3">
            <v>50606</v>
          </cell>
          <cell r="AC3">
            <v>113621</v>
          </cell>
          <cell r="AD3">
            <v>1417624.29</v>
          </cell>
        </row>
        <row r="4">
          <cell r="A4">
            <v>984083</v>
          </cell>
          <cell r="C4">
            <v>5</v>
          </cell>
          <cell r="D4">
            <v>2384</v>
          </cell>
          <cell r="E4">
            <v>0</v>
          </cell>
          <cell r="F4">
            <v>0</v>
          </cell>
          <cell r="G4">
            <v>57634.27</v>
          </cell>
          <cell r="H4">
            <v>60023.27</v>
          </cell>
          <cell r="I4">
            <v>376960.32</v>
          </cell>
          <cell r="J4">
            <v>92154</v>
          </cell>
          <cell r="K4" t="str">
            <v>MP</v>
          </cell>
        </row>
        <row r="5">
          <cell r="A5">
            <v>984265</v>
          </cell>
          <cell r="C5">
            <v>837</v>
          </cell>
          <cell r="D5">
            <v>180</v>
          </cell>
          <cell r="E5">
            <v>463</v>
          </cell>
          <cell r="F5">
            <v>1526</v>
          </cell>
          <cell r="G5">
            <v>4785</v>
          </cell>
          <cell r="H5">
            <v>7794.02</v>
          </cell>
          <cell r="I5">
            <v>34284.550000000003</v>
          </cell>
          <cell r="J5">
            <v>90083</v>
          </cell>
          <cell r="K5" t="str">
            <v>MP</v>
          </cell>
        </row>
        <row r="6">
          <cell r="A6">
            <v>984338</v>
          </cell>
          <cell r="C6">
            <v>916</v>
          </cell>
          <cell r="D6">
            <v>565</v>
          </cell>
          <cell r="E6">
            <v>456</v>
          </cell>
          <cell r="F6">
            <v>2320</v>
          </cell>
          <cell r="G6">
            <v>4588</v>
          </cell>
          <cell r="H6">
            <v>8848.14</v>
          </cell>
          <cell r="I6">
            <v>56617.34</v>
          </cell>
          <cell r="J6">
            <v>90096</v>
          </cell>
          <cell r="K6" t="str">
            <v>MP</v>
          </cell>
        </row>
        <row r="7">
          <cell r="A7">
            <v>984342</v>
          </cell>
          <cell r="C7">
            <v>1409</v>
          </cell>
          <cell r="D7">
            <v>125</v>
          </cell>
          <cell r="E7">
            <v>142</v>
          </cell>
          <cell r="F7">
            <v>1080</v>
          </cell>
          <cell r="G7">
            <v>3857</v>
          </cell>
          <cell r="H7">
            <v>6616.06</v>
          </cell>
          <cell r="I7">
            <v>11265.34</v>
          </cell>
          <cell r="J7">
            <v>90442</v>
          </cell>
          <cell r="K7" t="str">
            <v>MP</v>
          </cell>
        </row>
        <row r="8">
          <cell r="A8">
            <v>984498</v>
          </cell>
          <cell r="C8">
            <v>168</v>
          </cell>
          <cell r="D8">
            <v>15</v>
          </cell>
          <cell r="E8">
            <v>287</v>
          </cell>
          <cell r="F8">
            <v>181</v>
          </cell>
          <cell r="G8">
            <v>487</v>
          </cell>
          <cell r="H8">
            <v>1141.04</v>
          </cell>
          <cell r="I8">
            <v>2253.6</v>
          </cell>
          <cell r="J8">
            <v>91620</v>
          </cell>
          <cell r="K8" t="str">
            <v>MP</v>
          </cell>
        </row>
        <row r="9">
          <cell r="A9">
            <v>984547</v>
          </cell>
          <cell r="C9">
            <v>169</v>
          </cell>
          <cell r="D9">
            <v>14</v>
          </cell>
          <cell r="E9">
            <v>425</v>
          </cell>
          <cell r="F9">
            <v>185</v>
          </cell>
          <cell r="G9">
            <v>332</v>
          </cell>
          <cell r="H9">
            <v>1127.94</v>
          </cell>
          <cell r="I9">
            <v>1475.06</v>
          </cell>
          <cell r="J9">
            <v>90496</v>
          </cell>
          <cell r="K9" t="str">
            <v>MP</v>
          </cell>
        </row>
        <row r="10">
          <cell r="A10">
            <v>984627</v>
          </cell>
          <cell r="C10">
            <v>27906</v>
          </cell>
          <cell r="D10">
            <v>635</v>
          </cell>
          <cell r="E10">
            <v>436</v>
          </cell>
          <cell r="F10">
            <v>2602</v>
          </cell>
          <cell r="G10">
            <v>22227</v>
          </cell>
          <cell r="H10">
            <v>53809.84</v>
          </cell>
          <cell r="I10">
            <v>67121.820000000007</v>
          </cell>
          <cell r="J10">
            <v>90403</v>
          </cell>
          <cell r="K10" t="str">
            <v>MP</v>
          </cell>
        </row>
        <row r="11">
          <cell r="A11">
            <v>984638</v>
          </cell>
          <cell r="C11">
            <v>11938</v>
          </cell>
          <cell r="D11">
            <v>1236</v>
          </cell>
          <cell r="E11">
            <v>130</v>
          </cell>
          <cell r="F11">
            <v>5366</v>
          </cell>
          <cell r="G11">
            <v>38016</v>
          </cell>
          <cell r="H11">
            <v>56688.55</v>
          </cell>
          <cell r="I11">
            <v>114251.45</v>
          </cell>
          <cell r="J11">
            <v>90442</v>
          </cell>
          <cell r="K11" t="str">
            <v>MP</v>
          </cell>
        </row>
        <row r="12">
          <cell r="A12">
            <v>984651</v>
          </cell>
          <cell r="C12">
            <v>417</v>
          </cell>
          <cell r="D12">
            <v>31</v>
          </cell>
          <cell r="E12">
            <v>290</v>
          </cell>
          <cell r="F12">
            <v>450</v>
          </cell>
          <cell r="G12">
            <v>1892</v>
          </cell>
          <cell r="H12">
            <v>3082.78</v>
          </cell>
          <cell r="I12">
            <v>9467.77</v>
          </cell>
          <cell r="J12">
            <v>91343</v>
          </cell>
          <cell r="K12" t="str">
            <v>MP</v>
          </cell>
        </row>
        <row r="13">
          <cell r="A13">
            <v>984655</v>
          </cell>
          <cell r="C13">
            <v>1437</v>
          </cell>
          <cell r="D13">
            <v>1290</v>
          </cell>
          <cell r="E13">
            <v>463</v>
          </cell>
          <cell r="F13">
            <v>4952</v>
          </cell>
          <cell r="G13">
            <v>22362</v>
          </cell>
          <cell r="H13">
            <v>30506.799999999999</v>
          </cell>
          <cell r="I13">
            <v>124423.26</v>
          </cell>
          <cell r="J13">
            <v>90570</v>
          </cell>
          <cell r="K13" t="str">
            <v>MP</v>
          </cell>
        </row>
        <row r="14">
          <cell r="A14">
            <v>984671</v>
          </cell>
          <cell r="C14">
            <v>391</v>
          </cell>
          <cell r="D14">
            <v>9</v>
          </cell>
          <cell r="E14">
            <v>290</v>
          </cell>
          <cell r="F14">
            <v>200</v>
          </cell>
          <cell r="G14">
            <v>576</v>
          </cell>
          <cell r="H14">
            <v>1468.4</v>
          </cell>
          <cell r="I14">
            <v>2672.7</v>
          </cell>
          <cell r="J14">
            <v>91462</v>
          </cell>
          <cell r="K14" t="str">
            <v>MP</v>
          </cell>
        </row>
        <row r="15">
          <cell r="A15">
            <v>984672</v>
          </cell>
          <cell r="C15">
            <v>730</v>
          </cell>
          <cell r="D15">
            <v>28</v>
          </cell>
          <cell r="E15">
            <v>290</v>
          </cell>
          <cell r="F15">
            <v>278</v>
          </cell>
          <cell r="G15">
            <v>882</v>
          </cell>
          <cell r="H15">
            <v>2210.52</v>
          </cell>
          <cell r="I15">
            <v>3944.59</v>
          </cell>
          <cell r="J15">
            <v>91462</v>
          </cell>
          <cell r="K15" t="str">
            <v>MP</v>
          </cell>
        </row>
        <row r="16">
          <cell r="A16">
            <v>984697</v>
          </cell>
          <cell r="C16">
            <v>166</v>
          </cell>
          <cell r="D16">
            <v>574</v>
          </cell>
          <cell r="E16">
            <v>650</v>
          </cell>
          <cell r="F16">
            <v>2662</v>
          </cell>
          <cell r="G16">
            <v>13016</v>
          </cell>
          <cell r="H16">
            <v>17071.5</v>
          </cell>
          <cell r="I16">
            <v>57809.4</v>
          </cell>
          <cell r="J16">
            <v>90614</v>
          </cell>
          <cell r="K16" t="str">
            <v>MP</v>
          </cell>
        </row>
        <row r="17">
          <cell r="A17">
            <v>984698</v>
          </cell>
          <cell r="C17">
            <v>590</v>
          </cell>
          <cell r="D17">
            <v>59</v>
          </cell>
          <cell r="E17">
            <v>130</v>
          </cell>
          <cell r="F17">
            <v>645</v>
          </cell>
          <cell r="G17">
            <v>2031</v>
          </cell>
          <cell r="H17">
            <v>3457.72</v>
          </cell>
          <cell r="I17">
            <v>8878.93</v>
          </cell>
          <cell r="J17">
            <v>91375</v>
          </cell>
          <cell r="K17" t="str">
            <v>MP</v>
          </cell>
        </row>
        <row r="18">
          <cell r="A18">
            <v>984699</v>
          </cell>
          <cell r="C18">
            <v>367</v>
          </cell>
          <cell r="D18">
            <v>48</v>
          </cell>
          <cell r="E18">
            <v>130</v>
          </cell>
          <cell r="F18">
            <v>405</v>
          </cell>
          <cell r="G18">
            <v>1651</v>
          </cell>
          <cell r="H18">
            <v>2602.77</v>
          </cell>
          <cell r="I18">
            <v>7546.46</v>
          </cell>
          <cell r="J18">
            <v>92105</v>
          </cell>
          <cell r="K18" t="str">
            <v>MP</v>
          </cell>
        </row>
        <row r="19">
          <cell r="A19">
            <v>984766</v>
          </cell>
          <cell r="C19">
            <v>169</v>
          </cell>
          <cell r="D19">
            <v>7</v>
          </cell>
          <cell r="E19">
            <v>453</v>
          </cell>
          <cell r="F19">
            <v>157</v>
          </cell>
          <cell r="G19">
            <v>216</v>
          </cell>
          <cell r="H19">
            <v>1004.02</v>
          </cell>
          <cell r="I19">
            <v>612.29999999999995</v>
          </cell>
          <cell r="J19">
            <v>90379</v>
          </cell>
          <cell r="K19" t="str">
            <v>MP</v>
          </cell>
        </row>
        <row r="20">
          <cell r="A20">
            <v>984782</v>
          </cell>
          <cell r="C20">
            <v>12748</v>
          </cell>
          <cell r="D20">
            <v>1320</v>
          </cell>
          <cell r="E20">
            <v>471</v>
          </cell>
          <cell r="F20">
            <v>5326</v>
          </cell>
          <cell r="G20">
            <v>42821</v>
          </cell>
          <cell r="H20">
            <v>62687.81</v>
          </cell>
          <cell r="I20">
            <v>128050.56</v>
          </cell>
          <cell r="J20">
            <v>90442</v>
          </cell>
          <cell r="K20" t="str">
            <v>MP</v>
          </cell>
        </row>
        <row r="21">
          <cell r="A21">
            <v>984783</v>
          </cell>
          <cell r="C21">
            <v>335</v>
          </cell>
          <cell r="D21">
            <v>78</v>
          </cell>
          <cell r="E21">
            <v>439</v>
          </cell>
          <cell r="F21">
            <v>806</v>
          </cell>
          <cell r="G21">
            <v>3427</v>
          </cell>
          <cell r="H21">
            <v>5087.87</v>
          </cell>
          <cell r="I21">
            <v>15812.68</v>
          </cell>
          <cell r="J21">
            <v>90097</v>
          </cell>
          <cell r="K21" t="str">
            <v>MP</v>
          </cell>
        </row>
        <row r="22">
          <cell r="A22">
            <v>984793</v>
          </cell>
          <cell r="C22">
            <v>187</v>
          </cell>
          <cell r="D22">
            <v>78</v>
          </cell>
          <cell r="E22">
            <v>460</v>
          </cell>
          <cell r="F22">
            <v>806</v>
          </cell>
          <cell r="G22">
            <v>3425</v>
          </cell>
          <cell r="H22">
            <v>4958.3100000000004</v>
          </cell>
          <cell r="I22">
            <v>15166.62</v>
          </cell>
          <cell r="J22">
            <v>90248</v>
          </cell>
          <cell r="K22" t="str">
            <v>MP</v>
          </cell>
        </row>
        <row r="23">
          <cell r="A23">
            <v>984816</v>
          </cell>
          <cell r="C23">
            <v>1448</v>
          </cell>
          <cell r="D23">
            <v>1062</v>
          </cell>
          <cell r="E23">
            <v>471</v>
          </cell>
          <cell r="F23">
            <v>7752</v>
          </cell>
          <cell r="G23">
            <v>28043</v>
          </cell>
          <cell r="H23">
            <v>38778.720000000001</v>
          </cell>
          <cell r="I23">
            <v>202638</v>
          </cell>
          <cell r="J23">
            <v>90062</v>
          </cell>
          <cell r="K23" t="str">
            <v>MP</v>
          </cell>
        </row>
        <row r="24">
          <cell r="A24">
            <v>984827</v>
          </cell>
          <cell r="C24">
            <v>1882</v>
          </cell>
          <cell r="D24">
            <v>383</v>
          </cell>
          <cell r="E24">
            <v>450</v>
          </cell>
          <cell r="F24">
            <v>2959</v>
          </cell>
          <cell r="G24">
            <v>12097</v>
          </cell>
          <cell r="H24">
            <v>17773.75</v>
          </cell>
          <cell r="I24">
            <v>75586.52</v>
          </cell>
          <cell r="J24">
            <v>90083</v>
          </cell>
          <cell r="K24" t="str">
            <v>MP</v>
          </cell>
        </row>
        <row r="25">
          <cell r="A25">
            <v>984861</v>
          </cell>
          <cell r="C25">
            <v>953</v>
          </cell>
          <cell r="D25">
            <v>222</v>
          </cell>
          <cell r="E25">
            <v>471</v>
          </cell>
          <cell r="F25">
            <v>1064</v>
          </cell>
          <cell r="G25">
            <v>6823</v>
          </cell>
          <cell r="H25">
            <v>9535.39</v>
          </cell>
          <cell r="I25">
            <v>21992.59</v>
          </cell>
          <cell r="J25">
            <v>90338</v>
          </cell>
          <cell r="K25" t="str">
            <v>MP</v>
          </cell>
        </row>
        <row r="26">
          <cell r="A26">
            <v>984893</v>
          </cell>
          <cell r="C26">
            <v>8279</v>
          </cell>
          <cell r="D26">
            <v>9686</v>
          </cell>
          <cell r="E26">
            <v>460</v>
          </cell>
          <cell r="F26">
            <v>35514</v>
          </cell>
          <cell r="G26">
            <v>177234</v>
          </cell>
          <cell r="H26">
            <v>231175.21</v>
          </cell>
          <cell r="I26">
            <v>962208.39</v>
          </cell>
          <cell r="J26">
            <v>91706</v>
          </cell>
          <cell r="K26" t="str">
            <v>MP</v>
          </cell>
        </row>
        <row r="27">
          <cell r="A27">
            <v>984897</v>
          </cell>
          <cell r="C27">
            <v>1391</v>
          </cell>
          <cell r="D27">
            <v>175</v>
          </cell>
          <cell r="E27">
            <v>471</v>
          </cell>
          <cell r="F27">
            <v>896</v>
          </cell>
          <cell r="G27">
            <v>5407</v>
          </cell>
          <cell r="H27">
            <v>8343.5</v>
          </cell>
          <cell r="I27">
            <v>16972.009999999998</v>
          </cell>
          <cell r="J27">
            <v>90338</v>
          </cell>
          <cell r="K27" t="str">
            <v>MP</v>
          </cell>
        </row>
        <row r="28">
          <cell r="A28">
            <v>984910</v>
          </cell>
          <cell r="C28">
            <v>843</v>
          </cell>
          <cell r="D28">
            <v>222</v>
          </cell>
          <cell r="E28">
            <v>450</v>
          </cell>
          <cell r="F28">
            <v>1828</v>
          </cell>
          <cell r="G28">
            <v>7555</v>
          </cell>
          <cell r="H28">
            <v>10900.85</v>
          </cell>
          <cell r="I28">
            <v>44171.58</v>
          </cell>
          <cell r="J28">
            <v>90083</v>
          </cell>
          <cell r="K28" t="str">
            <v>MP</v>
          </cell>
        </row>
        <row r="29">
          <cell r="A29">
            <v>984932</v>
          </cell>
          <cell r="C29">
            <v>761</v>
          </cell>
          <cell r="D29">
            <v>126</v>
          </cell>
          <cell r="E29">
            <v>464</v>
          </cell>
          <cell r="F29">
            <v>701</v>
          </cell>
          <cell r="G29">
            <v>3757</v>
          </cell>
          <cell r="H29">
            <v>5811.41</v>
          </cell>
          <cell r="I29">
            <v>12461.61</v>
          </cell>
          <cell r="J29">
            <v>90424</v>
          </cell>
          <cell r="K29" t="str">
            <v>MP</v>
          </cell>
        </row>
        <row r="30">
          <cell r="A30">
            <v>984935</v>
          </cell>
          <cell r="C30">
            <v>2003</v>
          </cell>
          <cell r="D30">
            <v>149</v>
          </cell>
          <cell r="E30">
            <v>453</v>
          </cell>
          <cell r="F30">
            <v>801</v>
          </cell>
          <cell r="G30">
            <v>4123</v>
          </cell>
          <cell r="H30">
            <v>7532.05</v>
          </cell>
          <cell r="I30">
            <v>13572.1</v>
          </cell>
          <cell r="J30">
            <v>91868</v>
          </cell>
          <cell r="K30" t="str">
            <v>MP</v>
          </cell>
        </row>
        <row r="31">
          <cell r="A31">
            <v>984936</v>
          </cell>
          <cell r="C31">
            <v>130</v>
          </cell>
          <cell r="D31">
            <v>336</v>
          </cell>
          <cell r="E31">
            <v>446</v>
          </cell>
          <cell r="F31">
            <v>1479</v>
          </cell>
          <cell r="G31">
            <v>7627</v>
          </cell>
          <cell r="H31">
            <v>10021.549999999999</v>
          </cell>
          <cell r="I31">
            <v>34380.5</v>
          </cell>
          <cell r="J31">
            <v>90614</v>
          </cell>
          <cell r="K31" t="str">
            <v>MP</v>
          </cell>
        </row>
        <row r="32">
          <cell r="A32">
            <v>984943</v>
          </cell>
          <cell r="C32">
            <v>478</v>
          </cell>
          <cell r="D32">
            <v>50</v>
          </cell>
          <cell r="E32">
            <v>130</v>
          </cell>
          <cell r="F32">
            <v>312</v>
          </cell>
          <cell r="G32">
            <v>1557</v>
          </cell>
          <cell r="H32">
            <v>2529.4299999999998</v>
          </cell>
          <cell r="I32">
            <v>7803.56</v>
          </cell>
          <cell r="J32">
            <v>91975</v>
          </cell>
          <cell r="K32" t="str">
            <v>MP</v>
          </cell>
        </row>
        <row r="33">
          <cell r="A33">
            <v>984962</v>
          </cell>
          <cell r="C33">
            <v>1115</v>
          </cell>
          <cell r="D33">
            <v>215</v>
          </cell>
          <cell r="E33">
            <v>471</v>
          </cell>
          <cell r="F33">
            <v>1040</v>
          </cell>
          <cell r="G33">
            <v>6628</v>
          </cell>
          <cell r="H33">
            <v>9471.6299999999992</v>
          </cell>
          <cell r="I33">
            <v>21278.959999999999</v>
          </cell>
          <cell r="J33">
            <v>90986</v>
          </cell>
          <cell r="K33" t="str">
            <v>MP</v>
          </cell>
        </row>
        <row r="34">
          <cell r="A34">
            <v>984974</v>
          </cell>
          <cell r="C34">
            <v>859</v>
          </cell>
          <cell r="D34">
            <v>89</v>
          </cell>
          <cell r="E34">
            <v>471</v>
          </cell>
          <cell r="F34">
            <v>880</v>
          </cell>
          <cell r="G34">
            <v>5274</v>
          </cell>
          <cell r="H34">
            <v>7574.88</v>
          </cell>
          <cell r="I34">
            <v>16760.27</v>
          </cell>
          <cell r="J34">
            <v>90338</v>
          </cell>
          <cell r="K34" t="str">
            <v>MP</v>
          </cell>
        </row>
        <row r="35">
          <cell r="A35">
            <v>984977</v>
          </cell>
          <cell r="C35">
            <v>9593</v>
          </cell>
          <cell r="D35">
            <v>454</v>
          </cell>
          <cell r="E35">
            <v>453</v>
          </cell>
          <cell r="F35">
            <v>1910</v>
          </cell>
          <cell r="G35">
            <v>13238</v>
          </cell>
          <cell r="H35">
            <v>25650.3</v>
          </cell>
          <cell r="I35">
            <v>38753.78</v>
          </cell>
          <cell r="J35">
            <v>92093</v>
          </cell>
          <cell r="K35" t="str">
            <v>MP</v>
          </cell>
        </row>
        <row r="36">
          <cell r="A36">
            <v>984985</v>
          </cell>
          <cell r="C36">
            <v>287</v>
          </cell>
          <cell r="D36">
            <v>208</v>
          </cell>
          <cell r="E36">
            <v>446</v>
          </cell>
          <cell r="F36">
            <v>1724</v>
          </cell>
          <cell r="G36">
            <v>13703</v>
          </cell>
          <cell r="H36">
            <v>16369.99</v>
          </cell>
          <cell r="I36">
            <v>41940.959999999999</v>
          </cell>
          <cell r="J36">
            <v>92217</v>
          </cell>
          <cell r="K36" t="str">
            <v>MP</v>
          </cell>
        </row>
        <row r="37">
          <cell r="A37">
            <v>985000</v>
          </cell>
          <cell r="C37">
            <v>167</v>
          </cell>
          <cell r="D37">
            <v>72</v>
          </cell>
          <cell r="E37">
            <v>409</v>
          </cell>
          <cell r="F37">
            <v>1448</v>
          </cell>
          <cell r="G37">
            <v>3186</v>
          </cell>
          <cell r="H37">
            <v>5284.62</v>
          </cell>
          <cell r="I37">
            <v>15401.57</v>
          </cell>
          <cell r="J37">
            <v>90061</v>
          </cell>
          <cell r="K37" t="str">
            <v>MP</v>
          </cell>
        </row>
        <row r="38">
          <cell r="A38">
            <v>985035</v>
          </cell>
          <cell r="C38">
            <v>227</v>
          </cell>
          <cell r="D38">
            <v>116</v>
          </cell>
          <cell r="E38">
            <v>463</v>
          </cell>
          <cell r="F38">
            <v>1071</v>
          </cell>
          <cell r="G38">
            <v>2097</v>
          </cell>
          <cell r="H38">
            <v>3976.05</v>
          </cell>
          <cell r="I38">
            <v>22615.43</v>
          </cell>
          <cell r="J38">
            <v>90083</v>
          </cell>
          <cell r="K38" t="str">
            <v>MP</v>
          </cell>
        </row>
        <row r="39">
          <cell r="A39">
            <v>985036</v>
          </cell>
          <cell r="C39">
            <v>518</v>
          </cell>
          <cell r="D39">
            <v>319</v>
          </cell>
          <cell r="E39">
            <v>425</v>
          </cell>
          <cell r="F39">
            <v>10793</v>
          </cell>
          <cell r="G39">
            <v>6956</v>
          </cell>
          <cell r="H39">
            <v>19013.580000000002</v>
          </cell>
          <cell r="I39">
            <v>67713.61</v>
          </cell>
          <cell r="J39">
            <v>90083</v>
          </cell>
          <cell r="K39" t="str">
            <v>MP</v>
          </cell>
        </row>
        <row r="40">
          <cell r="A40">
            <v>985041</v>
          </cell>
          <cell r="C40">
            <v>199</v>
          </cell>
          <cell r="D40">
            <v>77</v>
          </cell>
          <cell r="E40">
            <v>425</v>
          </cell>
          <cell r="F40">
            <v>806</v>
          </cell>
          <cell r="G40">
            <v>3422</v>
          </cell>
          <cell r="H40">
            <v>4931.2</v>
          </cell>
          <cell r="I40">
            <v>16472.82</v>
          </cell>
          <cell r="J40">
            <v>90097</v>
          </cell>
          <cell r="K40" t="str">
            <v>MP</v>
          </cell>
        </row>
        <row r="41">
          <cell r="A41">
            <v>985042</v>
          </cell>
          <cell r="C41">
            <v>1142</v>
          </cell>
          <cell r="D41">
            <v>348</v>
          </cell>
          <cell r="E41">
            <v>456</v>
          </cell>
          <cell r="F41">
            <v>2716</v>
          </cell>
          <cell r="G41">
            <v>10885</v>
          </cell>
          <cell r="H41">
            <v>15548.96</v>
          </cell>
          <cell r="I41">
            <v>68395.39</v>
          </cell>
          <cell r="J41">
            <v>90083</v>
          </cell>
          <cell r="K41" t="str">
            <v>MP</v>
          </cell>
        </row>
        <row r="42">
          <cell r="A42">
            <v>985050</v>
          </cell>
          <cell r="C42">
            <v>915</v>
          </cell>
          <cell r="D42">
            <v>598</v>
          </cell>
          <cell r="E42">
            <v>453</v>
          </cell>
          <cell r="F42">
            <v>4477</v>
          </cell>
          <cell r="G42">
            <v>26266</v>
          </cell>
          <cell r="H42">
            <v>32711.82</v>
          </cell>
          <cell r="I42">
            <v>118919.52</v>
          </cell>
          <cell r="J42">
            <v>90062</v>
          </cell>
          <cell r="K42" t="str">
            <v>MP</v>
          </cell>
        </row>
        <row r="43">
          <cell r="A43">
            <v>985051</v>
          </cell>
          <cell r="C43">
            <v>5028</v>
          </cell>
          <cell r="D43">
            <v>601</v>
          </cell>
          <cell r="E43">
            <v>453</v>
          </cell>
          <cell r="F43">
            <v>4500</v>
          </cell>
          <cell r="G43">
            <v>35840</v>
          </cell>
          <cell r="H43">
            <v>46424.89</v>
          </cell>
          <cell r="I43">
            <v>116793.57</v>
          </cell>
          <cell r="J43">
            <v>90472</v>
          </cell>
          <cell r="K43" t="str">
            <v>MP</v>
          </cell>
        </row>
        <row r="44">
          <cell r="A44">
            <v>985084</v>
          </cell>
          <cell r="C44">
            <v>376</v>
          </cell>
          <cell r="D44">
            <v>17</v>
          </cell>
          <cell r="E44">
            <v>130</v>
          </cell>
          <cell r="F44">
            <v>557</v>
          </cell>
          <cell r="G44">
            <v>545</v>
          </cell>
          <cell r="H44">
            <v>1626.98</v>
          </cell>
          <cell r="I44">
            <v>2463.63</v>
          </cell>
          <cell r="J44">
            <v>91462</v>
          </cell>
          <cell r="K44" t="str">
            <v>MP</v>
          </cell>
        </row>
        <row r="45">
          <cell r="A45">
            <v>985087</v>
          </cell>
          <cell r="C45">
            <v>1555</v>
          </cell>
          <cell r="D45">
            <v>424</v>
          </cell>
          <cell r="E45">
            <v>456</v>
          </cell>
          <cell r="F45">
            <v>1800</v>
          </cell>
          <cell r="G45">
            <v>9737</v>
          </cell>
          <cell r="H45">
            <v>13974.41</v>
          </cell>
          <cell r="I45">
            <v>42301.98</v>
          </cell>
          <cell r="J45">
            <v>90503</v>
          </cell>
          <cell r="K45" t="str">
            <v>MP</v>
          </cell>
        </row>
        <row r="46">
          <cell r="A46">
            <v>985111</v>
          </cell>
          <cell r="C46">
            <v>323</v>
          </cell>
          <cell r="D46">
            <v>42</v>
          </cell>
          <cell r="E46">
            <v>290</v>
          </cell>
          <cell r="F46">
            <v>553</v>
          </cell>
          <cell r="G46">
            <v>1380</v>
          </cell>
          <cell r="H46">
            <v>2589.86</v>
          </cell>
          <cell r="I46">
            <v>12832.37</v>
          </cell>
          <cell r="J46">
            <v>90061</v>
          </cell>
          <cell r="K46" t="str">
            <v>MP</v>
          </cell>
        </row>
        <row r="47">
          <cell r="A47">
            <v>985117</v>
          </cell>
          <cell r="C47">
            <v>193</v>
          </cell>
          <cell r="D47">
            <v>341</v>
          </cell>
          <cell r="E47">
            <v>450</v>
          </cell>
          <cell r="F47">
            <v>375</v>
          </cell>
          <cell r="G47">
            <v>7915</v>
          </cell>
          <cell r="H47">
            <v>9275.5400000000009</v>
          </cell>
          <cell r="I47">
            <v>35227.910000000003</v>
          </cell>
          <cell r="J47">
            <v>91841</v>
          </cell>
          <cell r="K47" t="str">
            <v>MP</v>
          </cell>
        </row>
        <row r="48">
          <cell r="A48">
            <v>985142</v>
          </cell>
          <cell r="C48">
            <v>5522</v>
          </cell>
          <cell r="D48">
            <v>0</v>
          </cell>
          <cell r="E48">
            <v>453</v>
          </cell>
          <cell r="F48">
            <v>1148</v>
          </cell>
          <cell r="G48">
            <v>8284</v>
          </cell>
          <cell r="H48">
            <v>15408.54</v>
          </cell>
          <cell r="I48">
            <v>21698.720000000001</v>
          </cell>
          <cell r="J48">
            <v>91365</v>
          </cell>
          <cell r="K48" t="str">
            <v>MP</v>
          </cell>
        </row>
        <row r="49">
          <cell r="A49">
            <v>985146</v>
          </cell>
          <cell r="C49">
            <v>1211</v>
          </cell>
          <cell r="D49">
            <v>523</v>
          </cell>
          <cell r="E49">
            <v>453</v>
          </cell>
          <cell r="F49">
            <v>3951</v>
          </cell>
          <cell r="G49">
            <v>23110</v>
          </cell>
          <cell r="H49">
            <v>29250.48</v>
          </cell>
          <cell r="I49">
            <v>104578.57</v>
          </cell>
          <cell r="J49">
            <v>90083</v>
          </cell>
          <cell r="K49" t="str">
            <v>MP</v>
          </cell>
        </row>
        <row r="50">
          <cell r="A50">
            <v>985147</v>
          </cell>
          <cell r="C50">
            <v>391</v>
          </cell>
          <cell r="D50">
            <v>283</v>
          </cell>
          <cell r="E50">
            <v>463</v>
          </cell>
          <cell r="F50">
            <v>2253</v>
          </cell>
          <cell r="G50">
            <v>4437</v>
          </cell>
          <cell r="H50">
            <v>7829.39</v>
          </cell>
          <cell r="I50">
            <v>55027.37</v>
          </cell>
          <cell r="J50">
            <v>90083</v>
          </cell>
          <cell r="K50" t="str">
            <v>MP</v>
          </cell>
        </row>
        <row r="51">
          <cell r="A51">
            <v>985157</v>
          </cell>
          <cell r="C51">
            <v>1277</v>
          </cell>
          <cell r="D51">
            <v>215</v>
          </cell>
          <cell r="E51">
            <v>453</v>
          </cell>
          <cell r="F51">
            <v>1776</v>
          </cell>
          <cell r="G51">
            <v>12842</v>
          </cell>
          <cell r="H51">
            <v>16566.55</v>
          </cell>
          <cell r="I51">
            <v>42259</v>
          </cell>
          <cell r="J51">
            <v>92263</v>
          </cell>
          <cell r="K51" t="str">
            <v>MP</v>
          </cell>
        </row>
        <row r="52">
          <cell r="A52">
            <v>985159</v>
          </cell>
          <cell r="C52">
            <v>741</v>
          </cell>
          <cell r="D52">
            <v>198</v>
          </cell>
          <cell r="E52">
            <v>453</v>
          </cell>
          <cell r="F52">
            <v>1655</v>
          </cell>
          <cell r="G52">
            <v>8910</v>
          </cell>
          <cell r="H52">
            <v>11959.32</v>
          </cell>
          <cell r="I52">
            <v>39177.410000000003</v>
          </cell>
          <cell r="J52">
            <v>90236</v>
          </cell>
          <cell r="K52" t="str">
            <v>MP</v>
          </cell>
        </row>
        <row r="53">
          <cell r="A53">
            <v>985175</v>
          </cell>
          <cell r="C53">
            <v>1296</v>
          </cell>
          <cell r="D53">
            <v>2463</v>
          </cell>
          <cell r="E53">
            <v>464</v>
          </cell>
          <cell r="F53">
            <v>9222</v>
          </cell>
          <cell r="G53">
            <v>19924</v>
          </cell>
          <cell r="H53">
            <v>33371.51</v>
          </cell>
          <cell r="I53">
            <v>254128.15</v>
          </cell>
          <cell r="J53">
            <v>91578</v>
          </cell>
          <cell r="K53" t="str">
            <v>MP</v>
          </cell>
        </row>
        <row r="54">
          <cell r="A54">
            <v>985207</v>
          </cell>
          <cell r="C54">
            <v>1476</v>
          </cell>
          <cell r="D54">
            <v>217</v>
          </cell>
          <cell r="E54">
            <v>435</v>
          </cell>
          <cell r="F54">
            <v>1429</v>
          </cell>
          <cell r="G54">
            <v>6677</v>
          </cell>
          <cell r="H54">
            <v>10236.94</v>
          </cell>
          <cell r="I54">
            <v>23590.47</v>
          </cell>
          <cell r="J54">
            <v>90376</v>
          </cell>
          <cell r="K54" t="str">
            <v>MP</v>
          </cell>
        </row>
        <row r="55">
          <cell r="A55">
            <v>985209</v>
          </cell>
          <cell r="C55">
            <v>348</v>
          </cell>
          <cell r="D55">
            <v>233</v>
          </cell>
          <cell r="E55">
            <v>446</v>
          </cell>
          <cell r="F55">
            <v>1900</v>
          </cell>
          <cell r="G55">
            <v>10231</v>
          </cell>
          <cell r="H55">
            <v>13159.84</v>
          </cell>
          <cell r="I55">
            <v>47079.14</v>
          </cell>
          <cell r="J55">
            <v>90097</v>
          </cell>
          <cell r="K55" t="str">
            <v>MP</v>
          </cell>
        </row>
        <row r="56">
          <cell r="A56">
            <v>985240</v>
          </cell>
          <cell r="C56">
            <v>92</v>
          </cell>
          <cell r="D56">
            <v>3</v>
          </cell>
          <cell r="E56">
            <v>290</v>
          </cell>
          <cell r="F56">
            <v>155</v>
          </cell>
          <cell r="G56">
            <v>143</v>
          </cell>
          <cell r="H56">
            <v>684.56</v>
          </cell>
          <cell r="I56">
            <v>928.66</v>
          </cell>
          <cell r="J56">
            <v>90485</v>
          </cell>
          <cell r="K56" t="str">
            <v>MP</v>
          </cell>
        </row>
        <row r="57">
          <cell r="A57">
            <v>985255</v>
          </cell>
          <cell r="C57">
            <v>186</v>
          </cell>
          <cell r="D57">
            <v>82</v>
          </cell>
          <cell r="E57">
            <v>453</v>
          </cell>
          <cell r="F57">
            <v>838</v>
          </cell>
          <cell r="G57">
            <v>776</v>
          </cell>
          <cell r="H57">
            <v>2337.67</v>
          </cell>
          <cell r="I57">
            <v>16394.97</v>
          </cell>
          <cell r="J57">
            <v>90061</v>
          </cell>
          <cell r="K57" t="str">
            <v>MP</v>
          </cell>
        </row>
        <row r="58">
          <cell r="A58">
            <v>985259</v>
          </cell>
          <cell r="C58">
            <v>78</v>
          </cell>
          <cell r="D58">
            <v>7</v>
          </cell>
          <cell r="E58">
            <v>130</v>
          </cell>
          <cell r="F58">
            <v>357</v>
          </cell>
          <cell r="G58">
            <v>236</v>
          </cell>
          <cell r="H58">
            <v>810.52</v>
          </cell>
          <cell r="I58">
            <v>1159.49</v>
          </cell>
          <cell r="J58">
            <v>90449</v>
          </cell>
          <cell r="K58" t="str">
            <v>MP</v>
          </cell>
        </row>
        <row r="59">
          <cell r="A59">
            <v>985262</v>
          </cell>
          <cell r="C59">
            <v>114</v>
          </cell>
          <cell r="D59">
            <v>1</v>
          </cell>
          <cell r="E59">
            <v>130</v>
          </cell>
          <cell r="F59">
            <v>357</v>
          </cell>
          <cell r="G59">
            <v>40</v>
          </cell>
          <cell r="H59">
            <v>643.64</v>
          </cell>
          <cell r="I59">
            <v>74.92</v>
          </cell>
          <cell r="J59">
            <v>91839</v>
          </cell>
          <cell r="K59" t="str">
            <v>MP</v>
          </cell>
        </row>
        <row r="60">
          <cell r="A60">
            <v>985263</v>
          </cell>
          <cell r="C60">
            <v>277</v>
          </cell>
          <cell r="D60">
            <v>165</v>
          </cell>
          <cell r="E60">
            <v>463</v>
          </cell>
          <cell r="F60">
            <v>1421</v>
          </cell>
          <cell r="G60">
            <v>2821</v>
          </cell>
          <cell r="H60">
            <v>5150.6400000000003</v>
          </cell>
          <cell r="I60">
            <v>32107.19</v>
          </cell>
          <cell r="J60">
            <v>90083</v>
          </cell>
          <cell r="K60" t="str">
            <v>MP</v>
          </cell>
        </row>
        <row r="61">
          <cell r="A61">
            <v>985273</v>
          </cell>
          <cell r="C61">
            <v>134</v>
          </cell>
          <cell r="D61">
            <v>72</v>
          </cell>
          <cell r="E61">
            <v>483</v>
          </cell>
          <cell r="F61">
            <v>770</v>
          </cell>
          <cell r="G61">
            <v>3199</v>
          </cell>
          <cell r="H61">
            <v>4660.26</v>
          </cell>
          <cell r="I61">
            <v>13593.38</v>
          </cell>
          <cell r="J61">
            <v>91979</v>
          </cell>
          <cell r="K61" t="str">
            <v>MP</v>
          </cell>
        </row>
        <row r="62">
          <cell r="A62">
            <v>985287</v>
          </cell>
          <cell r="C62">
            <v>190</v>
          </cell>
          <cell r="D62">
            <v>10</v>
          </cell>
          <cell r="E62">
            <v>453</v>
          </cell>
          <cell r="F62">
            <v>170</v>
          </cell>
          <cell r="G62">
            <v>325</v>
          </cell>
          <cell r="H62">
            <v>1149.81</v>
          </cell>
          <cell r="I62">
            <v>925</v>
          </cell>
          <cell r="J62">
            <v>91881</v>
          </cell>
          <cell r="K62" t="str">
            <v>MP</v>
          </cell>
        </row>
        <row r="63">
          <cell r="A63">
            <v>990002</v>
          </cell>
          <cell r="C63">
            <v>744</v>
          </cell>
          <cell r="D63">
            <v>145</v>
          </cell>
          <cell r="E63">
            <v>409</v>
          </cell>
          <cell r="F63">
            <v>785</v>
          </cell>
          <cell r="G63">
            <v>4940</v>
          </cell>
          <cell r="H63">
            <v>7024.54</v>
          </cell>
          <cell r="I63">
            <v>15444.74</v>
          </cell>
          <cell r="J63">
            <v>92105</v>
          </cell>
          <cell r="K63" t="str">
            <v>MP</v>
          </cell>
        </row>
        <row r="64">
          <cell r="A64">
            <v>990005</v>
          </cell>
          <cell r="C64">
            <v>1049</v>
          </cell>
          <cell r="D64">
            <v>93</v>
          </cell>
          <cell r="E64">
            <v>453</v>
          </cell>
          <cell r="F64">
            <v>589</v>
          </cell>
          <cell r="G64">
            <v>2452</v>
          </cell>
          <cell r="H64">
            <v>4637.67</v>
          </cell>
          <cell r="I64">
            <v>9130.01</v>
          </cell>
          <cell r="J64">
            <v>91342</v>
          </cell>
          <cell r="K64" t="str">
            <v>MP</v>
          </cell>
        </row>
        <row r="65">
          <cell r="A65">
            <v>990008</v>
          </cell>
          <cell r="C65">
            <v>637</v>
          </cell>
          <cell r="D65">
            <v>315</v>
          </cell>
          <cell r="E65">
            <v>464</v>
          </cell>
          <cell r="F65">
            <v>402</v>
          </cell>
          <cell r="G65">
            <v>6417</v>
          </cell>
          <cell r="H65">
            <v>8237.89</v>
          </cell>
          <cell r="I65">
            <v>61284.01</v>
          </cell>
          <cell r="J65">
            <v>90083</v>
          </cell>
          <cell r="K65" t="str">
            <v>MP</v>
          </cell>
        </row>
        <row r="66">
          <cell r="A66">
            <v>990009</v>
          </cell>
          <cell r="C66">
            <v>851</v>
          </cell>
          <cell r="D66">
            <v>276</v>
          </cell>
          <cell r="E66">
            <v>471</v>
          </cell>
          <cell r="F66">
            <v>2209</v>
          </cell>
          <cell r="G66">
            <v>13289</v>
          </cell>
          <cell r="H66">
            <v>17098.43</v>
          </cell>
          <cell r="I66">
            <v>52734.8</v>
          </cell>
          <cell r="J66">
            <v>90083</v>
          </cell>
          <cell r="K66" t="str">
            <v>MP</v>
          </cell>
        </row>
        <row r="67">
          <cell r="A67">
            <v>990010</v>
          </cell>
          <cell r="C67">
            <v>180</v>
          </cell>
          <cell r="D67">
            <v>62</v>
          </cell>
          <cell r="E67">
            <v>454</v>
          </cell>
          <cell r="F67">
            <v>694</v>
          </cell>
          <cell r="G67">
            <v>2729</v>
          </cell>
          <cell r="H67">
            <v>4121.68</v>
          </cell>
          <cell r="I67">
            <v>12280.39</v>
          </cell>
          <cell r="J67">
            <v>90083</v>
          </cell>
          <cell r="K67" t="str">
            <v>MP</v>
          </cell>
        </row>
        <row r="68">
          <cell r="A68">
            <v>990017</v>
          </cell>
          <cell r="C68">
            <v>286</v>
          </cell>
          <cell r="D68">
            <v>357</v>
          </cell>
          <cell r="E68">
            <v>471</v>
          </cell>
          <cell r="F68">
            <v>1523</v>
          </cell>
          <cell r="G68">
            <v>10699</v>
          </cell>
          <cell r="H68">
            <v>13337.93</v>
          </cell>
          <cell r="I68">
            <v>35400.47</v>
          </cell>
          <cell r="J68">
            <v>91431</v>
          </cell>
          <cell r="K68" t="str">
            <v>MP</v>
          </cell>
        </row>
        <row r="69">
          <cell r="A69">
            <v>990021</v>
          </cell>
          <cell r="C69">
            <v>3335</v>
          </cell>
          <cell r="D69">
            <v>140</v>
          </cell>
          <cell r="E69">
            <v>471</v>
          </cell>
          <cell r="F69">
            <v>1238</v>
          </cell>
          <cell r="G69">
            <v>5675</v>
          </cell>
          <cell r="H69">
            <v>10860.05</v>
          </cell>
          <cell r="I69">
            <v>24723.86</v>
          </cell>
          <cell r="J69">
            <v>92107</v>
          </cell>
          <cell r="K69" t="str">
            <v>MP</v>
          </cell>
        </row>
        <row r="70">
          <cell r="A70">
            <v>990031</v>
          </cell>
          <cell r="C70">
            <v>706</v>
          </cell>
          <cell r="D70">
            <v>29</v>
          </cell>
          <cell r="E70">
            <v>453</v>
          </cell>
          <cell r="F70">
            <v>239</v>
          </cell>
          <cell r="G70">
            <v>670</v>
          </cell>
          <cell r="H70">
            <v>2099.9699999999998</v>
          </cell>
          <cell r="I70">
            <v>2597.62</v>
          </cell>
          <cell r="J70">
            <v>91454</v>
          </cell>
          <cell r="K70" t="str">
            <v>MP</v>
          </cell>
        </row>
        <row r="71">
          <cell r="A71">
            <v>990033</v>
          </cell>
          <cell r="C71">
            <v>3170</v>
          </cell>
          <cell r="D71">
            <v>451</v>
          </cell>
          <cell r="E71">
            <v>453</v>
          </cell>
          <cell r="F71">
            <v>1898</v>
          </cell>
          <cell r="G71">
            <v>10218</v>
          </cell>
          <cell r="H71">
            <v>16191.78</v>
          </cell>
          <cell r="I71">
            <v>44390.02</v>
          </cell>
          <cell r="J71">
            <v>90503</v>
          </cell>
          <cell r="K71" t="str">
            <v>MP</v>
          </cell>
        </row>
        <row r="72">
          <cell r="A72">
            <v>990035</v>
          </cell>
          <cell r="C72">
            <v>441</v>
          </cell>
          <cell r="D72">
            <v>64</v>
          </cell>
          <cell r="E72">
            <v>453</v>
          </cell>
          <cell r="F72">
            <v>470</v>
          </cell>
          <cell r="G72">
            <v>1459</v>
          </cell>
          <cell r="H72">
            <v>2888.63</v>
          </cell>
          <cell r="I72">
            <v>6345.83</v>
          </cell>
          <cell r="J72">
            <v>90503</v>
          </cell>
          <cell r="K72" t="str">
            <v>MP</v>
          </cell>
        </row>
        <row r="73">
          <cell r="A73">
            <v>990036</v>
          </cell>
          <cell r="C73">
            <v>211</v>
          </cell>
          <cell r="D73">
            <v>104</v>
          </cell>
          <cell r="E73">
            <v>431</v>
          </cell>
          <cell r="F73">
            <v>1791</v>
          </cell>
          <cell r="G73">
            <v>8659</v>
          </cell>
          <cell r="H73">
            <v>11198.18</v>
          </cell>
          <cell r="I73">
            <v>41336.959999999999</v>
          </cell>
          <cell r="J73">
            <v>90485</v>
          </cell>
          <cell r="K73" t="str">
            <v>MP</v>
          </cell>
        </row>
        <row r="74">
          <cell r="A74">
            <v>990042</v>
          </cell>
          <cell r="C74">
            <v>321</v>
          </cell>
          <cell r="D74">
            <v>140</v>
          </cell>
          <cell r="E74">
            <v>460</v>
          </cell>
          <cell r="F74">
            <v>770</v>
          </cell>
          <cell r="G74">
            <v>819</v>
          </cell>
          <cell r="H74">
            <v>2512.98</v>
          </cell>
          <cell r="I74">
            <v>14079.93</v>
          </cell>
          <cell r="J74">
            <v>90061</v>
          </cell>
          <cell r="K74" t="str">
            <v>MP</v>
          </cell>
        </row>
        <row r="75">
          <cell r="A75">
            <v>990058</v>
          </cell>
          <cell r="C75">
            <v>382</v>
          </cell>
          <cell r="D75">
            <v>156</v>
          </cell>
          <cell r="E75">
            <v>439</v>
          </cell>
          <cell r="F75">
            <v>824</v>
          </cell>
          <cell r="G75">
            <v>3537</v>
          </cell>
          <cell r="H75">
            <v>5340.27</v>
          </cell>
          <cell r="I75">
            <v>16305.3</v>
          </cell>
          <cell r="J75">
            <v>91627</v>
          </cell>
          <cell r="K75" t="str">
            <v>MP</v>
          </cell>
        </row>
        <row r="76">
          <cell r="A76">
            <v>990062</v>
          </cell>
          <cell r="C76">
            <v>234</v>
          </cell>
          <cell r="D76">
            <v>141</v>
          </cell>
          <cell r="E76">
            <v>460</v>
          </cell>
          <cell r="F76">
            <v>772</v>
          </cell>
          <cell r="G76">
            <v>4363</v>
          </cell>
          <cell r="H76">
            <v>5973.89</v>
          </cell>
          <cell r="I76">
            <v>14532.95</v>
          </cell>
          <cell r="J76">
            <v>91431</v>
          </cell>
          <cell r="K76" t="str">
            <v>MP</v>
          </cell>
        </row>
        <row r="77">
          <cell r="A77">
            <v>990072</v>
          </cell>
          <cell r="C77">
            <v>212</v>
          </cell>
          <cell r="D77">
            <v>6</v>
          </cell>
          <cell r="E77">
            <v>463</v>
          </cell>
          <cell r="F77">
            <v>176</v>
          </cell>
          <cell r="G77">
            <v>377</v>
          </cell>
          <cell r="H77">
            <v>1237.53</v>
          </cell>
          <cell r="I77">
            <v>1105.69</v>
          </cell>
          <cell r="J77">
            <v>91591</v>
          </cell>
          <cell r="K77" t="str">
            <v>MP</v>
          </cell>
        </row>
        <row r="78">
          <cell r="A78">
            <v>990081</v>
          </cell>
          <cell r="C78">
            <v>3808</v>
          </cell>
          <cell r="D78">
            <v>905</v>
          </cell>
          <cell r="E78">
            <v>439</v>
          </cell>
          <cell r="F78">
            <v>3648</v>
          </cell>
          <cell r="G78">
            <v>5783</v>
          </cell>
          <cell r="H78">
            <v>14585.44</v>
          </cell>
          <cell r="I78">
            <v>96458.03</v>
          </cell>
          <cell r="J78">
            <v>90061</v>
          </cell>
          <cell r="K78" t="str">
            <v>MP</v>
          </cell>
        </row>
        <row r="79">
          <cell r="A79">
            <v>990082</v>
          </cell>
          <cell r="C79">
            <v>1407</v>
          </cell>
          <cell r="D79">
            <v>125</v>
          </cell>
          <cell r="E79">
            <v>425</v>
          </cell>
          <cell r="F79">
            <v>710</v>
          </cell>
          <cell r="G79">
            <v>4239</v>
          </cell>
          <cell r="H79">
            <v>6908.37</v>
          </cell>
          <cell r="I79">
            <v>12733.65</v>
          </cell>
          <cell r="J79">
            <v>91353</v>
          </cell>
          <cell r="K79" t="str">
            <v>MP</v>
          </cell>
        </row>
        <row r="80">
          <cell r="A80">
            <v>990084</v>
          </cell>
          <cell r="C80">
            <v>4206</v>
          </cell>
          <cell r="D80">
            <v>326</v>
          </cell>
          <cell r="E80">
            <v>460</v>
          </cell>
          <cell r="F80">
            <v>1484</v>
          </cell>
          <cell r="G80">
            <v>15351</v>
          </cell>
          <cell r="H80">
            <v>21829.7</v>
          </cell>
          <cell r="I80">
            <v>30494.52</v>
          </cell>
          <cell r="J80">
            <v>92260</v>
          </cell>
          <cell r="K80" t="str">
            <v>MP</v>
          </cell>
        </row>
        <row r="81">
          <cell r="A81">
            <v>990090</v>
          </cell>
          <cell r="C81">
            <v>174</v>
          </cell>
          <cell r="D81">
            <v>202</v>
          </cell>
          <cell r="E81">
            <v>439</v>
          </cell>
          <cell r="F81">
            <v>1682</v>
          </cell>
          <cell r="G81">
            <v>8874</v>
          </cell>
          <cell r="H81">
            <v>11372.2</v>
          </cell>
          <cell r="I81">
            <v>41579.279999999999</v>
          </cell>
          <cell r="J81">
            <v>90685</v>
          </cell>
          <cell r="K81" t="str">
            <v>MP</v>
          </cell>
        </row>
        <row r="82">
          <cell r="A82">
            <v>990091</v>
          </cell>
          <cell r="C82">
            <v>186</v>
          </cell>
          <cell r="D82">
            <v>83</v>
          </cell>
          <cell r="E82">
            <v>471</v>
          </cell>
          <cell r="F82">
            <v>845</v>
          </cell>
          <cell r="G82">
            <v>3669</v>
          </cell>
          <cell r="H82">
            <v>5256.63</v>
          </cell>
          <cell r="I82">
            <v>15965.72</v>
          </cell>
          <cell r="J82">
            <v>91147</v>
          </cell>
          <cell r="K82" t="str">
            <v>MP</v>
          </cell>
        </row>
        <row r="83">
          <cell r="A83">
            <v>990103</v>
          </cell>
          <cell r="C83">
            <v>1504</v>
          </cell>
          <cell r="D83">
            <v>1128</v>
          </cell>
          <cell r="E83">
            <v>475</v>
          </cell>
          <cell r="F83">
            <v>8216</v>
          </cell>
          <cell r="G83">
            <v>22086</v>
          </cell>
          <cell r="H83">
            <v>33412.83</v>
          </cell>
          <cell r="I83">
            <v>213984.27</v>
          </cell>
          <cell r="J83">
            <v>90062</v>
          </cell>
          <cell r="K83" t="str">
            <v>MP</v>
          </cell>
        </row>
        <row r="84">
          <cell r="A84">
            <v>990112</v>
          </cell>
          <cell r="C84">
            <v>2610</v>
          </cell>
          <cell r="D84">
            <v>479</v>
          </cell>
          <cell r="E84">
            <v>425</v>
          </cell>
          <cell r="F84">
            <v>2000</v>
          </cell>
          <cell r="G84">
            <v>14731</v>
          </cell>
          <cell r="H84">
            <v>20246.72</v>
          </cell>
          <cell r="I84">
            <v>50868.66</v>
          </cell>
          <cell r="J84">
            <v>90071</v>
          </cell>
          <cell r="K84" t="str">
            <v>MP</v>
          </cell>
        </row>
        <row r="85">
          <cell r="A85">
            <v>990118</v>
          </cell>
          <cell r="C85">
            <v>2443</v>
          </cell>
          <cell r="D85">
            <v>101</v>
          </cell>
          <cell r="E85">
            <v>439</v>
          </cell>
          <cell r="F85">
            <v>625</v>
          </cell>
          <cell r="G85">
            <v>3115</v>
          </cell>
          <cell r="H85">
            <v>6725.03</v>
          </cell>
          <cell r="I85">
            <v>9506.52</v>
          </cell>
          <cell r="J85">
            <v>90257</v>
          </cell>
          <cell r="K85" t="str">
            <v>MP</v>
          </cell>
        </row>
        <row r="86">
          <cell r="A86">
            <v>990132</v>
          </cell>
          <cell r="C86">
            <v>330</v>
          </cell>
          <cell r="D86">
            <v>283</v>
          </cell>
          <cell r="E86">
            <v>453</v>
          </cell>
          <cell r="F86">
            <v>1289</v>
          </cell>
          <cell r="G86">
            <v>6431</v>
          </cell>
          <cell r="H86">
            <v>8788.1200000000008</v>
          </cell>
          <cell r="I86">
            <v>29042.400000000001</v>
          </cell>
          <cell r="J86">
            <v>91468</v>
          </cell>
          <cell r="K86" t="str">
            <v>MP</v>
          </cell>
        </row>
        <row r="87">
          <cell r="A87">
            <v>990136</v>
          </cell>
          <cell r="C87">
            <v>1460</v>
          </cell>
          <cell r="D87">
            <v>981</v>
          </cell>
          <cell r="E87">
            <v>422</v>
          </cell>
          <cell r="F87">
            <v>3826</v>
          </cell>
          <cell r="G87">
            <v>29599</v>
          </cell>
          <cell r="H87">
            <v>36291.22</v>
          </cell>
          <cell r="I87">
            <v>101883.38</v>
          </cell>
          <cell r="J87">
            <v>91706</v>
          </cell>
          <cell r="K87" t="str">
            <v>MP</v>
          </cell>
        </row>
        <row r="88">
          <cell r="A88">
            <v>990142</v>
          </cell>
          <cell r="C88">
            <v>226</v>
          </cell>
          <cell r="D88">
            <v>406</v>
          </cell>
          <cell r="E88">
            <v>425</v>
          </cell>
          <cell r="F88">
            <v>1768</v>
          </cell>
          <cell r="G88">
            <v>9431</v>
          </cell>
          <cell r="H88">
            <v>12257.01</v>
          </cell>
          <cell r="I88">
            <v>46150.75</v>
          </cell>
          <cell r="J88">
            <v>90614</v>
          </cell>
          <cell r="K88" t="str">
            <v>MP</v>
          </cell>
        </row>
        <row r="89">
          <cell r="A89">
            <v>990156</v>
          </cell>
          <cell r="C89">
            <v>2053.9</v>
          </cell>
          <cell r="D89">
            <v>77.56</v>
          </cell>
          <cell r="E89">
            <v>453.26</v>
          </cell>
          <cell r="F89">
            <v>537.64</v>
          </cell>
          <cell r="G89">
            <v>2128</v>
          </cell>
          <cell r="H89">
            <v>5250.36</v>
          </cell>
          <cell r="I89">
            <v>6523.65</v>
          </cell>
          <cell r="J89">
            <v>91553</v>
          </cell>
          <cell r="K89" t="str">
            <v>MP</v>
          </cell>
        </row>
        <row r="90">
          <cell r="A90">
            <v>990160</v>
          </cell>
          <cell r="C90">
            <v>1048</v>
          </cell>
          <cell r="D90">
            <v>2</v>
          </cell>
          <cell r="E90">
            <v>483</v>
          </cell>
          <cell r="F90">
            <v>227</v>
          </cell>
          <cell r="G90">
            <v>802</v>
          </cell>
          <cell r="H90">
            <v>2564.02</v>
          </cell>
          <cell r="I90">
            <v>1960.85</v>
          </cell>
          <cell r="J90">
            <v>91262</v>
          </cell>
          <cell r="K90" t="str">
            <v>MP</v>
          </cell>
        </row>
        <row r="91">
          <cell r="A91">
            <v>990161</v>
          </cell>
          <cell r="C91">
            <v>2262</v>
          </cell>
          <cell r="D91">
            <v>61</v>
          </cell>
          <cell r="E91">
            <v>483</v>
          </cell>
          <cell r="F91">
            <v>452</v>
          </cell>
          <cell r="G91">
            <v>1900</v>
          </cell>
          <cell r="H91">
            <v>5159.8</v>
          </cell>
          <cell r="I91">
            <v>4731.3900000000003</v>
          </cell>
          <cell r="J91">
            <v>91262</v>
          </cell>
          <cell r="K91" t="str">
            <v>MP</v>
          </cell>
        </row>
        <row r="92">
          <cell r="A92">
            <v>990162</v>
          </cell>
          <cell r="C92">
            <v>2139</v>
          </cell>
          <cell r="D92">
            <v>67</v>
          </cell>
          <cell r="E92">
            <v>460</v>
          </cell>
          <cell r="F92">
            <v>489</v>
          </cell>
          <cell r="G92">
            <v>2060</v>
          </cell>
          <cell r="H92">
            <v>5217.1099999999997</v>
          </cell>
          <cell r="I92">
            <v>5480</v>
          </cell>
          <cell r="J92">
            <v>91262</v>
          </cell>
          <cell r="K92" t="str">
            <v>MP</v>
          </cell>
        </row>
        <row r="93">
          <cell r="A93">
            <v>990164</v>
          </cell>
          <cell r="C93">
            <v>5094</v>
          </cell>
          <cell r="D93">
            <v>389</v>
          </cell>
          <cell r="E93">
            <v>483</v>
          </cell>
          <cell r="F93">
            <v>1671</v>
          </cell>
          <cell r="G93">
            <v>11958</v>
          </cell>
          <cell r="H93">
            <v>19596.919999999998</v>
          </cell>
          <cell r="I93">
            <v>35477.79</v>
          </cell>
          <cell r="J93">
            <v>91975</v>
          </cell>
          <cell r="K93" t="str">
            <v>MP</v>
          </cell>
        </row>
        <row r="94">
          <cell r="A94">
            <v>990166</v>
          </cell>
          <cell r="C94">
            <v>1114</v>
          </cell>
          <cell r="D94">
            <v>382</v>
          </cell>
          <cell r="E94">
            <v>430</v>
          </cell>
          <cell r="F94">
            <v>1649</v>
          </cell>
          <cell r="G94">
            <v>7055</v>
          </cell>
          <cell r="H94">
            <v>10633.11</v>
          </cell>
          <cell r="I94">
            <v>39267.69</v>
          </cell>
          <cell r="J94">
            <v>90424</v>
          </cell>
          <cell r="K94" t="str">
            <v>MP</v>
          </cell>
        </row>
        <row r="95">
          <cell r="A95">
            <v>990170</v>
          </cell>
          <cell r="C95">
            <v>10419</v>
          </cell>
          <cell r="D95">
            <v>309</v>
          </cell>
          <cell r="E95">
            <v>456</v>
          </cell>
          <cell r="F95">
            <v>1616</v>
          </cell>
          <cell r="G95">
            <v>11486</v>
          </cell>
          <cell r="H95">
            <v>24288.93</v>
          </cell>
          <cell r="I95">
            <v>31630.66</v>
          </cell>
          <cell r="J95">
            <v>92046</v>
          </cell>
          <cell r="K95" t="str">
            <v>MP</v>
          </cell>
        </row>
        <row r="96">
          <cell r="A96">
            <v>990176</v>
          </cell>
          <cell r="C96">
            <v>1878</v>
          </cell>
          <cell r="D96">
            <v>126</v>
          </cell>
          <cell r="E96">
            <v>453</v>
          </cell>
          <cell r="F96">
            <v>715</v>
          </cell>
          <cell r="G96">
            <v>4289</v>
          </cell>
          <cell r="H96">
            <v>7462.39</v>
          </cell>
          <cell r="I96">
            <v>11601.81</v>
          </cell>
          <cell r="J96">
            <v>92020</v>
          </cell>
          <cell r="K96" t="str">
            <v>MP</v>
          </cell>
        </row>
        <row r="97">
          <cell r="A97">
            <v>990184</v>
          </cell>
          <cell r="C97">
            <v>2577</v>
          </cell>
          <cell r="D97">
            <v>75</v>
          </cell>
          <cell r="E97">
            <v>483</v>
          </cell>
          <cell r="F97">
            <v>530</v>
          </cell>
          <cell r="G97">
            <v>2313</v>
          </cell>
          <cell r="H97">
            <v>5979.45</v>
          </cell>
          <cell r="I97">
            <v>5887.96</v>
          </cell>
          <cell r="J97">
            <v>91262</v>
          </cell>
          <cell r="K97" t="str">
            <v>MP</v>
          </cell>
        </row>
        <row r="98">
          <cell r="A98">
            <v>990187</v>
          </cell>
          <cell r="C98">
            <v>278</v>
          </cell>
          <cell r="D98">
            <v>59</v>
          </cell>
          <cell r="E98">
            <v>425</v>
          </cell>
          <cell r="F98">
            <v>680</v>
          </cell>
          <cell r="G98">
            <v>2639</v>
          </cell>
          <cell r="H98">
            <v>4083.09</v>
          </cell>
          <cell r="I98">
            <v>12655.94</v>
          </cell>
          <cell r="J98">
            <v>90083</v>
          </cell>
          <cell r="K98" t="str">
            <v>MP</v>
          </cell>
        </row>
        <row r="99">
          <cell r="A99">
            <v>990191</v>
          </cell>
          <cell r="C99">
            <v>179</v>
          </cell>
          <cell r="D99">
            <v>65</v>
          </cell>
          <cell r="E99">
            <v>453</v>
          </cell>
          <cell r="F99">
            <v>719</v>
          </cell>
          <cell r="G99">
            <v>2884</v>
          </cell>
          <cell r="H99">
            <v>4302.6400000000003</v>
          </cell>
          <cell r="I99">
            <v>13053.5</v>
          </cell>
          <cell r="J99">
            <v>91982</v>
          </cell>
          <cell r="K99" t="str">
            <v>MP</v>
          </cell>
        </row>
        <row r="100">
          <cell r="A100">
            <v>990194</v>
          </cell>
          <cell r="C100">
            <v>184</v>
          </cell>
          <cell r="D100">
            <v>63</v>
          </cell>
          <cell r="E100">
            <v>453</v>
          </cell>
          <cell r="F100">
            <v>703</v>
          </cell>
          <cell r="G100">
            <v>2781</v>
          </cell>
          <cell r="H100">
            <v>4184.9399999999996</v>
          </cell>
          <cell r="I100">
            <v>12578.22</v>
          </cell>
          <cell r="J100">
            <v>90496</v>
          </cell>
          <cell r="K100" t="str">
            <v>MP</v>
          </cell>
        </row>
        <row r="101">
          <cell r="A101">
            <v>990198</v>
          </cell>
          <cell r="C101">
            <v>4263</v>
          </cell>
          <cell r="D101">
            <v>952</v>
          </cell>
          <cell r="E101">
            <v>439</v>
          </cell>
          <cell r="F101">
            <v>2773</v>
          </cell>
          <cell r="G101">
            <v>21261</v>
          </cell>
          <cell r="H101">
            <v>29690.27</v>
          </cell>
          <cell r="I101">
            <v>77154.720000000001</v>
          </cell>
          <cell r="J101">
            <v>91437</v>
          </cell>
          <cell r="K101" t="str">
            <v>MP</v>
          </cell>
        </row>
        <row r="102">
          <cell r="A102">
            <v>990200</v>
          </cell>
          <cell r="C102">
            <v>360</v>
          </cell>
          <cell r="D102">
            <v>196</v>
          </cell>
          <cell r="E102">
            <v>463</v>
          </cell>
          <cell r="F102">
            <v>970</v>
          </cell>
          <cell r="G102">
            <v>4447</v>
          </cell>
          <cell r="H102">
            <v>6439.31</v>
          </cell>
          <cell r="I102">
            <v>19471.21</v>
          </cell>
          <cell r="J102">
            <v>91988</v>
          </cell>
          <cell r="K102" t="str">
            <v>MP</v>
          </cell>
        </row>
        <row r="103">
          <cell r="A103">
            <v>990201</v>
          </cell>
          <cell r="C103">
            <v>190</v>
          </cell>
          <cell r="D103">
            <v>2</v>
          </cell>
          <cell r="E103">
            <v>290</v>
          </cell>
          <cell r="F103">
            <v>142</v>
          </cell>
          <cell r="G103">
            <v>83</v>
          </cell>
          <cell r="H103">
            <v>709.22</v>
          </cell>
          <cell r="I103">
            <v>278.63</v>
          </cell>
          <cell r="J103">
            <v>91553</v>
          </cell>
          <cell r="K103" t="str">
            <v>MP</v>
          </cell>
        </row>
        <row r="104">
          <cell r="A104">
            <v>990203</v>
          </cell>
          <cell r="C104">
            <v>377</v>
          </cell>
          <cell r="D104">
            <v>88</v>
          </cell>
          <cell r="E104">
            <v>453</v>
          </cell>
          <cell r="F104">
            <v>579</v>
          </cell>
          <cell r="G104">
            <v>2735</v>
          </cell>
          <cell r="H104">
            <v>4234.8</v>
          </cell>
          <cell r="I104">
            <v>8931.6</v>
          </cell>
          <cell r="J104">
            <v>90721</v>
          </cell>
          <cell r="K104" t="str">
            <v>MP</v>
          </cell>
        </row>
        <row r="105">
          <cell r="A105">
            <v>990206</v>
          </cell>
          <cell r="C105">
            <v>294</v>
          </cell>
          <cell r="D105">
            <v>48</v>
          </cell>
          <cell r="E105">
            <v>463</v>
          </cell>
          <cell r="F105">
            <v>592</v>
          </cell>
          <cell r="G105">
            <v>2843</v>
          </cell>
          <cell r="H105">
            <v>4242.6099999999997</v>
          </cell>
          <cell r="I105">
            <v>9488.39</v>
          </cell>
          <cell r="J105">
            <v>90342</v>
          </cell>
          <cell r="K105" t="str">
            <v>MP</v>
          </cell>
        </row>
        <row r="106">
          <cell r="A106">
            <v>990208</v>
          </cell>
          <cell r="C106">
            <v>133</v>
          </cell>
          <cell r="D106">
            <v>16</v>
          </cell>
          <cell r="E106">
            <v>409</v>
          </cell>
          <cell r="F106">
            <v>194</v>
          </cell>
          <cell r="G106">
            <v>531</v>
          </cell>
          <cell r="H106">
            <v>1285.1500000000001</v>
          </cell>
          <cell r="I106">
            <v>1844.45</v>
          </cell>
          <cell r="J106">
            <v>91262</v>
          </cell>
          <cell r="K106" t="str">
            <v>MP</v>
          </cell>
        </row>
        <row r="107">
          <cell r="A107">
            <v>990215</v>
          </cell>
          <cell r="C107">
            <v>388</v>
          </cell>
          <cell r="D107">
            <v>158</v>
          </cell>
          <cell r="E107">
            <v>446</v>
          </cell>
          <cell r="F107">
            <v>833</v>
          </cell>
          <cell r="G107">
            <v>3593</v>
          </cell>
          <cell r="H107">
            <v>5420.54</v>
          </cell>
          <cell r="I107">
            <v>16336.35</v>
          </cell>
          <cell r="J107">
            <v>91627</v>
          </cell>
          <cell r="K107" t="str">
            <v>MP</v>
          </cell>
        </row>
        <row r="108">
          <cell r="A108">
            <v>990221</v>
          </cell>
          <cell r="C108">
            <v>1944</v>
          </cell>
          <cell r="D108">
            <v>9172</v>
          </cell>
          <cell r="E108">
            <v>431</v>
          </cell>
          <cell r="F108">
            <v>1151</v>
          </cell>
          <cell r="G108">
            <v>7558</v>
          </cell>
          <cell r="H108">
            <v>20257.490000000002</v>
          </cell>
          <cell r="I108">
            <v>19295.59</v>
          </cell>
          <cell r="J108">
            <v>91934</v>
          </cell>
          <cell r="K108" t="str">
            <v>MP</v>
          </cell>
        </row>
        <row r="109">
          <cell r="A109">
            <v>990223</v>
          </cell>
          <cell r="C109">
            <v>880</v>
          </cell>
          <cell r="D109">
            <v>56</v>
          </cell>
          <cell r="E109">
            <v>422</v>
          </cell>
          <cell r="F109">
            <v>653</v>
          </cell>
          <cell r="G109">
            <v>3359</v>
          </cell>
          <cell r="H109">
            <v>5372.69</v>
          </cell>
          <cell r="I109">
            <v>11520.41</v>
          </cell>
          <cell r="J109">
            <v>90402</v>
          </cell>
          <cell r="K109" t="str">
            <v>MP</v>
          </cell>
        </row>
        <row r="110">
          <cell r="A110">
            <v>990226</v>
          </cell>
          <cell r="C110">
            <v>8731</v>
          </cell>
          <cell r="D110">
            <v>1144</v>
          </cell>
          <cell r="E110">
            <v>425</v>
          </cell>
          <cell r="F110">
            <v>4422</v>
          </cell>
          <cell r="G110">
            <v>35187</v>
          </cell>
          <cell r="H110">
            <v>49910.95</v>
          </cell>
          <cell r="I110">
            <v>119799.9</v>
          </cell>
          <cell r="J110">
            <v>90469</v>
          </cell>
          <cell r="K110" t="str">
            <v>MP</v>
          </cell>
        </row>
        <row r="111">
          <cell r="A111">
            <v>990227</v>
          </cell>
          <cell r="C111">
            <v>1843</v>
          </cell>
          <cell r="D111">
            <v>193</v>
          </cell>
          <cell r="E111">
            <v>453</v>
          </cell>
          <cell r="F111">
            <v>1003</v>
          </cell>
          <cell r="G111">
            <v>6307</v>
          </cell>
          <cell r="H111">
            <v>9801.7800000000007</v>
          </cell>
          <cell r="I111">
            <v>19966.650000000001</v>
          </cell>
          <cell r="J111">
            <v>90469</v>
          </cell>
          <cell r="K111" t="str">
            <v>MP</v>
          </cell>
        </row>
        <row r="112">
          <cell r="A112">
            <v>990228</v>
          </cell>
          <cell r="C112">
            <v>390</v>
          </cell>
          <cell r="D112">
            <v>499</v>
          </cell>
          <cell r="E112">
            <v>463</v>
          </cell>
          <cell r="F112">
            <v>2081</v>
          </cell>
          <cell r="G112">
            <v>11355</v>
          </cell>
          <cell r="H112">
            <v>14791.27</v>
          </cell>
          <cell r="I112">
            <v>50267.040000000001</v>
          </cell>
          <cell r="J112">
            <v>90097</v>
          </cell>
          <cell r="K112" t="str">
            <v>MP</v>
          </cell>
        </row>
        <row r="113">
          <cell r="A113">
            <v>990230</v>
          </cell>
          <cell r="C113">
            <v>216</v>
          </cell>
          <cell r="D113">
            <v>27</v>
          </cell>
          <cell r="E113">
            <v>471</v>
          </cell>
          <cell r="F113">
            <v>391</v>
          </cell>
          <cell r="G113">
            <v>1640</v>
          </cell>
          <cell r="H113">
            <v>2746.3</v>
          </cell>
          <cell r="I113">
            <v>5175.1000000000004</v>
          </cell>
          <cell r="J113">
            <v>91591</v>
          </cell>
          <cell r="K113" t="str">
            <v>MP</v>
          </cell>
        </row>
        <row r="114">
          <cell r="A114">
            <v>990231</v>
          </cell>
          <cell r="C114">
            <v>181</v>
          </cell>
          <cell r="D114">
            <v>94</v>
          </cell>
          <cell r="E114">
            <v>446</v>
          </cell>
          <cell r="F114">
            <v>965</v>
          </cell>
          <cell r="G114">
            <v>4415</v>
          </cell>
          <cell r="H114">
            <v>6103.49</v>
          </cell>
          <cell r="I114">
            <v>20351.52</v>
          </cell>
          <cell r="J114">
            <v>92019</v>
          </cell>
          <cell r="K114" t="str">
            <v>MP</v>
          </cell>
        </row>
        <row r="115">
          <cell r="A115">
            <v>990232</v>
          </cell>
          <cell r="C115">
            <v>172</v>
          </cell>
          <cell r="D115">
            <v>63</v>
          </cell>
          <cell r="E115">
            <v>435</v>
          </cell>
          <cell r="F115">
            <v>702</v>
          </cell>
          <cell r="G115">
            <v>2775</v>
          </cell>
          <cell r="H115">
            <v>4148.82</v>
          </cell>
          <cell r="I115">
            <v>13069.08</v>
          </cell>
          <cell r="J115">
            <v>90061</v>
          </cell>
          <cell r="K115" t="str">
            <v>MP</v>
          </cell>
        </row>
        <row r="116">
          <cell r="A116">
            <v>990233</v>
          </cell>
          <cell r="C116">
            <v>3337</v>
          </cell>
          <cell r="D116">
            <v>518</v>
          </cell>
          <cell r="E116">
            <v>483</v>
          </cell>
          <cell r="F116">
            <v>2144</v>
          </cell>
          <cell r="G116">
            <v>15951</v>
          </cell>
          <cell r="H116">
            <v>22436.01</v>
          </cell>
          <cell r="I116">
            <v>48658.8</v>
          </cell>
          <cell r="J116">
            <v>90338</v>
          </cell>
          <cell r="K116" t="str">
            <v>MP</v>
          </cell>
        </row>
        <row r="117">
          <cell r="A117">
            <v>990241</v>
          </cell>
          <cell r="C117">
            <v>7703</v>
          </cell>
          <cell r="D117">
            <v>940</v>
          </cell>
          <cell r="E117">
            <v>431</v>
          </cell>
          <cell r="F117">
            <v>7019</v>
          </cell>
          <cell r="G117">
            <v>39078</v>
          </cell>
          <cell r="H117">
            <v>55173.04</v>
          </cell>
          <cell r="I117">
            <v>196123.84</v>
          </cell>
          <cell r="J117">
            <v>92107</v>
          </cell>
          <cell r="K117" t="str">
            <v>MP</v>
          </cell>
        </row>
        <row r="118">
          <cell r="A118">
            <v>990242</v>
          </cell>
          <cell r="C118">
            <v>1908</v>
          </cell>
          <cell r="D118">
            <v>251</v>
          </cell>
          <cell r="E118">
            <v>446</v>
          </cell>
          <cell r="F118">
            <v>1502</v>
          </cell>
          <cell r="G118">
            <v>7731</v>
          </cell>
          <cell r="H118">
            <v>11840.82</v>
          </cell>
          <cell r="I118">
            <v>25606.57</v>
          </cell>
          <cell r="J118">
            <v>90642</v>
          </cell>
          <cell r="K118" t="str">
            <v>MP</v>
          </cell>
        </row>
        <row r="119">
          <cell r="A119">
            <v>990246</v>
          </cell>
          <cell r="C119">
            <v>1032</v>
          </cell>
          <cell r="D119">
            <v>209</v>
          </cell>
          <cell r="E119">
            <v>237</v>
          </cell>
          <cell r="F119">
            <v>672</v>
          </cell>
          <cell r="G119">
            <v>6436</v>
          </cell>
          <cell r="H119">
            <v>8588.58</v>
          </cell>
          <cell r="I119">
            <v>21564.16</v>
          </cell>
          <cell r="J119">
            <v>90642</v>
          </cell>
          <cell r="K119" t="str">
            <v>MP</v>
          </cell>
        </row>
        <row r="120">
          <cell r="A120">
            <v>990247</v>
          </cell>
          <cell r="C120">
            <v>245</v>
          </cell>
          <cell r="D120">
            <v>29</v>
          </cell>
          <cell r="E120">
            <v>453</v>
          </cell>
          <cell r="F120">
            <v>124</v>
          </cell>
          <cell r="G120">
            <v>911</v>
          </cell>
          <cell r="H120">
            <v>1765.09</v>
          </cell>
          <cell r="I120">
            <v>3141.85</v>
          </cell>
          <cell r="J120">
            <v>91868</v>
          </cell>
          <cell r="K120" t="str">
            <v>MP</v>
          </cell>
        </row>
        <row r="121">
          <cell r="A121">
            <v>990248</v>
          </cell>
          <cell r="C121">
            <v>13990</v>
          </cell>
          <cell r="D121">
            <v>1659</v>
          </cell>
          <cell r="E121">
            <v>453</v>
          </cell>
          <cell r="F121">
            <v>2066</v>
          </cell>
          <cell r="G121">
            <v>73800</v>
          </cell>
          <cell r="H121">
            <v>91971.13</v>
          </cell>
          <cell r="I121">
            <v>320845.87</v>
          </cell>
          <cell r="J121">
            <v>92107</v>
          </cell>
          <cell r="K121" t="str">
            <v>MP</v>
          </cell>
        </row>
        <row r="122">
          <cell r="A122">
            <v>990249</v>
          </cell>
          <cell r="C122">
            <v>566</v>
          </cell>
          <cell r="D122">
            <v>73</v>
          </cell>
          <cell r="E122">
            <v>453</v>
          </cell>
          <cell r="F122">
            <v>553</v>
          </cell>
          <cell r="G122">
            <v>2772</v>
          </cell>
          <cell r="H122">
            <v>4418.2</v>
          </cell>
          <cell r="I122">
            <v>6414.12</v>
          </cell>
          <cell r="J122">
            <v>92105</v>
          </cell>
          <cell r="K122" t="str">
            <v>MP</v>
          </cell>
        </row>
        <row r="123">
          <cell r="A123">
            <v>990251</v>
          </cell>
          <cell r="C123">
            <v>10848</v>
          </cell>
          <cell r="D123">
            <v>885</v>
          </cell>
          <cell r="E123">
            <v>453</v>
          </cell>
          <cell r="F123">
            <v>3477</v>
          </cell>
          <cell r="G123">
            <v>30067</v>
          </cell>
          <cell r="H123">
            <v>45732.49</v>
          </cell>
          <cell r="I123">
            <v>84243.839999999997</v>
          </cell>
          <cell r="J123">
            <v>91375</v>
          </cell>
          <cell r="K123" t="str">
            <v>MP</v>
          </cell>
        </row>
        <row r="124">
          <cell r="A124">
            <v>990255</v>
          </cell>
          <cell r="C124">
            <v>168</v>
          </cell>
          <cell r="D124">
            <v>92</v>
          </cell>
          <cell r="E124">
            <v>425</v>
          </cell>
          <cell r="F124">
            <v>906</v>
          </cell>
          <cell r="G124">
            <v>4782</v>
          </cell>
          <cell r="H124">
            <v>6374.89</v>
          </cell>
          <cell r="I124">
            <v>21343.64</v>
          </cell>
          <cell r="J124">
            <v>90685</v>
          </cell>
          <cell r="K124" t="str">
            <v>MP</v>
          </cell>
        </row>
        <row r="125">
          <cell r="A125">
            <v>990256</v>
          </cell>
          <cell r="C125">
            <v>1137</v>
          </cell>
          <cell r="D125">
            <v>373</v>
          </cell>
          <cell r="E125">
            <v>446</v>
          </cell>
          <cell r="F125">
            <v>2890</v>
          </cell>
          <cell r="G125">
            <v>16395</v>
          </cell>
          <cell r="H125">
            <v>21244.47</v>
          </cell>
          <cell r="I125">
            <v>81954.39</v>
          </cell>
          <cell r="J125">
            <v>90097</v>
          </cell>
          <cell r="K125" t="str">
            <v>MP</v>
          </cell>
        </row>
        <row r="126">
          <cell r="A126">
            <v>990262</v>
          </cell>
          <cell r="C126">
            <v>7047</v>
          </cell>
          <cell r="D126">
            <v>372</v>
          </cell>
          <cell r="E126">
            <v>453</v>
          </cell>
          <cell r="F126">
            <v>1833</v>
          </cell>
          <cell r="G126">
            <v>13323</v>
          </cell>
          <cell r="H126">
            <v>23029.93</v>
          </cell>
          <cell r="I126">
            <v>39910.99</v>
          </cell>
          <cell r="J126">
            <v>91975</v>
          </cell>
          <cell r="K126" t="str">
            <v>MP</v>
          </cell>
        </row>
        <row r="127">
          <cell r="A127">
            <v>990265</v>
          </cell>
          <cell r="C127">
            <v>169</v>
          </cell>
          <cell r="D127">
            <v>118</v>
          </cell>
          <cell r="E127">
            <v>425</v>
          </cell>
          <cell r="F127">
            <v>1462</v>
          </cell>
          <cell r="G127">
            <v>7514</v>
          </cell>
          <cell r="H127">
            <v>9690</v>
          </cell>
          <cell r="I127">
            <v>39664.400000000001</v>
          </cell>
          <cell r="J127">
            <v>90614</v>
          </cell>
          <cell r="K127" t="str">
            <v>MP</v>
          </cell>
        </row>
        <row r="128">
          <cell r="A128">
            <v>990266</v>
          </cell>
          <cell r="C128">
            <v>714</v>
          </cell>
          <cell r="D128">
            <v>224</v>
          </cell>
          <cell r="E128">
            <v>431</v>
          </cell>
          <cell r="F128">
            <v>1074</v>
          </cell>
          <cell r="G128">
            <v>5090</v>
          </cell>
          <cell r="H128">
            <v>7534.58</v>
          </cell>
          <cell r="I128">
            <v>25990.21</v>
          </cell>
          <cell r="J128">
            <v>92271</v>
          </cell>
          <cell r="K128" t="str">
            <v>MP</v>
          </cell>
        </row>
        <row r="129">
          <cell r="A129">
            <v>990269</v>
          </cell>
          <cell r="C129">
            <v>96</v>
          </cell>
          <cell r="D129">
            <v>6</v>
          </cell>
          <cell r="E129">
            <v>431</v>
          </cell>
          <cell r="F129">
            <v>155</v>
          </cell>
          <cell r="G129">
            <v>144</v>
          </cell>
          <cell r="H129">
            <v>833.51</v>
          </cell>
          <cell r="I129">
            <v>667.76</v>
          </cell>
          <cell r="J129">
            <v>91227</v>
          </cell>
          <cell r="K129" t="str">
            <v>MP</v>
          </cell>
        </row>
        <row r="130">
          <cell r="A130">
            <v>990271</v>
          </cell>
          <cell r="C130">
            <v>178</v>
          </cell>
          <cell r="D130">
            <v>265</v>
          </cell>
          <cell r="E130">
            <v>431</v>
          </cell>
          <cell r="F130">
            <v>1227</v>
          </cell>
          <cell r="G130">
            <v>6043</v>
          </cell>
          <cell r="H130">
            <v>8146.52</v>
          </cell>
          <cell r="I130">
            <v>28740.1</v>
          </cell>
          <cell r="J130">
            <v>91841</v>
          </cell>
          <cell r="K130" t="str">
            <v>MP</v>
          </cell>
        </row>
        <row r="131">
          <cell r="A131">
            <v>990272</v>
          </cell>
          <cell r="C131">
            <v>641</v>
          </cell>
          <cell r="D131">
            <v>260</v>
          </cell>
          <cell r="E131">
            <v>446</v>
          </cell>
          <cell r="F131">
            <v>1206</v>
          </cell>
          <cell r="G131">
            <v>8446</v>
          </cell>
          <cell r="H131">
            <v>11001.08</v>
          </cell>
          <cell r="I131">
            <v>26835.13</v>
          </cell>
          <cell r="J131">
            <v>92224</v>
          </cell>
          <cell r="K131" t="str">
            <v>MP</v>
          </cell>
        </row>
        <row r="132">
          <cell r="A132">
            <v>990273</v>
          </cell>
          <cell r="C132">
            <v>372</v>
          </cell>
          <cell r="D132">
            <v>78</v>
          </cell>
          <cell r="E132">
            <v>453</v>
          </cell>
          <cell r="F132">
            <v>542</v>
          </cell>
          <cell r="G132">
            <v>2081</v>
          </cell>
          <cell r="H132">
            <v>3528.14</v>
          </cell>
          <cell r="I132">
            <v>8222.52</v>
          </cell>
          <cell r="J132">
            <v>90809</v>
          </cell>
          <cell r="K132" t="str">
            <v>MP</v>
          </cell>
        </row>
        <row r="133">
          <cell r="A133">
            <v>990279</v>
          </cell>
          <cell r="C133">
            <v>1364</v>
          </cell>
          <cell r="D133">
            <v>1025</v>
          </cell>
          <cell r="E133">
            <v>463</v>
          </cell>
          <cell r="F133">
            <v>3988</v>
          </cell>
          <cell r="G133">
            <v>17578</v>
          </cell>
          <cell r="H133">
            <v>24420.560000000001</v>
          </cell>
          <cell r="I133">
            <v>112091.96</v>
          </cell>
          <cell r="J133">
            <v>90570</v>
          </cell>
          <cell r="K133" t="str">
            <v>MP</v>
          </cell>
        </row>
        <row r="134">
          <cell r="A134">
            <v>990282</v>
          </cell>
          <cell r="C134">
            <v>3476</v>
          </cell>
          <cell r="D134">
            <v>190</v>
          </cell>
          <cell r="E134">
            <v>439</v>
          </cell>
          <cell r="F134">
            <v>967</v>
          </cell>
          <cell r="G134">
            <v>6642</v>
          </cell>
          <cell r="H134">
            <v>11716.19</v>
          </cell>
          <cell r="I134">
            <v>20224.73</v>
          </cell>
          <cell r="J134">
            <v>92020</v>
          </cell>
          <cell r="K134" t="str">
            <v>MP</v>
          </cell>
        </row>
        <row r="135">
          <cell r="A135">
            <v>990288</v>
          </cell>
          <cell r="C135">
            <v>3541</v>
          </cell>
          <cell r="D135">
            <v>114</v>
          </cell>
          <cell r="E135">
            <v>483</v>
          </cell>
          <cell r="F135">
            <v>673</v>
          </cell>
          <cell r="G135">
            <v>3525</v>
          </cell>
          <cell r="H135">
            <v>8338.51</v>
          </cell>
          <cell r="I135">
            <v>10070.379999999999</v>
          </cell>
          <cell r="J135">
            <v>91262</v>
          </cell>
          <cell r="K135" t="str">
            <v>MP</v>
          </cell>
        </row>
        <row r="136">
          <cell r="A136">
            <v>990290</v>
          </cell>
          <cell r="C136">
            <v>242</v>
          </cell>
          <cell r="D136">
            <v>157</v>
          </cell>
          <cell r="E136">
            <v>456</v>
          </cell>
          <cell r="F136">
            <v>1367</v>
          </cell>
          <cell r="G136">
            <v>10377</v>
          </cell>
          <cell r="H136">
            <v>12602.92</v>
          </cell>
          <cell r="I136">
            <v>33987.74</v>
          </cell>
          <cell r="J136">
            <v>91981</v>
          </cell>
          <cell r="K136" t="str">
            <v>MP</v>
          </cell>
        </row>
        <row r="137">
          <cell r="A137">
            <v>990291</v>
          </cell>
          <cell r="C137">
            <v>191</v>
          </cell>
          <cell r="D137">
            <v>2</v>
          </cell>
          <cell r="E137">
            <v>425</v>
          </cell>
          <cell r="F137">
            <v>151</v>
          </cell>
          <cell r="G137">
            <v>163</v>
          </cell>
          <cell r="H137">
            <v>933.18</v>
          </cell>
          <cell r="I137">
            <v>494.78</v>
          </cell>
          <cell r="J137">
            <v>90402</v>
          </cell>
          <cell r="K137" t="str">
            <v>MP</v>
          </cell>
        </row>
        <row r="138">
          <cell r="A138">
            <v>990293</v>
          </cell>
          <cell r="C138">
            <v>396</v>
          </cell>
          <cell r="D138">
            <v>83</v>
          </cell>
          <cell r="E138">
            <v>436</v>
          </cell>
          <cell r="F138">
            <v>842</v>
          </cell>
          <cell r="G138">
            <v>3879</v>
          </cell>
          <cell r="H138">
            <v>5638.8</v>
          </cell>
          <cell r="I138">
            <v>18611.46</v>
          </cell>
          <cell r="J138">
            <v>90061</v>
          </cell>
          <cell r="K138" t="str">
            <v>MP</v>
          </cell>
        </row>
        <row r="139">
          <cell r="A139">
            <v>990300</v>
          </cell>
          <cell r="C139">
            <v>1086</v>
          </cell>
          <cell r="D139">
            <v>129</v>
          </cell>
          <cell r="E139">
            <v>463</v>
          </cell>
          <cell r="F139">
            <v>1170</v>
          </cell>
          <cell r="G139">
            <v>7724</v>
          </cell>
          <cell r="H139">
            <v>10575.77</v>
          </cell>
          <cell r="I139">
            <v>26915.759999999998</v>
          </cell>
          <cell r="J139">
            <v>90472</v>
          </cell>
          <cell r="K139" t="str">
            <v>MP</v>
          </cell>
        </row>
        <row r="140">
          <cell r="A140">
            <v>990301</v>
          </cell>
          <cell r="C140">
            <v>384</v>
          </cell>
          <cell r="D140">
            <v>52</v>
          </cell>
          <cell r="E140">
            <v>425</v>
          </cell>
          <cell r="F140">
            <v>386</v>
          </cell>
          <cell r="G140">
            <v>1620</v>
          </cell>
          <cell r="H140">
            <v>2869.96</v>
          </cell>
          <cell r="I140">
            <v>6030.33</v>
          </cell>
          <cell r="J140">
            <v>90322</v>
          </cell>
          <cell r="K140" t="str">
            <v>MP</v>
          </cell>
        </row>
        <row r="141">
          <cell r="A141">
            <v>990303</v>
          </cell>
          <cell r="C141">
            <v>260</v>
          </cell>
          <cell r="D141">
            <v>142</v>
          </cell>
          <cell r="E141">
            <v>463</v>
          </cell>
          <cell r="F141">
            <v>753</v>
          </cell>
          <cell r="G141">
            <v>4210</v>
          </cell>
          <cell r="H141">
            <v>5831.39</v>
          </cell>
          <cell r="I141">
            <v>16561.12</v>
          </cell>
          <cell r="J141">
            <v>91337</v>
          </cell>
          <cell r="K141" t="str">
            <v>MP</v>
          </cell>
        </row>
        <row r="142">
          <cell r="A142">
            <v>990304</v>
          </cell>
          <cell r="C142">
            <v>1314</v>
          </cell>
          <cell r="D142">
            <v>260</v>
          </cell>
          <cell r="E142">
            <v>475</v>
          </cell>
          <cell r="F142">
            <v>1203</v>
          </cell>
          <cell r="G142">
            <v>7998</v>
          </cell>
          <cell r="H142">
            <v>11252.37</v>
          </cell>
          <cell r="I142">
            <v>27588.12</v>
          </cell>
          <cell r="J142">
            <v>90257</v>
          </cell>
          <cell r="K142" t="str">
            <v>MP</v>
          </cell>
        </row>
        <row r="143">
          <cell r="A143">
            <v>990309</v>
          </cell>
          <cell r="C143">
            <v>909</v>
          </cell>
          <cell r="D143">
            <v>61</v>
          </cell>
          <cell r="E143">
            <v>463</v>
          </cell>
          <cell r="F143">
            <v>446</v>
          </cell>
          <cell r="G143">
            <v>1283</v>
          </cell>
          <cell r="H143">
            <v>3163.39</v>
          </cell>
          <cell r="I143">
            <v>6748.27</v>
          </cell>
          <cell r="J143">
            <v>91381</v>
          </cell>
          <cell r="K143" t="str">
            <v>MP</v>
          </cell>
        </row>
        <row r="144">
          <cell r="A144">
            <v>990320</v>
          </cell>
          <cell r="C144">
            <v>329</v>
          </cell>
          <cell r="D144">
            <v>11</v>
          </cell>
          <cell r="E144">
            <v>453</v>
          </cell>
          <cell r="F144">
            <v>216</v>
          </cell>
          <cell r="G144">
            <v>710</v>
          </cell>
          <cell r="H144">
            <v>1721.75</v>
          </cell>
          <cell r="I144">
            <v>2638.62</v>
          </cell>
          <cell r="J144">
            <v>91178</v>
          </cell>
          <cell r="K144" t="str">
            <v>MP</v>
          </cell>
        </row>
        <row r="145">
          <cell r="A145">
            <v>990321</v>
          </cell>
          <cell r="C145">
            <v>1672</v>
          </cell>
          <cell r="D145">
            <v>596</v>
          </cell>
          <cell r="E145">
            <v>456</v>
          </cell>
          <cell r="F145">
            <v>2427</v>
          </cell>
          <cell r="G145">
            <v>14266</v>
          </cell>
          <cell r="H145">
            <v>19419.66</v>
          </cell>
          <cell r="I145">
            <v>72583.009999999995</v>
          </cell>
          <cell r="J145">
            <v>90503</v>
          </cell>
          <cell r="K145" t="str">
            <v>MP</v>
          </cell>
        </row>
        <row r="146">
          <cell r="A146">
            <v>990324</v>
          </cell>
          <cell r="C146">
            <v>2807</v>
          </cell>
          <cell r="D146">
            <v>84</v>
          </cell>
          <cell r="E146">
            <v>483</v>
          </cell>
          <cell r="F146">
            <v>564</v>
          </cell>
          <cell r="G146">
            <v>2600</v>
          </cell>
          <cell r="H146">
            <v>6540.44</v>
          </cell>
          <cell r="I146">
            <v>8068.43</v>
          </cell>
          <cell r="J146">
            <v>91262</v>
          </cell>
          <cell r="K146" t="str">
            <v>MP</v>
          </cell>
        </row>
        <row r="147">
          <cell r="A147">
            <v>990327</v>
          </cell>
          <cell r="C147">
            <v>191</v>
          </cell>
          <cell r="D147">
            <v>189</v>
          </cell>
          <cell r="E147">
            <v>425</v>
          </cell>
          <cell r="F147">
            <v>259</v>
          </cell>
          <cell r="G147">
            <v>1075</v>
          </cell>
          <cell r="H147">
            <v>1970.15</v>
          </cell>
          <cell r="I147">
            <v>4513.8</v>
          </cell>
          <cell r="J147">
            <v>90402</v>
          </cell>
          <cell r="K147" t="str">
            <v>MP</v>
          </cell>
        </row>
        <row r="148">
          <cell r="A148">
            <v>990329</v>
          </cell>
          <cell r="C148">
            <v>152</v>
          </cell>
          <cell r="D148">
            <v>21</v>
          </cell>
          <cell r="E148">
            <v>431</v>
          </cell>
          <cell r="F148">
            <v>304</v>
          </cell>
          <cell r="G148">
            <v>936</v>
          </cell>
          <cell r="H148">
            <v>1847.33</v>
          </cell>
          <cell r="I148">
            <v>5313.59</v>
          </cell>
          <cell r="J148">
            <v>90097</v>
          </cell>
          <cell r="K148" t="str">
            <v>MP</v>
          </cell>
        </row>
        <row r="149">
          <cell r="A149">
            <v>990331</v>
          </cell>
          <cell r="C149">
            <v>952</v>
          </cell>
          <cell r="D149">
            <v>169</v>
          </cell>
          <cell r="E149">
            <v>425</v>
          </cell>
          <cell r="F149">
            <v>836</v>
          </cell>
          <cell r="G149">
            <v>3861</v>
          </cell>
          <cell r="H149">
            <v>6245.51</v>
          </cell>
          <cell r="I149">
            <v>21902.74</v>
          </cell>
          <cell r="J149">
            <v>90061</v>
          </cell>
          <cell r="K149" t="str">
            <v>MP</v>
          </cell>
        </row>
        <row r="150">
          <cell r="A150">
            <v>990332</v>
          </cell>
          <cell r="C150">
            <v>416</v>
          </cell>
          <cell r="D150">
            <v>178</v>
          </cell>
          <cell r="E150">
            <v>446</v>
          </cell>
          <cell r="F150">
            <v>907</v>
          </cell>
          <cell r="G150">
            <v>1211</v>
          </cell>
          <cell r="H150">
            <v>3159.6</v>
          </cell>
          <cell r="I150">
            <v>22324.44</v>
          </cell>
          <cell r="J150">
            <v>90061</v>
          </cell>
          <cell r="K150" t="str">
            <v>MP</v>
          </cell>
        </row>
        <row r="151">
          <cell r="A151">
            <v>990334</v>
          </cell>
          <cell r="C151">
            <v>276</v>
          </cell>
          <cell r="D151">
            <v>212</v>
          </cell>
          <cell r="E151">
            <v>425</v>
          </cell>
          <cell r="F151">
            <v>1032</v>
          </cell>
          <cell r="G151">
            <v>4828</v>
          </cell>
          <cell r="H151">
            <v>6774.99</v>
          </cell>
          <cell r="I151">
            <v>28145.279999999999</v>
          </cell>
          <cell r="J151">
            <v>91468</v>
          </cell>
          <cell r="K151" t="str">
            <v>MP</v>
          </cell>
        </row>
        <row r="152">
          <cell r="A152">
            <v>990335</v>
          </cell>
          <cell r="C152">
            <v>168</v>
          </cell>
          <cell r="D152">
            <v>3</v>
          </cell>
          <cell r="E152">
            <v>425</v>
          </cell>
          <cell r="F152">
            <v>159</v>
          </cell>
          <cell r="G152">
            <v>229</v>
          </cell>
          <cell r="H152">
            <v>985.22</v>
          </cell>
          <cell r="I152">
            <v>857.55</v>
          </cell>
          <cell r="J152">
            <v>91178</v>
          </cell>
          <cell r="K152" t="str">
            <v>MP</v>
          </cell>
        </row>
        <row r="153">
          <cell r="A153">
            <v>990338</v>
          </cell>
          <cell r="C153">
            <v>188</v>
          </cell>
          <cell r="D153">
            <v>37</v>
          </cell>
          <cell r="E153">
            <v>453</v>
          </cell>
          <cell r="F153">
            <v>279</v>
          </cell>
          <cell r="G153">
            <v>1161</v>
          </cell>
          <cell r="H153">
            <v>2120.0300000000002</v>
          </cell>
          <cell r="I153">
            <v>4612.6400000000003</v>
          </cell>
          <cell r="J153">
            <v>90424</v>
          </cell>
          <cell r="K153" t="str">
            <v>MP</v>
          </cell>
        </row>
        <row r="154">
          <cell r="A154">
            <v>990339</v>
          </cell>
          <cell r="C154">
            <v>385</v>
          </cell>
          <cell r="D154">
            <v>26</v>
          </cell>
          <cell r="E154">
            <v>453</v>
          </cell>
          <cell r="F154">
            <v>373</v>
          </cell>
          <cell r="G154">
            <v>1154</v>
          </cell>
          <cell r="H154">
            <v>2393.39</v>
          </cell>
          <cell r="I154">
            <v>6133.73</v>
          </cell>
          <cell r="J154">
            <v>90086</v>
          </cell>
          <cell r="K154" t="str">
            <v>MP</v>
          </cell>
        </row>
        <row r="155">
          <cell r="A155">
            <v>990340</v>
          </cell>
          <cell r="C155">
            <v>540</v>
          </cell>
          <cell r="D155">
            <v>730</v>
          </cell>
          <cell r="E155">
            <v>431</v>
          </cell>
          <cell r="F155">
            <v>2839</v>
          </cell>
          <cell r="G155">
            <v>16072</v>
          </cell>
          <cell r="H155">
            <v>20614.349999999999</v>
          </cell>
          <cell r="I155">
            <v>94150.15</v>
          </cell>
          <cell r="J155">
            <v>90086</v>
          </cell>
          <cell r="K155" t="str">
            <v>MP</v>
          </cell>
        </row>
        <row r="156">
          <cell r="A156">
            <v>990347</v>
          </cell>
          <cell r="C156">
            <v>582</v>
          </cell>
          <cell r="D156">
            <v>23</v>
          </cell>
          <cell r="E156">
            <v>453</v>
          </cell>
          <cell r="F156">
            <v>218</v>
          </cell>
          <cell r="G156">
            <v>809</v>
          </cell>
          <cell r="H156">
            <v>2087.44</v>
          </cell>
          <cell r="I156">
            <v>2646.05</v>
          </cell>
          <cell r="J156">
            <v>91353</v>
          </cell>
          <cell r="K156" t="str">
            <v>MP</v>
          </cell>
        </row>
        <row r="157">
          <cell r="A157">
            <v>990350</v>
          </cell>
          <cell r="C157">
            <v>345</v>
          </cell>
          <cell r="D157">
            <v>107</v>
          </cell>
          <cell r="E157">
            <v>456</v>
          </cell>
          <cell r="F157">
            <v>650</v>
          </cell>
          <cell r="G157">
            <v>3327</v>
          </cell>
          <cell r="H157">
            <v>4887.8900000000003</v>
          </cell>
          <cell r="I157">
            <v>10767.68</v>
          </cell>
          <cell r="J157">
            <v>91262</v>
          </cell>
          <cell r="K157" t="str">
            <v>MP</v>
          </cell>
        </row>
        <row r="158">
          <cell r="A158">
            <v>990351</v>
          </cell>
          <cell r="C158">
            <v>3566</v>
          </cell>
          <cell r="D158">
            <v>113</v>
          </cell>
          <cell r="E158">
            <v>455</v>
          </cell>
          <cell r="F158">
            <v>670</v>
          </cell>
          <cell r="G158">
            <v>3502</v>
          </cell>
          <cell r="H158">
            <v>8309.4</v>
          </cell>
          <cell r="I158">
            <v>9208.39</v>
          </cell>
          <cell r="J158">
            <v>91262</v>
          </cell>
          <cell r="K158" t="str">
            <v>MP</v>
          </cell>
        </row>
        <row r="159">
          <cell r="A159">
            <v>990354</v>
          </cell>
          <cell r="C159">
            <v>143</v>
          </cell>
          <cell r="D159">
            <v>219</v>
          </cell>
          <cell r="E159">
            <v>431</v>
          </cell>
          <cell r="F159">
            <v>1059</v>
          </cell>
          <cell r="G159">
            <v>4997</v>
          </cell>
          <cell r="H159">
            <v>6851.7</v>
          </cell>
          <cell r="I159">
            <v>28804.94</v>
          </cell>
          <cell r="J159">
            <v>90971</v>
          </cell>
          <cell r="K159" t="str">
            <v>MP</v>
          </cell>
        </row>
        <row r="160">
          <cell r="A160">
            <v>990356</v>
          </cell>
          <cell r="C160">
            <v>765</v>
          </cell>
          <cell r="D160">
            <v>349</v>
          </cell>
          <cell r="E160">
            <v>455</v>
          </cell>
          <cell r="F160">
            <v>2722</v>
          </cell>
          <cell r="G160">
            <v>15347</v>
          </cell>
          <cell r="H160">
            <v>19640.71</v>
          </cell>
          <cell r="I160">
            <v>75416.899999999994</v>
          </cell>
          <cell r="J160">
            <v>91750</v>
          </cell>
          <cell r="K160" t="str">
            <v>MP</v>
          </cell>
        </row>
        <row r="161">
          <cell r="A161">
            <v>990357</v>
          </cell>
          <cell r="C161">
            <v>489</v>
          </cell>
          <cell r="D161">
            <v>152</v>
          </cell>
          <cell r="E161">
            <v>446</v>
          </cell>
          <cell r="F161">
            <v>1442</v>
          </cell>
          <cell r="G161">
            <v>3996</v>
          </cell>
          <cell r="H161">
            <v>6527.58</v>
          </cell>
          <cell r="I161">
            <v>36930.720000000001</v>
          </cell>
          <cell r="J161">
            <v>90061</v>
          </cell>
          <cell r="K161" t="str">
            <v>MP</v>
          </cell>
        </row>
        <row r="162">
          <cell r="A162">
            <v>990359</v>
          </cell>
          <cell r="C162">
            <v>483</v>
          </cell>
          <cell r="D162">
            <v>36</v>
          </cell>
          <cell r="E162">
            <v>453</v>
          </cell>
          <cell r="F162">
            <v>511</v>
          </cell>
          <cell r="G162">
            <v>1589</v>
          </cell>
          <cell r="H162">
            <v>3073.84</v>
          </cell>
          <cell r="I162">
            <v>7568.08</v>
          </cell>
          <cell r="J162">
            <v>91750</v>
          </cell>
          <cell r="K162" t="str">
            <v>MP</v>
          </cell>
        </row>
        <row r="163">
          <cell r="A163">
            <v>990360</v>
          </cell>
          <cell r="C163">
            <v>288</v>
          </cell>
          <cell r="D163">
            <v>112</v>
          </cell>
          <cell r="E163">
            <v>453</v>
          </cell>
          <cell r="F163">
            <v>1051</v>
          </cell>
          <cell r="G163">
            <v>3455</v>
          </cell>
          <cell r="H163">
            <v>5361.28</v>
          </cell>
          <cell r="I163">
            <v>22425.99</v>
          </cell>
          <cell r="J163">
            <v>90061</v>
          </cell>
          <cell r="K163" t="str">
            <v>MP</v>
          </cell>
        </row>
        <row r="164">
          <cell r="A164">
            <v>990362</v>
          </cell>
          <cell r="C164">
            <v>113</v>
          </cell>
          <cell r="D164">
            <v>26</v>
          </cell>
          <cell r="E164">
            <v>453</v>
          </cell>
          <cell r="F164">
            <v>379</v>
          </cell>
          <cell r="G164">
            <v>1171</v>
          </cell>
          <cell r="H164">
            <v>2143.6</v>
          </cell>
          <cell r="I164">
            <v>5275.65</v>
          </cell>
          <cell r="J164">
            <v>90061</v>
          </cell>
          <cell r="K164" t="str">
            <v>MP</v>
          </cell>
        </row>
        <row r="165">
          <cell r="A165">
            <v>990365</v>
          </cell>
          <cell r="C165">
            <v>141</v>
          </cell>
          <cell r="D165">
            <v>7</v>
          </cell>
          <cell r="E165">
            <v>425</v>
          </cell>
          <cell r="F165">
            <v>188</v>
          </cell>
          <cell r="G165">
            <v>348</v>
          </cell>
          <cell r="H165">
            <v>1110.8399999999999</v>
          </cell>
          <cell r="I165">
            <v>1741.61</v>
          </cell>
          <cell r="J165">
            <v>92327</v>
          </cell>
          <cell r="K165" t="str">
            <v>MP</v>
          </cell>
        </row>
        <row r="166">
          <cell r="A166">
            <v>990373</v>
          </cell>
          <cell r="C166">
            <v>169</v>
          </cell>
          <cell r="D166">
            <v>29</v>
          </cell>
          <cell r="E166">
            <v>453</v>
          </cell>
          <cell r="F166">
            <v>238</v>
          </cell>
          <cell r="G166">
            <v>662</v>
          </cell>
          <cell r="H166">
            <v>1552.21</v>
          </cell>
          <cell r="I166">
            <v>2907.36</v>
          </cell>
          <cell r="J166">
            <v>90379</v>
          </cell>
          <cell r="K166" t="str">
            <v>MP</v>
          </cell>
        </row>
        <row r="167">
          <cell r="A167">
            <v>990376</v>
          </cell>
          <cell r="C167">
            <v>1075</v>
          </cell>
          <cell r="D167">
            <v>28</v>
          </cell>
          <cell r="E167">
            <v>453</v>
          </cell>
          <cell r="F167">
            <v>233</v>
          </cell>
          <cell r="G167">
            <v>861</v>
          </cell>
          <cell r="H167">
            <v>2652.07</v>
          </cell>
          <cell r="I167">
            <v>2751.1</v>
          </cell>
          <cell r="J167">
            <v>91262</v>
          </cell>
          <cell r="K167" t="str">
            <v>MP</v>
          </cell>
        </row>
        <row r="168">
          <cell r="A168">
            <v>990378</v>
          </cell>
          <cell r="C168">
            <v>686</v>
          </cell>
          <cell r="D168">
            <v>49</v>
          </cell>
          <cell r="E168">
            <v>453</v>
          </cell>
          <cell r="F168">
            <v>366</v>
          </cell>
          <cell r="G168">
            <v>1535</v>
          </cell>
          <cell r="H168">
            <v>3091.29</v>
          </cell>
          <cell r="I168">
            <v>5981.3</v>
          </cell>
          <cell r="J168">
            <v>90721</v>
          </cell>
          <cell r="K168" t="str">
            <v>MP</v>
          </cell>
        </row>
        <row r="169">
          <cell r="A169">
            <v>990380</v>
          </cell>
          <cell r="C169">
            <v>727</v>
          </cell>
          <cell r="D169">
            <v>662</v>
          </cell>
          <cell r="E169">
            <v>454</v>
          </cell>
          <cell r="F169">
            <v>4499</v>
          </cell>
          <cell r="G169">
            <v>13956</v>
          </cell>
          <cell r="H169">
            <v>20300.98</v>
          </cell>
          <cell r="I169">
            <v>81628.69</v>
          </cell>
          <cell r="J169">
            <v>90086</v>
          </cell>
          <cell r="K169" t="str">
            <v>MP</v>
          </cell>
        </row>
        <row r="170">
          <cell r="A170">
            <v>990381</v>
          </cell>
          <cell r="C170">
            <v>382</v>
          </cell>
          <cell r="D170">
            <v>64</v>
          </cell>
          <cell r="E170">
            <v>471</v>
          </cell>
          <cell r="F170">
            <v>708</v>
          </cell>
          <cell r="G170">
            <v>2834</v>
          </cell>
          <cell r="H170">
            <v>4460.62</v>
          </cell>
          <cell r="I170">
            <v>14665.6</v>
          </cell>
          <cell r="J170">
            <v>90083</v>
          </cell>
          <cell r="K170" t="str">
            <v>MP</v>
          </cell>
        </row>
        <row r="171">
          <cell r="A171">
            <v>990388</v>
          </cell>
          <cell r="C171">
            <v>3313</v>
          </cell>
          <cell r="D171">
            <v>274</v>
          </cell>
          <cell r="E171">
            <v>425</v>
          </cell>
          <cell r="F171">
            <v>2258</v>
          </cell>
          <cell r="G171">
            <v>11568</v>
          </cell>
          <cell r="H171">
            <v>17840.75</v>
          </cell>
          <cell r="I171">
            <v>58395.66</v>
          </cell>
          <cell r="J171">
            <v>92107</v>
          </cell>
          <cell r="K171" t="str">
            <v>MP</v>
          </cell>
        </row>
        <row r="172">
          <cell r="A172">
            <v>990390</v>
          </cell>
          <cell r="C172">
            <v>160</v>
          </cell>
          <cell r="D172">
            <v>26</v>
          </cell>
          <cell r="E172">
            <v>453</v>
          </cell>
          <cell r="F172">
            <v>229</v>
          </cell>
          <cell r="G172">
            <v>604</v>
          </cell>
          <cell r="H172">
            <v>1474.49</v>
          </cell>
          <cell r="I172">
            <v>3366.63</v>
          </cell>
          <cell r="J172">
            <v>90097</v>
          </cell>
          <cell r="K172" t="str">
            <v>MP</v>
          </cell>
        </row>
        <row r="173">
          <cell r="A173">
            <v>990392</v>
          </cell>
          <cell r="C173">
            <v>191</v>
          </cell>
          <cell r="D173">
            <v>3</v>
          </cell>
          <cell r="E173">
            <v>425</v>
          </cell>
          <cell r="F173">
            <v>163</v>
          </cell>
          <cell r="G173">
            <v>265</v>
          </cell>
          <cell r="H173">
            <v>1049.5899999999999</v>
          </cell>
          <cell r="I173">
            <v>1044.19</v>
          </cell>
          <cell r="J173">
            <v>90402</v>
          </cell>
          <cell r="K173" t="str">
            <v>MP</v>
          </cell>
        </row>
        <row r="174">
          <cell r="A174">
            <v>990394</v>
          </cell>
          <cell r="C174">
            <v>3560</v>
          </cell>
          <cell r="D174">
            <v>113</v>
          </cell>
          <cell r="E174">
            <v>483</v>
          </cell>
          <cell r="F174">
            <v>667</v>
          </cell>
          <cell r="G174">
            <v>3473</v>
          </cell>
          <cell r="H174">
            <v>8297.2099999999991</v>
          </cell>
          <cell r="I174">
            <v>11773.07</v>
          </cell>
          <cell r="J174">
            <v>91262</v>
          </cell>
          <cell r="K174" t="str">
            <v>MP</v>
          </cell>
        </row>
        <row r="175">
          <cell r="A175">
            <v>990395</v>
          </cell>
          <cell r="C175">
            <v>168</v>
          </cell>
          <cell r="D175">
            <v>45</v>
          </cell>
          <cell r="E175">
            <v>425</v>
          </cell>
          <cell r="F175">
            <v>577</v>
          </cell>
          <cell r="G175">
            <v>2000</v>
          </cell>
          <cell r="H175">
            <v>3217.4</v>
          </cell>
          <cell r="I175">
            <v>12386.1</v>
          </cell>
          <cell r="J175">
            <v>90685</v>
          </cell>
          <cell r="K175" t="str">
            <v>MP</v>
          </cell>
        </row>
        <row r="176">
          <cell r="A176">
            <v>990396</v>
          </cell>
          <cell r="C176">
            <v>923</v>
          </cell>
          <cell r="D176">
            <v>141</v>
          </cell>
          <cell r="E176">
            <v>460</v>
          </cell>
          <cell r="F176">
            <v>1256</v>
          </cell>
          <cell r="G176">
            <v>8450</v>
          </cell>
          <cell r="H176">
            <v>11232.92</v>
          </cell>
          <cell r="I176">
            <v>35210.800000000003</v>
          </cell>
          <cell r="J176">
            <v>90469</v>
          </cell>
          <cell r="K176" t="str">
            <v>MP</v>
          </cell>
        </row>
        <row r="177">
          <cell r="A177">
            <v>990397</v>
          </cell>
          <cell r="C177">
            <v>176</v>
          </cell>
          <cell r="D177">
            <v>16</v>
          </cell>
          <cell r="E177">
            <v>453</v>
          </cell>
          <cell r="F177">
            <v>188</v>
          </cell>
          <cell r="G177">
            <v>475</v>
          </cell>
          <cell r="H177">
            <v>1310.58</v>
          </cell>
          <cell r="I177">
            <v>1934.54</v>
          </cell>
          <cell r="J177">
            <v>90424</v>
          </cell>
          <cell r="K177" t="str">
            <v>MP</v>
          </cell>
        </row>
        <row r="178">
          <cell r="A178">
            <v>990398</v>
          </cell>
          <cell r="C178">
            <v>216</v>
          </cell>
          <cell r="D178">
            <v>179</v>
          </cell>
          <cell r="E178">
            <v>453</v>
          </cell>
          <cell r="F178">
            <v>1520</v>
          </cell>
          <cell r="G178">
            <v>7865</v>
          </cell>
          <cell r="H178">
            <v>10234.780000000001</v>
          </cell>
          <cell r="I178">
            <v>45444.34</v>
          </cell>
          <cell r="J178">
            <v>91923</v>
          </cell>
          <cell r="K178" t="str">
            <v>MP</v>
          </cell>
        </row>
        <row r="179">
          <cell r="A179">
            <v>990399</v>
          </cell>
          <cell r="C179">
            <v>429</v>
          </cell>
          <cell r="D179">
            <v>209</v>
          </cell>
          <cell r="E179">
            <v>460</v>
          </cell>
          <cell r="F179">
            <v>1734</v>
          </cell>
          <cell r="G179">
            <v>10509</v>
          </cell>
          <cell r="H179">
            <v>13344.86</v>
          </cell>
          <cell r="I179">
            <v>52135.15</v>
          </cell>
          <cell r="J179">
            <v>90468</v>
          </cell>
          <cell r="K179" t="str">
            <v>MP</v>
          </cell>
        </row>
        <row r="180">
          <cell r="A180">
            <v>990401</v>
          </cell>
          <cell r="C180">
            <v>172</v>
          </cell>
          <cell r="D180">
            <v>17</v>
          </cell>
          <cell r="E180">
            <v>425</v>
          </cell>
          <cell r="F180">
            <v>255</v>
          </cell>
          <cell r="G180">
            <v>387</v>
          </cell>
          <cell r="H180">
            <v>1258.21</v>
          </cell>
          <cell r="I180">
            <v>4614.28</v>
          </cell>
          <cell r="J180">
            <v>90121</v>
          </cell>
          <cell r="K180" t="str">
            <v>MP</v>
          </cell>
        </row>
        <row r="181">
          <cell r="A181">
            <v>990402</v>
          </cell>
          <cell r="C181">
            <v>187</v>
          </cell>
          <cell r="D181">
            <v>80</v>
          </cell>
          <cell r="E181">
            <v>460</v>
          </cell>
          <cell r="F181">
            <v>820</v>
          </cell>
          <cell r="G181">
            <v>5513</v>
          </cell>
          <cell r="H181">
            <v>5062.0600000000004</v>
          </cell>
          <cell r="I181">
            <v>19883.82</v>
          </cell>
          <cell r="J181">
            <v>91496</v>
          </cell>
          <cell r="K181" t="str">
            <v>MP</v>
          </cell>
        </row>
        <row r="182">
          <cell r="A182">
            <v>990404</v>
          </cell>
          <cell r="C182">
            <v>184</v>
          </cell>
          <cell r="D182">
            <v>6</v>
          </cell>
          <cell r="E182">
            <v>453</v>
          </cell>
          <cell r="F182">
            <v>179</v>
          </cell>
          <cell r="G182">
            <v>298</v>
          </cell>
          <cell r="H182">
            <v>1122.1400000000001</v>
          </cell>
          <cell r="I182">
            <v>1578.4</v>
          </cell>
          <cell r="J182">
            <v>91919</v>
          </cell>
          <cell r="K182" t="str">
            <v>MP</v>
          </cell>
        </row>
        <row r="183">
          <cell r="A183">
            <v>990405</v>
          </cell>
          <cell r="C183">
            <v>94</v>
          </cell>
          <cell r="D183">
            <v>19</v>
          </cell>
          <cell r="E183">
            <v>425</v>
          </cell>
          <cell r="F183">
            <v>206</v>
          </cell>
          <cell r="G183">
            <v>464</v>
          </cell>
          <cell r="H183">
            <v>1210.32</v>
          </cell>
          <cell r="I183">
            <v>2386.79</v>
          </cell>
          <cell r="J183">
            <v>90889</v>
          </cell>
          <cell r="K183" t="str">
            <v>MP</v>
          </cell>
        </row>
        <row r="184">
          <cell r="A184">
            <v>990406</v>
          </cell>
          <cell r="C184">
            <v>94</v>
          </cell>
          <cell r="D184">
            <v>20</v>
          </cell>
          <cell r="E184">
            <v>425</v>
          </cell>
          <cell r="F184">
            <v>211</v>
          </cell>
          <cell r="G184">
            <v>671</v>
          </cell>
          <cell r="H184">
            <v>1422.94</v>
          </cell>
          <cell r="I184">
            <v>2540.15</v>
          </cell>
          <cell r="J184">
            <v>90809</v>
          </cell>
          <cell r="K184" t="str">
            <v>MP</v>
          </cell>
        </row>
        <row r="185">
          <cell r="A185">
            <v>990410</v>
          </cell>
          <cell r="C185">
            <v>207</v>
          </cell>
          <cell r="D185">
            <v>3</v>
          </cell>
          <cell r="E185">
            <v>452</v>
          </cell>
          <cell r="F185">
            <v>156</v>
          </cell>
          <cell r="G185">
            <v>204</v>
          </cell>
          <cell r="H185">
            <v>1024.1099999999999</v>
          </cell>
          <cell r="I185">
            <v>712.79</v>
          </cell>
          <cell r="J185">
            <v>91591</v>
          </cell>
          <cell r="K185" t="str">
            <v>MP</v>
          </cell>
        </row>
        <row r="186">
          <cell r="A186">
            <v>990414</v>
          </cell>
          <cell r="C186">
            <v>1153</v>
          </cell>
          <cell r="D186">
            <v>575</v>
          </cell>
          <cell r="E186">
            <v>453</v>
          </cell>
          <cell r="F186">
            <v>1248</v>
          </cell>
          <cell r="G186">
            <v>13272</v>
          </cell>
          <cell r="H186">
            <v>16703.47</v>
          </cell>
          <cell r="I186">
            <v>71095.710000000006</v>
          </cell>
          <cell r="J186">
            <v>91395</v>
          </cell>
          <cell r="K186" t="str">
            <v>MP</v>
          </cell>
        </row>
        <row r="187">
          <cell r="A187">
            <v>990415</v>
          </cell>
          <cell r="C187">
            <v>739</v>
          </cell>
          <cell r="D187">
            <v>132</v>
          </cell>
          <cell r="E187">
            <v>453</v>
          </cell>
          <cell r="F187">
            <v>1248</v>
          </cell>
          <cell r="G187">
            <v>4512</v>
          </cell>
          <cell r="H187">
            <v>7087.38</v>
          </cell>
          <cell r="I187">
            <v>15907.8</v>
          </cell>
          <cell r="J187">
            <v>92088</v>
          </cell>
          <cell r="K187" t="str">
            <v>MP</v>
          </cell>
        </row>
        <row r="188">
          <cell r="A188">
            <v>990417</v>
          </cell>
          <cell r="C188">
            <v>1819</v>
          </cell>
          <cell r="D188">
            <v>932</v>
          </cell>
          <cell r="E188">
            <v>471</v>
          </cell>
          <cell r="F188">
            <v>3760</v>
          </cell>
          <cell r="G188">
            <v>25522</v>
          </cell>
          <cell r="H188">
            <v>32506.48</v>
          </cell>
          <cell r="I188">
            <v>119861.71</v>
          </cell>
          <cell r="J188">
            <v>91706</v>
          </cell>
          <cell r="K188" t="str">
            <v>MP</v>
          </cell>
        </row>
        <row r="189">
          <cell r="A189">
            <v>990419</v>
          </cell>
          <cell r="C189">
            <v>4335</v>
          </cell>
          <cell r="D189">
            <v>970</v>
          </cell>
          <cell r="E189">
            <v>439</v>
          </cell>
          <cell r="F189">
            <v>2819</v>
          </cell>
          <cell r="G189">
            <v>21646</v>
          </cell>
          <cell r="H189">
            <v>30210.95</v>
          </cell>
          <cell r="I189">
            <v>91541.24</v>
          </cell>
          <cell r="J189">
            <v>91437</v>
          </cell>
          <cell r="K189" t="str">
            <v>MP</v>
          </cell>
        </row>
        <row r="190">
          <cell r="A190">
            <v>990420</v>
          </cell>
          <cell r="C190">
            <v>2033</v>
          </cell>
          <cell r="D190">
            <v>1665</v>
          </cell>
          <cell r="E190">
            <v>464</v>
          </cell>
          <cell r="F190">
            <v>6094</v>
          </cell>
          <cell r="G190">
            <v>23601</v>
          </cell>
          <cell r="H190">
            <v>33858.629999999997</v>
          </cell>
          <cell r="I190">
            <v>209138.85</v>
          </cell>
          <cell r="J190">
            <v>91706</v>
          </cell>
          <cell r="K190" t="str">
            <v>MP</v>
          </cell>
        </row>
        <row r="191">
          <cell r="A191">
            <v>990422</v>
          </cell>
          <cell r="C191">
            <v>665</v>
          </cell>
          <cell r="D191">
            <v>556</v>
          </cell>
          <cell r="E191">
            <v>456</v>
          </cell>
          <cell r="F191">
            <v>4192</v>
          </cell>
          <cell r="G191">
            <v>24494</v>
          </cell>
          <cell r="H191">
            <v>30366.080000000002</v>
          </cell>
          <cell r="I191">
            <v>142249.98000000001</v>
          </cell>
          <cell r="J191">
            <v>90062</v>
          </cell>
          <cell r="K191" t="str">
            <v>MP</v>
          </cell>
        </row>
        <row r="192">
          <cell r="A192">
            <v>990423</v>
          </cell>
          <cell r="C192">
            <v>151</v>
          </cell>
          <cell r="D192">
            <v>15</v>
          </cell>
          <cell r="E192">
            <v>453</v>
          </cell>
          <cell r="F192">
            <v>242</v>
          </cell>
          <cell r="G192">
            <v>689</v>
          </cell>
          <cell r="H192">
            <v>1552.7</v>
          </cell>
          <cell r="I192">
            <v>3926.16</v>
          </cell>
          <cell r="J192">
            <v>90062</v>
          </cell>
          <cell r="K192" t="str">
            <v>MP</v>
          </cell>
        </row>
        <row r="193">
          <cell r="A193">
            <v>990424</v>
          </cell>
          <cell r="C193">
            <v>184</v>
          </cell>
          <cell r="D193">
            <v>41</v>
          </cell>
          <cell r="E193">
            <v>453</v>
          </cell>
          <cell r="F193">
            <v>548</v>
          </cell>
          <cell r="G193">
            <v>1818</v>
          </cell>
          <cell r="H193">
            <v>3045.84</v>
          </cell>
          <cell r="I193">
            <v>10530.52</v>
          </cell>
          <cell r="J193">
            <v>90496</v>
          </cell>
          <cell r="K193" t="str">
            <v>MP</v>
          </cell>
        </row>
        <row r="194">
          <cell r="A194">
            <v>990427</v>
          </cell>
          <cell r="C194">
            <v>250</v>
          </cell>
          <cell r="D194">
            <v>6</v>
          </cell>
          <cell r="E194">
            <v>452</v>
          </cell>
          <cell r="F194">
            <v>154</v>
          </cell>
          <cell r="G194">
            <v>189</v>
          </cell>
          <cell r="H194">
            <v>1052.67</v>
          </cell>
          <cell r="I194">
            <v>483.43</v>
          </cell>
          <cell r="J194">
            <v>91162</v>
          </cell>
          <cell r="K194" t="str">
            <v>MP</v>
          </cell>
        </row>
        <row r="195">
          <cell r="A195">
            <v>990428</v>
          </cell>
          <cell r="C195">
            <v>148</v>
          </cell>
          <cell r="D195">
            <v>3</v>
          </cell>
          <cell r="E195">
            <v>431</v>
          </cell>
          <cell r="F195">
            <v>152</v>
          </cell>
          <cell r="G195">
            <v>114</v>
          </cell>
          <cell r="H195">
            <v>850.65</v>
          </cell>
          <cell r="I195">
            <v>454.09</v>
          </cell>
          <cell r="J195">
            <v>92219</v>
          </cell>
          <cell r="K195" t="str">
            <v>MP</v>
          </cell>
        </row>
        <row r="196">
          <cell r="A196">
            <v>990431</v>
          </cell>
          <cell r="C196">
            <v>435</v>
          </cell>
          <cell r="D196">
            <v>648</v>
          </cell>
          <cell r="E196">
            <v>425</v>
          </cell>
          <cell r="F196">
            <v>2542</v>
          </cell>
          <cell r="G196">
            <v>18772</v>
          </cell>
          <cell r="H196">
            <v>22823.62</v>
          </cell>
          <cell r="I196">
            <v>76996</v>
          </cell>
          <cell r="J196">
            <v>91431</v>
          </cell>
          <cell r="K196" t="str">
            <v>MP</v>
          </cell>
        </row>
        <row r="197">
          <cell r="A197">
            <v>990432</v>
          </cell>
          <cell r="C197">
            <v>10321</v>
          </cell>
          <cell r="D197">
            <v>830</v>
          </cell>
          <cell r="E197">
            <v>425</v>
          </cell>
          <cell r="F197">
            <v>3280</v>
          </cell>
          <cell r="G197">
            <v>28225</v>
          </cell>
          <cell r="H197">
            <v>43083.1</v>
          </cell>
          <cell r="I197">
            <v>102026.64</v>
          </cell>
          <cell r="J197">
            <v>91375</v>
          </cell>
          <cell r="K197" t="str">
            <v>MP</v>
          </cell>
        </row>
        <row r="198">
          <cell r="A198">
            <v>990436</v>
          </cell>
          <cell r="C198">
            <v>126</v>
          </cell>
          <cell r="D198">
            <v>0</v>
          </cell>
          <cell r="E198">
            <v>409</v>
          </cell>
          <cell r="F198">
            <v>421</v>
          </cell>
          <cell r="G198">
            <v>1423</v>
          </cell>
          <cell r="H198">
            <v>2380.86</v>
          </cell>
          <cell r="I198">
            <v>6483.02</v>
          </cell>
          <cell r="J198">
            <v>90655</v>
          </cell>
          <cell r="K198" t="str">
            <v>MP</v>
          </cell>
        </row>
        <row r="199">
          <cell r="A199">
            <v>990437</v>
          </cell>
          <cell r="C199">
            <v>4783</v>
          </cell>
          <cell r="D199">
            <v>1572</v>
          </cell>
          <cell r="E199">
            <v>425</v>
          </cell>
          <cell r="F199">
            <v>5980</v>
          </cell>
          <cell r="G199">
            <v>33075</v>
          </cell>
          <cell r="H199">
            <v>45836.959999999999</v>
          </cell>
          <cell r="I199">
            <v>184807.54</v>
          </cell>
          <cell r="J199">
            <v>92107</v>
          </cell>
          <cell r="K199" t="str">
            <v>MP</v>
          </cell>
        </row>
        <row r="200">
          <cell r="A200">
            <v>990438</v>
          </cell>
          <cell r="C200">
            <v>1755</v>
          </cell>
          <cell r="D200">
            <v>385</v>
          </cell>
          <cell r="E200">
            <v>446</v>
          </cell>
          <cell r="F200">
            <v>2955</v>
          </cell>
          <cell r="G200">
            <v>15599</v>
          </cell>
          <cell r="H200">
            <v>21142.33</v>
          </cell>
          <cell r="I200">
            <v>83561.56</v>
          </cell>
          <cell r="J200">
            <v>92107</v>
          </cell>
          <cell r="K200" t="str">
            <v>MP</v>
          </cell>
        </row>
        <row r="201">
          <cell r="A201">
            <v>990440</v>
          </cell>
          <cell r="C201">
            <v>125</v>
          </cell>
          <cell r="D201">
            <v>63</v>
          </cell>
          <cell r="E201">
            <v>453</v>
          </cell>
          <cell r="F201">
            <v>464</v>
          </cell>
          <cell r="G201">
            <v>1439</v>
          </cell>
          <cell r="H201">
            <v>2546.52</v>
          </cell>
          <cell r="I201">
            <v>6494.2</v>
          </cell>
          <cell r="J201">
            <v>90655</v>
          </cell>
          <cell r="K201" t="str">
            <v>MP</v>
          </cell>
        </row>
        <row r="202">
          <cell r="A202">
            <v>990441</v>
          </cell>
          <cell r="C202">
            <v>207</v>
          </cell>
          <cell r="D202">
            <v>24</v>
          </cell>
          <cell r="E202">
            <v>425</v>
          </cell>
          <cell r="F202">
            <v>364</v>
          </cell>
          <cell r="G202">
            <v>1526</v>
          </cell>
          <cell r="H202">
            <v>2548.31</v>
          </cell>
          <cell r="I202">
            <v>6862.37</v>
          </cell>
          <cell r="J202">
            <v>90402</v>
          </cell>
          <cell r="K202" t="str">
            <v>MP</v>
          </cell>
        </row>
        <row r="203">
          <cell r="A203">
            <v>990442</v>
          </cell>
          <cell r="C203">
            <v>379</v>
          </cell>
          <cell r="D203">
            <v>16</v>
          </cell>
          <cell r="E203">
            <v>463</v>
          </cell>
          <cell r="F203">
            <v>191</v>
          </cell>
          <cell r="G203">
            <v>558</v>
          </cell>
          <cell r="H203">
            <v>1610.66</v>
          </cell>
          <cell r="I203">
            <v>1883.71</v>
          </cell>
          <cell r="J203">
            <v>92357</v>
          </cell>
          <cell r="K203" t="str">
            <v>MP</v>
          </cell>
        </row>
        <row r="204">
          <cell r="A204">
            <v>990444</v>
          </cell>
          <cell r="C204">
            <v>253</v>
          </cell>
          <cell r="D204">
            <v>303</v>
          </cell>
          <cell r="E204">
            <v>435</v>
          </cell>
          <cell r="F204">
            <v>2394</v>
          </cell>
          <cell r="G204">
            <v>13304</v>
          </cell>
          <cell r="H204">
            <v>16690.86</v>
          </cell>
          <cell r="I204">
            <v>89056.8</v>
          </cell>
          <cell r="J204">
            <v>90097</v>
          </cell>
          <cell r="K204" t="str">
            <v>MP</v>
          </cell>
        </row>
        <row r="205">
          <cell r="A205">
            <v>990445</v>
          </cell>
          <cell r="C205">
            <v>307</v>
          </cell>
          <cell r="D205">
            <v>66</v>
          </cell>
          <cell r="E205">
            <v>425</v>
          </cell>
          <cell r="F205">
            <v>490</v>
          </cell>
          <cell r="G205">
            <v>469</v>
          </cell>
          <cell r="H205">
            <v>1759.7</v>
          </cell>
          <cell r="I205">
            <v>9231.15</v>
          </cell>
          <cell r="J205">
            <v>90061</v>
          </cell>
          <cell r="K205" t="str">
            <v>MP</v>
          </cell>
        </row>
        <row r="206">
          <cell r="A206">
            <v>990446</v>
          </cell>
          <cell r="C206">
            <v>453</v>
          </cell>
          <cell r="D206">
            <v>299</v>
          </cell>
          <cell r="E206">
            <v>460</v>
          </cell>
          <cell r="F206">
            <v>1347</v>
          </cell>
          <cell r="G206">
            <v>6793</v>
          </cell>
          <cell r="H206">
            <v>9355.5400000000009</v>
          </cell>
          <cell r="I206">
            <v>38751.360000000001</v>
          </cell>
          <cell r="J206">
            <v>90061</v>
          </cell>
          <cell r="K206" t="str">
            <v>MP</v>
          </cell>
        </row>
        <row r="207">
          <cell r="A207">
            <v>990448</v>
          </cell>
          <cell r="C207">
            <v>443</v>
          </cell>
          <cell r="D207">
            <v>71</v>
          </cell>
          <cell r="E207">
            <v>453</v>
          </cell>
          <cell r="F207">
            <v>518</v>
          </cell>
          <cell r="G207">
            <v>1633</v>
          </cell>
          <cell r="H207">
            <v>3120.58</v>
          </cell>
          <cell r="I207">
            <v>10094.99</v>
          </cell>
          <cell r="J207">
            <v>90061</v>
          </cell>
          <cell r="K207" t="str">
            <v>MP</v>
          </cell>
        </row>
        <row r="208">
          <cell r="A208">
            <v>990449</v>
          </cell>
          <cell r="C208">
            <v>304</v>
          </cell>
          <cell r="D208">
            <v>199</v>
          </cell>
          <cell r="E208">
            <v>463</v>
          </cell>
          <cell r="F208">
            <v>985</v>
          </cell>
          <cell r="G208">
            <v>4536</v>
          </cell>
          <cell r="H208">
            <v>6489.81</v>
          </cell>
          <cell r="I208">
            <v>28215</v>
          </cell>
          <cell r="J208">
            <v>90061</v>
          </cell>
          <cell r="K208" t="str">
            <v>MP</v>
          </cell>
        </row>
        <row r="209">
          <cell r="A209">
            <v>990450</v>
          </cell>
          <cell r="C209">
            <v>198</v>
          </cell>
          <cell r="D209">
            <v>18</v>
          </cell>
          <cell r="E209">
            <v>453</v>
          </cell>
          <cell r="F209">
            <v>198</v>
          </cell>
          <cell r="G209">
            <v>413</v>
          </cell>
          <cell r="H209">
            <v>1282</v>
          </cell>
          <cell r="I209">
            <v>2479.5</v>
          </cell>
          <cell r="J209">
            <v>90061</v>
          </cell>
          <cell r="K209" t="str">
            <v>MP</v>
          </cell>
        </row>
        <row r="210">
          <cell r="A210">
            <v>990451</v>
          </cell>
          <cell r="C210">
            <v>198</v>
          </cell>
          <cell r="D210">
            <v>7</v>
          </cell>
          <cell r="E210">
            <v>453</v>
          </cell>
          <cell r="F210">
            <v>160</v>
          </cell>
          <cell r="G210">
            <v>227</v>
          </cell>
          <cell r="H210">
            <v>1047.3</v>
          </cell>
          <cell r="I210">
            <v>957.6</v>
          </cell>
          <cell r="J210">
            <v>91468</v>
          </cell>
          <cell r="K210" t="str">
            <v>MP</v>
          </cell>
        </row>
        <row r="211">
          <cell r="A211">
            <v>990452</v>
          </cell>
          <cell r="C211">
            <v>160</v>
          </cell>
          <cell r="D211">
            <v>29</v>
          </cell>
          <cell r="E211">
            <v>452</v>
          </cell>
          <cell r="F211">
            <v>241</v>
          </cell>
          <cell r="G211">
            <v>680</v>
          </cell>
          <cell r="H211">
            <v>1564.99</v>
          </cell>
          <cell r="I211">
            <v>4232.25</v>
          </cell>
          <cell r="J211">
            <v>90097</v>
          </cell>
          <cell r="K211" t="str">
            <v>MP</v>
          </cell>
        </row>
        <row r="212">
          <cell r="A212">
            <v>990453</v>
          </cell>
          <cell r="C212">
            <v>915</v>
          </cell>
          <cell r="D212">
            <v>23</v>
          </cell>
          <cell r="E212">
            <v>453</v>
          </cell>
          <cell r="F212">
            <v>337</v>
          </cell>
          <cell r="G212">
            <v>1561</v>
          </cell>
          <cell r="H212">
            <v>3292.48</v>
          </cell>
          <cell r="I212">
            <v>5864.86</v>
          </cell>
          <cell r="J212">
            <v>91353</v>
          </cell>
          <cell r="K212" t="str">
            <v>MP</v>
          </cell>
        </row>
        <row r="213">
          <cell r="A213">
            <v>990457</v>
          </cell>
          <cell r="C213">
            <v>5599</v>
          </cell>
          <cell r="D213">
            <v>409</v>
          </cell>
          <cell r="E213">
            <v>436</v>
          </cell>
          <cell r="F213">
            <v>1748</v>
          </cell>
          <cell r="G213">
            <v>12896</v>
          </cell>
          <cell r="H213">
            <v>21090.400000000001</v>
          </cell>
          <cell r="I213">
            <v>52147.37</v>
          </cell>
          <cell r="J213">
            <v>91552</v>
          </cell>
          <cell r="K213" t="str">
            <v>MP</v>
          </cell>
        </row>
        <row r="214">
          <cell r="A214">
            <v>990458</v>
          </cell>
          <cell r="C214">
            <v>3550</v>
          </cell>
          <cell r="D214">
            <v>547</v>
          </cell>
          <cell r="E214">
            <v>483</v>
          </cell>
          <cell r="F214">
            <v>2249</v>
          </cell>
          <cell r="G214">
            <v>16833</v>
          </cell>
          <cell r="H214">
            <v>23663.74</v>
          </cell>
          <cell r="I214">
            <v>71314.649999999994</v>
          </cell>
          <cell r="J214">
            <v>90338</v>
          </cell>
          <cell r="K214" t="str">
            <v>MP</v>
          </cell>
        </row>
        <row r="215">
          <cell r="A215">
            <v>990459</v>
          </cell>
          <cell r="C215">
            <v>207</v>
          </cell>
          <cell r="D215">
            <v>4</v>
          </cell>
          <cell r="E215">
            <v>452</v>
          </cell>
          <cell r="F215">
            <v>166</v>
          </cell>
          <cell r="G215">
            <v>291</v>
          </cell>
          <cell r="H215">
            <v>1123.1199999999999</v>
          </cell>
          <cell r="I215">
            <v>1193.43</v>
          </cell>
          <cell r="J215">
            <v>91471</v>
          </cell>
          <cell r="K215" t="str">
            <v>MP</v>
          </cell>
        </row>
        <row r="216">
          <cell r="A216">
            <v>990460</v>
          </cell>
          <cell r="C216">
            <v>191</v>
          </cell>
          <cell r="D216">
            <v>4</v>
          </cell>
          <cell r="E216">
            <v>423</v>
          </cell>
          <cell r="F216">
            <v>162</v>
          </cell>
          <cell r="G216">
            <v>254</v>
          </cell>
          <cell r="H216">
            <v>1036.1199999999999</v>
          </cell>
          <cell r="I216">
            <v>1102.9000000000001</v>
          </cell>
          <cell r="J216">
            <v>90402</v>
          </cell>
          <cell r="K216" t="str">
            <v>MP</v>
          </cell>
        </row>
        <row r="217">
          <cell r="A217">
            <v>990461</v>
          </cell>
          <cell r="C217">
            <v>210</v>
          </cell>
          <cell r="D217">
            <v>1</v>
          </cell>
          <cell r="E217">
            <v>460</v>
          </cell>
          <cell r="F217">
            <v>140</v>
          </cell>
          <cell r="G217">
            <v>52</v>
          </cell>
          <cell r="H217">
            <v>864.9</v>
          </cell>
          <cell r="I217">
            <v>141.85</v>
          </cell>
          <cell r="J217">
            <v>92233</v>
          </cell>
          <cell r="K217" t="str">
            <v>MP</v>
          </cell>
        </row>
        <row r="218">
          <cell r="A218">
            <v>990464</v>
          </cell>
          <cell r="C218">
            <v>144</v>
          </cell>
          <cell r="D218">
            <v>22</v>
          </cell>
          <cell r="E218">
            <v>452</v>
          </cell>
          <cell r="F218">
            <v>318</v>
          </cell>
          <cell r="G218">
            <v>980</v>
          </cell>
          <cell r="H218">
            <v>1919.79</v>
          </cell>
          <cell r="I218">
            <v>6198.75</v>
          </cell>
          <cell r="J218">
            <v>90485</v>
          </cell>
          <cell r="K218" t="str">
            <v>MP</v>
          </cell>
        </row>
        <row r="219">
          <cell r="A219">
            <v>990465</v>
          </cell>
          <cell r="C219">
            <v>221</v>
          </cell>
          <cell r="D219">
            <v>65</v>
          </cell>
          <cell r="E219">
            <v>483</v>
          </cell>
          <cell r="F219">
            <v>719</v>
          </cell>
          <cell r="G219">
            <v>4320</v>
          </cell>
          <cell r="H219">
            <v>5810.75</v>
          </cell>
          <cell r="I219">
            <v>17185.39</v>
          </cell>
          <cell r="J219">
            <v>91981</v>
          </cell>
          <cell r="K219" t="str">
            <v>MP</v>
          </cell>
        </row>
        <row r="220">
          <cell r="A220">
            <v>990469</v>
          </cell>
          <cell r="C220">
            <v>402</v>
          </cell>
          <cell r="D220">
            <v>14</v>
          </cell>
          <cell r="E220">
            <v>453</v>
          </cell>
          <cell r="F220">
            <v>184</v>
          </cell>
          <cell r="G220">
            <v>482</v>
          </cell>
          <cell r="H220">
            <v>1538.34</v>
          </cell>
          <cell r="I220">
            <v>1702.83</v>
          </cell>
          <cell r="J220">
            <v>91351</v>
          </cell>
          <cell r="K220" t="str">
            <v>MP</v>
          </cell>
        </row>
        <row r="221">
          <cell r="A221">
            <v>990472</v>
          </cell>
          <cell r="C221">
            <v>1193</v>
          </cell>
          <cell r="D221">
            <v>737</v>
          </cell>
          <cell r="E221">
            <v>431</v>
          </cell>
          <cell r="F221">
            <v>2940</v>
          </cell>
          <cell r="G221">
            <v>16706</v>
          </cell>
          <cell r="H221">
            <v>22010.77</v>
          </cell>
          <cell r="I221">
            <v>109922.37</v>
          </cell>
          <cell r="J221">
            <v>91351</v>
          </cell>
          <cell r="K221" t="str">
            <v>MP</v>
          </cell>
        </row>
        <row r="222">
          <cell r="A222">
            <v>990473</v>
          </cell>
          <cell r="C222">
            <v>213</v>
          </cell>
          <cell r="D222">
            <v>24</v>
          </cell>
          <cell r="E222">
            <v>460</v>
          </cell>
          <cell r="F222">
            <v>221</v>
          </cell>
          <cell r="G222">
            <v>753</v>
          </cell>
          <cell r="H222">
            <v>1674.06</v>
          </cell>
          <cell r="I222">
            <v>3308.53</v>
          </cell>
          <cell r="J222">
            <v>90322</v>
          </cell>
          <cell r="K222" t="str">
            <v>MP</v>
          </cell>
        </row>
        <row r="223">
          <cell r="A223">
            <v>990474</v>
          </cell>
          <cell r="C223">
            <v>720</v>
          </cell>
          <cell r="D223">
            <v>255</v>
          </cell>
          <cell r="E223">
            <v>446</v>
          </cell>
          <cell r="F223">
            <v>349</v>
          </cell>
          <cell r="G223">
            <v>6080</v>
          </cell>
          <cell r="H223">
            <v>7851.92</v>
          </cell>
          <cell r="I223">
            <v>38116.99</v>
          </cell>
          <cell r="J223">
            <v>92271</v>
          </cell>
          <cell r="K223" t="str">
            <v>MP</v>
          </cell>
        </row>
        <row r="224">
          <cell r="A224">
            <v>990475</v>
          </cell>
          <cell r="C224">
            <v>297</v>
          </cell>
          <cell r="D224">
            <v>50</v>
          </cell>
          <cell r="E224">
            <v>453</v>
          </cell>
          <cell r="F224">
            <v>611</v>
          </cell>
          <cell r="G224">
            <v>2372</v>
          </cell>
          <cell r="H224">
            <v>3786.03</v>
          </cell>
          <cell r="I224">
            <v>12763.14</v>
          </cell>
          <cell r="J224">
            <v>90083</v>
          </cell>
          <cell r="K224" t="str">
            <v>MP</v>
          </cell>
        </row>
        <row r="225">
          <cell r="A225">
            <v>990476</v>
          </cell>
          <cell r="C225">
            <v>542</v>
          </cell>
          <cell r="D225">
            <v>30</v>
          </cell>
          <cell r="E225">
            <v>453</v>
          </cell>
          <cell r="F225">
            <v>244</v>
          </cell>
          <cell r="G225">
            <v>950</v>
          </cell>
          <cell r="H225">
            <v>2222.21</v>
          </cell>
          <cell r="I225">
            <v>3996.42</v>
          </cell>
          <cell r="J225">
            <v>91395</v>
          </cell>
          <cell r="K225" t="str">
            <v>MP</v>
          </cell>
        </row>
        <row r="226">
          <cell r="A226">
            <v>990477</v>
          </cell>
          <cell r="C226">
            <v>446</v>
          </cell>
          <cell r="D226">
            <v>8</v>
          </cell>
          <cell r="E226">
            <v>453</v>
          </cell>
          <cell r="F226">
            <v>164</v>
          </cell>
          <cell r="G226">
            <v>273</v>
          </cell>
          <cell r="H226">
            <v>1346.25</v>
          </cell>
          <cell r="I226">
            <v>888.03</v>
          </cell>
          <cell r="J226">
            <v>91163</v>
          </cell>
          <cell r="K226" t="str">
            <v>MP</v>
          </cell>
        </row>
        <row r="227">
          <cell r="A227">
            <v>990478</v>
          </cell>
          <cell r="C227">
            <v>542</v>
          </cell>
          <cell r="D227">
            <v>12</v>
          </cell>
          <cell r="E227">
            <v>453</v>
          </cell>
          <cell r="F227">
            <v>178</v>
          </cell>
          <cell r="G227">
            <v>394</v>
          </cell>
          <cell r="H227">
            <v>1582.14</v>
          </cell>
          <cell r="I227">
            <v>1371.5</v>
          </cell>
          <cell r="J227">
            <v>91553</v>
          </cell>
          <cell r="K227" t="str">
            <v>MP</v>
          </cell>
        </row>
        <row r="228">
          <cell r="A228">
            <v>990484</v>
          </cell>
          <cell r="C228">
            <v>198</v>
          </cell>
          <cell r="D228">
            <v>42</v>
          </cell>
          <cell r="E228">
            <v>453</v>
          </cell>
          <cell r="F228">
            <v>578</v>
          </cell>
          <cell r="G228">
            <v>2826</v>
          </cell>
          <cell r="H228">
            <v>4099.4799999999996</v>
          </cell>
          <cell r="I228">
            <v>10767.17</v>
          </cell>
          <cell r="J228">
            <v>91681</v>
          </cell>
          <cell r="K228" t="str">
            <v>MP</v>
          </cell>
        </row>
        <row r="229">
          <cell r="A229">
            <v>990486</v>
          </cell>
          <cell r="C229">
            <v>222</v>
          </cell>
          <cell r="D229">
            <v>9</v>
          </cell>
          <cell r="E229">
            <v>464</v>
          </cell>
          <cell r="F229">
            <v>200</v>
          </cell>
          <cell r="G229">
            <v>577</v>
          </cell>
          <cell r="H229">
            <v>1474.72</v>
          </cell>
          <cell r="I229">
            <v>2567.21</v>
          </cell>
          <cell r="J229">
            <v>91799</v>
          </cell>
          <cell r="K229" t="str">
            <v>MP</v>
          </cell>
        </row>
        <row r="230">
          <cell r="A230">
            <v>990489</v>
          </cell>
          <cell r="C230">
            <v>182</v>
          </cell>
          <cell r="D230">
            <v>35</v>
          </cell>
          <cell r="E230">
            <v>460</v>
          </cell>
          <cell r="F230">
            <v>504</v>
          </cell>
          <cell r="G230">
            <v>2123</v>
          </cell>
          <cell r="H230">
            <v>3306.66</v>
          </cell>
          <cell r="I230">
            <v>9726.4500000000007</v>
          </cell>
          <cell r="J230">
            <v>90685</v>
          </cell>
          <cell r="K230" t="str">
            <v>MP</v>
          </cell>
        </row>
        <row r="231">
          <cell r="A231">
            <v>990490</v>
          </cell>
          <cell r="C231">
            <v>723</v>
          </cell>
          <cell r="D231">
            <v>38</v>
          </cell>
          <cell r="E231">
            <v>431</v>
          </cell>
          <cell r="F231">
            <v>530</v>
          </cell>
          <cell r="G231">
            <v>2317</v>
          </cell>
          <cell r="H231">
            <v>4041.81</v>
          </cell>
          <cell r="I231">
            <v>10843.16</v>
          </cell>
          <cell r="J231">
            <v>91178</v>
          </cell>
          <cell r="K231" t="str">
            <v>MP</v>
          </cell>
        </row>
        <row r="232">
          <cell r="A232">
            <v>990491</v>
          </cell>
          <cell r="C232">
            <v>179</v>
          </cell>
          <cell r="D232">
            <v>5</v>
          </cell>
          <cell r="E232">
            <v>453</v>
          </cell>
          <cell r="F232">
            <v>169</v>
          </cell>
          <cell r="G232">
            <v>231</v>
          </cell>
          <cell r="H232">
            <v>1038.46</v>
          </cell>
          <cell r="I232">
            <v>1195.3399999999999</v>
          </cell>
          <cell r="J232">
            <v>91147</v>
          </cell>
          <cell r="K232" t="str">
            <v>MP</v>
          </cell>
        </row>
        <row r="233">
          <cell r="A233">
            <v>990492</v>
          </cell>
          <cell r="C233">
            <v>210</v>
          </cell>
          <cell r="D233">
            <v>15</v>
          </cell>
          <cell r="E233">
            <v>460</v>
          </cell>
          <cell r="F233">
            <v>240</v>
          </cell>
          <cell r="G233">
            <v>676</v>
          </cell>
          <cell r="H233">
            <v>1603.48</v>
          </cell>
          <cell r="I233">
            <v>4091.76</v>
          </cell>
          <cell r="J233">
            <v>90463</v>
          </cell>
          <cell r="K233" t="str">
            <v>MP</v>
          </cell>
        </row>
        <row r="234">
          <cell r="A234">
            <v>990493</v>
          </cell>
          <cell r="C234">
            <v>208.82</v>
          </cell>
          <cell r="D234">
            <v>43.68</v>
          </cell>
          <cell r="E234">
            <v>455.61</v>
          </cell>
          <cell r="F234">
            <v>564.14</v>
          </cell>
          <cell r="G234">
            <v>1917.04</v>
          </cell>
          <cell r="H234">
            <v>3189.29</v>
          </cell>
          <cell r="I234">
            <v>13440.67</v>
          </cell>
          <cell r="J234">
            <v>91974</v>
          </cell>
          <cell r="K234" t="str">
            <v>MP</v>
          </cell>
        </row>
        <row r="235">
          <cell r="A235">
            <v>990494</v>
          </cell>
          <cell r="C235">
            <v>1331</v>
          </cell>
          <cell r="D235">
            <v>19</v>
          </cell>
          <cell r="E235">
            <v>456</v>
          </cell>
          <cell r="F235">
            <v>230</v>
          </cell>
          <cell r="G235">
            <v>834</v>
          </cell>
          <cell r="H235">
            <v>2873.2</v>
          </cell>
          <cell r="I235">
            <v>2811.74</v>
          </cell>
          <cell r="J235">
            <v>91262</v>
          </cell>
          <cell r="K235" t="str">
            <v>MP</v>
          </cell>
        </row>
        <row r="236">
          <cell r="A236">
            <v>990495</v>
          </cell>
          <cell r="C236">
            <v>227</v>
          </cell>
          <cell r="D236">
            <v>267</v>
          </cell>
          <cell r="E236">
            <v>439</v>
          </cell>
          <cell r="F236">
            <v>1203</v>
          </cell>
          <cell r="G236">
            <v>5476</v>
          </cell>
          <cell r="H236">
            <v>7613.91</v>
          </cell>
          <cell r="I236">
            <v>36713.4</v>
          </cell>
          <cell r="J236">
            <v>92109</v>
          </cell>
          <cell r="K236" t="str">
            <v>MP</v>
          </cell>
        </row>
        <row r="237">
          <cell r="A237">
            <v>990498</v>
          </cell>
          <cell r="C237">
            <v>174</v>
          </cell>
          <cell r="D237">
            <v>64</v>
          </cell>
          <cell r="E237">
            <v>425</v>
          </cell>
          <cell r="F237">
            <v>707</v>
          </cell>
          <cell r="G237">
            <v>2808</v>
          </cell>
          <cell r="H237">
            <v>4179.57</v>
          </cell>
          <cell r="I237">
            <v>19542.18</v>
          </cell>
          <cell r="J237">
            <v>90686</v>
          </cell>
          <cell r="K237" t="str">
            <v>MP</v>
          </cell>
        </row>
        <row r="238">
          <cell r="A238">
            <v>990499</v>
          </cell>
          <cell r="C238">
            <v>471</v>
          </cell>
          <cell r="D238">
            <v>57</v>
          </cell>
          <cell r="E238">
            <v>425</v>
          </cell>
          <cell r="F238">
            <v>389</v>
          </cell>
          <cell r="G238">
            <v>1633</v>
          </cell>
          <cell r="H238">
            <v>2977.28</v>
          </cell>
          <cell r="I238">
            <v>7954.49</v>
          </cell>
          <cell r="J238">
            <v>90257</v>
          </cell>
          <cell r="K238" t="str">
            <v>MP</v>
          </cell>
        </row>
        <row r="239">
          <cell r="A239">
            <v>990503</v>
          </cell>
          <cell r="C239">
            <v>1492</v>
          </cell>
          <cell r="D239">
            <v>136</v>
          </cell>
          <cell r="E239">
            <v>154</v>
          </cell>
          <cell r="F239">
            <v>481</v>
          </cell>
          <cell r="G239">
            <v>4201</v>
          </cell>
          <cell r="H239">
            <v>6467.37</v>
          </cell>
          <cell r="I239">
            <v>17307.060000000001</v>
          </cell>
          <cell r="J239">
            <v>91975</v>
          </cell>
          <cell r="K239" t="str">
            <v>MP</v>
          </cell>
        </row>
        <row r="240">
          <cell r="A240">
            <v>990504</v>
          </cell>
          <cell r="C240">
            <v>1742</v>
          </cell>
          <cell r="D240">
            <v>276</v>
          </cell>
          <cell r="E240">
            <v>313</v>
          </cell>
          <cell r="F240">
            <v>790</v>
          </cell>
          <cell r="G240">
            <v>8510</v>
          </cell>
          <cell r="H240">
            <v>11633.91</v>
          </cell>
          <cell r="I240">
            <v>27129.52</v>
          </cell>
          <cell r="J240">
            <v>90376</v>
          </cell>
          <cell r="K240" t="str">
            <v>MP</v>
          </cell>
        </row>
        <row r="241">
          <cell r="A241">
            <v>990506</v>
          </cell>
          <cell r="C241">
            <v>203</v>
          </cell>
          <cell r="D241">
            <v>15</v>
          </cell>
          <cell r="E241">
            <v>463</v>
          </cell>
          <cell r="F241">
            <v>244</v>
          </cell>
          <cell r="G241">
            <v>701</v>
          </cell>
          <cell r="H241">
            <v>1629.1</v>
          </cell>
          <cell r="I241">
            <v>4386.0600000000004</v>
          </cell>
          <cell r="J241">
            <v>91974</v>
          </cell>
          <cell r="K241" t="str">
            <v>MP</v>
          </cell>
        </row>
        <row r="242">
          <cell r="A242">
            <v>990507</v>
          </cell>
          <cell r="C242">
            <v>208</v>
          </cell>
          <cell r="D242">
            <v>2</v>
          </cell>
          <cell r="E242">
            <v>455</v>
          </cell>
          <cell r="F242">
            <v>147</v>
          </cell>
          <cell r="G242">
            <v>132</v>
          </cell>
          <cell r="H242">
            <v>946.42</v>
          </cell>
          <cell r="I242">
            <v>434.75</v>
          </cell>
          <cell r="J242">
            <v>91591</v>
          </cell>
          <cell r="K242" t="str">
            <v>MP</v>
          </cell>
        </row>
        <row r="243">
          <cell r="A243">
            <v>990508</v>
          </cell>
          <cell r="C243">
            <v>197</v>
          </cell>
          <cell r="D243">
            <v>32</v>
          </cell>
          <cell r="E243">
            <v>455</v>
          </cell>
          <cell r="F243">
            <v>490</v>
          </cell>
          <cell r="G243">
            <v>2162</v>
          </cell>
          <cell r="H243">
            <v>3340.08</v>
          </cell>
          <cell r="I243">
            <v>9912</v>
          </cell>
          <cell r="J243">
            <v>91981</v>
          </cell>
          <cell r="K243" t="str">
            <v>MP</v>
          </cell>
        </row>
        <row r="244">
          <cell r="A244">
            <v>990509</v>
          </cell>
          <cell r="C244">
            <v>155</v>
          </cell>
          <cell r="D244">
            <v>17</v>
          </cell>
          <cell r="E244">
            <v>452</v>
          </cell>
          <cell r="F244">
            <v>257</v>
          </cell>
          <cell r="G244">
            <v>1168</v>
          </cell>
          <cell r="H244">
            <v>2051.4</v>
          </cell>
          <cell r="I244">
            <v>5055.8100000000004</v>
          </cell>
          <cell r="J244">
            <v>91983</v>
          </cell>
          <cell r="K244" t="str">
            <v>MP</v>
          </cell>
        </row>
        <row r="245">
          <cell r="A245">
            <v>990510</v>
          </cell>
          <cell r="C245">
            <v>199</v>
          </cell>
          <cell r="D245">
            <v>66</v>
          </cell>
          <cell r="E245">
            <v>456</v>
          </cell>
          <cell r="F245">
            <v>726</v>
          </cell>
          <cell r="G245">
            <v>4391</v>
          </cell>
          <cell r="H245">
            <v>5841.52</v>
          </cell>
          <cell r="I245">
            <v>19102.509999999998</v>
          </cell>
          <cell r="J245">
            <v>91981</v>
          </cell>
          <cell r="K245" t="str">
            <v>MP</v>
          </cell>
        </row>
        <row r="246">
          <cell r="A246">
            <v>990511</v>
          </cell>
          <cell r="C246">
            <v>231</v>
          </cell>
          <cell r="D246">
            <v>83</v>
          </cell>
          <cell r="E246">
            <v>460</v>
          </cell>
          <cell r="F246">
            <v>389</v>
          </cell>
          <cell r="G246">
            <v>1631</v>
          </cell>
          <cell r="H246">
            <v>2795.09</v>
          </cell>
          <cell r="I246">
            <v>7456.88</v>
          </cell>
          <cell r="J246">
            <v>91337</v>
          </cell>
          <cell r="K246" t="str">
            <v>MP</v>
          </cell>
        </row>
        <row r="247">
          <cell r="A247">
            <v>990512</v>
          </cell>
          <cell r="C247">
            <v>198</v>
          </cell>
          <cell r="D247">
            <v>13</v>
          </cell>
          <cell r="E247">
            <v>453</v>
          </cell>
          <cell r="F247">
            <v>183</v>
          </cell>
          <cell r="G247">
            <v>317</v>
          </cell>
          <cell r="H247">
            <v>1165.81</v>
          </cell>
          <cell r="I247">
            <v>1854.08</v>
          </cell>
          <cell r="J247">
            <v>90061</v>
          </cell>
          <cell r="K247" t="str">
            <v>MP</v>
          </cell>
        </row>
        <row r="248">
          <cell r="A248">
            <v>990513</v>
          </cell>
          <cell r="C248">
            <v>334</v>
          </cell>
          <cell r="D248">
            <v>164</v>
          </cell>
          <cell r="E248">
            <v>439</v>
          </cell>
          <cell r="F248">
            <v>855</v>
          </cell>
          <cell r="G248">
            <v>3727</v>
          </cell>
          <cell r="H248">
            <v>5521</v>
          </cell>
          <cell r="I248">
            <v>24320.400000000001</v>
          </cell>
          <cell r="J248">
            <v>90061</v>
          </cell>
          <cell r="K248" t="str">
            <v>MP</v>
          </cell>
        </row>
        <row r="249">
          <cell r="A249">
            <v>990515</v>
          </cell>
          <cell r="C249">
            <v>201</v>
          </cell>
          <cell r="D249">
            <v>89</v>
          </cell>
          <cell r="E249">
            <v>460</v>
          </cell>
          <cell r="F249">
            <v>583</v>
          </cell>
          <cell r="G249">
            <v>2035</v>
          </cell>
          <cell r="H249">
            <v>3371.22</v>
          </cell>
          <cell r="I249">
            <v>13132.69</v>
          </cell>
          <cell r="J249">
            <v>90061</v>
          </cell>
          <cell r="K249" t="str">
            <v>MP</v>
          </cell>
        </row>
        <row r="250">
          <cell r="A250">
            <v>990516</v>
          </cell>
          <cell r="C250">
            <v>569</v>
          </cell>
          <cell r="D250">
            <v>45</v>
          </cell>
          <cell r="E250">
            <v>425</v>
          </cell>
          <cell r="F250">
            <v>333</v>
          </cell>
          <cell r="G250">
            <v>1026</v>
          </cell>
          <cell r="H250">
            <v>2399.4</v>
          </cell>
          <cell r="I250">
            <v>6678.31</v>
          </cell>
          <cell r="J250">
            <v>91441</v>
          </cell>
          <cell r="K250" t="str">
            <v>MP</v>
          </cell>
        </row>
        <row r="251">
          <cell r="A251">
            <v>990517</v>
          </cell>
          <cell r="C251">
            <v>191</v>
          </cell>
          <cell r="D251">
            <v>37</v>
          </cell>
          <cell r="E251">
            <v>471</v>
          </cell>
          <cell r="F251">
            <v>522</v>
          </cell>
          <cell r="G251">
            <v>1656</v>
          </cell>
          <cell r="H251">
            <v>2879.81</v>
          </cell>
          <cell r="I251">
            <v>10460.700000000001</v>
          </cell>
          <cell r="J251">
            <v>90121</v>
          </cell>
          <cell r="K251" t="str">
            <v>MP</v>
          </cell>
        </row>
        <row r="252">
          <cell r="A252">
            <v>990518</v>
          </cell>
          <cell r="C252">
            <v>228</v>
          </cell>
          <cell r="D252">
            <v>137</v>
          </cell>
          <cell r="E252">
            <v>471</v>
          </cell>
          <cell r="F252">
            <v>1223</v>
          </cell>
          <cell r="G252">
            <v>6017</v>
          </cell>
          <cell r="H252">
            <v>8077.72</v>
          </cell>
          <cell r="I252">
            <v>38413.25</v>
          </cell>
          <cell r="J252">
            <v>90062</v>
          </cell>
          <cell r="K252" t="str">
            <v>MP</v>
          </cell>
        </row>
        <row r="253">
          <cell r="A253">
            <v>990520</v>
          </cell>
          <cell r="C253">
            <v>609</v>
          </cell>
          <cell r="D253">
            <v>12</v>
          </cell>
          <cell r="E253">
            <v>471</v>
          </cell>
          <cell r="F253">
            <v>222</v>
          </cell>
          <cell r="G253">
            <v>839</v>
          </cell>
          <cell r="H253">
            <v>2155.36</v>
          </cell>
          <cell r="I253">
            <v>3028.23</v>
          </cell>
          <cell r="J253">
            <v>91353</v>
          </cell>
          <cell r="K253" t="str">
            <v>MP</v>
          </cell>
        </row>
        <row r="254">
          <cell r="A254">
            <v>990521</v>
          </cell>
          <cell r="C254">
            <v>227</v>
          </cell>
          <cell r="D254">
            <v>380</v>
          </cell>
          <cell r="E254">
            <v>463</v>
          </cell>
          <cell r="F254">
            <v>2938</v>
          </cell>
          <cell r="G254">
            <v>17885</v>
          </cell>
          <cell r="H254">
            <v>21895.52</v>
          </cell>
          <cell r="I254">
            <v>108607.2</v>
          </cell>
          <cell r="J254">
            <v>90048</v>
          </cell>
          <cell r="K254" t="str">
            <v>MP</v>
          </cell>
        </row>
        <row r="255">
          <cell r="A255">
            <v>990525</v>
          </cell>
          <cell r="C255">
            <v>264</v>
          </cell>
          <cell r="D255">
            <v>39</v>
          </cell>
          <cell r="E255">
            <v>453</v>
          </cell>
          <cell r="F255">
            <v>532</v>
          </cell>
          <cell r="G255">
            <v>1718</v>
          </cell>
          <cell r="H255">
            <v>3007.92</v>
          </cell>
          <cell r="I255">
            <v>11900.18</v>
          </cell>
          <cell r="J255">
            <v>90061</v>
          </cell>
          <cell r="K255" t="str">
            <v>MP</v>
          </cell>
        </row>
        <row r="256">
          <cell r="A256">
            <v>990530</v>
          </cell>
          <cell r="C256">
            <v>171</v>
          </cell>
          <cell r="D256">
            <v>39</v>
          </cell>
          <cell r="E256">
            <v>453</v>
          </cell>
          <cell r="F256">
            <v>289</v>
          </cell>
          <cell r="G256">
            <v>888</v>
          </cell>
          <cell r="H256">
            <v>1842.66</v>
          </cell>
          <cell r="I256">
            <v>5063.5</v>
          </cell>
          <cell r="J256">
            <v>91874</v>
          </cell>
          <cell r="K256" t="str">
            <v>MP</v>
          </cell>
        </row>
        <row r="257">
          <cell r="A257">
            <v>990533</v>
          </cell>
          <cell r="C257">
            <v>189</v>
          </cell>
          <cell r="D257">
            <v>122</v>
          </cell>
          <cell r="E257">
            <v>471</v>
          </cell>
          <cell r="F257">
            <v>702</v>
          </cell>
          <cell r="G257">
            <v>2779</v>
          </cell>
          <cell r="H257">
            <v>4265.72</v>
          </cell>
          <cell r="I257">
            <v>17615.04</v>
          </cell>
          <cell r="J257">
            <v>90048</v>
          </cell>
          <cell r="K257" t="str">
            <v>MP</v>
          </cell>
        </row>
        <row r="258">
          <cell r="A258">
            <v>990535</v>
          </cell>
          <cell r="C258">
            <v>336</v>
          </cell>
          <cell r="D258">
            <v>673</v>
          </cell>
          <cell r="E258">
            <v>483</v>
          </cell>
          <cell r="F258">
            <v>2724</v>
          </cell>
          <cell r="G258">
            <v>5485</v>
          </cell>
          <cell r="H258">
            <v>9702.89</v>
          </cell>
          <cell r="I258">
            <v>92064.6</v>
          </cell>
          <cell r="J258">
            <v>91627</v>
          </cell>
          <cell r="K258" t="str">
            <v>MP</v>
          </cell>
        </row>
        <row r="259">
          <cell r="A259">
            <v>990540</v>
          </cell>
          <cell r="C259">
            <v>689</v>
          </cell>
          <cell r="D259">
            <v>61</v>
          </cell>
          <cell r="E259">
            <v>452</v>
          </cell>
          <cell r="F259">
            <v>451</v>
          </cell>
          <cell r="G259">
            <v>1895</v>
          </cell>
          <cell r="H259">
            <v>3550.94</v>
          </cell>
          <cell r="I259">
            <v>8861.94</v>
          </cell>
          <cell r="J259">
            <v>91462</v>
          </cell>
          <cell r="K259" t="str">
            <v>MP</v>
          </cell>
        </row>
        <row r="260">
          <cell r="A260">
            <v>990541</v>
          </cell>
          <cell r="C260">
            <v>5572</v>
          </cell>
          <cell r="D260">
            <v>43</v>
          </cell>
          <cell r="E260">
            <v>425</v>
          </cell>
          <cell r="F260">
            <v>317</v>
          </cell>
          <cell r="G260">
            <v>1323</v>
          </cell>
          <cell r="H260">
            <v>7682.79</v>
          </cell>
          <cell r="I260">
            <v>1372.71</v>
          </cell>
          <cell r="J260">
            <v>91416</v>
          </cell>
          <cell r="K260" t="str">
            <v>MP</v>
          </cell>
        </row>
        <row r="261">
          <cell r="A261">
            <v>990542</v>
          </cell>
          <cell r="C261">
            <v>178</v>
          </cell>
          <cell r="D261">
            <v>12</v>
          </cell>
          <cell r="E261">
            <v>453</v>
          </cell>
          <cell r="F261">
            <v>220</v>
          </cell>
          <cell r="G261">
            <v>544</v>
          </cell>
          <cell r="H261">
            <v>1409.06</v>
          </cell>
          <cell r="I261">
            <v>3490.44</v>
          </cell>
          <cell r="J261">
            <v>90061</v>
          </cell>
          <cell r="K261" t="str">
            <v>MP</v>
          </cell>
        </row>
        <row r="262">
          <cell r="A262">
            <v>990543</v>
          </cell>
          <cell r="C262">
            <v>182</v>
          </cell>
          <cell r="D262">
            <v>146</v>
          </cell>
          <cell r="E262">
            <v>460</v>
          </cell>
          <cell r="F262">
            <v>1292</v>
          </cell>
          <cell r="G262">
            <v>6449</v>
          </cell>
          <cell r="H262">
            <v>8532.0499999999993</v>
          </cell>
          <cell r="I262">
            <v>42214.5</v>
          </cell>
          <cell r="J262">
            <v>90685</v>
          </cell>
          <cell r="K262" t="str">
            <v>MP</v>
          </cell>
        </row>
        <row r="263">
          <cell r="A263">
            <v>990544</v>
          </cell>
          <cell r="C263">
            <v>3403</v>
          </cell>
          <cell r="D263">
            <v>2838</v>
          </cell>
          <cell r="E263">
            <v>446</v>
          </cell>
          <cell r="F263">
            <v>10587</v>
          </cell>
          <cell r="G263">
            <v>78935</v>
          </cell>
          <cell r="H263">
            <v>96211.59</v>
          </cell>
          <cell r="I263">
            <v>435912.79</v>
          </cell>
          <cell r="J263">
            <v>90570</v>
          </cell>
          <cell r="K263" t="str">
            <v>MP</v>
          </cell>
        </row>
        <row r="264">
          <cell r="A264">
            <v>990545</v>
          </cell>
          <cell r="C264">
            <v>851</v>
          </cell>
          <cell r="D264">
            <v>148</v>
          </cell>
          <cell r="E264">
            <v>436</v>
          </cell>
          <cell r="F264">
            <v>795</v>
          </cell>
          <cell r="G264">
            <v>5034</v>
          </cell>
          <cell r="H264">
            <v>7266.07</v>
          </cell>
          <cell r="I264">
            <v>22602.41</v>
          </cell>
          <cell r="J264">
            <v>92088</v>
          </cell>
          <cell r="K264" t="str">
            <v>MP</v>
          </cell>
        </row>
        <row r="265">
          <cell r="A265">
            <v>990546</v>
          </cell>
          <cell r="C265">
            <v>1669</v>
          </cell>
          <cell r="D265">
            <v>56</v>
          </cell>
          <cell r="E265">
            <v>471</v>
          </cell>
          <cell r="F265">
            <v>483</v>
          </cell>
          <cell r="G265">
            <v>2235</v>
          </cell>
          <cell r="H265">
            <v>4916.72</v>
          </cell>
          <cell r="I265">
            <v>8135.77</v>
          </cell>
          <cell r="J265">
            <v>92020</v>
          </cell>
          <cell r="K265" t="str">
            <v>MP</v>
          </cell>
        </row>
        <row r="266">
          <cell r="A266">
            <v>990547</v>
          </cell>
          <cell r="C266">
            <v>994</v>
          </cell>
          <cell r="D266">
            <v>694</v>
          </cell>
          <cell r="E266">
            <v>435</v>
          </cell>
          <cell r="F266">
            <v>2783</v>
          </cell>
          <cell r="G266">
            <v>15723</v>
          </cell>
          <cell r="H266">
            <v>20629.96</v>
          </cell>
          <cell r="I266">
            <v>108824.32000000001</v>
          </cell>
          <cell r="J266">
            <v>90570</v>
          </cell>
          <cell r="K266" t="str">
            <v>MP</v>
          </cell>
        </row>
        <row r="267">
          <cell r="A267">
            <v>990548</v>
          </cell>
          <cell r="C267">
            <v>733</v>
          </cell>
          <cell r="D267">
            <v>105</v>
          </cell>
          <cell r="E267">
            <v>471</v>
          </cell>
          <cell r="F267">
            <v>640</v>
          </cell>
          <cell r="G267">
            <v>3079</v>
          </cell>
          <cell r="H267">
            <v>5030.32</v>
          </cell>
          <cell r="I267">
            <v>14835.8</v>
          </cell>
          <cell r="J267">
            <v>91351</v>
          </cell>
          <cell r="K267" t="str">
            <v>MP</v>
          </cell>
        </row>
        <row r="268">
          <cell r="A268">
            <v>990552</v>
          </cell>
          <cell r="C268">
            <v>176</v>
          </cell>
          <cell r="D268">
            <v>41</v>
          </cell>
          <cell r="E268">
            <v>435</v>
          </cell>
          <cell r="F268">
            <v>548</v>
          </cell>
          <cell r="G268">
            <v>1820</v>
          </cell>
          <cell r="H268">
            <v>3023.42</v>
          </cell>
          <cell r="I268">
            <v>12412.23</v>
          </cell>
          <cell r="J268">
            <v>90496</v>
          </cell>
          <cell r="K268" t="str">
            <v>MP</v>
          </cell>
        </row>
        <row r="269">
          <cell r="A269">
            <v>990554</v>
          </cell>
          <cell r="C269">
            <v>380</v>
          </cell>
          <cell r="D269">
            <v>12</v>
          </cell>
          <cell r="E269">
            <v>455</v>
          </cell>
          <cell r="F269">
            <v>216</v>
          </cell>
          <cell r="G269">
            <v>527</v>
          </cell>
          <cell r="H269">
            <v>1593.04</v>
          </cell>
          <cell r="I269">
            <v>2771.78</v>
          </cell>
          <cell r="J269">
            <v>91919</v>
          </cell>
          <cell r="K269" t="str">
            <v>MP</v>
          </cell>
        </row>
        <row r="270">
          <cell r="A270">
            <v>990560</v>
          </cell>
          <cell r="C270">
            <v>139</v>
          </cell>
          <cell r="D270">
            <v>2</v>
          </cell>
          <cell r="E270">
            <v>453</v>
          </cell>
          <cell r="F270">
            <v>150</v>
          </cell>
          <cell r="G270">
            <v>112</v>
          </cell>
          <cell r="H270">
            <v>857.32</v>
          </cell>
          <cell r="I270">
            <v>545.29999999999995</v>
          </cell>
          <cell r="J270">
            <v>91370</v>
          </cell>
          <cell r="K270" t="str">
            <v>MP</v>
          </cell>
        </row>
        <row r="271">
          <cell r="A271">
            <v>990569</v>
          </cell>
          <cell r="C271">
            <v>321</v>
          </cell>
          <cell r="D271">
            <v>69</v>
          </cell>
          <cell r="E271">
            <v>436</v>
          </cell>
          <cell r="F271">
            <v>510</v>
          </cell>
          <cell r="G271">
            <v>2037</v>
          </cell>
          <cell r="H271">
            <v>3376.14</v>
          </cell>
          <cell r="I271">
            <v>9621.7900000000009</v>
          </cell>
          <cell r="J271">
            <v>91692</v>
          </cell>
          <cell r="K271" t="str">
            <v>MP</v>
          </cell>
        </row>
        <row r="272">
          <cell r="A272">
            <v>990573</v>
          </cell>
          <cell r="C272">
            <v>115</v>
          </cell>
          <cell r="D272">
            <v>125</v>
          </cell>
          <cell r="E272">
            <v>431</v>
          </cell>
          <cell r="F272">
            <v>720</v>
          </cell>
          <cell r="G272">
            <v>2898</v>
          </cell>
          <cell r="H272">
            <v>4291.6499999999996</v>
          </cell>
          <cell r="I272">
            <v>17518.5</v>
          </cell>
          <cell r="J272">
            <v>99573</v>
          </cell>
          <cell r="K272" t="str">
            <v>MP</v>
          </cell>
        </row>
        <row r="273">
          <cell r="A273">
            <v>990574</v>
          </cell>
          <cell r="C273">
            <v>176</v>
          </cell>
          <cell r="D273">
            <v>27</v>
          </cell>
          <cell r="E273">
            <v>435</v>
          </cell>
          <cell r="F273">
            <v>395</v>
          </cell>
          <cell r="G273">
            <v>1222</v>
          </cell>
          <cell r="H273">
            <v>2257.89</v>
          </cell>
          <cell r="I273">
            <v>8821.9</v>
          </cell>
          <cell r="J273">
            <v>90496</v>
          </cell>
          <cell r="K273" t="str">
            <v>MP</v>
          </cell>
        </row>
        <row r="274">
          <cell r="A274">
            <v>990575</v>
          </cell>
          <cell r="C274">
            <v>317</v>
          </cell>
          <cell r="D274">
            <v>26</v>
          </cell>
          <cell r="E274">
            <v>435</v>
          </cell>
          <cell r="F274">
            <v>369</v>
          </cell>
          <cell r="G274">
            <v>2212</v>
          </cell>
          <cell r="H274">
            <v>2360.65</v>
          </cell>
          <cell r="I274">
            <v>8269.1200000000008</v>
          </cell>
          <cell r="J274">
            <v>90236</v>
          </cell>
          <cell r="K274" t="str">
            <v>MP</v>
          </cell>
        </row>
        <row r="275">
          <cell r="A275">
            <v>990577</v>
          </cell>
          <cell r="C275">
            <v>444</v>
          </cell>
          <cell r="D275">
            <v>54</v>
          </cell>
          <cell r="E275">
            <v>436</v>
          </cell>
          <cell r="F275">
            <v>397</v>
          </cell>
          <cell r="G275">
            <v>1665</v>
          </cell>
          <cell r="H275">
            <v>2998.12</v>
          </cell>
          <cell r="I275">
            <v>8067.66</v>
          </cell>
          <cell r="J275">
            <v>90071</v>
          </cell>
          <cell r="K275" t="str">
            <v>MP</v>
          </cell>
        </row>
        <row r="276">
          <cell r="A276">
            <v>990578</v>
          </cell>
          <cell r="C276">
            <v>240</v>
          </cell>
          <cell r="D276">
            <v>22</v>
          </cell>
          <cell r="E276">
            <v>439</v>
          </cell>
          <cell r="F276">
            <v>315</v>
          </cell>
          <cell r="G276">
            <v>970</v>
          </cell>
          <cell r="H276">
            <v>1987.74</v>
          </cell>
          <cell r="I276">
            <v>6408.58</v>
          </cell>
          <cell r="J276">
            <v>90061</v>
          </cell>
          <cell r="K276" t="str">
            <v>MP</v>
          </cell>
        </row>
        <row r="277">
          <cell r="A277">
            <v>990579</v>
          </cell>
          <cell r="C277">
            <v>113</v>
          </cell>
          <cell r="D277">
            <v>16</v>
          </cell>
          <cell r="E277">
            <v>452</v>
          </cell>
          <cell r="F277">
            <v>249</v>
          </cell>
          <cell r="G277">
            <v>731</v>
          </cell>
          <cell r="H277">
            <v>1563.68</v>
          </cell>
          <cell r="I277">
            <v>4779</v>
          </cell>
          <cell r="J277">
            <v>90061</v>
          </cell>
          <cell r="K277" t="str">
            <v>MP</v>
          </cell>
        </row>
        <row r="278">
          <cell r="A278">
            <v>990580</v>
          </cell>
          <cell r="C278">
            <v>179</v>
          </cell>
          <cell r="D278">
            <v>49</v>
          </cell>
          <cell r="E278">
            <v>452</v>
          </cell>
          <cell r="F278">
            <v>908</v>
          </cell>
          <cell r="G278">
            <v>2171</v>
          </cell>
          <cell r="H278">
            <v>3761.62</v>
          </cell>
          <cell r="I278">
            <v>14337</v>
          </cell>
          <cell r="J278">
            <v>90061</v>
          </cell>
          <cell r="K278" t="str">
            <v>MP</v>
          </cell>
        </row>
        <row r="279">
          <cell r="A279">
            <v>990583</v>
          </cell>
          <cell r="C279">
            <v>178</v>
          </cell>
          <cell r="D279">
            <v>2</v>
          </cell>
          <cell r="E279">
            <v>130</v>
          </cell>
          <cell r="F279">
            <v>357</v>
          </cell>
          <cell r="G279">
            <v>68</v>
          </cell>
          <cell r="H279">
            <v>737.1</v>
          </cell>
          <cell r="I279">
            <v>178.01</v>
          </cell>
          <cell r="J279">
            <v>91832</v>
          </cell>
          <cell r="K279" t="str">
            <v>MP</v>
          </cell>
        </row>
        <row r="280">
          <cell r="A280">
            <v>990584</v>
          </cell>
          <cell r="C280">
            <v>168</v>
          </cell>
          <cell r="D280">
            <v>22</v>
          </cell>
          <cell r="E280">
            <v>435</v>
          </cell>
          <cell r="F280">
            <v>214</v>
          </cell>
          <cell r="G280">
            <v>771</v>
          </cell>
          <cell r="H280">
            <v>1613.01</v>
          </cell>
          <cell r="I280">
            <v>2953.73</v>
          </cell>
          <cell r="J280">
            <v>90639</v>
          </cell>
          <cell r="K280" t="str">
            <v>MP</v>
          </cell>
        </row>
        <row r="281">
          <cell r="A281">
            <v>990587</v>
          </cell>
          <cell r="C281">
            <v>331</v>
          </cell>
          <cell r="D281">
            <v>16</v>
          </cell>
          <cell r="E281">
            <v>435</v>
          </cell>
          <cell r="F281">
            <v>191</v>
          </cell>
          <cell r="G281">
            <v>78</v>
          </cell>
          <cell r="H281">
            <v>1052.9100000000001</v>
          </cell>
          <cell r="I281">
            <v>2379.64</v>
          </cell>
          <cell r="J281">
            <v>90061</v>
          </cell>
          <cell r="K281" t="str">
            <v>MP</v>
          </cell>
        </row>
        <row r="282">
          <cell r="A282">
            <v>990593</v>
          </cell>
          <cell r="C282">
            <v>161</v>
          </cell>
          <cell r="D282">
            <v>146</v>
          </cell>
          <cell r="E282">
            <v>456</v>
          </cell>
          <cell r="F282">
            <v>1286</v>
          </cell>
          <cell r="G282">
            <v>6409</v>
          </cell>
          <cell r="H282">
            <v>8460.5</v>
          </cell>
          <cell r="I282">
            <v>45132.82</v>
          </cell>
          <cell r="J282">
            <v>90097</v>
          </cell>
          <cell r="K282" t="str">
            <v>MP</v>
          </cell>
        </row>
        <row r="283">
          <cell r="A283">
            <v>990594</v>
          </cell>
          <cell r="C283">
            <v>867</v>
          </cell>
          <cell r="D283">
            <v>6</v>
          </cell>
          <cell r="E283">
            <v>460</v>
          </cell>
          <cell r="F283">
            <v>449</v>
          </cell>
          <cell r="G283">
            <v>2088</v>
          </cell>
          <cell r="H283">
            <v>3872.7</v>
          </cell>
          <cell r="I283">
            <v>8933.08</v>
          </cell>
          <cell r="J283">
            <v>91353</v>
          </cell>
          <cell r="K283" t="str">
            <v>MP</v>
          </cell>
        </row>
        <row r="284">
          <cell r="A284">
            <v>990595</v>
          </cell>
          <cell r="C284">
            <v>296</v>
          </cell>
          <cell r="D284">
            <v>2</v>
          </cell>
          <cell r="E284">
            <v>435</v>
          </cell>
          <cell r="F284">
            <v>142</v>
          </cell>
          <cell r="G284">
            <v>86</v>
          </cell>
          <cell r="H284">
            <v>963.16</v>
          </cell>
          <cell r="I284">
            <v>162.37</v>
          </cell>
          <cell r="J284">
            <v>91975</v>
          </cell>
          <cell r="K284" t="str">
            <v>MP</v>
          </cell>
        </row>
        <row r="285">
          <cell r="A285">
            <v>990597</v>
          </cell>
          <cell r="C285">
            <v>9197</v>
          </cell>
          <cell r="D285">
            <v>675</v>
          </cell>
          <cell r="E285">
            <v>455</v>
          </cell>
          <cell r="F285">
            <v>2714</v>
          </cell>
          <cell r="G285">
            <v>20759</v>
          </cell>
          <cell r="H285">
            <v>33802.61</v>
          </cell>
          <cell r="I285">
            <v>100764.53</v>
          </cell>
          <cell r="J285">
            <v>91975</v>
          </cell>
          <cell r="K285" t="str">
            <v>MP</v>
          </cell>
        </row>
        <row r="286">
          <cell r="A286">
            <v>990598</v>
          </cell>
          <cell r="C286">
            <v>190</v>
          </cell>
          <cell r="D286">
            <v>3</v>
          </cell>
          <cell r="E286">
            <v>435</v>
          </cell>
          <cell r="F286">
            <v>143</v>
          </cell>
          <cell r="G286">
            <v>72</v>
          </cell>
          <cell r="H286">
            <v>845.62</v>
          </cell>
          <cell r="I286">
            <v>339.95</v>
          </cell>
          <cell r="J286">
            <v>90061</v>
          </cell>
          <cell r="K286" t="str">
            <v>MP</v>
          </cell>
        </row>
        <row r="287">
          <cell r="A287">
            <v>990599</v>
          </cell>
          <cell r="C287">
            <v>326.27</v>
          </cell>
          <cell r="D287">
            <v>3.72</v>
          </cell>
          <cell r="E287">
            <v>452.83</v>
          </cell>
          <cell r="F287">
            <v>541.82000000000005</v>
          </cell>
          <cell r="G287">
            <v>691.95</v>
          </cell>
          <cell r="H287">
            <v>2016.59</v>
          </cell>
          <cell r="I287">
            <v>2434.2199999999998</v>
          </cell>
          <cell r="J287">
            <v>90259</v>
          </cell>
          <cell r="K287" t="str">
            <v>MP</v>
          </cell>
        </row>
        <row r="288">
          <cell r="A288">
            <v>990601</v>
          </cell>
          <cell r="C288">
            <v>179</v>
          </cell>
          <cell r="D288">
            <v>1</v>
          </cell>
          <cell r="E288">
            <v>453</v>
          </cell>
          <cell r="F288">
            <v>142</v>
          </cell>
          <cell r="G288">
            <v>13</v>
          </cell>
          <cell r="H288">
            <v>789.58</v>
          </cell>
          <cell r="I288">
            <v>219.21</v>
          </cell>
          <cell r="J288">
            <v>90061</v>
          </cell>
          <cell r="K288" t="str">
            <v>MP</v>
          </cell>
        </row>
        <row r="289">
          <cell r="A289">
            <v>990602</v>
          </cell>
          <cell r="C289">
            <v>115</v>
          </cell>
          <cell r="D289">
            <v>7</v>
          </cell>
          <cell r="E289">
            <v>436</v>
          </cell>
          <cell r="F289">
            <v>183</v>
          </cell>
          <cell r="G289">
            <v>434</v>
          </cell>
          <cell r="H289">
            <v>1176.82</v>
          </cell>
          <cell r="I289">
            <v>1908.4</v>
          </cell>
          <cell r="J289">
            <v>90342</v>
          </cell>
          <cell r="K289" t="str">
            <v>MP</v>
          </cell>
        </row>
        <row r="290">
          <cell r="A290">
            <v>990604</v>
          </cell>
          <cell r="C290">
            <v>16863</v>
          </cell>
          <cell r="D290">
            <v>1286</v>
          </cell>
          <cell r="E290">
            <v>425</v>
          </cell>
          <cell r="F290">
            <v>5332</v>
          </cell>
          <cell r="G290">
            <v>47381</v>
          </cell>
          <cell r="H290">
            <v>71289.52</v>
          </cell>
          <cell r="I290">
            <v>200343.6</v>
          </cell>
          <cell r="J290">
            <v>91375</v>
          </cell>
          <cell r="K290" t="str">
            <v>MP</v>
          </cell>
        </row>
        <row r="291">
          <cell r="A291">
            <v>990606</v>
          </cell>
          <cell r="C291">
            <v>4901</v>
          </cell>
          <cell r="D291">
            <v>181</v>
          </cell>
          <cell r="E291">
            <v>425</v>
          </cell>
          <cell r="F291">
            <v>1009</v>
          </cell>
          <cell r="G291">
            <v>6028</v>
          </cell>
          <cell r="H291">
            <v>12545.52</v>
          </cell>
          <cell r="I291">
            <v>27877.02</v>
          </cell>
          <cell r="J291">
            <v>92158</v>
          </cell>
          <cell r="K291" t="str">
            <v>MP</v>
          </cell>
        </row>
        <row r="292">
          <cell r="A292">
            <v>990607</v>
          </cell>
          <cell r="C292">
            <v>286</v>
          </cell>
          <cell r="D292">
            <v>44</v>
          </cell>
          <cell r="E292">
            <v>460</v>
          </cell>
          <cell r="F292">
            <v>326</v>
          </cell>
          <cell r="G292">
            <v>215</v>
          </cell>
          <cell r="H292">
            <v>1333.81</v>
          </cell>
          <cell r="I292">
            <v>6176.86</v>
          </cell>
          <cell r="J292">
            <v>90964</v>
          </cell>
          <cell r="K292" t="str">
            <v>MP</v>
          </cell>
        </row>
        <row r="293">
          <cell r="A293">
            <v>990609</v>
          </cell>
          <cell r="C293">
            <v>59</v>
          </cell>
          <cell r="D293">
            <v>16</v>
          </cell>
          <cell r="E293">
            <v>435</v>
          </cell>
          <cell r="F293">
            <v>191</v>
          </cell>
          <cell r="G293">
            <v>501</v>
          </cell>
          <cell r="H293">
            <v>1204.51</v>
          </cell>
          <cell r="I293">
            <v>2423.62</v>
          </cell>
          <cell r="J293">
            <v>90827</v>
          </cell>
          <cell r="K293" t="str">
            <v>MP</v>
          </cell>
        </row>
        <row r="294">
          <cell r="A294">
            <v>990610</v>
          </cell>
          <cell r="C294">
            <v>209</v>
          </cell>
          <cell r="D294">
            <v>112</v>
          </cell>
          <cell r="E294">
            <v>439</v>
          </cell>
          <cell r="F294">
            <v>1050</v>
          </cell>
          <cell r="G294">
            <v>4941</v>
          </cell>
          <cell r="H294">
            <v>6754.07</v>
          </cell>
          <cell r="I294">
            <v>33798.15</v>
          </cell>
          <cell r="J294">
            <v>91358</v>
          </cell>
          <cell r="K294" t="str">
            <v>MP</v>
          </cell>
        </row>
        <row r="295">
          <cell r="A295">
            <v>990611</v>
          </cell>
          <cell r="C295">
            <v>1362</v>
          </cell>
          <cell r="D295">
            <v>358</v>
          </cell>
          <cell r="E295">
            <v>460</v>
          </cell>
          <cell r="F295">
            <v>359</v>
          </cell>
          <cell r="G295">
            <v>11275</v>
          </cell>
          <cell r="H295">
            <v>13816.92</v>
          </cell>
          <cell r="I295">
            <v>51300</v>
          </cell>
          <cell r="J295">
            <v>92140</v>
          </cell>
          <cell r="K295" t="str">
            <v>MP</v>
          </cell>
        </row>
        <row r="296">
          <cell r="A296">
            <v>990613</v>
          </cell>
          <cell r="C296">
            <v>394</v>
          </cell>
          <cell r="D296">
            <v>42</v>
          </cell>
          <cell r="E296">
            <v>456</v>
          </cell>
          <cell r="F296">
            <v>315</v>
          </cell>
          <cell r="G296">
            <v>1319</v>
          </cell>
          <cell r="H296">
            <v>2529.64</v>
          </cell>
          <cell r="I296">
            <v>6052.07</v>
          </cell>
          <cell r="J296">
            <v>90071</v>
          </cell>
          <cell r="K296" t="str">
            <v>MP</v>
          </cell>
        </row>
        <row r="297">
          <cell r="A297">
            <v>990617</v>
          </cell>
          <cell r="C297">
            <v>199</v>
          </cell>
          <cell r="D297">
            <v>24</v>
          </cell>
          <cell r="E297">
            <v>435</v>
          </cell>
          <cell r="F297">
            <v>346</v>
          </cell>
          <cell r="G297">
            <v>1448</v>
          </cell>
          <cell r="H297">
            <v>2454.33</v>
          </cell>
          <cell r="I297">
            <v>7836.05</v>
          </cell>
          <cell r="J297">
            <v>91978</v>
          </cell>
          <cell r="K297" t="str">
            <v>MP</v>
          </cell>
        </row>
        <row r="298">
          <cell r="A298">
            <v>990620</v>
          </cell>
          <cell r="C298">
            <v>188</v>
          </cell>
          <cell r="D298">
            <v>3</v>
          </cell>
          <cell r="E298">
            <v>453</v>
          </cell>
          <cell r="F298">
            <v>153</v>
          </cell>
          <cell r="G298">
            <v>132</v>
          </cell>
          <cell r="H298">
            <v>930.27</v>
          </cell>
          <cell r="I298">
            <v>684</v>
          </cell>
          <cell r="J298">
            <v>91250</v>
          </cell>
          <cell r="K298" t="str">
            <v>MP</v>
          </cell>
        </row>
        <row r="299">
          <cell r="A299">
            <v>990621</v>
          </cell>
          <cell r="C299">
            <v>3577</v>
          </cell>
          <cell r="D299">
            <v>505</v>
          </cell>
          <cell r="E299">
            <v>572</v>
          </cell>
          <cell r="F299">
            <v>1188</v>
          </cell>
          <cell r="G299">
            <v>15528</v>
          </cell>
          <cell r="H299">
            <v>21371.01</v>
          </cell>
          <cell r="I299">
            <v>65481.3</v>
          </cell>
          <cell r="J299">
            <v>91975</v>
          </cell>
          <cell r="K299" t="str">
            <v>MP</v>
          </cell>
        </row>
        <row r="300">
          <cell r="A300">
            <v>990622</v>
          </cell>
          <cell r="C300">
            <v>122</v>
          </cell>
          <cell r="D300">
            <v>16</v>
          </cell>
          <cell r="E300">
            <v>463</v>
          </cell>
          <cell r="F300">
            <v>244</v>
          </cell>
          <cell r="G300">
            <v>952</v>
          </cell>
          <cell r="H300">
            <v>1800.04</v>
          </cell>
          <cell r="I300">
            <v>4838.4399999999996</v>
          </cell>
          <cell r="J300">
            <v>90342</v>
          </cell>
          <cell r="K300" t="str">
            <v>MP</v>
          </cell>
        </row>
        <row r="301">
          <cell r="A301">
            <v>990631</v>
          </cell>
          <cell r="C301">
            <v>296</v>
          </cell>
          <cell r="D301">
            <v>11</v>
          </cell>
          <cell r="E301">
            <v>235</v>
          </cell>
          <cell r="F301">
            <v>172</v>
          </cell>
          <cell r="G301">
            <v>374</v>
          </cell>
          <cell r="H301">
            <v>1089.69</v>
          </cell>
          <cell r="I301">
            <v>1618</v>
          </cell>
          <cell r="J301">
            <v>91163</v>
          </cell>
          <cell r="K301" t="str">
            <v>MP</v>
          </cell>
        </row>
        <row r="302">
          <cell r="A302">
            <v>990634</v>
          </cell>
          <cell r="C302">
            <v>947</v>
          </cell>
          <cell r="D302">
            <v>582</v>
          </cell>
          <cell r="E302">
            <v>439</v>
          </cell>
          <cell r="F302">
            <v>2185</v>
          </cell>
          <cell r="G302">
            <v>14036</v>
          </cell>
          <cell r="H302">
            <v>18191.91</v>
          </cell>
          <cell r="I302">
            <v>89497.36</v>
          </cell>
          <cell r="J302">
            <v>91706</v>
          </cell>
          <cell r="K302" t="str">
            <v>MP</v>
          </cell>
        </row>
        <row r="303">
          <cell r="A303">
            <v>990636</v>
          </cell>
          <cell r="C303">
            <v>260</v>
          </cell>
          <cell r="D303">
            <v>16</v>
          </cell>
          <cell r="E303">
            <v>425</v>
          </cell>
          <cell r="F303">
            <v>193</v>
          </cell>
          <cell r="G303">
            <v>515</v>
          </cell>
          <cell r="H303">
            <v>1411.2</v>
          </cell>
          <cell r="I303">
            <v>2741.67</v>
          </cell>
          <cell r="J303">
            <v>92071</v>
          </cell>
          <cell r="K303" t="str">
            <v>MP</v>
          </cell>
        </row>
        <row r="304">
          <cell r="A304">
            <v>990637</v>
          </cell>
          <cell r="C304">
            <v>17064</v>
          </cell>
          <cell r="D304">
            <v>1567</v>
          </cell>
          <cell r="E304">
            <v>436</v>
          </cell>
          <cell r="F304">
            <v>5801</v>
          </cell>
          <cell r="G304">
            <v>51761</v>
          </cell>
          <cell r="H304">
            <v>76630.94</v>
          </cell>
          <cell r="I304">
            <v>234930.51</v>
          </cell>
          <cell r="J304">
            <v>91375</v>
          </cell>
          <cell r="K304" t="str">
            <v>MP</v>
          </cell>
        </row>
        <row r="305">
          <cell r="A305">
            <v>990638</v>
          </cell>
          <cell r="C305">
            <v>555</v>
          </cell>
          <cell r="D305">
            <v>64</v>
          </cell>
          <cell r="E305">
            <v>436</v>
          </cell>
          <cell r="F305">
            <v>468</v>
          </cell>
          <cell r="G305">
            <v>1971</v>
          </cell>
          <cell r="H305">
            <v>3495.91</v>
          </cell>
          <cell r="I305">
            <v>10680.83</v>
          </cell>
          <cell r="J305">
            <v>91437</v>
          </cell>
          <cell r="K305" t="str">
            <v>MP</v>
          </cell>
        </row>
        <row r="306">
          <cell r="A306">
            <v>990642</v>
          </cell>
          <cell r="C306">
            <v>1212</v>
          </cell>
          <cell r="D306">
            <v>288</v>
          </cell>
          <cell r="E306">
            <v>460</v>
          </cell>
          <cell r="F306">
            <v>1307</v>
          </cell>
          <cell r="G306">
            <v>8879</v>
          </cell>
          <cell r="H306">
            <v>12149.05</v>
          </cell>
          <cell r="I306">
            <v>44826.26</v>
          </cell>
          <cell r="J306">
            <v>90338</v>
          </cell>
          <cell r="K306" t="str">
            <v>MP</v>
          </cell>
        </row>
        <row r="307">
          <cell r="A307">
            <v>990644</v>
          </cell>
          <cell r="C307">
            <v>227</v>
          </cell>
          <cell r="D307">
            <v>68</v>
          </cell>
          <cell r="E307">
            <v>439</v>
          </cell>
          <cell r="F307">
            <v>497</v>
          </cell>
          <cell r="G307">
            <v>1432</v>
          </cell>
          <cell r="H307">
            <v>2664.65</v>
          </cell>
          <cell r="I307">
            <v>11225.9</v>
          </cell>
          <cell r="J307">
            <v>92109</v>
          </cell>
          <cell r="K307" t="str">
            <v>MP</v>
          </cell>
        </row>
        <row r="308">
          <cell r="A308">
            <v>990645</v>
          </cell>
          <cell r="C308">
            <v>179</v>
          </cell>
          <cell r="D308">
            <v>15</v>
          </cell>
          <cell r="E308">
            <v>436</v>
          </cell>
          <cell r="F308">
            <v>189</v>
          </cell>
          <cell r="G308">
            <v>355</v>
          </cell>
          <cell r="H308">
            <v>1176.83</v>
          </cell>
          <cell r="I308">
            <v>2455.3200000000002</v>
          </cell>
          <cell r="J308">
            <v>90086</v>
          </cell>
          <cell r="K308" t="str">
            <v>MP</v>
          </cell>
        </row>
        <row r="309">
          <cell r="A309">
            <v>990646</v>
          </cell>
          <cell r="C309">
            <v>184</v>
          </cell>
          <cell r="D309">
            <v>1</v>
          </cell>
          <cell r="E309">
            <v>452</v>
          </cell>
          <cell r="F309">
            <v>136</v>
          </cell>
          <cell r="G309">
            <v>40</v>
          </cell>
          <cell r="H309">
            <v>816.31</v>
          </cell>
          <cell r="I309">
            <v>30.31</v>
          </cell>
          <cell r="J309">
            <v>91462</v>
          </cell>
          <cell r="K309" t="str">
            <v>MP</v>
          </cell>
        </row>
        <row r="310">
          <cell r="A310">
            <v>990647</v>
          </cell>
          <cell r="C310">
            <v>221</v>
          </cell>
          <cell r="D310">
            <v>126</v>
          </cell>
          <cell r="E310">
            <v>439</v>
          </cell>
          <cell r="F310">
            <v>716</v>
          </cell>
          <cell r="G310">
            <v>2864</v>
          </cell>
          <cell r="H310">
            <v>4369.3599999999997</v>
          </cell>
          <cell r="I310">
            <v>37760.129999999997</v>
          </cell>
          <cell r="J310">
            <v>90605</v>
          </cell>
          <cell r="K310" t="str">
            <v>MP</v>
          </cell>
        </row>
        <row r="311">
          <cell r="A311">
            <v>990649</v>
          </cell>
          <cell r="C311">
            <v>246</v>
          </cell>
          <cell r="D311">
            <v>10</v>
          </cell>
          <cell r="E311">
            <v>464</v>
          </cell>
          <cell r="F311">
            <v>204</v>
          </cell>
          <cell r="G311">
            <v>611</v>
          </cell>
          <cell r="H311">
            <v>1536.98</v>
          </cell>
          <cell r="I311">
            <v>3034.3</v>
          </cell>
          <cell r="J311">
            <v>91934</v>
          </cell>
          <cell r="K311" t="str">
            <v>MP</v>
          </cell>
        </row>
        <row r="312">
          <cell r="A312">
            <v>990650</v>
          </cell>
          <cell r="C312">
            <v>1298</v>
          </cell>
          <cell r="D312">
            <v>53</v>
          </cell>
          <cell r="E312">
            <v>463</v>
          </cell>
          <cell r="F312">
            <v>389</v>
          </cell>
          <cell r="G312">
            <v>344</v>
          </cell>
          <cell r="H312">
            <v>2549.5500000000002</v>
          </cell>
          <cell r="I312">
            <v>7083.22</v>
          </cell>
          <cell r="J312">
            <v>90730</v>
          </cell>
          <cell r="K312" t="str">
            <v>MP</v>
          </cell>
        </row>
        <row r="313">
          <cell r="A313">
            <v>990651</v>
          </cell>
          <cell r="C313">
            <v>245</v>
          </cell>
          <cell r="D313">
            <v>8</v>
          </cell>
          <cell r="E313">
            <v>460</v>
          </cell>
          <cell r="F313">
            <v>191</v>
          </cell>
          <cell r="G313">
            <v>501</v>
          </cell>
          <cell r="H313">
            <v>1406.52</v>
          </cell>
          <cell r="I313">
            <v>2386.35</v>
          </cell>
          <cell r="J313">
            <v>91591</v>
          </cell>
          <cell r="K313" t="str">
            <v>MP</v>
          </cell>
        </row>
        <row r="314">
          <cell r="A314">
            <v>990652</v>
          </cell>
          <cell r="C314">
            <v>199</v>
          </cell>
          <cell r="D314">
            <v>28</v>
          </cell>
          <cell r="E314">
            <v>436</v>
          </cell>
          <cell r="F314">
            <v>401</v>
          </cell>
          <cell r="G314">
            <v>1683</v>
          </cell>
          <cell r="H314">
            <v>2748.36</v>
          </cell>
          <cell r="I314">
            <v>9435.07</v>
          </cell>
          <cell r="J314">
            <v>91591</v>
          </cell>
          <cell r="K314" t="str">
            <v>MP</v>
          </cell>
        </row>
        <row r="315">
          <cell r="A315">
            <v>990653</v>
          </cell>
          <cell r="C315">
            <v>145</v>
          </cell>
          <cell r="D315">
            <v>3</v>
          </cell>
          <cell r="E315">
            <v>436</v>
          </cell>
          <cell r="F315">
            <v>159</v>
          </cell>
          <cell r="G315">
            <v>172</v>
          </cell>
          <cell r="H315">
            <v>918.09</v>
          </cell>
          <cell r="I315">
            <v>1186.95</v>
          </cell>
          <cell r="J315">
            <v>92235</v>
          </cell>
          <cell r="K315" t="str">
            <v>MP</v>
          </cell>
        </row>
        <row r="316">
          <cell r="A316">
            <v>990656</v>
          </cell>
          <cell r="C316">
            <v>1245.47</v>
          </cell>
          <cell r="D316">
            <v>112.62</v>
          </cell>
          <cell r="E316">
            <v>452.83</v>
          </cell>
          <cell r="F316">
            <v>908.41</v>
          </cell>
          <cell r="G316">
            <v>4687.2700000000004</v>
          </cell>
          <cell r="H316">
            <v>7406.6</v>
          </cell>
          <cell r="I316">
            <v>25727.01</v>
          </cell>
          <cell r="J316">
            <v>92376</v>
          </cell>
          <cell r="K316" t="str">
            <v>MP</v>
          </cell>
        </row>
        <row r="317">
          <cell r="A317">
            <v>990658</v>
          </cell>
          <cell r="C317">
            <v>290</v>
          </cell>
          <cell r="D317">
            <v>42</v>
          </cell>
          <cell r="E317">
            <v>435</v>
          </cell>
          <cell r="F317">
            <v>554</v>
          </cell>
          <cell r="G317">
            <v>1858</v>
          </cell>
          <cell r="H317">
            <v>3181.88</v>
          </cell>
          <cell r="I317">
            <v>14013.28</v>
          </cell>
          <cell r="J317">
            <v>91974</v>
          </cell>
          <cell r="K317" t="str">
            <v>MP</v>
          </cell>
        </row>
        <row r="318">
          <cell r="A318">
            <v>990661</v>
          </cell>
          <cell r="C318">
            <v>190</v>
          </cell>
          <cell r="D318">
            <v>21</v>
          </cell>
          <cell r="E318">
            <v>436</v>
          </cell>
          <cell r="F318">
            <v>210</v>
          </cell>
          <cell r="G318">
            <v>486</v>
          </cell>
          <cell r="H318">
            <v>1345.29</v>
          </cell>
          <cell r="I318">
            <v>3569.76</v>
          </cell>
          <cell r="J318">
            <v>92360</v>
          </cell>
          <cell r="K318" t="str">
            <v>MP</v>
          </cell>
        </row>
        <row r="319">
          <cell r="A319">
            <v>990664</v>
          </cell>
          <cell r="C319">
            <v>303</v>
          </cell>
          <cell r="D319">
            <v>63</v>
          </cell>
          <cell r="E319">
            <v>435</v>
          </cell>
          <cell r="F319">
            <v>707</v>
          </cell>
          <cell r="G319">
            <v>2806</v>
          </cell>
          <cell r="H319">
            <v>4317.25</v>
          </cell>
          <cell r="I319">
            <v>21517.72</v>
          </cell>
          <cell r="J319">
            <v>90061</v>
          </cell>
          <cell r="K319" t="str">
            <v>MP</v>
          </cell>
        </row>
        <row r="320">
          <cell r="A320">
            <v>990665</v>
          </cell>
          <cell r="C320">
            <v>198</v>
          </cell>
          <cell r="D320">
            <v>7</v>
          </cell>
          <cell r="E320">
            <v>452</v>
          </cell>
          <cell r="F320">
            <v>159</v>
          </cell>
          <cell r="G320">
            <v>234</v>
          </cell>
          <cell r="H320">
            <v>1053.24</v>
          </cell>
          <cell r="I320">
            <v>1048.6500000000001</v>
          </cell>
          <cell r="J320">
            <v>90390</v>
          </cell>
          <cell r="K320" t="str">
            <v>MP</v>
          </cell>
        </row>
        <row r="321">
          <cell r="A321">
            <v>990666</v>
          </cell>
          <cell r="C321">
            <v>201</v>
          </cell>
          <cell r="D321">
            <v>19</v>
          </cell>
          <cell r="E321">
            <v>460</v>
          </cell>
          <cell r="F321">
            <v>203</v>
          </cell>
          <cell r="G321">
            <v>571</v>
          </cell>
          <cell r="H321">
            <v>1456.12</v>
          </cell>
          <cell r="I321">
            <v>3024.25</v>
          </cell>
          <cell r="J321">
            <v>91468</v>
          </cell>
          <cell r="K321" t="str">
            <v>MP</v>
          </cell>
        </row>
        <row r="322">
          <cell r="A322">
            <v>990668</v>
          </cell>
          <cell r="C322">
            <v>176</v>
          </cell>
          <cell r="D322">
            <v>15</v>
          </cell>
          <cell r="E322">
            <v>435</v>
          </cell>
          <cell r="F322">
            <v>242</v>
          </cell>
          <cell r="G322">
            <v>687</v>
          </cell>
          <cell r="H322">
            <v>1557.61</v>
          </cell>
          <cell r="I322">
            <v>5156.32</v>
          </cell>
          <cell r="J322">
            <v>90496</v>
          </cell>
          <cell r="K322" t="str">
            <v>MP</v>
          </cell>
        </row>
        <row r="323">
          <cell r="A323">
            <v>990669</v>
          </cell>
          <cell r="C323">
            <v>176</v>
          </cell>
          <cell r="D323">
            <v>43</v>
          </cell>
          <cell r="E323">
            <v>435</v>
          </cell>
          <cell r="F323">
            <v>559</v>
          </cell>
          <cell r="G323">
            <v>1889</v>
          </cell>
          <cell r="H323">
            <v>3104.82</v>
          </cell>
          <cell r="I323">
            <v>14517.02</v>
          </cell>
          <cell r="J323">
            <v>90121</v>
          </cell>
          <cell r="K323" t="str">
            <v>MP</v>
          </cell>
        </row>
        <row r="324">
          <cell r="A324">
            <v>990670</v>
          </cell>
          <cell r="C324">
            <v>172</v>
          </cell>
          <cell r="D324">
            <v>26</v>
          </cell>
          <cell r="E324">
            <v>435</v>
          </cell>
          <cell r="F324">
            <v>370</v>
          </cell>
          <cell r="G324">
            <v>1170</v>
          </cell>
          <cell r="H324">
            <v>2175.33</v>
          </cell>
          <cell r="I324">
            <v>8924.4</v>
          </cell>
          <cell r="J324">
            <v>90061</v>
          </cell>
          <cell r="K324" t="str">
            <v>MP</v>
          </cell>
        </row>
        <row r="325">
          <cell r="A325">
            <v>990671</v>
          </cell>
          <cell r="C325">
            <v>196</v>
          </cell>
          <cell r="D325">
            <v>124</v>
          </cell>
          <cell r="E325">
            <v>454</v>
          </cell>
          <cell r="F325">
            <v>1133</v>
          </cell>
          <cell r="G325">
            <v>2639</v>
          </cell>
          <cell r="H325">
            <v>4548.8599999999997</v>
          </cell>
          <cell r="I325">
            <v>35925.919999999998</v>
          </cell>
          <cell r="J325">
            <v>90061</v>
          </cell>
          <cell r="K325" t="str">
            <v>MP</v>
          </cell>
        </row>
        <row r="326">
          <cell r="A326">
            <v>990673</v>
          </cell>
          <cell r="C326">
            <v>157</v>
          </cell>
          <cell r="D326">
            <v>44</v>
          </cell>
          <cell r="E326">
            <v>435</v>
          </cell>
          <cell r="F326">
            <v>328</v>
          </cell>
          <cell r="G326">
            <v>1374</v>
          </cell>
          <cell r="H326">
            <v>2341.21</v>
          </cell>
          <cell r="I326">
            <v>7425.93</v>
          </cell>
          <cell r="J326">
            <v>90086</v>
          </cell>
          <cell r="K326" t="str">
            <v>MP</v>
          </cell>
        </row>
        <row r="327">
          <cell r="A327">
            <v>990674</v>
          </cell>
          <cell r="C327">
            <v>162</v>
          </cell>
          <cell r="D327">
            <v>34</v>
          </cell>
          <cell r="E327">
            <v>435</v>
          </cell>
          <cell r="F327">
            <v>253</v>
          </cell>
          <cell r="G327">
            <v>823</v>
          </cell>
          <cell r="H327">
            <v>1708.15</v>
          </cell>
          <cell r="I327">
            <v>5006.88</v>
          </cell>
          <cell r="J327">
            <v>90379</v>
          </cell>
          <cell r="K327" t="str">
            <v>MP</v>
          </cell>
        </row>
        <row r="328">
          <cell r="A328">
            <v>990675</v>
          </cell>
          <cell r="C328">
            <v>171</v>
          </cell>
          <cell r="D328">
            <v>7</v>
          </cell>
          <cell r="E328">
            <v>640</v>
          </cell>
          <cell r="F328">
            <v>154</v>
          </cell>
          <cell r="G328">
            <v>221</v>
          </cell>
          <cell r="H328">
            <v>1195.1300000000001</v>
          </cell>
          <cell r="I328">
            <v>802.68</v>
          </cell>
          <cell r="J328">
            <v>90379</v>
          </cell>
          <cell r="K328" t="str">
            <v>MP</v>
          </cell>
        </row>
        <row r="329">
          <cell r="A329">
            <v>990676</v>
          </cell>
          <cell r="C329">
            <v>170</v>
          </cell>
          <cell r="D329">
            <v>6</v>
          </cell>
          <cell r="E329">
            <v>456</v>
          </cell>
          <cell r="F329">
            <v>154</v>
          </cell>
          <cell r="G329">
            <v>187</v>
          </cell>
          <cell r="H329">
            <v>975.39</v>
          </cell>
          <cell r="I329">
            <v>730.51</v>
          </cell>
          <cell r="J329">
            <v>90379</v>
          </cell>
          <cell r="K329" t="str">
            <v>MP</v>
          </cell>
        </row>
        <row r="330">
          <cell r="A330">
            <v>990677</v>
          </cell>
          <cell r="C330">
            <v>645</v>
          </cell>
          <cell r="D330">
            <v>34</v>
          </cell>
          <cell r="E330">
            <v>130</v>
          </cell>
          <cell r="F330">
            <v>445</v>
          </cell>
          <cell r="G330">
            <v>1056</v>
          </cell>
          <cell r="H330">
            <v>2312.31</v>
          </cell>
          <cell r="I330">
            <v>4463.95</v>
          </cell>
          <cell r="J330">
            <v>91462</v>
          </cell>
          <cell r="K330" t="str">
            <v>MP</v>
          </cell>
        </row>
        <row r="331">
          <cell r="A331">
            <v>990680</v>
          </cell>
          <cell r="C331">
            <v>120</v>
          </cell>
          <cell r="D331">
            <v>161</v>
          </cell>
          <cell r="E331">
            <v>436</v>
          </cell>
          <cell r="F331">
            <v>1397</v>
          </cell>
          <cell r="G331">
            <v>9128</v>
          </cell>
          <cell r="H331">
            <v>11244.18</v>
          </cell>
          <cell r="I331">
            <v>54593.64</v>
          </cell>
          <cell r="J331">
            <v>92015</v>
          </cell>
          <cell r="K331" t="str">
            <v>MP</v>
          </cell>
        </row>
        <row r="332">
          <cell r="A332">
            <v>990683</v>
          </cell>
          <cell r="C332">
            <v>188</v>
          </cell>
          <cell r="D332">
            <v>36</v>
          </cell>
          <cell r="E332">
            <v>463</v>
          </cell>
          <cell r="F332">
            <v>513</v>
          </cell>
          <cell r="G332">
            <v>1601</v>
          </cell>
          <cell r="H332">
            <v>2803.72</v>
          </cell>
          <cell r="I332">
            <v>11390.04</v>
          </cell>
          <cell r="J332">
            <v>90468</v>
          </cell>
          <cell r="K332" t="str">
            <v>MP</v>
          </cell>
        </row>
        <row r="333">
          <cell r="A333">
            <v>990684</v>
          </cell>
          <cell r="C333">
            <v>458</v>
          </cell>
          <cell r="D333">
            <v>188</v>
          </cell>
          <cell r="E333">
            <v>464</v>
          </cell>
          <cell r="F333">
            <v>941</v>
          </cell>
          <cell r="G333">
            <v>4263</v>
          </cell>
          <cell r="H333">
            <v>6315.76</v>
          </cell>
          <cell r="I333">
            <v>27689.200000000001</v>
          </cell>
          <cell r="J333">
            <v>92271</v>
          </cell>
          <cell r="K333" t="str">
            <v>MP</v>
          </cell>
        </row>
        <row r="334">
          <cell r="A334">
            <v>990687</v>
          </cell>
          <cell r="C334">
            <v>163</v>
          </cell>
          <cell r="D334">
            <v>197</v>
          </cell>
          <cell r="E334">
            <v>436</v>
          </cell>
          <cell r="F334">
            <v>987</v>
          </cell>
          <cell r="G334">
            <v>6100</v>
          </cell>
          <cell r="H334">
            <v>7875.97</v>
          </cell>
          <cell r="I334">
            <v>34706</v>
          </cell>
          <cell r="J334">
            <v>91358</v>
          </cell>
          <cell r="K334" t="str">
            <v>MP</v>
          </cell>
        </row>
        <row r="335">
          <cell r="A335">
            <v>990689</v>
          </cell>
          <cell r="C335">
            <v>170</v>
          </cell>
          <cell r="D335">
            <v>11</v>
          </cell>
          <cell r="E335">
            <v>431</v>
          </cell>
          <cell r="F335">
            <v>210</v>
          </cell>
          <cell r="G335">
            <v>491</v>
          </cell>
          <cell r="H335">
            <v>1315.52</v>
          </cell>
          <cell r="I335">
            <v>3471.51</v>
          </cell>
          <cell r="J335">
            <v>90061</v>
          </cell>
          <cell r="K335" t="str">
            <v>MP</v>
          </cell>
        </row>
        <row r="336">
          <cell r="A336">
            <v>990693</v>
          </cell>
          <cell r="C336">
            <v>1376</v>
          </cell>
          <cell r="D336">
            <v>36</v>
          </cell>
          <cell r="E336">
            <v>483</v>
          </cell>
          <cell r="F336">
            <v>267</v>
          </cell>
          <cell r="G336">
            <v>1112</v>
          </cell>
          <cell r="H336">
            <v>3276.05</v>
          </cell>
          <cell r="I336">
            <v>4076.83</v>
          </cell>
          <cell r="J336">
            <v>91262</v>
          </cell>
          <cell r="K336" t="str">
            <v>MP</v>
          </cell>
        </row>
        <row r="337">
          <cell r="A337">
            <v>990695</v>
          </cell>
          <cell r="C337">
            <v>17334</v>
          </cell>
          <cell r="D337">
            <v>165</v>
          </cell>
          <cell r="E337">
            <v>446</v>
          </cell>
          <cell r="F337">
            <v>1249</v>
          </cell>
          <cell r="G337">
            <v>5299</v>
          </cell>
          <cell r="H337">
            <v>24494.98</v>
          </cell>
          <cell r="I337">
            <v>24425.08</v>
          </cell>
          <cell r="J337">
            <v>91996</v>
          </cell>
          <cell r="K337" t="str">
            <v>MP</v>
          </cell>
        </row>
        <row r="338">
          <cell r="A338">
            <v>990698</v>
          </cell>
          <cell r="C338">
            <v>7791</v>
          </cell>
          <cell r="D338">
            <v>75</v>
          </cell>
          <cell r="E338">
            <v>463</v>
          </cell>
          <cell r="F338">
            <v>532</v>
          </cell>
          <cell r="G338">
            <v>1475</v>
          </cell>
          <cell r="H338">
            <v>10339.209999999999</v>
          </cell>
          <cell r="I338">
            <v>3905.67</v>
          </cell>
          <cell r="J338">
            <v>91996</v>
          </cell>
          <cell r="K338" t="str">
            <v>MP</v>
          </cell>
        </row>
        <row r="339">
          <cell r="A339">
            <v>990701</v>
          </cell>
          <cell r="C339">
            <v>286</v>
          </cell>
          <cell r="D339">
            <v>79</v>
          </cell>
          <cell r="E339">
            <v>460</v>
          </cell>
          <cell r="F339">
            <v>816</v>
          </cell>
          <cell r="G339">
            <v>3474</v>
          </cell>
          <cell r="H339">
            <v>5116.3900000000003</v>
          </cell>
          <cell r="I339">
            <v>15452.59</v>
          </cell>
          <cell r="J339">
            <v>91814</v>
          </cell>
          <cell r="K339" t="str">
            <v>MP</v>
          </cell>
        </row>
        <row r="340">
          <cell r="A340">
            <v>990703</v>
          </cell>
          <cell r="C340">
            <v>180</v>
          </cell>
          <cell r="D340">
            <v>2</v>
          </cell>
          <cell r="E340">
            <v>455</v>
          </cell>
          <cell r="F340">
            <v>150</v>
          </cell>
          <cell r="G340">
            <v>152</v>
          </cell>
          <cell r="H340">
            <v>940.75</v>
          </cell>
          <cell r="I340">
            <v>585.25</v>
          </cell>
          <cell r="J340">
            <v>91178</v>
          </cell>
          <cell r="K340" t="str">
            <v>MP</v>
          </cell>
        </row>
        <row r="341">
          <cell r="A341">
            <v>990704</v>
          </cell>
          <cell r="C341">
            <v>180</v>
          </cell>
          <cell r="D341">
            <v>1</v>
          </cell>
          <cell r="E341">
            <v>455</v>
          </cell>
          <cell r="F341">
            <v>144</v>
          </cell>
          <cell r="G341">
            <v>79</v>
          </cell>
          <cell r="H341">
            <v>861.59</v>
          </cell>
          <cell r="I341">
            <v>362.48</v>
          </cell>
          <cell r="J341">
            <v>91311</v>
          </cell>
          <cell r="K341" t="str">
            <v>MP</v>
          </cell>
        </row>
        <row r="342">
          <cell r="A342">
            <v>990709</v>
          </cell>
          <cell r="C342">
            <v>370</v>
          </cell>
          <cell r="D342">
            <v>68</v>
          </cell>
          <cell r="E342">
            <v>455</v>
          </cell>
          <cell r="F342">
            <v>742</v>
          </cell>
          <cell r="G342">
            <v>3026</v>
          </cell>
          <cell r="H342">
            <v>4663.96</v>
          </cell>
          <cell r="I342">
            <v>21910.12</v>
          </cell>
          <cell r="J342">
            <v>90083</v>
          </cell>
          <cell r="K342" t="str">
            <v>MP</v>
          </cell>
        </row>
        <row r="343">
          <cell r="A343">
            <v>990710</v>
          </cell>
          <cell r="C343">
            <v>207</v>
          </cell>
          <cell r="D343">
            <v>56</v>
          </cell>
          <cell r="E343">
            <v>460</v>
          </cell>
          <cell r="F343">
            <v>656</v>
          </cell>
          <cell r="G343">
            <v>3383</v>
          </cell>
          <cell r="H343">
            <v>4765.08</v>
          </cell>
          <cell r="I343">
            <v>18142.310000000001</v>
          </cell>
          <cell r="J343">
            <v>90402</v>
          </cell>
          <cell r="K343" t="str">
            <v>MP</v>
          </cell>
        </row>
        <row r="344">
          <cell r="A344">
            <v>990718</v>
          </cell>
          <cell r="C344">
            <v>1916</v>
          </cell>
          <cell r="D344">
            <v>486</v>
          </cell>
          <cell r="E344">
            <v>460</v>
          </cell>
          <cell r="F344">
            <v>2027</v>
          </cell>
          <cell r="G344">
            <v>11878</v>
          </cell>
          <cell r="H344">
            <v>16769.189999999999</v>
          </cell>
          <cell r="I344">
            <v>71556.89</v>
          </cell>
          <cell r="J344">
            <v>92375</v>
          </cell>
          <cell r="K344" t="str">
            <v>MP</v>
          </cell>
        </row>
        <row r="345">
          <cell r="A345">
            <v>990721</v>
          </cell>
          <cell r="C345">
            <v>198</v>
          </cell>
          <cell r="D345">
            <v>7</v>
          </cell>
          <cell r="E345">
            <v>452</v>
          </cell>
          <cell r="F345">
            <v>158</v>
          </cell>
          <cell r="G345">
            <v>162</v>
          </cell>
          <cell r="H345">
            <v>978.31</v>
          </cell>
          <cell r="I345">
            <v>907.99</v>
          </cell>
          <cell r="J345">
            <v>90061</v>
          </cell>
          <cell r="K345" t="str">
            <v>MP</v>
          </cell>
        </row>
        <row r="346">
          <cell r="A346">
            <v>990723</v>
          </cell>
          <cell r="C346">
            <v>183</v>
          </cell>
          <cell r="D346">
            <v>38</v>
          </cell>
          <cell r="E346">
            <v>463</v>
          </cell>
          <cell r="F346">
            <v>531</v>
          </cell>
          <cell r="G346">
            <v>1713</v>
          </cell>
          <cell r="H346">
            <v>2931.36</v>
          </cell>
          <cell r="I346">
            <v>12206.98</v>
          </cell>
          <cell r="J346">
            <v>91147</v>
          </cell>
          <cell r="K346" t="str">
            <v>MP</v>
          </cell>
        </row>
        <row r="347">
          <cell r="A347">
            <v>990724</v>
          </cell>
          <cell r="C347">
            <v>154</v>
          </cell>
          <cell r="D347">
            <v>36</v>
          </cell>
          <cell r="E347">
            <v>463</v>
          </cell>
          <cell r="F347">
            <v>272</v>
          </cell>
          <cell r="G347">
            <v>836</v>
          </cell>
          <cell r="H347">
            <v>1764.33</v>
          </cell>
          <cell r="I347">
            <v>5376.02</v>
          </cell>
          <cell r="J347">
            <v>92172</v>
          </cell>
          <cell r="K347" t="str">
            <v>MP</v>
          </cell>
        </row>
        <row r="348">
          <cell r="A348">
            <v>990726</v>
          </cell>
          <cell r="C348">
            <v>188</v>
          </cell>
          <cell r="D348">
            <v>20</v>
          </cell>
          <cell r="E348">
            <v>130</v>
          </cell>
          <cell r="F348">
            <v>309</v>
          </cell>
          <cell r="G348">
            <v>686</v>
          </cell>
          <cell r="H348">
            <v>1333.8</v>
          </cell>
          <cell r="I348">
            <v>4883.04</v>
          </cell>
          <cell r="J348">
            <v>91839</v>
          </cell>
          <cell r="K348" t="str">
            <v>MP</v>
          </cell>
        </row>
        <row r="349">
          <cell r="A349">
            <v>990731</v>
          </cell>
          <cell r="C349">
            <v>888</v>
          </cell>
          <cell r="D349">
            <v>210</v>
          </cell>
          <cell r="E349">
            <v>455</v>
          </cell>
          <cell r="F349">
            <v>947</v>
          </cell>
          <cell r="G349">
            <v>5963</v>
          </cell>
          <cell r="H349">
            <v>8465.32</v>
          </cell>
          <cell r="I349">
            <v>23407.16</v>
          </cell>
          <cell r="J349">
            <v>91462</v>
          </cell>
          <cell r="K349" t="str">
            <v>MP</v>
          </cell>
        </row>
        <row r="350">
          <cell r="A350">
            <v>990732</v>
          </cell>
          <cell r="C350">
            <v>139</v>
          </cell>
          <cell r="D350">
            <v>13</v>
          </cell>
          <cell r="E350">
            <v>436</v>
          </cell>
          <cell r="F350">
            <v>225</v>
          </cell>
          <cell r="G350">
            <v>580</v>
          </cell>
          <cell r="H350">
            <v>1394.36</v>
          </cell>
          <cell r="I350">
            <v>4225.32</v>
          </cell>
          <cell r="J350">
            <v>91323</v>
          </cell>
          <cell r="K350" t="str">
            <v>MP</v>
          </cell>
        </row>
        <row r="351">
          <cell r="A351">
            <v>990733</v>
          </cell>
          <cell r="C351">
            <v>732</v>
          </cell>
          <cell r="D351">
            <v>51</v>
          </cell>
          <cell r="E351">
            <v>460</v>
          </cell>
          <cell r="F351">
            <v>382</v>
          </cell>
          <cell r="G351">
            <v>1601</v>
          </cell>
          <cell r="H351">
            <v>3228.49</v>
          </cell>
          <cell r="I351">
            <v>7016.7</v>
          </cell>
          <cell r="J351">
            <v>92285</v>
          </cell>
          <cell r="K351" t="str">
            <v>MP</v>
          </cell>
        </row>
        <row r="352">
          <cell r="A352">
            <v>990737</v>
          </cell>
          <cell r="C352">
            <v>593</v>
          </cell>
          <cell r="D352">
            <v>31</v>
          </cell>
          <cell r="E352">
            <v>455</v>
          </cell>
          <cell r="F352">
            <v>247</v>
          </cell>
          <cell r="G352">
            <v>868</v>
          </cell>
          <cell r="H352">
            <v>2196.67</v>
          </cell>
          <cell r="I352">
            <v>4275.3900000000003</v>
          </cell>
          <cell r="J352">
            <v>91868</v>
          </cell>
          <cell r="K352" t="str">
            <v>MP</v>
          </cell>
        </row>
        <row r="353">
          <cell r="A353">
            <v>990740</v>
          </cell>
          <cell r="C353">
            <v>767</v>
          </cell>
          <cell r="D353">
            <v>8</v>
          </cell>
          <cell r="E353">
            <v>460</v>
          </cell>
          <cell r="F353">
            <v>190</v>
          </cell>
          <cell r="G353">
            <v>439</v>
          </cell>
          <cell r="H353">
            <v>1866.53</v>
          </cell>
          <cell r="I353">
            <v>1692.82</v>
          </cell>
          <cell r="J353">
            <v>90793</v>
          </cell>
          <cell r="K353" t="str">
            <v>MP</v>
          </cell>
        </row>
        <row r="354">
          <cell r="A354">
            <v>990741</v>
          </cell>
          <cell r="C354">
            <v>179</v>
          </cell>
          <cell r="D354">
            <v>4</v>
          </cell>
          <cell r="E354">
            <v>452</v>
          </cell>
          <cell r="F354">
            <v>166</v>
          </cell>
          <cell r="G354">
            <v>293</v>
          </cell>
          <cell r="H354">
            <v>1096.8599999999999</v>
          </cell>
          <cell r="I354">
            <v>1275.05</v>
          </cell>
          <cell r="J354">
            <v>91934</v>
          </cell>
          <cell r="K354" t="str">
            <v>MP</v>
          </cell>
        </row>
        <row r="355">
          <cell r="A355">
            <v>990742</v>
          </cell>
          <cell r="C355">
            <v>179</v>
          </cell>
          <cell r="D355">
            <v>24</v>
          </cell>
          <cell r="E355">
            <v>452</v>
          </cell>
          <cell r="F355">
            <v>349</v>
          </cell>
          <cell r="G355">
            <v>1078</v>
          </cell>
          <cell r="H355">
            <v>2085.04</v>
          </cell>
          <cell r="I355">
            <v>7039.33</v>
          </cell>
          <cell r="J355">
            <v>90685</v>
          </cell>
          <cell r="K355" t="str">
            <v>MP</v>
          </cell>
        </row>
        <row r="356">
          <cell r="A356">
            <v>990747</v>
          </cell>
          <cell r="C356">
            <v>254</v>
          </cell>
          <cell r="D356">
            <v>26</v>
          </cell>
          <cell r="E356">
            <v>460</v>
          </cell>
          <cell r="F356">
            <v>379</v>
          </cell>
          <cell r="G356">
            <v>1170</v>
          </cell>
          <cell r="H356">
            <v>2290.42</v>
          </cell>
          <cell r="I356">
            <v>7459.46</v>
          </cell>
          <cell r="J356">
            <v>90061</v>
          </cell>
          <cell r="K356" t="str">
            <v>MP</v>
          </cell>
        </row>
        <row r="357">
          <cell r="A357">
            <v>990748</v>
          </cell>
          <cell r="C357">
            <v>163</v>
          </cell>
          <cell r="D357">
            <v>3</v>
          </cell>
          <cell r="E357">
            <v>460</v>
          </cell>
          <cell r="F357">
            <v>155</v>
          </cell>
          <cell r="G357">
            <v>144</v>
          </cell>
          <cell r="H357">
            <v>925.9</v>
          </cell>
          <cell r="I357">
            <v>796.91</v>
          </cell>
          <cell r="J357">
            <v>90097</v>
          </cell>
          <cell r="K357" t="str">
            <v>MP</v>
          </cell>
        </row>
        <row r="358">
          <cell r="A358">
            <v>990749</v>
          </cell>
          <cell r="C358">
            <v>386</v>
          </cell>
          <cell r="D358">
            <v>241</v>
          </cell>
          <cell r="E358">
            <v>464</v>
          </cell>
          <cell r="F358">
            <v>1136</v>
          </cell>
          <cell r="G358">
            <v>5478</v>
          </cell>
          <cell r="H358">
            <v>7707.69</v>
          </cell>
          <cell r="I358">
            <v>35229.58</v>
          </cell>
          <cell r="J358">
            <v>90097</v>
          </cell>
          <cell r="K358" t="str">
            <v>MP</v>
          </cell>
        </row>
        <row r="359">
          <cell r="A359">
            <v>990750</v>
          </cell>
          <cell r="C359">
            <v>577</v>
          </cell>
          <cell r="D359">
            <v>12</v>
          </cell>
          <cell r="E359">
            <v>460</v>
          </cell>
          <cell r="F359">
            <v>219</v>
          </cell>
          <cell r="G359">
            <v>816</v>
          </cell>
          <cell r="H359">
            <v>2086.14</v>
          </cell>
          <cell r="I359">
            <v>3120.08</v>
          </cell>
          <cell r="J359">
            <v>91353</v>
          </cell>
          <cell r="K359" t="str">
            <v>MP</v>
          </cell>
        </row>
        <row r="360">
          <cell r="A360">
            <v>990752</v>
          </cell>
          <cell r="C360">
            <v>187</v>
          </cell>
          <cell r="D360">
            <v>5</v>
          </cell>
          <cell r="E360">
            <v>460</v>
          </cell>
          <cell r="F360">
            <v>170</v>
          </cell>
          <cell r="G360">
            <v>239</v>
          </cell>
          <cell r="H360">
            <v>1063.17</v>
          </cell>
          <cell r="I360">
            <v>1403.97</v>
          </cell>
          <cell r="J360">
            <v>91919</v>
          </cell>
          <cell r="K360" t="str">
            <v>MP</v>
          </cell>
        </row>
        <row r="361">
          <cell r="A361">
            <v>990756</v>
          </cell>
          <cell r="C361">
            <v>209</v>
          </cell>
          <cell r="D361">
            <v>58</v>
          </cell>
          <cell r="E361">
            <v>446</v>
          </cell>
          <cell r="F361">
            <v>426</v>
          </cell>
          <cell r="G361">
            <v>1792</v>
          </cell>
          <cell r="H361">
            <v>2933.33</v>
          </cell>
          <cell r="I361">
            <v>8854.84</v>
          </cell>
          <cell r="J361">
            <v>92174</v>
          </cell>
          <cell r="K361" t="str">
            <v>MP</v>
          </cell>
        </row>
        <row r="362">
          <cell r="A362">
            <v>990757</v>
          </cell>
          <cell r="C362">
            <v>1006</v>
          </cell>
          <cell r="D362">
            <v>92</v>
          </cell>
          <cell r="E362">
            <v>483</v>
          </cell>
          <cell r="F362">
            <v>591</v>
          </cell>
          <cell r="G362">
            <v>3130</v>
          </cell>
          <cell r="H362">
            <v>5304.45</v>
          </cell>
          <cell r="I362">
            <v>12877.93</v>
          </cell>
          <cell r="J362">
            <v>91375</v>
          </cell>
          <cell r="K362" t="str">
            <v>MP</v>
          </cell>
        </row>
        <row r="363">
          <cell r="A363">
            <v>990758</v>
          </cell>
          <cell r="C363">
            <v>188</v>
          </cell>
          <cell r="D363">
            <v>2</v>
          </cell>
          <cell r="E363">
            <v>463</v>
          </cell>
          <cell r="F363">
            <v>146</v>
          </cell>
          <cell r="G363">
            <v>113</v>
          </cell>
          <cell r="H363">
            <v>914.67</v>
          </cell>
          <cell r="I363">
            <v>443.11</v>
          </cell>
          <cell r="J363">
            <v>92088</v>
          </cell>
          <cell r="K363" t="str">
            <v>MP</v>
          </cell>
        </row>
        <row r="364">
          <cell r="A364">
            <v>990759</v>
          </cell>
          <cell r="C364">
            <v>188</v>
          </cell>
          <cell r="D364">
            <v>29</v>
          </cell>
          <cell r="E364">
            <v>463</v>
          </cell>
          <cell r="F364">
            <v>410</v>
          </cell>
          <cell r="G364">
            <v>1724</v>
          </cell>
          <cell r="H364">
            <v>2817.16</v>
          </cell>
          <cell r="I364">
            <v>8788.5499999999993</v>
          </cell>
          <cell r="J364">
            <v>91304</v>
          </cell>
          <cell r="K364" t="str">
            <v>MP</v>
          </cell>
        </row>
        <row r="365">
          <cell r="A365">
            <v>990761</v>
          </cell>
          <cell r="C365">
            <v>218</v>
          </cell>
          <cell r="D365">
            <v>2</v>
          </cell>
          <cell r="E365">
            <v>460</v>
          </cell>
          <cell r="F365">
            <v>139</v>
          </cell>
          <cell r="G365">
            <v>61</v>
          </cell>
          <cell r="H365">
            <v>882.28</v>
          </cell>
          <cell r="I365">
            <v>106.14</v>
          </cell>
          <cell r="J365">
            <v>91162</v>
          </cell>
          <cell r="K365" t="str">
            <v>MP</v>
          </cell>
        </row>
        <row r="366">
          <cell r="A366">
            <v>990767</v>
          </cell>
          <cell r="C366">
            <v>13307</v>
          </cell>
          <cell r="D366">
            <v>167</v>
          </cell>
          <cell r="E366">
            <v>460</v>
          </cell>
          <cell r="F366">
            <v>867</v>
          </cell>
          <cell r="G366">
            <v>3263</v>
          </cell>
          <cell r="H366">
            <v>18067.22</v>
          </cell>
          <cell r="I366">
            <v>14187.81</v>
          </cell>
          <cell r="J366">
            <v>92233</v>
          </cell>
          <cell r="K366" t="str">
            <v>MP</v>
          </cell>
        </row>
        <row r="367">
          <cell r="A367">
            <v>990775</v>
          </cell>
          <cell r="C367">
            <v>1268</v>
          </cell>
          <cell r="D367">
            <v>26</v>
          </cell>
          <cell r="E367">
            <v>463</v>
          </cell>
          <cell r="F367">
            <v>380</v>
          </cell>
          <cell r="G367">
            <v>1763</v>
          </cell>
          <cell r="H367">
            <v>3903.6</v>
          </cell>
          <cell r="I367">
            <v>6940.61</v>
          </cell>
          <cell r="J367">
            <v>90487</v>
          </cell>
          <cell r="K367" t="str">
            <v>MP</v>
          </cell>
        </row>
        <row r="368">
          <cell r="A368">
            <v>990776</v>
          </cell>
          <cell r="C368">
            <v>231</v>
          </cell>
          <cell r="D368">
            <v>4</v>
          </cell>
          <cell r="E368">
            <v>460</v>
          </cell>
          <cell r="F368">
            <v>149</v>
          </cell>
          <cell r="G368">
            <v>150</v>
          </cell>
          <cell r="H368">
            <v>997.68</v>
          </cell>
          <cell r="I368">
            <v>510.57</v>
          </cell>
          <cell r="J368">
            <v>91908</v>
          </cell>
          <cell r="K368" t="str">
            <v>MP</v>
          </cell>
        </row>
        <row r="369">
          <cell r="A369">
            <v>990782</v>
          </cell>
          <cell r="C369">
            <v>120</v>
          </cell>
          <cell r="D369">
            <v>48</v>
          </cell>
          <cell r="E369">
            <v>483</v>
          </cell>
          <cell r="F369">
            <v>599</v>
          </cell>
          <cell r="G369">
            <v>2137</v>
          </cell>
          <cell r="H369">
            <v>3389.21</v>
          </cell>
          <cell r="I369">
            <v>13275</v>
          </cell>
          <cell r="J369">
            <v>91979</v>
          </cell>
          <cell r="K369" t="str">
            <v>MP</v>
          </cell>
        </row>
        <row r="370">
          <cell r="A370">
            <v>990783</v>
          </cell>
          <cell r="C370">
            <v>316</v>
          </cell>
          <cell r="D370">
            <v>94</v>
          </cell>
          <cell r="E370">
            <v>460</v>
          </cell>
          <cell r="F370">
            <v>920</v>
          </cell>
          <cell r="G370">
            <v>4131</v>
          </cell>
          <cell r="H370">
            <v>5922.9</v>
          </cell>
          <cell r="I370">
            <v>29144.3</v>
          </cell>
          <cell r="J370">
            <v>90062</v>
          </cell>
          <cell r="K370" t="str">
            <v>MP</v>
          </cell>
        </row>
        <row r="371">
          <cell r="A371">
            <v>990790</v>
          </cell>
          <cell r="C371">
            <v>628</v>
          </cell>
          <cell r="D371">
            <v>175</v>
          </cell>
          <cell r="E371">
            <v>460</v>
          </cell>
          <cell r="F371">
            <v>659</v>
          </cell>
          <cell r="G371">
            <v>3657</v>
          </cell>
          <cell r="H371">
            <v>5580.53</v>
          </cell>
          <cell r="I371">
            <v>16248.54</v>
          </cell>
          <cell r="J371">
            <v>91552</v>
          </cell>
          <cell r="K371" t="str">
            <v>MP</v>
          </cell>
        </row>
        <row r="372">
          <cell r="A372">
            <v>990796</v>
          </cell>
          <cell r="C372">
            <v>268</v>
          </cell>
          <cell r="D372">
            <v>9</v>
          </cell>
          <cell r="E372">
            <v>460</v>
          </cell>
          <cell r="F372">
            <v>196</v>
          </cell>
          <cell r="G372">
            <v>545</v>
          </cell>
          <cell r="H372">
            <v>1480.12</v>
          </cell>
          <cell r="I372">
            <v>2477.92</v>
          </cell>
          <cell r="J372">
            <v>91792</v>
          </cell>
          <cell r="K372" t="str">
            <v>MP</v>
          </cell>
        </row>
        <row r="373">
          <cell r="A373">
            <v>990798</v>
          </cell>
          <cell r="C373">
            <v>875</v>
          </cell>
          <cell r="D373">
            <v>53</v>
          </cell>
          <cell r="E373">
            <v>455</v>
          </cell>
          <cell r="F373">
            <v>630</v>
          </cell>
          <cell r="G373">
            <v>3162</v>
          </cell>
          <cell r="H373">
            <v>5177.6000000000004</v>
          </cell>
          <cell r="I373">
            <v>15019.92</v>
          </cell>
          <cell r="J373">
            <v>91934</v>
          </cell>
          <cell r="K373" t="str">
            <v>MP</v>
          </cell>
        </row>
        <row r="374">
          <cell r="A374">
            <v>990801</v>
          </cell>
          <cell r="C374">
            <v>187</v>
          </cell>
          <cell r="D374">
            <v>29</v>
          </cell>
          <cell r="E374">
            <v>460</v>
          </cell>
          <cell r="F374">
            <v>417</v>
          </cell>
          <cell r="G374">
            <v>1292</v>
          </cell>
          <cell r="H374">
            <v>2386.8200000000002</v>
          </cell>
          <cell r="I374">
            <v>8525.7999999999993</v>
          </cell>
          <cell r="J374">
            <v>90496</v>
          </cell>
          <cell r="K374" t="str">
            <v>MP</v>
          </cell>
        </row>
        <row r="375">
          <cell r="A375">
            <v>990805</v>
          </cell>
          <cell r="C375">
            <v>345</v>
          </cell>
          <cell r="D375">
            <v>35</v>
          </cell>
          <cell r="E375">
            <v>460</v>
          </cell>
          <cell r="F375">
            <v>500</v>
          </cell>
          <cell r="G375">
            <v>1551</v>
          </cell>
          <cell r="H375">
            <v>2892.61</v>
          </cell>
          <cell r="I375">
            <v>10122.120000000001</v>
          </cell>
          <cell r="J375">
            <v>90062</v>
          </cell>
          <cell r="K375" t="str">
            <v>MP</v>
          </cell>
        </row>
        <row r="376">
          <cell r="A376">
            <v>990809</v>
          </cell>
          <cell r="C376">
            <v>1613</v>
          </cell>
          <cell r="D376">
            <v>108</v>
          </cell>
          <cell r="E376">
            <v>460</v>
          </cell>
          <cell r="F376">
            <v>467</v>
          </cell>
          <cell r="G376">
            <v>2172</v>
          </cell>
          <cell r="H376">
            <v>4821.68</v>
          </cell>
          <cell r="I376">
            <v>8291.3799999999992</v>
          </cell>
          <cell r="J376">
            <v>92020</v>
          </cell>
          <cell r="K376" t="str">
            <v>MP</v>
          </cell>
        </row>
        <row r="377">
          <cell r="A377">
            <v>990810</v>
          </cell>
          <cell r="C377">
            <v>308</v>
          </cell>
          <cell r="D377">
            <v>9</v>
          </cell>
          <cell r="E377">
            <v>460</v>
          </cell>
          <cell r="F377">
            <v>153</v>
          </cell>
          <cell r="G377">
            <v>184</v>
          </cell>
          <cell r="H377">
            <v>1117.0999999999999</v>
          </cell>
          <cell r="I377">
            <v>627.97</v>
          </cell>
          <cell r="J377">
            <v>90176</v>
          </cell>
          <cell r="K377" t="str">
            <v>MP</v>
          </cell>
        </row>
        <row r="378">
          <cell r="A378">
            <v>990811</v>
          </cell>
          <cell r="C378">
            <v>662</v>
          </cell>
          <cell r="D378">
            <v>46</v>
          </cell>
          <cell r="E378">
            <v>460</v>
          </cell>
          <cell r="F378">
            <v>238</v>
          </cell>
          <cell r="G378">
            <v>814</v>
          </cell>
          <cell r="H378">
            <v>2221.66</v>
          </cell>
          <cell r="I378">
            <v>3847.8</v>
          </cell>
          <cell r="J378">
            <v>91868</v>
          </cell>
          <cell r="K378" t="str">
            <v>MP</v>
          </cell>
        </row>
        <row r="379">
          <cell r="A379">
            <v>990812</v>
          </cell>
          <cell r="C379">
            <v>535</v>
          </cell>
          <cell r="D379">
            <v>160</v>
          </cell>
          <cell r="E379">
            <v>455</v>
          </cell>
          <cell r="F379">
            <v>623</v>
          </cell>
          <cell r="G379">
            <v>3103</v>
          </cell>
          <cell r="H379">
            <v>4879.25</v>
          </cell>
          <cell r="I379">
            <v>15100.7</v>
          </cell>
          <cell r="J379">
            <v>91304</v>
          </cell>
          <cell r="K379" t="str">
            <v>MP</v>
          </cell>
        </row>
        <row r="380">
          <cell r="A380">
            <v>990814</v>
          </cell>
          <cell r="C380">
            <v>398</v>
          </cell>
          <cell r="D380">
            <v>100</v>
          </cell>
          <cell r="E380">
            <v>460</v>
          </cell>
          <cell r="F380">
            <v>461</v>
          </cell>
          <cell r="G380">
            <v>1941</v>
          </cell>
          <cell r="H380">
            <v>3362.97</v>
          </cell>
          <cell r="I380">
            <v>9349.25</v>
          </cell>
          <cell r="J380">
            <v>91706</v>
          </cell>
          <cell r="K380" t="str">
            <v>MP</v>
          </cell>
        </row>
        <row r="381">
          <cell r="A381">
            <v>990815</v>
          </cell>
          <cell r="C381">
            <v>732</v>
          </cell>
          <cell r="D381">
            <v>85</v>
          </cell>
          <cell r="E381">
            <v>463</v>
          </cell>
          <cell r="F381">
            <v>856</v>
          </cell>
          <cell r="G381">
            <v>3734</v>
          </cell>
          <cell r="H381">
            <v>5873.25</v>
          </cell>
          <cell r="I381">
            <v>23685.79</v>
          </cell>
          <cell r="J381">
            <v>92249</v>
          </cell>
          <cell r="K381" t="str">
            <v>MP</v>
          </cell>
        </row>
        <row r="382">
          <cell r="A382">
            <v>990817</v>
          </cell>
          <cell r="C382">
            <v>600</v>
          </cell>
          <cell r="D382">
            <v>19</v>
          </cell>
          <cell r="E382">
            <v>460</v>
          </cell>
          <cell r="F382">
            <v>203</v>
          </cell>
          <cell r="G382">
            <v>625</v>
          </cell>
          <cell r="H382">
            <v>1908.79</v>
          </cell>
          <cell r="I382">
            <v>2445.58</v>
          </cell>
          <cell r="J382">
            <v>91553</v>
          </cell>
          <cell r="K382" t="str">
            <v>MP</v>
          </cell>
        </row>
        <row r="383">
          <cell r="A383">
            <v>990819</v>
          </cell>
          <cell r="C383">
            <v>3016</v>
          </cell>
          <cell r="D383">
            <v>97</v>
          </cell>
          <cell r="E383">
            <v>460</v>
          </cell>
          <cell r="F383">
            <v>611</v>
          </cell>
          <cell r="G383">
            <v>2845</v>
          </cell>
          <cell r="H383">
            <v>7033.06</v>
          </cell>
          <cell r="I383">
            <v>12334.11</v>
          </cell>
          <cell r="J383">
            <v>92158</v>
          </cell>
          <cell r="K383" t="str">
            <v>MP</v>
          </cell>
        </row>
        <row r="384">
          <cell r="A384">
            <v>990822</v>
          </cell>
          <cell r="C384">
            <v>206</v>
          </cell>
          <cell r="D384">
            <v>24</v>
          </cell>
          <cell r="E384">
            <v>460</v>
          </cell>
          <cell r="F384">
            <v>544</v>
          </cell>
          <cell r="G384">
            <v>2694</v>
          </cell>
          <cell r="H384">
            <v>3930.12</v>
          </cell>
          <cell r="I384">
            <v>11812.86</v>
          </cell>
          <cell r="J384">
            <v>90257</v>
          </cell>
          <cell r="K384" t="str">
            <v>MP</v>
          </cell>
        </row>
        <row r="385">
          <cell r="A385">
            <v>990823</v>
          </cell>
          <cell r="C385">
            <v>206</v>
          </cell>
          <cell r="D385">
            <v>3</v>
          </cell>
          <cell r="E385">
            <v>460</v>
          </cell>
          <cell r="F385">
            <v>158</v>
          </cell>
          <cell r="G385">
            <v>249</v>
          </cell>
          <cell r="H385">
            <v>1078.53</v>
          </cell>
          <cell r="I385">
            <v>916.98</v>
          </cell>
          <cell r="J385">
            <v>91681</v>
          </cell>
          <cell r="K385" t="str">
            <v>MP</v>
          </cell>
        </row>
        <row r="386">
          <cell r="A386">
            <v>990824</v>
          </cell>
          <cell r="C386">
            <v>206</v>
          </cell>
          <cell r="D386">
            <v>6</v>
          </cell>
          <cell r="E386">
            <v>460</v>
          </cell>
          <cell r="F386">
            <v>180</v>
          </cell>
          <cell r="G386">
            <v>455</v>
          </cell>
          <cell r="H386">
            <v>1309.8</v>
          </cell>
          <cell r="I386">
            <v>1833.96</v>
          </cell>
          <cell r="J386">
            <v>91681</v>
          </cell>
          <cell r="K386" t="str">
            <v>MP</v>
          </cell>
        </row>
        <row r="387">
          <cell r="A387">
            <v>990832</v>
          </cell>
          <cell r="C387">
            <v>185</v>
          </cell>
          <cell r="D387">
            <v>195</v>
          </cell>
          <cell r="E387">
            <v>460</v>
          </cell>
          <cell r="F387">
            <v>968</v>
          </cell>
          <cell r="G387">
            <v>4430</v>
          </cell>
          <cell r="H387">
            <v>6240.08</v>
          </cell>
          <cell r="I387">
            <v>29433.93</v>
          </cell>
          <cell r="J387">
            <v>90086</v>
          </cell>
          <cell r="K387" t="str">
            <v>MP</v>
          </cell>
        </row>
        <row r="388">
          <cell r="A388">
            <v>990836</v>
          </cell>
          <cell r="C388">
            <v>187</v>
          </cell>
          <cell r="D388">
            <v>1</v>
          </cell>
          <cell r="E388">
            <v>430</v>
          </cell>
          <cell r="F388">
            <v>138</v>
          </cell>
          <cell r="G388">
            <v>56</v>
          </cell>
          <cell r="H388">
            <v>815.07</v>
          </cell>
          <cell r="I388">
            <v>101.42</v>
          </cell>
          <cell r="J388">
            <v>91462</v>
          </cell>
          <cell r="K388" t="str">
            <v>MP</v>
          </cell>
        </row>
        <row r="389">
          <cell r="A389">
            <v>990839</v>
          </cell>
          <cell r="C389">
            <v>789</v>
          </cell>
          <cell r="D389">
            <v>86</v>
          </cell>
          <cell r="E389">
            <v>463</v>
          </cell>
          <cell r="F389">
            <v>569</v>
          </cell>
          <cell r="G389">
            <v>1949</v>
          </cell>
          <cell r="H389">
            <v>3858.54</v>
          </cell>
          <cell r="I389">
            <v>12363.98</v>
          </cell>
          <cell r="J389">
            <v>92377</v>
          </cell>
          <cell r="K389" t="str">
            <v>MP</v>
          </cell>
        </row>
        <row r="390">
          <cell r="A390">
            <v>990843</v>
          </cell>
          <cell r="C390">
            <v>153</v>
          </cell>
          <cell r="D390">
            <v>11</v>
          </cell>
          <cell r="E390">
            <v>460</v>
          </cell>
          <cell r="F390">
            <v>215</v>
          </cell>
          <cell r="G390">
            <v>519</v>
          </cell>
          <cell r="H390">
            <v>1360.88</v>
          </cell>
          <cell r="I390">
            <v>3387.73</v>
          </cell>
          <cell r="J390">
            <v>90061</v>
          </cell>
          <cell r="K390" t="str">
            <v>MP</v>
          </cell>
        </row>
        <row r="391">
          <cell r="A391">
            <v>990844</v>
          </cell>
          <cell r="C391">
            <v>161</v>
          </cell>
          <cell r="D391">
            <v>83</v>
          </cell>
          <cell r="E391">
            <v>483</v>
          </cell>
          <cell r="F391">
            <v>562</v>
          </cell>
          <cell r="G391">
            <v>1908</v>
          </cell>
          <cell r="H391">
            <v>3199.02</v>
          </cell>
          <cell r="I391">
            <v>12180.81</v>
          </cell>
          <cell r="J391">
            <v>92370</v>
          </cell>
          <cell r="K391" t="str">
            <v>MP</v>
          </cell>
        </row>
        <row r="392">
          <cell r="A392">
            <v>990845</v>
          </cell>
          <cell r="C392">
            <v>201</v>
          </cell>
          <cell r="D392">
            <v>50</v>
          </cell>
          <cell r="E392">
            <v>460</v>
          </cell>
          <cell r="F392">
            <v>613</v>
          </cell>
          <cell r="G392">
            <v>2226</v>
          </cell>
          <cell r="H392">
            <v>3553.03</v>
          </cell>
          <cell r="I392">
            <v>14949.53</v>
          </cell>
          <cell r="J392">
            <v>90061</v>
          </cell>
          <cell r="K392" t="str">
            <v>MP</v>
          </cell>
        </row>
        <row r="393">
          <cell r="A393">
            <v>990846</v>
          </cell>
          <cell r="C393">
            <v>201</v>
          </cell>
          <cell r="D393">
            <v>19</v>
          </cell>
          <cell r="E393">
            <v>460</v>
          </cell>
          <cell r="F393">
            <v>203</v>
          </cell>
          <cell r="G393">
            <v>447</v>
          </cell>
          <cell r="H393">
            <v>1332.38</v>
          </cell>
          <cell r="I393">
            <v>2839.14</v>
          </cell>
          <cell r="J393">
            <v>90061</v>
          </cell>
          <cell r="K393" t="str">
            <v>MP</v>
          </cell>
        </row>
        <row r="394">
          <cell r="A394">
            <v>990847</v>
          </cell>
          <cell r="C394">
            <v>182</v>
          </cell>
          <cell r="D394">
            <v>5</v>
          </cell>
          <cell r="E394">
            <v>460</v>
          </cell>
          <cell r="F394">
            <v>169</v>
          </cell>
          <cell r="G394">
            <v>233</v>
          </cell>
          <cell r="H394">
            <v>1050.29</v>
          </cell>
          <cell r="I394">
            <v>1410.41</v>
          </cell>
          <cell r="J394">
            <v>90061</v>
          </cell>
          <cell r="K394" t="str">
            <v>MP</v>
          </cell>
        </row>
        <row r="395">
          <cell r="A395">
            <v>990848</v>
          </cell>
          <cell r="C395">
            <v>603</v>
          </cell>
          <cell r="D395">
            <v>22</v>
          </cell>
          <cell r="E395">
            <v>456</v>
          </cell>
          <cell r="F395">
            <v>212</v>
          </cell>
          <cell r="G395">
            <v>752</v>
          </cell>
          <cell r="H395">
            <v>2047.03</v>
          </cell>
          <cell r="I395">
            <v>2891.84</v>
          </cell>
          <cell r="J395">
            <v>91375</v>
          </cell>
          <cell r="K395" t="str">
            <v>MP</v>
          </cell>
        </row>
        <row r="396">
          <cell r="A396">
            <v>990852</v>
          </cell>
          <cell r="C396">
            <v>268</v>
          </cell>
          <cell r="D396">
            <v>10</v>
          </cell>
          <cell r="E396">
            <v>456</v>
          </cell>
          <cell r="F396">
            <v>207</v>
          </cell>
          <cell r="G396">
            <v>771</v>
          </cell>
          <cell r="H396">
            <v>1715.14</v>
          </cell>
          <cell r="I396">
            <v>3007.21</v>
          </cell>
          <cell r="J396">
            <v>90463</v>
          </cell>
          <cell r="K396" t="str">
            <v>MP</v>
          </cell>
        </row>
        <row r="397">
          <cell r="A397">
            <v>990855</v>
          </cell>
          <cell r="C397">
            <v>216</v>
          </cell>
          <cell r="D397">
            <v>87</v>
          </cell>
          <cell r="E397">
            <v>460</v>
          </cell>
          <cell r="F397">
            <v>573</v>
          </cell>
          <cell r="G397">
            <v>2685</v>
          </cell>
          <cell r="H397">
            <v>4024.02</v>
          </cell>
          <cell r="I397">
            <v>13939.07</v>
          </cell>
          <cell r="J397">
            <v>91337</v>
          </cell>
          <cell r="K397" t="str">
            <v>MP</v>
          </cell>
        </row>
        <row r="398">
          <cell r="A398">
            <v>990860</v>
          </cell>
          <cell r="C398">
            <v>983</v>
          </cell>
          <cell r="D398">
            <v>111</v>
          </cell>
          <cell r="E398">
            <v>130</v>
          </cell>
          <cell r="F398">
            <v>381</v>
          </cell>
          <cell r="G398">
            <v>3444</v>
          </cell>
          <cell r="H398">
            <v>5051.49</v>
          </cell>
          <cell r="I398">
            <v>17376.87</v>
          </cell>
          <cell r="J398">
            <v>91975</v>
          </cell>
          <cell r="K398" t="str">
            <v>MP</v>
          </cell>
        </row>
        <row r="399">
          <cell r="A399">
            <v>990863</v>
          </cell>
          <cell r="C399">
            <v>196</v>
          </cell>
          <cell r="D399">
            <v>37</v>
          </cell>
          <cell r="E399">
            <v>130</v>
          </cell>
          <cell r="F399">
            <v>266</v>
          </cell>
          <cell r="G399">
            <v>1276</v>
          </cell>
          <cell r="H399">
            <v>1906.21</v>
          </cell>
          <cell r="I399">
            <v>5935.39</v>
          </cell>
          <cell r="J399">
            <v>90782</v>
          </cell>
          <cell r="K399" t="str">
            <v>MP</v>
          </cell>
        </row>
        <row r="400">
          <cell r="A400">
            <v>990868</v>
          </cell>
          <cell r="C400">
            <v>169</v>
          </cell>
          <cell r="D400">
            <v>23</v>
          </cell>
          <cell r="E400">
            <v>455</v>
          </cell>
          <cell r="F400">
            <v>218</v>
          </cell>
          <cell r="G400">
            <v>539</v>
          </cell>
          <cell r="H400">
            <v>1407.12</v>
          </cell>
          <cell r="I400">
            <v>3632.42</v>
          </cell>
          <cell r="J400">
            <v>90558</v>
          </cell>
          <cell r="K400" t="str">
            <v>MP</v>
          </cell>
        </row>
        <row r="401">
          <cell r="A401">
            <v>990870</v>
          </cell>
          <cell r="C401">
            <v>181</v>
          </cell>
          <cell r="D401">
            <v>37</v>
          </cell>
          <cell r="E401">
            <v>452</v>
          </cell>
          <cell r="F401">
            <v>281</v>
          </cell>
          <cell r="G401">
            <v>862</v>
          </cell>
          <cell r="H401">
            <v>1815.95</v>
          </cell>
          <cell r="I401">
            <v>6185.97</v>
          </cell>
          <cell r="J401">
            <v>91874</v>
          </cell>
          <cell r="K401" t="str">
            <v>MP</v>
          </cell>
        </row>
        <row r="402">
          <cell r="A402">
            <v>990873</v>
          </cell>
          <cell r="C402">
            <v>182</v>
          </cell>
          <cell r="D402">
            <v>5</v>
          </cell>
          <cell r="E402">
            <v>460</v>
          </cell>
          <cell r="F402">
            <v>171</v>
          </cell>
          <cell r="G402">
            <v>52</v>
          </cell>
          <cell r="H402">
            <v>872.66</v>
          </cell>
          <cell r="I402">
            <v>1611.79</v>
          </cell>
          <cell r="J402">
            <v>90061</v>
          </cell>
          <cell r="K402" t="str">
            <v>MP</v>
          </cell>
        </row>
        <row r="403">
          <cell r="A403">
            <v>990874</v>
          </cell>
          <cell r="C403">
            <v>237</v>
          </cell>
          <cell r="D403">
            <v>13</v>
          </cell>
          <cell r="E403">
            <v>455</v>
          </cell>
          <cell r="F403">
            <v>180</v>
          </cell>
          <cell r="G403">
            <v>405</v>
          </cell>
          <cell r="H403">
            <v>1291.08</v>
          </cell>
          <cell r="I403">
            <v>1815.21</v>
          </cell>
          <cell r="J403">
            <v>90392</v>
          </cell>
          <cell r="K403" t="str">
            <v>MP</v>
          </cell>
        </row>
        <row r="404">
          <cell r="A404">
            <v>990877</v>
          </cell>
          <cell r="C404">
            <v>182</v>
          </cell>
          <cell r="D404">
            <v>5</v>
          </cell>
          <cell r="E404">
            <v>460</v>
          </cell>
          <cell r="F404">
            <v>169</v>
          </cell>
          <cell r="G404">
            <v>233</v>
          </cell>
          <cell r="H404">
            <v>1050.29</v>
          </cell>
          <cell r="I404">
            <v>1410.41</v>
          </cell>
          <cell r="J404">
            <v>90061</v>
          </cell>
          <cell r="K404" t="str">
            <v>MP</v>
          </cell>
        </row>
        <row r="405">
          <cell r="A405">
            <v>990880</v>
          </cell>
          <cell r="C405">
            <v>308</v>
          </cell>
          <cell r="D405">
            <v>15</v>
          </cell>
          <cell r="E405">
            <v>460</v>
          </cell>
          <cell r="F405">
            <v>258</v>
          </cell>
          <cell r="G405">
            <v>577</v>
          </cell>
          <cell r="H405">
            <v>1620.67</v>
          </cell>
          <cell r="I405">
            <v>2121.4299999999998</v>
          </cell>
          <cell r="J405">
            <v>91351</v>
          </cell>
          <cell r="K405" t="str">
            <v>MP</v>
          </cell>
        </row>
        <row r="406">
          <cell r="A406">
            <v>990885</v>
          </cell>
          <cell r="C406">
            <v>534</v>
          </cell>
          <cell r="D406">
            <v>46</v>
          </cell>
          <cell r="E406">
            <v>455</v>
          </cell>
          <cell r="F406">
            <v>341</v>
          </cell>
          <cell r="G406">
            <v>1357</v>
          </cell>
          <cell r="H406">
            <v>2736.02</v>
          </cell>
          <cell r="I406">
            <v>7061.68</v>
          </cell>
          <cell r="J406">
            <v>91552</v>
          </cell>
          <cell r="K406" t="str">
            <v>MP</v>
          </cell>
        </row>
        <row r="407">
          <cell r="A407">
            <v>990889</v>
          </cell>
          <cell r="C407">
            <v>96</v>
          </cell>
          <cell r="D407">
            <v>29</v>
          </cell>
          <cell r="E407">
            <v>460</v>
          </cell>
          <cell r="F407">
            <v>239</v>
          </cell>
          <cell r="G407">
            <v>669</v>
          </cell>
          <cell r="H407">
            <v>1495.44</v>
          </cell>
          <cell r="I407">
            <v>4711.53</v>
          </cell>
          <cell r="J407">
            <v>91227</v>
          </cell>
          <cell r="K407" t="str">
            <v>MP</v>
          </cell>
        </row>
        <row r="408">
          <cell r="A408">
            <v>990890</v>
          </cell>
          <cell r="C408">
            <v>227</v>
          </cell>
          <cell r="D408">
            <v>19</v>
          </cell>
          <cell r="E408">
            <v>452</v>
          </cell>
          <cell r="F408">
            <v>204</v>
          </cell>
          <cell r="G408">
            <v>449</v>
          </cell>
          <cell r="H408">
            <v>1353.96</v>
          </cell>
          <cell r="I408">
            <v>2912.94</v>
          </cell>
          <cell r="J408">
            <v>90614</v>
          </cell>
          <cell r="K408" t="str">
            <v>MP</v>
          </cell>
        </row>
        <row r="409">
          <cell r="A409">
            <v>990901</v>
          </cell>
          <cell r="C409">
            <v>966</v>
          </cell>
          <cell r="D409">
            <v>14</v>
          </cell>
          <cell r="E409">
            <v>460</v>
          </cell>
          <cell r="F409">
            <v>184</v>
          </cell>
          <cell r="G409">
            <v>281</v>
          </cell>
          <cell r="H409">
            <v>1907.72</v>
          </cell>
          <cell r="I409">
            <v>1283.1199999999999</v>
          </cell>
          <cell r="J409">
            <v>92280</v>
          </cell>
          <cell r="K409" t="str">
            <v>MP</v>
          </cell>
        </row>
        <row r="410">
          <cell r="A410">
            <v>990902</v>
          </cell>
          <cell r="C410">
            <v>316</v>
          </cell>
          <cell r="D410">
            <v>21</v>
          </cell>
          <cell r="E410">
            <v>460</v>
          </cell>
          <cell r="F410">
            <v>209</v>
          </cell>
          <cell r="G410">
            <v>482</v>
          </cell>
          <cell r="H410">
            <v>1489.81</v>
          </cell>
          <cell r="I410">
            <v>1960.85</v>
          </cell>
          <cell r="J410">
            <v>91454</v>
          </cell>
          <cell r="K410" t="str">
            <v>MP</v>
          </cell>
        </row>
        <row r="411">
          <cell r="A411">
            <v>990903</v>
          </cell>
          <cell r="C411">
            <v>152</v>
          </cell>
          <cell r="D411">
            <v>178</v>
          </cell>
          <cell r="E411">
            <v>483</v>
          </cell>
          <cell r="F411">
            <v>909</v>
          </cell>
          <cell r="G411">
            <v>2613</v>
          </cell>
          <cell r="H411">
            <v>4338.13</v>
          </cell>
          <cell r="I411">
            <v>25873.439999999999</v>
          </cell>
          <cell r="J411">
            <v>91219</v>
          </cell>
          <cell r="K411" t="str">
            <v>MP</v>
          </cell>
        </row>
        <row r="412">
          <cell r="A412">
            <v>990916</v>
          </cell>
          <cell r="C412">
            <v>294</v>
          </cell>
          <cell r="D412">
            <v>2</v>
          </cell>
          <cell r="E412">
            <v>460</v>
          </cell>
          <cell r="F412">
            <v>142</v>
          </cell>
          <cell r="G412">
            <v>88</v>
          </cell>
          <cell r="H412">
            <v>989.15</v>
          </cell>
          <cell r="I412">
            <v>171.68</v>
          </cell>
          <cell r="J412">
            <v>92009</v>
          </cell>
          <cell r="K412" t="str">
            <v>MP</v>
          </cell>
        </row>
        <row r="413">
          <cell r="A413">
            <v>990919</v>
          </cell>
          <cell r="C413">
            <v>473</v>
          </cell>
          <cell r="D413">
            <v>71</v>
          </cell>
          <cell r="E413">
            <v>483</v>
          </cell>
          <cell r="F413">
            <v>761</v>
          </cell>
          <cell r="G413">
            <v>3142</v>
          </cell>
          <cell r="H413">
            <v>4931.03</v>
          </cell>
          <cell r="I413">
            <v>21035.27</v>
          </cell>
          <cell r="J413">
            <v>90062</v>
          </cell>
          <cell r="K413" t="str">
            <v>MP</v>
          </cell>
        </row>
        <row r="414">
          <cell r="A414">
            <v>990922</v>
          </cell>
          <cell r="C414">
            <v>416</v>
          </cell>
          <cell r="D414">
            <v>33</v>
          </cell>
          <cell r="E414">
            <v>464</v>
          </cell>
          <cell r="F414">
            <v>253</v>
          </cell>
          <cell r="G414">
            <v>1136</v>
          </cell>
          <cell r="H414">
            <v>2305.0100000000002</v>
          </cell>
          <cell r="I414">
            <v>4975.0200000000004</v>
          </cell>
          <cell r="J414">
            <v>92020</v>
          </cell>
          <cell r="K414" t="str">
            <v>MP</v>
          </cell>
        </row>
        <row r="415">
          <cell r="A415">
            <v>990924</v>
          </cell>
          <cell r="C415">
            <v>238</v>
          </cell>
          <cell r="D415">
            <v>9</v>
          </cell>
          <cell r="E415">
            <v>464</v>
          </cell>
          <cell r="F415">
            <v>166</v>
          </cell>
          <cell r="G415">
            <v>289</v>
          </cell>
          <cell r="H415">
            <v>1167.54</v>
          </cell>
          <cell r="I415">
            <v>1247.1099999999999</v>
          </cell>
          <cell r="J415">
            <v>92126</v>
          </cell>
          <cell r="K415" t="str">
            <v>MP</v>
          </cell>
        </row>
        <row r="416">
          <cell r="A416">
            <v>990928</v>
          </cell>
          <cell r="C416">
            <v>206</v>
          </cell>
          <cell r="D416">
            <v>35</v>
          </cell>
          <cell r="E416">
            <v>460</v>
          </cell>
          <cell r="F416">
            <v>264</v>
          </cell>
          <cell r="G416">
            <v>1097</v>
          </cell>
          <cell r="H416">
            <v>2064.67</v>
          </cell>
          <cell r="I416">
            <v>5361.63</v>
          </cell>
          <cell r="J416">
            <v>90390</v>
          </cell>
          <cell r="K416" t="str">
            <v>MP</v>
          </cell>
        </row>
        <row r="417">
          <cell r="A417">
            <v>990935</v>
          </cell>
          <cell r="C417">
            <v>1857</v>
          </cell>
          <cell r="D417">
            <v>84</v>
          </cell>
          <cell r="E417">
            <v>455</v>
          </cell>
          <cell r="F417">
            <v>565</v>
          </cell>
          <cell r="G417">
            <v>1648</v>
          </cell>
          <cell r="H417">
            <v>4611</v>
          </cell>
          <cell r="I417">
            <v>12197.55</v>
          </cell>
          <cell r="J417">
            <v>92316</v>
          </cell>
          <cell r="K417" t="str">
            <v>MP</v>
          </cell>
        </row>
        <row r="418">
          <cell r="A418">
            <v>990939</v>
          </cell>
          <cell r="C418">
            <v>530</v>
          </cell>
          <cell r="D418">
            <v>103</v>
          </cell>
          <cell r="E418">
            <v>460</v>
          </cell>
          <cell r="F418">
            <v>1591</v>
          </cell>
          <cell r="G418">
            <v>1661</v>
          </cell>
          <cell r="H418">
            <v>4348.34</v>
          </cell>
          <cell r="I418">
            <v>7324.71</v>
          </cell>
          <cell r="J418">
            <v>92088</v>
          </cell>
          <cell r="K418" t="str">
            <v>MP</v>
          </cell>
        </row>
        <row r="419">
          <cell r="A419">
            <v>990944</v>
          </cell>
          <cell r="C419">
            <v>234</v>
          </cell>
          <cell r="D419">
            <v>67</v>
          </cell>
          <cell r="E419">
            <v>460</v>
          </cell>
          <cell r="F419">
            <v>494</v>
          </cell>
          <cell r="G419">
            <v>1532</v>
          </cell>
          <cell r="H419">
            <v>2788.84</v>
          </cell>
          <cell r="I419">
            <v>10516.07</v>
          </cell>
          <cell r="J419">
            <v>90061</v>
          </cell>
          <cell r="K419" t="str">
            <v>MP</v>
          </cell>
        </row>
        <row r="420">
          <cell r="A420">
            <v>990945</v>
          </cell>
          <cell r="C420">
            <v>186</v>
          </cell>
          <cell r="D420">
            <v>42</v>
          </cell>
          <cell r="E420">
            <v>460</v>
          </cell>
          <cell r="F420">
            <v>553</v>
          </cell>
          <cell r="G420">
            <v>1852</v>
          </cell>
          <cell r="H420">
            <v>3096.27</v>
          </cell>
          <cell r="I420">
            <v>12421.67</v>
          </cell>
          <cell r="J420">
            <v>90061</v>
          </cell>
          <cell r="K420" t="str">
            <v>MP</v>
          </cell>
        </row>
        <row r="421">
          <cell r="A421">
            <v>990947</v>
          </cell>
          <cell r="C421">
            <v>164</v>
          </cell>
          <cell r="D421">
            <v>4</v>
          </cell>
          <cell r="E421">
            <v>464</v>
          </cell>
          <cell r="F421">
            <v>148</v>
          </cell>
          <cell r="G421">
            <v>104</v>
          </cell>
          <cell r="H421">
            <v>887.59</v>
          </cell>
          <cell r="I421">
            <v>568.59</v>
          </cell>
          <cell r="J421">
            <v>90097</v>
          </cell>
          <cell r="K421" t="str">
            <v>MP</v>
          </cell>
        </row>
        <row r="422">
          <cell r="A422">
            <v>990952</v>
          </cell>
          <cell r="C422">
            <v>183</v>
          </cell>
          <cell r="D422">
            <v>2</v>
          </cell>
          <cell r="E422">
            <v>464</v>
          </cell>
          <cell r="F422">
            <v>147</v>
          </cell>
          <cell r="G422">
            <v>94</v>
          </cell>
          <cell r="H422">
            <v>892.74</v>
          </cell>
          <cell r="I422">
            <v>465.22</v>
          </cell>
          <cell r="J422">
            <v>90061</v>
          </cell>
          <cell r="K422" t="str">
            <v>MP</v>
          </cell>
        </row>
        <row r="423">
          <cell r="A423">
            <v>990953</v>
          </cell>
          <cell r="C423">
            <v>237</v>
          </cell>
          <cell r="D423">
            <v>3</v>
          </cell>
          <cell r="E423">
            <v>455</v>
          </cell>
          <cell r="F423">
            <v>144</v>
          </cell>
          <cell r="G423">
            <v>106</v>
          </cell>
          <cell r="H423">
            <v>947.74</v>
          </cell>
          <cell r="I423">
            <v>320.31</v>
          </cell>
          <cell r="J423">
            <v>91349</v>
          </cell>
          <cell r="K423" t="str">
            <v>MP</v>
          </cell>
        </row>
        <row r="424">
          <cell r="A424">
            <v>990964</v>
          </cell>
          <cell r="C424">
            <v>368</v>
          </cell>
          <cell r="D424">
            <v>19</v>
          </cell>
          <cell r="E424">
            <v>464</v>
          </cell>
          <cell r="F424">
            <v>274</v>
          </cell>
          <cell r="G424">
            <v>1141</v>
          </cell>
          <cell r="H424">
            <v>2267.9699999999998</v>
          </cell>
          <cell r="I424">
            <v>5479.27</v>
          </cell>
          <cell r="J424">
            <v>91934</v>
          </cell>
          <cell r="K424" t="str">
            <v>MP</v>
          </cell>
        </row>
        <row r="425">
          <cell r="A425">
            <v>990970</v>
          </cell>
          <cell r="C425">
            <v>61</v>
          </cell>
          <cell r="D425">
            <v>1</v>
          </cell>
          <cell r="E425">
            <v>464</v>
          </cell>
          <cell r="F425">
            <v>136</v>
          </cell>
          <cell r="G425">
            <v>36</v>
          </cell>
          <cell r="H425">
            <v>401.52</v>
          </cell>
          <cell r="I425">
            <v>300</v>
          </cell>
          <cell r="J425">
            <v>92132</v>
          </cell>
          <cell r="K425" t="str">
            <v>MP</v>
          </cell>
        </row>
        <row r="426">
          <cell r="A426">
            <v>990984</v>
          </cell>
          <cell r="C426">
            <v>183</v>
          </cell>
          <cell r="D426">
            <v>1</v>
          </cell>
          <cell r="E426">
            <v>464</v>
          </cell>
          <cell r="F426">
            <v>143</v>
          </cell>
          <cell r="G426">
            <v>74</v>
          </cell>
          <cell r="H426">
            <v>868.36</v>
          </cell>
          <cell r="I426">
            <v>336.23</v>
          </cell>
          <cell r="J426">
            <v>90061</v>
          </cell>
          <cell r="K426" t="str">
            <v>MP</v>
          </cell>
        </row>
        <row r="427">
          <cell r="A427">
            <v>991000</v>
          </cell>
          <cell r="C427">
            <v>218</v>
          </cell>
          <cell r="D427">
            <v>7</v>
          </cell>
          <cell r="E427">
            <v>464</v>
          </cell>
          <cell r="F427">
            <v>158</v>
          </cell>
          <cell r="G427">
            <v>219</v>
          </cell>
          <cell r="H427">
            <v>1068.1099999999999</v>
          </cell>
          <cell r="I427">
            <v>911.23</v>
          </cell>
          <cell r="J427">
            <v>92046</v>
          </cell>
          <cell r="K427" t="str">
            <v>MP</v>
          </cell>
        </row>
        <row r="428">
          <cell r="A428">
            <v>991011</v>
          </cell>
          <cell r="C428">
            <v>185</v>
          </cell>
          <cell r="D428">
            <v>96</v>
          </cell>
          <cell r="E428">
            <v>464</v>
          </cell>
          <cell r="F428">
            <v>606</v>
          </cell>
          <cell r="G428">
            <v>2181</v>
          </cell>
          <cell r="H428">
            <v>3534.22</v>
          </cell>
          <cell r="I428">
            <v>15463.28</v>
          </cell>
          <cell r="J428">
            <v>90605</v>
          </cell>
          <cell r="K428" t="str">
            <v>MP</v>
          </cell>
        </row>
        <row r="429">
          <cell r="A429">
            <v>991026</v>
          </cell>
          <cell r="C429">
            <v>183</v>
          </cell>
          <cell r="D429">
            <v>4</v>
          </cell>
          <cell r="E429">
            <v>464</v>
          </cell>
          <cell r="F429">
            <v>161</v>
          </cell>
          <cell r="G429">
            <v>279</v>
          </cell>
          <cell r="H429">
            <v>1093.96</v>
          </cell>
          <cell r="I429">
            <v>1120.06</v>
          </cell>
          <cell r="J429">
            <v>90564</v>
          </cell>
          <cell r="K429" t="str">
            <v>MP</v>
          </cell>
        </row>
        <row r="430">
          <cell r="A430">
            <v>991027</v>
          </cell>
          <cell r="C430">
            <v>183</v>
          </cell>
          <cell r="D430">
            <v>3</v>
          </cell>
          <cell r="E430">
            <v>464</v>
          </cell>
          <cell r="F430">
            <v>159</v>
          </cell>
          <cell r="G430">
            <v>258</v>
          </cell>
          <cell r="H430">
            <v>1071.08</v>
          </cell>
          <cell r="I430">
            <v>1035.67</v>
          </cell>
          <cell r="J430">
            <v>90564</v>
          </cell>
          <cell r="K430" t="str">
            <v>MP</v>
          </cell>
        </row>
        <row r="431">
          <cell r="A431">
            <v>991028</v>
          </cell>
          <cell r="C431">
            <v>231</v>
          </cell>
          <cell r="D431">
            <v>8</v>
          </cell>
          <cell r="E431">
            <v>483</v>
          </cell>
          <cell r="F431">
            <v>193</v>
          </cell>
          <cell r="G431">
            <v>521</v>
          </cell>
          <cell r="H431">
            <v>1438</v>
          </cell>
          <cell r="I431">
            <v>2384.33</v>
          </cell>
          <cell r="J431">
            <v>90379</v>
          </cell>
          <cell r="K431" t="str">
            <v>MP</v>
          </cell>
        </row>
        <row r="432">
          <cell r="A432">
            <v>991041</v>
          </cell>
          <cell r="C432">
            <v>264</v>
          </cell>
          <cell r="D432">
            <v>3</v>
          </cell>
          <cell r="E432">
            <v>464</v>
          </cell>
          <cell r="F432">
            <v>155</v>
          </cell>
          <cell r="G432">
            <v>199</v>
          </cell>
          <cell r="H432">
            <v>1086.75</v>
          </cell>
          <cell r="I432">
            <v>760.38</v>
          </cell>
          <cell r="J432">
            <v>90402</v>
          </cell>
          <cell r="K432" t="str">
            <v>MP</v>
          </cell>
        </row>
        <row r="433">
          <cell r="A433">
            <v>991044</v>
          </cell>
          <cell r="C433">
            <v>228</v>
          </cell>
          <cell r="D433">
            <v>5</v>
          </cell>
          <cell r="E433">
            <v>456</v>
          </cell>
          <cell r="F433">
            <v>150</v>
          </cell>
          <cell r="G433">
            <v>155</v>
          </cell>
          <cell r="H433">
            <v>995.63</v>
          </cell>
          <cell r="I433">
            <v>570.11</v>
          </cell>
          <cell r="J433">
            <v>90322</v>
          </cell>
          <cell r="K433" t="str">
            <v>MP</v>
          </cell>
        </row>
        <row r="434">
          <cell r="A434">
            <v>991051</v>
          </cell>
          <cell r="C434">
            <v>531</v>
          </cell>
          <cell r="D434">
            <v>12</v>
          </cell>
          <cell r="E434">
            <v>464</v>
          </cell>
          <cell r="F434">
            <v>177</v>
          </cell>
          <cell r="G434">
            <v>386</v>
          </cell>
          <cell r="H434">
            <v>1573.72</v>
          </cell>
          <cell r="I434">
            <v>1504.52</v>
          </cell>
          <cell r="J434">
            <v>91975</v>
          </cell>
          <cell r="K434" t="str">
            <v>MP</v>
          </cell>
        </row>
        <row r="435">
          <cell r="A435">
            <v>991052</v>
          </cell>
          <cell r="C435">
            <v>154</v>
          </cell>
          <cell r="D435">
            <v>8</v>
          </cell>
          <cell r="E435">
            <v>464</v>
          </cell>
          <cell r="F435">
            <v>193</v>
          </cell>
          <cell r="G435">
            <v>384</v>
          </cell>
          <cell r="H435">
            <v>1206.05</v>
          </cell>
          <cell r="I435">
            <v>2556.56</v>
          </cell>
          <cell r="J435">
            <v>92235</v>
          </cell>
          <cell r="K435" t="str">
            <v>MP</v>
          </cell>
        </row>
        <row r="436">
          <cell r="A436">
            <v>991066</v>
          </cell>
          <cell r="C436">
            <v>673</v>
          </cell>
          <cell r="D436">
            <v>119</v>
          </cell>
          <cell r="E436">
            <v>464</v>
          </cell>
          <cell r="F436">
            <v>692</v>
          </cell>
          <cell r="G436">
            <v>4071</v>
          </cell>
          <cell r="H436">
            <v>6021.46</v>
          </cell>
          <cell r="I436">
            <v>18759.580000000002</v>
          </cell>
          <cell r="J436">
            <v>92088</v>
          </cell>
          <cell r="K436" t="str">
            <v>MP</v>
          </cell>
        </row>
        <row r="437">
          <cell r="A437">
            <v>991067</v>
          </cell>
          <cell r="C437">
            <v>1958</v>
          </cell>
          <cell r="D437">
            <v>75</v>
          </cell>
          <cell r="E437">
            <v>483</v>
          </cell>
          <cell r="F437">
            <v>531</v>
          </cell>
          <cell r="G437">
            <v>2349</v>
          </cell>
          <cell r="H437">
            <v>5398.47</v>
          </cell>
          <cell r="I437">
            <v>9934.84</v>
          </cell>
          <cell r="J437">
            <v>92336</v>
          </cell>
          <cell r="K437" t="str">
            <v>MP</v>
          </cell>
        </row>
        <row r="438">
          <cell r="A438">
            <v>991070</v>
          </cell>
          <cell r="C438">
            <v>512</v>
          </cell>
          <cell r="D438">
            <v>34</v>
          </cell>
          <cell r="E438">
            <v>130</v>
          </cell>
          <cell r="F438">
            <v>357</v>
          </cell>
          <cell r="G438">
            <v>1073</v>
          </cell>
          <cell r="H438">
            <v>2108.19</v>
          </cell>
          <cell r="I438">
            <v>5021.25</v>
          </cell>
          <cell r="J438">
            <v>91975</v>
          </cell>
          <cell r="K438" t="str">
            <v>MP</v>
          </cell>
        </row>
        <row r="439">
          <cell r="A439">
            <v>991071</v>
          </cell>
          <cell r="C439">
            <v>185</v>
          </cell>
          <cell r="D439">
            <v>11</v>
          </cell>
          <cell r="E439">
            <v>130</v>
          </cell>
          <cell r="F439">
            <v>257</v>
          </cell>
          <cell r="G439">
            <v>359</v>
          </cell>
          <cell r="H439">
            <v>944.36</v>
          </cell>
          <cell r="I439">
            <v>1669.4</v>
          </cell>
          <cell r="J439">
            <v>90814</v>
          </cell>
          <cell r="K439" t="str">
            <v>MP</v>
          </cell>
        </row>
        <row r="440">
          <cell r="A440">
            <v>991074</v>
          </cell>
          <cell r="C440">
            <v>4410</v>
          </cell>
          <cell r="D440">
            <v>237</v>
          </cell>
          <cell r="E440">
            <v>483</v>
          </cell>
          <cell r="F440">
            <v>1119</v>
          </cell>
          <cell r="G440">
            <v>6953</v>
          </cell>
          <cell r="H440">
            <v>13203.97</v>
          </cell>
          <cell r="I440">
            <v>32295.05</v>
          </cell>
          <cell r="J440">
            <v>91553</v>
          </cell>
          <cell r="K440" t="str">
            <v>MP</v>
          </cell>
        </row>
        <row r="441">
          <cell r="A441">
            <v>991091</v>
          </cell>
          <cell r="C441">
            <v>241</v>
          </cell>
          <cell r="D441">
            <v>32</v>
          </cell>
          <cell r="E441">
            <v>464</v>
          </cell>
          <cell r="F441">
            <v>250</v>
          </cell>
          <cell r="G441">
            <v>740</v>
          </cell>
          <cell r="H441">
            <v>1730.03</v>
          </cell>
          <cell r="I441">
            <v>4926.6099999999997</v>
          </cell>
          <cell r="J441">
            <v>92172</v>
          </cell>
          <cell r="K441" t="str">
            <v>MP</v>
          </cell>
        </row>
        <row r="442">
          <cell r="A442">
            <v>991097</v>
          </cell>
          <cell r="C442">
            <v>238</v>
          </cell>
          <cell r="D442">
            <v>80</v>
          </cell>
          <cell r="E442">
            <v>483</v>
          </cell>
          <cell r="F442">
            <v>549</v>
          </cell>
          <cell r="G442">
            <v>1824</v>
          </cell>
          <cell r="H442">
            <v>3176.36</v>
          </cell>
          <cell r="I442">
            <v>12204.53</v>
          </cell>
          <cell r="J442">
            <v>90605</v>
          </cell>
          <cell r="K442" t="str">
            <v>MP</v>
          </cell>
        </row>
        <row r="443">
          <cell r="A443">
            <v>991105</v>
          </cell>
          <cell r="C443">
            <v>317</v>
          </cell>
          <cell r="D443">
            <v>3</v>
          </cell>
          <cell r="E443">
            <v>483</v>
          </cell>
          <cell r="F443">
            <v>145</v>
          </cell>
          <cell r="G443">
            <v>115</v>
          </cell>
          <cell r="H443">
            <v>1065.3</v>
          </cell>
          <cell r="I443">
            <v>247.13</v>
          </cell>
          <cell r="J443">
            <v>91163</v>
          </cell>
          <cell r="K443" t="str">
            <v>MP</v>
          </cell>
        </row>
        <row r="444">
          <cell r="A444">
            <v>991144</v>
          </cell>
          <cell r="C444">
            <v>414</v>
          </cell>
          <cell r="D444">
            <v>14</v>
          </cell>
          <cell r="E444">
            <v>130</v>
          </cell>
          <cell r="F444">
            <v>257</v>
          </cell>
          <cell r="G444">
            <v>445</v>
          </cell>
          <cell r="H444">
            <v>1261.26</v>
          </cell>
          <cell r="I444">
            <v>1943.29</v>
          </cell>
          <cell r="J444">
            <v>91975</v>
          </cell>
          <cell r="K444" t="str">
            <v>MP</v>
          </cell>
        </row>
        <row r="445">
          <cell r="A445">
            <v>991185</v>
          </cell>
          <cell r="C445">
            <v>634</v>
          </cell>
          <cell r="D445">
            <v>30</v>
          </cell>
          <cell r="E445">
            <v>130</v>
          </cell>
          <cell r="F445">
            <v>257</v>
          </cell>
          <cell r="G445">
            <v>929</v>
          </cell>
          <cell r="H445">
            <v>1982.37</v>
          </cell>
          <cell r="I445">
            <v>4045.16</v>
          </cell>
          <cell r="J445">
            <v>90642</v>
          </cell>
          <cell r="K445" t="str">
            <v>MP</v>
          </cell>
        </row>
        <row r="448">
          <cell r="A448" t="str">
            <v>TOTAIS</v>
          </cell>
          <cell r="C448">
            <v>520763.46</v>
          </cell>
          <cell r="D448">
            <v>97516.579999999987</v>
          </cell>
          <cell r="E448">
            <v>192377.53</v>
          </cell>
          <cell r="F448">
            <v>470408.01</v>
          </cell>
          <cell r="G448">
            <v>2497151.5300000003</v>
          </cell>
          <cell r="H448">
            <v>3775800.0499999993</v>
          </cell>
          <cell r="I448">
            <v>12529489.25</v>
          </cell>
        </row>
        <row r="451">
          <cell r="A451" t="str">
            <v>ATIVO FIXO - LOCAL 91</v>
          </cell>
        </row>
        <row r="452">
          <cell r="A452" t="str">
            <v>PROC</v>
          </cell>
          <cell r="B452" t="str">
            <v>NF</v>
          </cell>
          <cell r="C452" t="str">
            <v>FRETE</v>
          </cell>
          <cell r="D452" t="str">
            <v>SEG</v>
          </cell>
          <cell r="E452" t="str">
            <v>COM</v>
          </cell>
          <cell r="F452" t="str">
            <v>ALF</v>
          </cell>
          <cell r="G452" t="str">
            <v>IMP</v>
          </cell>
          <cell r="H452" t="str">
            <v>TOTAL</v>
          </cell>
          <cell r="I452" t="str">
            <v>FOB</v>
          </cell>
          <cell r="J452" t="str">
            <v>FORN</v>
          </cell>
          <cell r="K452" t="str">
            <v>TIPO</v>
          </cell>
          <cell r="L452" t="str">
            <v>ICMS</v>
          </cell>
          <cell r="N452" t="str">
            <v>IPI</v>
          </cell>
        </row>
        <row r="453">
          <cell r="A453">
            <v>984759</v>
          </cell>
          <cell r="B453">
            <v>7739</v>
          </cell>
          <cell r="C453">
            <v>11352</v>
          </cell>
          <cell r="D453">
            <v>3309</v>
          </cell>
          <cell r="E453">
            <v>475</v>
          </cell>
          <cell r="F453">
            <v>12191</v>
          </cell>
          <cell r="G453">
            <v>26583</v>
          </cell>
          <cell r="H453">
            <v>98572.5</v>
          </cell>
          <cell r="I453">
            <v>311458.77</v>
          </cell>
          <cell r="J453">
            <v>91953</v>
          </cell>
          <cell r="K453" t="str">
            <v>AF</v>
          </cell>
          <cell r="L453">
            <v>0</v>
          </cell>
          <cell r="N453">
            <v>44659</v>
          </cell>
        </row>
        <row r="454">
          <cell r="A454">
            <v>985085</v>
          </cell>
          <cell r="C454">
            <v>32270</v>
          </cell>
          <cell r="D454">
            <v>1450</v>
          </cell>
          <cell r="E454">
            <v>453</v>
          </cell>
          <cell r="F454">
            <v>6246</v>
          </cell>
          <cell r="G454">
            <v>13326</v>
          </cell>
          <cell r="H454">
            <v>53747.54</v>
          </cell>
          <cell r="I454">
            <v>148401.47</v>
          </cell>
          <cell r="J454">
            <v>91953</v>
          </cell>
          <cell r="K454" t="str">
            <v>AF</v>
          </cell>
          <cell r="L454">
            <v>0</v>
          </cell>
          <cell r="N454">
            <v>0</v>
          </cell>
        </row>
        <row r="455">
          <cell r="A455">
            <v>985139</v>
          </cell>
          <cell r="C455">
            <v>17177</v>
          </cell>
          <cell r="D455">
            <v>2880</v>
          </cell>
          <cell r="E455">
            <v>439</v>
          </cell>
          <cell r="F455">
            <v>20571</v>
          </cell>
          <cell r="G455">
            <v>45145</v>
          </cell>
          <cell r="H455">
            <v>162057.12</v>
          </cell>
          <cell r="I455">
            <v>581944.46</v>
          </cell>
          <cell r="J455">
            <v>91491</v>
          </cell>
          <cell r="K455" t="str">
            <v>AF</v>
          </cell>
          <cell r="L455">
            <v>0</v>
          </cell>
          <cell r="N455">
            <v>75843</v>
          </cell>
        </row>
        <row r="456">
          <cell r="A456">
            <v>990311</v>
          </cell>
          <cell r="C456">
            <v>1070</v>
          </cell>
          <cell r="D456">
            <v>164</v>
          </cell>
          <cell r="E456">
            <v>435</v>
          </cell>
          <cell r="F456">
            <v>854</v>
          </cell>
          <cell r="G456">
            <v>5324</v>
          </cell>
          <cell r="H456">
            <v>7849.53</v>
          </cell>
          <cell r="I456">
            <v>21025.63</v>
          </cell>
          <cell r="J456">
            <v>91700</v>
          </cell>
          <cell r="K456" t="str">
            <v>AF</v>
          </cell>
          <cell r="L456">
            <v>0</v>
          </cell>
          <cell r="N456">
            <v>0</v>
          </cell>
        </row>
        <row r="457">
          <cell r="A457">
            <v>990364</v>
          </cell>
          <cell r="C457">
            <v>8764</v>
          </cell>
          <cell r="D457">
            <v>1463</v>
          </cell>
          <cell r="E457">
            <v>446</v>
          </cell>
          <cell r="F457">
            <v>10576</v>
          </cell>
          <cell r="G457">
            <v>22934</v>
          </cell>
          <cell r="H457">
            <v>44184.93</v>
          </cell>
          <cell r="I457">
            <v>353268.34</v>
          </cell>
          <cell r="J457">
            <v>91491</v>
          </cell>
          <cell r="K457" t="str">
            <v>AF</v>
          </cell>
          <cell r="L457">
            <v>0</v>
          </cell>
          <cell r="N457">
            <v>0</v>
          </cell>
        </row>
        <row r="458">
          <cell r="A458">
            <v>990592</v>
          </cell>
          <cell r="C458">
            <v>98</v>
          </cell>
          <cell r="D458">
            <v>10</v>
          </cell>
          <cell r="E458">
            <v>452</v>
          </cell>
          <cell r="F458">
            <v>168</v>
          </cell>
          <cell r="G458">
            <v>309</v>
          </cell>
          <cell r="H458">
            <v>1195.6500000000001</v>
          </cell>
          <cell r="I458">
            <v>1525.62</v>
          </cell>
          <cell r="J458">
            <v>91953</v>
          </cell>
          <cell r="K458" t="str">
            <v>AF</v>
          </cell>
          <cell r="L458">
            <v>0</v>
          </cell>
          <cell r="N458">
            <v>155</v>
          </cell>
        </row>
        <row r="460">
          <cell r="H460">
            <v>0</v>
          </cell>
        </row>
        <row r="461">
          <cell r="A461" t="str">
            <v>TOTAIS</v>
          </cell>
          <cell r="C461">
            <v>70731</v>
          </cell>
          <cell r="D461">
            <v>9276</v>
          </cell>
          <cell r="E461">
            <v>2700</v>
          </cell>
          <cell r="F461">
            <v>50606</v>
          </cell>
          <cell r="G461">
            <v>113621</v>
          </cell>
          <cell r="H461">
            <v>367607.27000000008</v>
          </cell>
          <cell r="I461">
            <v>1417624.29</v>
          </cell>
          <cell r="L461">
            <v>0</v>
          </cell>
          <cell r="N461">
            <v>120657</v>
          </cell>
        </row>
        <row r="464">
          <cell r="A464" t="str">
            <v>MATERIAL DE CONSUMO - LOCAL 91</v>
          </cell>
        </row>
        <row r="465">
          <cell r="A465" t="str">
            <v>PROC</v>
          </cell>
          <cell r="B465" t="str">
            <v>NF</v>
          </cell>
          <cell r="C465" t="str">
            <v>FRETE</v>
          </cell>
          <cell r="D465" t="str">
            <v>SEG</v>
          </cell>
          <cell r="E465" t="str">
            <v>COM</v>
          </cell>
          <cell r="F465" t="str">
            <v>ALF</v>
          </cell>
          <cell r="G465" t="str">
            <v>IMP</v>
          </cell>
          <cell r="H465" t="str">
            <v>TOTAL</v>
          </cell>
          <cell r="I465" t="str">
            <v>FOB</v>
          </cell>
          <cell r="J465" t="str">
            <v>FORN</v>
          </cell>
          <cell r="K465" t="str">
            <v>TIPO</v>
          </cell>
          <cell r="L465" t="str">
            <v>DESP</v>
          </cell>
          <cell r="M465" t="str">
            <v>CC</v>
          </cell>
          <cell r="N465" t="str">
            <v>IPI</v>
          </cell>
          <cell r="O465" t="str">
            <v>ICMS</v>
          </cell>
        </row>
        <row r="466">
          <cell r="A466">
            <v>984386</v>
          </cell>
          <cell r="C466">
            <v>95</v>
          </cell>
          <cell r="D466">
            <v>20</v>
          </cell>
          <cell r="E466">
            <v>460</v>
          </cell>
          <cell r="F466">
            <v>205</v>
          </cell>
          <cell r="G466">
            <v>625</v>
          </cell>
          <cell r="H466">
            <v>2483.25</v>
          </cell>
          <cell r="I466">
            <v>239009.89</v>
          </cell>
          <cell r="J466">
            <v>91953</v>
          </cell>
          <cell r="K466" t="str">
            <v>MC</v>
          </cell>
          <cell r="L466">
            <v>220</v>
          </cell>
          <cell r="M466">
            <v>31220</v>
          </cell>
          <cell r="N466">
            <v>313</v>
          </cell>
          <cell r="O466">
            <v>761</v>
          </cell>
        </row>
        <row r="467">
          <cell r="A467">
            <v>985203</v>
          </cell>
          <cell r="C467">
            <v>95</v>
          </cell>
          <cell r="D467">
            <v>46</v>
          </cell>
          <cell r="E467">
            <v>460</v>
          </cell>
          <cell r="F467">
            <v>337</v>
          </cell>
          <cell r="G467">
            <v>1414</v>
          </cell>
          <cell r="H467">
            <v>4784.42</v>
          </cell>
          <cell r="I467">
            <v>4762.32</v>
          </cell>
          <cell r="J467">
            <v>91953</v>
          </cell>
          <cell r="K467" t="str">
            <v>MC</v>
          </cell>
          <cell r="L467">
            <v>85</v>
          </cell>
          <cell r="M467">
            <v>312200</v>
          </cell>
          <cell r="N467">
            <v>708</v>
          </cell>
          <cell r="O467">
            <v>1721</v>
          </cell>
        </row>
        <row r="468">
          <cell r="A468">
            <v>985254</v>
          </cell>
          <cell r="C468">
            <v>228</v>
          </cell>
          <cell r="D468">
            <v>68</v>
          </cell>
          <cell r="E468">
            <v>439</v>
          </cell>
          <cell r="F468">
            <v>499</v>
          </cell>
          <cell r="G468">
            <v>2100</v>
          </cell>
          <cell r="H468">
            <v>6782.36</v>
          </cell>
          <cell r="I468">
            <v>7098.03</v>
          </cell>
          <cell r="J468">
            <v>91330</v>
          </cell>
          <cell r="K468" t="str">
            <v>MC</v>
          </cell>
          <cell r="L468">
            <v>85</v>
          </cell>
          <cell r="M468">
            <v>312200</v>
          </cell>
          <cell r="N468">
            <v>1086</v>
          </cell>
          <cell r="O468">
            <v>2359</v>
          </cell>
        </row>
        <row r="469">
          <cell r="A469">
            <v>990570</v>
          </cell>
          <cell r="C469">
            <v>66.97</v>
          </cell>
          <cell r="D469">
            <v>17.12</v>
          </cell>
          <cell r="E469">
            <v>128.72</v>
          </cell>
          <cell r="F469">
            <v>124.9</v>
          </cell>
          <cell r="G469">
            <v>563.84</v>
          </cell>
          <cell r="H469">
            <v>1935.37</v>
          </cell>
          <cell r="I469">
            <v>1413.42</v>
          </cell>
          <cell r="J469">
            <v>91330</v>
          </cell>
          <cell r="K469" t="str">
            <v>MC</v>
          </cell>
          <cell r="L469">
            <v>85</v>
          </cell>
          <cell r="M469">
            <v>312200</v>
          </cell>
          <cell r="N469">
            <v>434.02</v>
          </cell>
          <cell r="O469">
            <v>599.79999999999995</v>
          </cell>
        </row>
        <row r="470">
          <cell r="A470">
            <v>990570</v>
          </cell>
          <cell r="C470">
            <v>78.5</v>
          </cell>
          <cell r="D470">
            <v>20.07</v>
          </cell>
          <cell r="E470">
            <v>150.88</v>
          </cell>
          <cell r="F470">
            <v>146.4</v>
          </cell>
          <cell r="G470">
            <v>660.87</v>
          </cell>
          <cell r="H470">
            <v>2268.44</v>
          </cell>
          <cell r="I470">
            <v>1656.45</v>
          </cell>
          <cell r="J470">
            <v>91330</v>
          </cell>
          <cell r="K470" t="str">
            <v>MC</v>
          </cell>
          <cell r="L470">
            <v>24</v>
          </cell>
          <cell r="M470">
            <v>315320</v>
          </cell>
          <cell r="N470">
            <v>508.71</v>
          </cell>
          <cell r="O470">
            <v>703.01</v>
          </cell>
        </row>
        <row r="471">
          <cell r="A471">
            <v>990570</v>
          </cell>
          <cell r="C471">
            <v>91.13</v>
          </cell>
          <cell r="D471">
            <v>23.3</v>
          </cell>
          <cell r="E471">
            <v>175.17</v>
          </cell>
          <cell r="F471">
            <v>169.97</v>
          </cell>
          <cell r="G471">
            <v>767.26</v>
          </cell>
          <cell r="H471">
            <v>2633.63</v>
          </cell>
          <cell r="I471">
            <v>1923.15</v>
          </cell>
          <cell r="J471">
            <v>91330</v>
          </cell>
          <cell r="K471" t="str">
            <v>MC</v>
          </cell>
          <cell r="L471">
            <v>25</v>
          </cell>
          <cell r="M471">
            <v>315320</v>
          </cell>
          <cell r="N471">
            <v>590.61</v>
          </cell>
          <cell r="O471">
            <v>816.19</v>
          </cell>
        </row>
        <row r="472">
          <cell r="A472">
            <v>990655</v>
          </cell>
          <cell r="C472">
            <v>208</v>
          </cell>
          <cell r="D472">
            <v>1</v>
          </cell>
          <cell r="E472">
            <v>463</v>
          </cell>
          <cell r="F472">
            <v>138</v>
          </cell>
          <cell r="G472">
            <v>54</v>
          </cell>
          <cell r="H472">
            <v>962.71</v>
          </cell>
          <cell r="I472">
            <v>80.44</v>
          </cell>
          <cell r="J472">
            <v>92375</v>
          </cell>
          <cell r="K472" t="str">
            <v>MC</v>
          </cell>
          <cell r="L472">
            <v>24</v>
          </cell>
          <cell r="M472">
            <v>390008</v>
          </cell>
          <cell r="N472">
            <v>27</v>
          </cell>
          <cell r="O472">
            <v>66</v>
          </cell>
        </row>
        <row r="473">
          <cell r="A473">
            <v>990659</v>
          </cell>
          <cell r="C473">
            <v>182</v>
          </cell>
          <cell r="D473">
            <v>2</v>
          </cell>
          <cell r="E473">
            <v>446</v>
          </cell>
          <cell r="F473">
            <v>142</v>
          </cell>
          <cell r="G473">
            <v>84</v>
          </cell>
          <cell r="H473">
            <v>1003.39</v>
          </cell>
          <cell r="I473">
            <v>273.14</v>
          </cell>
          <cell r="J473">
            <v>92375</v>
          </cell>
          <cell r="K473" t="str">
            <v>MC</v>
          </cell>
          <cell r="L473">
            <v>24</v>
          </cell>
          <cell r="M473">
            <v>390008</v>
          </cell>
          <cell r="N473">
            <v>42</v>
          </cell>
          <cell r="O473">
            <v>102</v>
          </cell>
        </row>
        <row r="474">
          <cell r="A474">
            <v>990691</v>
          </cell>
          <cell r="C474">
            <v>338</v>
          </cell>
          <cell r="D474">
            <v>6</v>
          </cell>
          <cell r="E474">
            <v>455</v>
          </cell>
          <cell r="F474">
            <v>154</v>
          </cell>
          <cell r="G474">
            <v>200</v>
          </cell>
          <cell r="H474">
            <v>1512.8</v>
          </cell>
          <cell r="I474">
            <v>566.47</v>
          </cell>
          <cell r="J474">
            <v>92385</v>
          </cell>
          <cell r="K474" t="str">
            <v>MC</v>
          </cell>
          <cell r="L474">
            <v>24</v>
          </cell>
          <cell r="M474">
            <v>390012</v>
          </cell>
          <cell r="N474">
            <v>130</v>
          </cell>
          <cell r="O474">
            <v>227</v>
          </cell>
        </row>
        <row r="475">
          <cell r="A475">
            <v>990692</v>
          </cell>
          <cell r="C475">
            <v>283</v>
          </cell>
          <cell r="D475">
            <v>19</v>
          </cell>
          <cell r="E475">
            <v>439</v>
          </cell>
          <cell r="F475">
            <v>203</v>
          </cell>
          <cell r="G475">
            <v>601</v>
          </cell>
          <cell r="H475">
            <v>2891.79</v>
          </cell>
          <cell r="I475">
            <v>2934.31</v>
          </cell>
          <cell r="J475">
            <v>91031</v>
          </cell>
          <cell r="K475" t="str">
            <v>MC</v>
          </cell>
          <cell r="L475">
            <v>85</v>
          </cell>
          <cell r="M475">
            <v>312200</v>
          </cell>
          <cell r="N475">
            <v>565</v>
          </cell>
          <cell r="O475">
            <v>779</v>
          </cell>
        </row>
        <row r="476">
          <cell r="H476">
            <v>0</v>
          </cell>
        </row>
        <row r="477">
          <cell r="A477" t="str">
            <v>TOTAIS</v>
          </cell>
          <cell r="C477">
            <v>1665.6</v>
          </cell>
          <cell r="D477">
            <v>222.49</v>
          </cell>
          <cell r="E477">
            <v>3616.77</v>
          </cell>
          <cell r="F477">
            <v>2119.2700000000004</v>
          </cell>
          <cell r="G477">
            <v>7069.97</v>
          </cell>
          <cell r="H477">
            <v>27258.159999999996</v>
          </cell>
          <cell r="I477">
            <v>259717.62000000005</v>
          </cell>
        </row>
        <row r="480">
          <cell r="H480">
            <v>14206831.16</v>
          </cell>
          <cell r="I480">
            <v>4170665.4800000009</v>
          </cell>
        </row>
        <row r="481">
          <cell r="G481" t="str">
            <v>PROC</v>
          </cell>
          <cell r="H481" t="str">
            <v>FOB</v>
          </cell>
          <cell r="I481" t="str">
            <v>DESP</v>
          </cell>
        </row>
        <row r="482">
          <cell r="G482">
            <v>984083</v>
          </cell>
          <cell r="H482">
            <v>376960.32</v>
          </cell>
          <cell r="I482">
            <v>60023.27</v>
          </cell>
        </row>
        <row r="483">
          <cell r="G483">
            <v>984265</v>
          </cell>
          <cell r="H483">
            <v>34284.550000000003</v>
          </cell>
          <cell r="I483">
            <v>7794.02</v>
          </cell>
        </row>
        <row r="484">
          <cell r="G484">
            <v>984338</v>
          </cell>
          <cell r="H484">
            <v>56617.34</v>
          </cell>
          <cell r="I484">
            <v>8848.14</v>
          </cell>
        </row>
        <row r="485">
          <cell r="G485">
            <v>984342</v>
          </cell>
          <cell r="H485">
            <v>11265.34</v>
          </cell>
          <cell r="I485">
            <v>6616.06</v>
          </cell>
        </row>
        <row r="486">
          <cell r="G486">
            <v>984386</v>
          </cell>
          <cell r="H486">
            <v>239009.89</v>
          </cell>
          <cell r="I486">
            <v>2483.25</v>
          </cell>
        </row>
        <row r="487">
          <cell r="G487">
            <v>984498</v>
          </cell>
          <cell r="H487">
            <v>2253.6</v>
          </cell>
          <cell r="I487">
            <v>1141.04</v>
          </cell>
        </row>
        <row r="488">
          <cell r="G488">
            <v>984547</v>
          </cell>
          <cell r="H488">
            <v>1475.06</v>
          </cell>
          <cell r="I488">
            <v>1127.94</v>
          </cell>
        </row>
        <row r="489">
          <cell r="G489">
            <v>984627</v>
          </cell>
          <cell r="H489">
            <v>67121.820000000007</v>
          </cell>
          <cell r="I489">
            <v>53809.84</v>
          </cell>
        </row>
        <row r="490">
          <cell r="G490">
            <v>984638</v>
          </cell>
          <cell r="H490">
            <v>114251.45</v>
          </cell>
          <cell r="I490">
            <v>56688.55</v>
          </cell>
        </row>
        <row r="491">
          <cell r="G491">
            <v>984651</v>
          </cell>
          <cell r="H491">
            <v>9467.77</v>
          </cell>
          <cell r="I491">
            <v>3082.78</v>
          </cell>
        </row>
        <row r="492">
          <cell r="G492">
            <v>984655</v>
          </cell>
          <cell r="H492">
            <v>124423.26</v>
          </cell>
          <cell r="I492">
            <v>30506.799999999999</v>
          </cell>
        </row>
        <row r="493">
          <cell r="G493">
            <v>984671</v>
          </cell>
          <cell r="H493">
            <v>2672.7</v>
          </cell>
          <cell r="I493">
            <v>1468.4</v>
          </cell>
        </row>
        <row r="494">
          <cell r="G494">
            <v>984672</v>
          </cell>
          <cell r="H494">
            <v>3944.59</v>
          </cell>
          <cell r="I494">
            <v>2210.52</v>
          </cell>
        </row>
        <row r="495">
          <cell r="G495">
            <v>984697</v>
          </cell>
          <cell r="H495">
            <v>57809.4</v>
          </cell>
          <cell r="I495">
            <v>17071.5</v>
          </cell>
        </row>
        <row r="496">
          <cell r="G496">
            <v>984698</v>
          </cell>
          <cell r="H496">
            <v>8878.93</v>
          </cell>
          <cell r="I496">
            <v>3457.72</v>
          </cell>
        </row>
        <row r="497">
          <cell r="G497">
            <v>984699</v>
          </cell>
          <cell r="H497">
            <v>7546.46</v>
          </cell>
          <cell r="I497">
            <v>2602.77</v>
          </cell>
        </row>
        <row r="498">
          <cell r="G498">
            <v>984759</v>
          </cell>
          <cell r="H498">
            <v>311458.77</v>
          </cell>
          <cell r="I498">
            <v>98572.5</v>
          </cell>
        </row>
        <row r="499">
          <cell r="G499">
            <v>984766</v>
          </cell>
          <cell r="H499">
            <v>612.29999999999995</v>
          </cell>
          <cell r="I499">
            <v>1004.02</v>
          </cell>
        </row>
        <row r="500">
          <cell r="G500">
            <v>984782</v>
          </cell>
          <cell r="H500">
            <v>128050.56</v>
          </cell>
          <cell r="I500">
            <v>62687.81</v>
          </cell>
        </row>
        <row r="501">
          <cell r="G501">
            <v>984783</v>
          </cell>
          <cell r="H501">
            <v>15812.68</v>
          </cell>
          <cell r="I501">
            <v>5087.87</v>
          </cell>
        </row>
        <row r="502">
          <cell r="G502">
            <v>984793</v>
          </cell>
          <cell r="H502">
            <v>15166.62</v>
          </cell>
          <cell r="I502">
            <v>4958.3100000000004</v>
          </cell>
        </row>
        <row r="503">
          <cell r="G503">
            <v>984816</v>
          </cell>
          <cell r="H503">
            <v>202638</v>
          </cell>
          <cell r="I503">
            <v>38778.720000000001</v>
          </cell>
        </row>
        <row r="504">
          <cell r="G504">
            <v>984827</v>
          </cell>
          <cell r="H504">
            <v>75586.52</v>
          </cell>
          <cell r="I504">
            <v>17773.75</v>
          </cell>
        </row>
        <row r="505">
          <cell r="G505">
            <v>984861</v>
          </cell>
          <cell r="H505">
            <v>21992.59</v>
          </cell>
          <cell r="I505">
            <v>9535.39</v>
          </cell>
        </row>
        <row r="506">
          <cell r="G506">
            <v>984893</v>
          </cell>
          <cell r="H506">
            <v>962208.39</v>
          </cell>
          <cell r="I506">
            <v>231175.21</v>
          </cell>
        </row>
        <row r="507">
          <cell r="G507">
            <v>984897</v>
          </cell>
          <cell r="H507">
            <v>16972.009999999998</v>
          </cell>
          <cell r="I507">
            <v>8343.5</v>
          </cell>
        </row>
        <row r="508">
          <cell r="G508">
            <v>984910</v>
          </cell>
          <cell r="H508">
            <v>44171.58</v>
          </cell>
          <cell r="I508">
            <v>10900.85</v>
          </cell>
        </row>
        <row r="509">
          <cell r="G509">
            <v>984932</v>
          </cell>
          <cell r="H509">
            <v>12461.61</v>
          </cell>
          <cell r="I509">
            <v>5811.41</v>
          </cell>
        </row>
        <row r="510">
          <cell r="G510">
            <v>984935</v>
          </cell>
          <cell r="H510">
            <v>13572.1</v>
          </cell>
          <cell r="I510">
            <v>7532.05</v>
          </cell>
        </row>
        <row r="511">
          <cell r="G511">
            <v>984936</v>
          </cell>
          <cell r="H511">
            <v>34380.5</v>
          </cell>
          <cell r="I511">
            <v>10021.549999999999</v>
          </cell>
        </row>
        <row r="512">
          <cell r="G512">
            <v>984943</v>
          </cell>
          <cell r="H512">
            <v>7803.56</v>
          </cell>
          <cell r="I512">
            <v>2529.4299999999998</v>
          </cell>
        </row>
        <row r="513">
          <cell r="G513">
            <v>984962</v>
          </cell>
          <cell r="H513">
            <v>21278.959999999999</v>
          </cell>
          <cell r="I513">
            <v>9471.6299999999992</v>
          </cell>
        </row>
        <row r="514">
          <cell r="G514">
            <v>984974</v>
          </cell>
          <cell r="H514">
            <v>16760.27</v>
          </cell>
          <cell r="I514">
            <v>7574.88</v>
          </cell>
        </row>
        <row r="515">
          <cell r="G515">
            <v>984977</v>
          </cell>
          <cell r="H515">
            <v>38753.78</v>
          </cell>
          <cell r="I515">
            <v>25650.3</v>
          </cell>
        </row>
        <row r="516">
          <cell r="G516">
            <v>984985</v>
          </cell>
          <cell r="H516">
            <v>41940.959999999999</v>
          </cell>
          <cell r="I516">
            <v>16369.99</v>
          </cell>
        </row>
        <row r="517">
          <cell r="G517">
            <v>985000</v>
          </cell>
          <cell r="H517">
            <v>15401.57</v>
          </cell>
          <cell r="I517">
            <v>5284.62</v>
          </cell>
        </row>
        <row r="518">
          <cell r="G518">
            <v>985035</v>
          </cell>
          <cell r="H518">
            <v>22615.43</v>
          </cell>
          <cell r="I518">
            <v>3976.05</v>
          </cell>
        </row>
        <row r="519">
          <cell r="G519">
            <v>985036</v>
          </cell>
          <cell r="H519">
            <v>67713.61</v>
          </cell>
          <cell r="I519">
            <v>19013.580000000002</v>
          </cell>
        </row>
        <row r="520">
          <cell r="G520">
            <v>985041</v>
          </cell>
          <cell r="H520">
            <v>16472.82</v>
          </cell>
          <cell r="I520">
            <v>4931.2</v>
          </cell>
        </row>
        <row r="521">
          <cell r="G521">
            <v>985042</v>
          </cell>
          <cell r="H521">
            <v>68395.39</v>
          </cell>
          <cell r="I521">
            <v>15548.96</v>
          </cell>
        </row>
        <row r="522">
          <cell r="G522">
            <v>985050</v>
          </cell>
          <cell r="H522">
            <v>118919.52</v>
          </cell>
          <cell r="I522">
            <v>32711.82</v>
          </cell>
        </row>
        <row r="523">
          <cell r="G523">
            <v>985051</v>
          </cell>
          <cell r="H523">
            <v>116793.57</v>
          </cell>
          <cell r="I523">
            <v>46424.89</v>
          </cell>
        </row>
        <row r="524">
          <cell r="G524">
            <v>985084</v>
          </cell>
          <cell r="H524">
            <v>2463.63</v>
          </cell>
          <cell r="I524">
            <v>1626.98</v>
          </cell>
        </row>
        <row r="525">
          <cell r="G525">
            <v>985085</v>
          </cell>
          <cell r="H525">
            <v>148401.47</v>
          </cell>
          <cell r="I525">
            <v>53747.54</v>
          </cell>
        </row>
        <row r="526">
          <cell r="G526">
            <v>985087</v>
          </cell>
          <cell r="H526">
            <v>42301.98</v>
          </cell>
          <cell r="I526">
            <v>13974.41</v>
          </cell>
        </row>
        <row r="527">
          <cell r="G527">
            <v>985111</v>
          </cell>
          <cell r="H527">
            <v>12832.37</v>
          </cell>
          <cell r="I527">
            <v>2589.86</v>
          </cell>
        </row>
        <row r="528">
          <cell r="G528">
            <v>985117</v>
          </cell>
          <cell r="H528">
            <v>35227.910000000003</v>
          </cell>
          <cell r="I528">
            <v>9275.5400000000009</v>
          </cell>
        </row>
        <row r="529">
          <cell r="G529">
            <v>985139</v>
          </cell>
          <cell r="H529">
            <v>581944.46</v>
          </cell>
          <cell r="I529">
            <v>162057.12</v>
          </cell>
        </row>
        <row r="530">
          <cell r="G530">
            <v>985142</v>
          </cell>
          <cell r="H530">
            <v>21698.720000000001</v>
          </cell>
          <cell r="I530">
            <v>15408.54</v>
          </cell>
        </row>
        <row r="531">
          <cell r="G531">
            <v>985146</v>
          </cell>
          <cell r="H531">
            <v>104578.57</v>
          </cell>
          <cell r="I531">
            <v>29250.48</v>
          </cell>
        </row>
        <row r="532">
          <cell r="G532">
            <v>985147</v>
          </cell>
          <cell r="H532">
            <v>55027.37</v>
          </cell>
          <cell r="I532">
            <v>7829.39</v>
          </cell>
        </row>
        <row r="533">
          <cell r="G533">
            <v>985157</v>
          </cell>
          <cell r="H533">
            <v>42259</v>
          </cell>
          <cell r="I533">
            <v>16566.55</v>
          </cell>
        </row>
        <row r="534">
          <cell r="G534">
            <v>985159</v>
          </cell>
          <cell r="H534">
            <v>39177.410000000003</v>
          </cell>
          <cell r="I534">
            <v>11959.32</v>
          </cell>
        </row>
        <row r="535">
          <cell r="G535">
            <v>985175</v>
          </cell>
          <cell r="H535">
            <v>254128.15</v>
          </cell>
          <cell r="I535">
            <v>33371.51</v>
          </cell>
        </row>
        <row r="536">
          <cell r="G536">
            <v>985203</v>
          </cell>
          <cell r="H536">
            <v>4762.32</v>
          </cell>
          <cell r="I536">
            <v>4784.42</v>
          </cell>
        </row>
        <row r="537">
          <cell r="G537">
            <v>985207</v>
          </cell>
          <cell r="H537">
            <v>23590.47</v>
          </cell>
          <cell r="I537">
            <v>10236.94</v>
          </cell>
        </row>
        <row r="538">
          <cell r="G538">
            <v>985209</v>
          </cell>
          <cell r="H538">
            <v>47079.14</v>
          </cell>
          <cell r="I538">
            <v>13159.84</v>
          </cell>
        </row>
        <row r="539">
          <cell r="G539">
            <v>985240</v>
          </cell>
          <cell r="H539">
            <v>928.66</v>
          </cell>
          <cell r="I539">
            <v>684.56</v>
          </cell>
        </row>
        <row r="540">
          <cell r="G540">
            <v>985254</v>
          </cell>
          <cell r="H540">
            <v>7098.03</v>
          </cell>
          <cell r="I540">
            <v>6782.36</v>
          </cell>
        </row>
        <row r="541">
          <cell r="G541">
            <v>985255</v>
          </cell>
          <cell r="H541">
            <v>16394.97</v>
          </cell>
          <cell r="I541">
            <v>2337.67</v>
          </cell>
        </row>
        <row r="542">
          <cell r="G542">
            <v>985259</v>
          </cell>
          <cell r="H542">
            <v>1159.49</v>
          </cell>
          <cell r="I542">
            <v>810.52</v>
          </cell>
        </row>
        <row r="543">
          <cell r="G543">
            <v>985262</v>
          </cell>
          <cell r="H543">
            <v>74.92</v>
          </cell>
          <cell r="I543">
            <v>643.64</v>
          </cell>
        </row>
        <row r="544">
          <cell r="G544">
            <v>985263</v>
          </cell>
          <cell r="H544">
            <v>32107.19</v>
          </cell>
          <cell r="I544">
            <v>5150.6400000000003</v>
          </cell>
        </row>
        <row r="545">
          <cell r="G545">
            <v>985273</v>
          </cell>
          <cell r="H545">
            <v>13593.38</v>
          </cell>
          <cell r="I545">
            <v>4660.26</v>
          </cell>
        </row>
        <row r="546">
          <cell r="G546">
            <v>985287</v>
          </cell>
          <cell r="H546">
            <v>925</v>
          </cell>
          <cell r="I546">
            <v>1149.81</v>
          </cell>
        </row>
        <row r="547">
          <cell r="G547">
            <v>990002</v>
          </cell>
          <cell r="H547">
            <v>15444.74</v>
          </cell>
          <cell r="I547">
            <v>7024.54</v>
          </cell>
        </row>
        <row r="548">
          <cell r="G548">
            <v>990005</v>
          </cell>
          <cell r="H548">
            <v>9130.01</v>
          </cell>
          <cell r="I548">
            <v>4637.67</v>
          </cell>
        </row>
        <row r="549">
          <cell r="G549">
            <v>990008</v>
          </cell>
          <cell r="H549">
            <v>61284.01</v>
          </cell>
          <cell r="I549">
            <v>8237.89</v>
          </cell>
        </row>
        <row r="550">
          <cell r="G550">
            <v>990009</v>
          </cell>
          <cell r="H550">
            <v>52734.8</v>
          </cell>
          <cell r="I550">
            <v>17098.43</v>
          </cell>
        </row>
        <row r="551">
          <cell r="G551">
            <v>990010</v>
          </cell>
          <cell r="H551">
            <v>12280.39</v>
          </cell>
          <cell r="I551">
            <v>4121.68</v>
          </cell>
        </row>
        <row r="552">
          <cell r="G552">
            <v>990017</v>
          </cell>
          <cell r="H552">
            <v>35400.47</v>
          </cell>
          <cell r="I552">
            <v>13337.93</v>
          </cell>
        </row>
        <row r="553">
          <cell r="G553">
            <v>990021</v>
          </cell>
          <cell r="H553">
            <v>24723.86</v>
          </cell>
          <cell r="I553">
            <v>10860.05</v>
          </cell>
        </row>
        <row r="554">
          <cell r="G554">
            <v>990031</v>
          </cell>
          <cell r="H554">
            <v>2597.62</v>
          </cell>
          <cell r="I554">
            <v>2099.9699999999998</v>
          </cell>
        </row>
        <row r="555">
          <cell r="G555">
            <v>990033</v>
          </cell>
          <cell r="H555">
            <v>44390.02</v>
          </cell>
          <cell r="I555">
            <v>16191.78</v>
          </cell>
        </row>
        <row r="556">
          <cell r="G556">
            <v>990035</v>
          </cell>
          <cell r="H556">
            <v>6345.83</v>
          </cell>
          <cell r="I556">
            <v>2888.63</v>
          </cell>
        </row>
        <row r="557">
          <cell r="G557">
            <v>990036</v>
          </cell>
          <cell r="H557">
            <v>41336.959999999999</v>
          </cell>
          <cell r="I557">
            <v>11198.18</v>
          </cell>
        </row>
        <row r="558">
          <cell r="G558">
            <v>990042</v>
          </cell>
          <cell r="H558">
            <v>14079.93</v>
          </cell>
          <cell r="I558">
            <v>2512.98</v>
          </cell>
        </row>
        <row r="559">
          <cell r="G559">
            <v>990058</v>
          </cell>
          <cell r="H559">
            <v>16305.3</v>
          </cell>
          <cell r="I559">
            <v>5340.27</v>
          </cell>
        </row>
        <row r="560">
          <cell r="G560">
            <v>990062</v>
          </cell>
          <cell r="H560">
            <v>14532.95</v>
          </cell>
          <cell r="I560">
            <v>5973.89</v>
          </cell>
        </row>
        <row r="561">
          <cell r="G561">
            <v>990072</v>
          </cell>
          <cell r="H561">
            <v>1105.69</v>
          </cell>
          <cell r="I561">
            <v>1237.53</v>
          </cell>
        </row>
        <row r="562">
          <cell r="G562">
            <v>990081</v>
          </cell>
          <cell r="H562">
            <v>96458.03</v>
          </cell>
          <cell r="I562">
            <v>14585.44</v>
          </cell>
        </row>
        <row r="563">
          <cell r="G563">
            <v>990082</v>
          </cell>
          <cell r="H563">
            <v>12733.65</v>
          </cell>
          <cell r="I563">
            <v>6908.37</v>
          </cell>
        </row>
        <row r="564">
          <cell r="G564">
            <v>990084</v>
          </cell>
          <cell r="H564">
            <v>30494.52</v>
          </cell>
          <cell r="I564">
            <v>21829.7</v>
          </cell>
        </row>
        <row r="565">
          <cell r="G565">
            <v>990090</v>
          </cell>
          <cell r="H565">
            <v>41579.279999999999</v>
          </cell>
          <cell r="I565">
            <v>11372.2</v>
          </cell>
        </row>
        <row r="566">
          <cell r="G566">
            <v>990091</v>
          </cell>
          <cell r="H566">
            <v>15965.72</v>
          </cell>
          <cell r="I566">
            <v>5256.63</v>
          </cell>
        </row>
        <row r="567">
          <cell r="G567">
            <v>990103</v>
          </cell>
          <cell r="H567">
            <v>213984.27</v>
          </cell>
          <cell r="I567">
            <v>33412.83</v>
          </cell>
        </row>
        <row r="568">
          <cell r="G568">
            <v>990112</v>
          </cell>
          <cell r="H568">
            <v>50868.66</v>
          </cell>
          <cell r="I568">
            <v>20246.72</v>
          </cell>
        </row>
        <row r="569">
          <cell r="G569">
            <v>990118</v>
          </cell>
          <cell r="H569">
            <v>9506.52</v>
          </cell>
          <cell r="I569">
            <v>6725.03</v>
          </cell>
        </row>
        <row r="570">
          <cell r="G570">
            <v>990132</v>
          </cell>
          <cell r="H570">
            <v>29042.400000000001</v>
          </cell>
          <cell r="I570">
            <v>8788.1200000000008</v>
          </cell>
        </row>
        <row r="571">
          <cell r="G571">
            <v>990136</v>
          </cell>
          <cell r="H571">
            <v>101883.38</v>
          </cell>
          <cell r="I571">
            <v>36291.22</v>
          </cell>
        </row>
        <row r="572">
          <cell r="G572">
            <v>990142</v>
          </cell>
          <cell r="H572">
            <v>46150.75</v>
          </cell>
          <cell r="I572">
            <v>12257.01</v>
          </cell>
        </row>
        <row r="573">
          <cell r="G573">
            <v>990156</v>
          </cell>
          <cell r="H573">
            <v>6523.65</v>
          </cell>
          <cell r="I573">
            <v>5250.36</v>
          </cell>
        </row>
        <row r="574">
          <cell r="G574">
            <v>990160</v>
          </cell>
          <cell r="H574">
            <v>1960.85</v>
          </cell>
          <cell r="I574">
            <v>2564.02</v>
          </cell>
        </row>
        <row r="575">
          <cell r="G575">
            <v>990161</v>
          </cell>
          <cell r="H575">
            <v>4731.3900000000003</v>
          </cell>
          <cell r="I575">
            <v>5159.8</v>
          </cell>
        </row>
        <row r="576">
          <cell r="G576">
            <v>990162</v>
          </cell>
          <cell r="H576">
            <v>5480</v>
          </cell>
          <cell r="I576">
            <v>5217.1099999999997</v>
          </cell>
        </row>
        <row r="577">
          <cell r="G577">
            <v>990164</v>
          </cell>
          <cell r="H577">
            <v>35477.79</v>
          </cell>
          <cell r="I577">
            <v>19596.919999999998</v>
          </cell>
        </row>
        <row r="578">
          <cell r="G578">
            <v>990166</v>
          </cell>
          <cell r="H578">
            <v>39267.69</v>
          </cell>
          <cell r="I578">
            <v>10633.11</v>
          </cell>
        </row>
        <row r="579">
          <cell r="G579">
            <v>990170</v>
          </cell>
          <cell r="H579">
            <v>31630.66</v>
          </cell>
          <cell r="I579">
            <v>24288.93</v>
          </cell>
        </row>
        <row r="580">
          <cell r="G580">
            <v>990176</v>
          </cell>
          <cell r="H580">
            <v>11601.81</v>
          </cell>
          <cell r="I580">
            <v>7462.39</v>
          </cell>
        </row>
        <row r="581">
          <cell r="G581">
            <v>990184</v>
          </cell>
          <cell r="H581">
            <v>5887.96</v>
          </cell>
          <cell r="I581">
            <v>5979.45</v>
          </cell>
        </row>
        <row r="582">
          <cell r="G582">
            <v>990187</v>
          </cell>
          <cell r="H582">
            <v>12655.94</v>
          </cell>
          <cell r="I582">
            <v>4083.09</v>
          </cell>
        </row>
        <row r="583">
          <cell r="G583">
            <v>990191</v>
          </cell>
          <cell r="H583">
            <v>13053.5</v>
          </cell>
          <cell r="I583">
            <v>4302.6400000000003</v>
          </cell>
        </row>
        <row r="584">
          <cell r="G584">
            <v>990194</v>
          </cell>
          <cell r="H584">
            <v>12578.22</v>
          </cell>
          <cell r="I584">
            <v>4184.9399999999996</v>
          </cell>
        </row>
        <row r="585">
          <cell r="G585">
            <v>990198</v>
          </cell>
          <cell r="H585">
            <v>77154.720000000001</v>
          </cell>
          <cell r="I585">
            <v>29690.27</v>
          </cell>
        </row>
        <row r="586">
          <cell r="G586">
            <v>990200</v>
          </cell>
          <cell r="H586">
            <v>19471.21</v>
          </cell>
          <cell r="I586">
            <v>6439.31</v>
          </cell>
        </row>
        <row r="587">
          <cell r="G587">
            <v>990201</v>
          </cell>
          <cell r="H587">
            <v>278.63</v>
          </cell>
          <cell r="I587">
            <v>709.22</v>
          </cell>
        </row>
        <row r="588">
          <cell r="G588">
            <v>990203</v>
          </cell>
          <cell r="H588">
            <v>8931.6</v>
          </cell>
          <cell r="I588">
            <v>4234.8</v>
          </cell>
        </row>
        <row r="589">
          <cell r="G589">
            <v>990206</v>
          </cell>
          <cell r="H589">
            <v>9488.39</v>
          </cell>
          <cell r="I589">
            <v>4242.6099999999997</v>
          </cell>
        </row>
        <row r="590">
          <cell r="G590">
            <v>990208</v>
          </cell>
          <cell r="H590">
            <v>1844.45</v>
          </cell>
          <cell r="I590">
            <v>1285.1500000000001</v>
          </cell>
        </row>
        <row r="591">
          <cell r="G591">
            <v>990215</v>
          </cell>
          <cell r="H591">
            <v>16336.35</v>
          </cell>
          <cell r="I591">
            <v>5420.54</v>
          </cell>
        </row>
        <row r="592">
          <cell r="G592">
            <v>990221</v>
          </cell>
          <cell r="H592">
            <v>19295.59</v>
          </cell>
          <cell r="I592">
            <v>20257.490000000002</v>
          </cell>
        </row>
        <row r="593">
          <cell r="G593">
            <v>990223</v>
          </cell>
          <cell r="H593">
            <v>11520.41</v>
          </cell>
          <cell r="I593">
            <v>5372.69</v>
          </cell>
        </row>
        <row r="594">
          <cell r="G594">
            <v>990226</v>
          </cell>
          <cell r="H594">
            <v>119799.9</v>
          </cell>
          <cell r="I594">
            <v>49910.95</v>
          </cell>
        </row>
        <row r="595">
          <cell r="G595">
            <v>990227</v>
          </cell>
          <cell r="H595">
            <v>19966.650000000001</v>
          </cell>
          <cell r="I595">
            <v>9801.7800000000007</v>
          </cell>
        </row>
        <row r="596">
          <cell r="G596">
            <v>990228</v>
          </cell>
          <cell r="H596">
            <v>50267.040000000001</v>
          </cell>
          <cell r="I596">
            <v>14791.27</v>
          </cell>
        </row>
        <row r="597">
          <cell r="G597">
            <v>990230</v>
          </cell>
          <cell r="H597">
            <v>5175.1000000000004</v>
          </cell>
          <cell r="I597">
            <v>2746.3</v>
          </cell>
        </row>
        <row r="598">
          <cell r="G598">
            <v>990231</v>
          </cell>
          <cell r="H598">
            <v>20351.52</v>
          </cell>
          <cell r="I598">
            <v>6103.49</v>
          </cell>
        </row>
        <row r="599">
          <cell r="G599">
            <v>990232</v>
          </cell>
          <cell r="H599">
            <v>13069.08</v>
          </cell>
          <cell r="I599">
            <v>4148.82</v>
          </cell>
        </row>
        <row r="600">
          <cell r="G600">
            <v>990233</v>
          </cell>
          <cell r="H600">
            <v>48658.8</v>
          </cell>
          <cell r="I600">
            <v>22436.01</v>
          </cell>
        </row>
        <row r="601">
          <cell r="G601">
            <v>990241</v>
          </cell>
          <cell r="H601">
            <v>196123.84</v>
          </cell>
          <cell r="I601">
            <v>55173.04</v>
          </cell>
        </row>
        <row r="602">
          <cell r="G602">
            <v>990242</v>
          </cell>
          <cell r="H602">
            <v>25606.57</v>
          </cell>
          <cell r="I602">
            <v>11840.82</v>
          </cell>
        </row>
        <row r="603">
          <cell r="G603">
            <v>990246</v>
          </cell>
          <cell r="H603">
            <v>21564.16</v>
          </cell>
          <cell r="I603">
            <v>8588.58</v>
          </cell>
        </row>
        <row r="604">
          <cell r="G604">
            <v>990247</v>
          </cell>
          <cell r="H604">
            <v>3141.85</v>
          </cell>
          <cell r="I604">
            <v>1765.09</v>
          </cell>
        </row>
        <row r="605">
          <cell r="G605">
            <v>990248</v>
          </cell>
          <cell r="H605">
            <v>320845.87</v>
          </cell>
          <cell r="I605">
            <v>91971.13</v>
          </cell>
        </row>
        <row r="606">
          <cell r="G606">
            <v>990249</v>
          </cell>
          <cell r="H606">
            <v>6414.12</v>
          </cell>
          <cell r="I606">
            <v>4418.2</v>
          </cell>
        </row>
        <row r="607">
          <cell r="G607">
            <v>990251</v>
          </cell>
          <cell r="H607">
            <v>84243.839999999997</v>
          </cell>
          <cell r="I607">
            <v>45732.49</v>
          </cell>
        </row>
        <row r="608">
          <cell r="G608">
            <v>990255</v>
          </cell>
          <cell r="H608">
            <v>21343.64</v>
          </cell>
          <cell r="I608">
            <v>6374.89</v>
          </cell>
        </row>
        <row r="609">
          <cell r="G609">
            <v>990256</v>
          </cell>
          <cell r="H609">
            <v>81954.39</v>
          </cell>
          <cell r="I609">
            <v>21244.47</v>
          </cell>
        </row>
        <row r="610">
          <cell r="G610">
            <v>990262</v>
          </cell>
          <cell r="H610">
            <v>39910.99</v>
          </cell>
          <cell r="I610">
            <v>23029.93</v>
          </cell>
        </row>
        <row r="611">
          <cell r="G611">
            <v>990265</v>
          </cell>
          <cell r="H611">
            <v>39664.400000000001</v>
          </cell>
          <cell r="I611">
            <v>9690</v>
          </cell>
        </row>
        <row r="612">
          <cell r="G612">
            <v>990266</v>
          </cell>
          <cell r="H612">
            <v>25990.21</v>
          </cell>
          <cell r="I612">
            <v>7534.58</v>
          </cell>
        </row>
        <row r="613">
          <cell r="G613">
            <v>990269</v>
          </cell>
          <cell r="H613">
            <v>667.76</v>
          </cell>
          <cell r="I613">
            <v>833.51</v>
          </cell>
        </row>
        <row r="614">
          <cell r="G614">
            <v>990271</v>
          </cell>
          <cell r="H614">
            <v>28740.1</v>
          </cell>
          <cell r="I614">
            <v>8146.52</v>
          </cell>
        </row>
        <row r="615">
          <cell r="G615">
            <v>990272</v>
          </cell>
          <cell r="H615">
            <v>26835.13</v>
          </cell>
          <cell r="I615">
            <v>11001.08</v>
          </cell>
        </row>
        <row r="616">
          <cell r="G616">
            <v>990273</v>
          </cell>
          <cell r="H616">
            <v>8222.52</v>
          </cell>
          <cell r="I616">
            <v>3528.14</v>
          </cell>
        </row>
        <row r="617">
          <cell r="G617">
            <v>990279</v>
          </cell>
          <cell r="H617">
            <v>112091.96</v>
          </cell>
          <cell r="I617">
            <v>24420.560000000001</v>
          </cell>
        </row>
        <row r="618">
          <cell r="G618">
            <v>990282</v>
          </cell>
          <cell r="H618">
            <v>20224.73</v>
          </cell>
          <cell r="I618">
            <v>11716.19</v>
          </cell>
        </row>
        <row r="619">
          <cell r="G619">
            <v>990288</v>
          </cell>
          <cell r="H619">
            <v>10070.379999999999</v>
          </cell>
          <cell r="I619">
            <v>8338.51</v>
          </cell>
        </row>
        <row r="620">
          <cell r="G620">
            <v>990290</v>
          </cell>
          <cell r="H620">
            <v>33987.74</v>
          </cell>
          <cell r="I620">
            <v>12602.92</v>
          </cell>
        </row>
        <row r="621">
          <cell r="G621">
            <v>990291</v>
          </cell>
          <cell r="H621">
            <v>494.78</v>
          </cell>
          <cell r="I621">
            <v>933.18</v>
          </cell>
        </row>
        <row r="622">
          <cell r="G622">
            <v>990293</v>
          </cell>
          <cell r="H622">
            <v>18611.46</v>
          </cell>
          <cell r="I622">
            <v>5638.8</v>
          </cell>
        </row>
        <row r="623">
          <cell r="G623">
            <v>990300</v>
          </cell>
          <cell r="H623">
            <v>26915.759999999998</v>
          </cell>
          <cell r="I623">
            <v>10575.77</v>
          </cell>
        </row>
        <row r="624">
          <cell r="G624">
            <v>990301</v>
          </cell>
          <cell r="H624">
            <v>6030.33</v>
          </cell>
          <cell r="I624">
            <v>2869.96</v>
          </cell>
        </row>
        <row r="625">
          <cell r="G625">
            <v>990303</v>
          </cell>
          <cell r="H625">
            <v>16561.12</v>
          </cell>
          <cell r="I625">
            <v>5831.39</v>
          </cell>
        </row>
        <row r="626">
          <cell r="G626">
            <v>990304</v>
          </cell>
          <cell r="H626">
            <v>27588.12</v>
          </cell>
          <cell r="I626">
            <v>11252.37</v>
          </cell>
        </row>
        <row r="627">
          <cell r="G627">
            <v>990309</v>
          </cell>
          <cell r="H627">
            <v>6748.27</v>
          </cell>
          <cell r="I627">
            <v>3163.39</v>
          </cell>
        </row>
        <row r="628">
          <cell r="G628">
            <v>990311</v>
          </cell>
          <cell r="H628">
            <v>21025.63</v>
          </cell>
          <cell r="I628">
            <v>7849.53</v>
          </cell>
        </row>
        <row r="629">
          <cell r="G629">
            <v>990320</v>
          </cell>
          <cell r="H629">
            <v>2638.62</v>
          </cell>
          <cell r="I629">
            <v>1721.75</v>
          </cell>
        </row>
        <row r="630">
          <cell r="G630">
            <v>990321</v>
          </cell>
          <cell r="H630">
            <v>72583.009999999995</v>
          </cell>
          <cell r="I630">
            <v>19419.66</v>
          </cell>
        </row>
        <row r="631">
          <cell r="G631">
            <v>990324</v>
          </cell>
          <cell r="H631">
            <v>8068.43</v>
          </cell>
          <cell r="I631">
            <v>6540.44</v>
          </cell>
        </row>
        <row r="632">
          <cell r="G632">
            <v>990327</v>
          </cell>
          <cell r="H632">
            <v>4513.8</v>
          </cell>
          <cell r="I632">
            <v>1970.15</v>
          </cell>
        </row>
        <row r="633">
          <cell r="G633">
            <v>990329</v>
          </cell>
          <cell r="H633">
            <v>5313.59</v>
          </cell>
          <cell r="I633">
            <v>1847.33</v>
          </cell>
        </row>
        <row r="634">
          <cell r="G634">
            <v>990331</v>
          </cell>
          <cell r="H634">
            <v>21902.74</v>
          </cell>
          <cell r="I634">
            <v>6245.51</v>
          </cell>
        </row>
        <row r="635">
          <cell r="G635">
            <v>990332</v>
          </cell>
          <cell r="H635">
            <v>22324.44</v>
          </cell>
          <cell r="I635">
            <v>3159.6</v>
          </cell>
        </row>
        <row r="636">
          <cell r="G636">
            <v>990334</v>
          </cell>
          <cell r="H636">
            <v>28145.279999999999</v>
          </cell>
          <cell r="I636">
            <v>6774.99</v>
          </cell>
        </row>
        <row r="637">
          <cell r="G637">
            <v>990335</v>
          </cell>
          <cell r="H637">
            <v>857.55</v>
          </cell>
          <cell r="I637">
            <v>985.22</v>
          </cell>
        </row>
        <row r="638">
          <cell r="G638">
            <v>990338</v>
          </cell>
          <cell r="H638">
            <v>4612.6400000000003</v>
          </cell>
          <cell r="I638">
            <v>2120.0300000000002</v>
          </cell>
        </row>
        <row r="639">
          <cell r="G639">
            <v>990339</v>
          </cell>
          <cell r="H639">
            <v>6133.73</v>
          </cell>
          <cell r="I639">
            <v>2393.39</v>
          </cell>
        </row>
        <row r="640">
          <cell r="G640">
            <v>990340</v>
          </cell>
          <cell r="H640">
            <v>94150.15</v>
          </cell>
          <cell r="I640">
            <v>20614.349999999999</v>
          </cell>
        </row>
        <row r="641">
          <cell r="G641">
            <v>990347</v>
          </cell>
          <cell r="H641">
            <v>2646.05</v>
          </cell>
          <cell r="I641">
            <v>2087.44</v>
          </cell>
        </row>
        <row r="642">
          <cell r="G642">
            <v>990350</v>
          </cell>
          <cell r="H642">
            <v>10767.68</v>
          </cell>
          <cell r="I642">
            <v>4887.8900000000003</v>
          </cell>
        </row>
        <row r="643">
          <cell r="G643">
            <v>990351</v>
          </cell>
          <cell r="H643">
            <v>9208.39</v>
          </cell>
          <cell r="I643">
            <v>8309.4</v>
          </cell>
        </row>
        <row r="644">
          <cell r="G644">
            <v>990354</v>
          </cell>
          <cell r="H644">
            <v>28804.94</v>
          </cell>
          <cell r="I644">
            <v>6851.7</v>
          </cell>
        </row>
        <row r="645">
          <cell r="G645">
            <v>990356</v>
          </cell>
          <cell r="H645">
            <v>75416.899999999994</v>
          </cell>
          <cell r="I645">
            <v>19640.71</v>
          </cell>
        </row>
        <row r="646">
          <cell r="G646">
            <v>990357</v>
          </cell>
          <cell r="H646">
            <v>36930.720000000001</v>
          </cell>
          <cell r="I646">
            <v>6527.58</v>
          </cell>
        </row>
        <row r="647">
          <cell r="G647">
            <v>990359</v>
          </cell>
          <cell r="H647">
            <v>7568.08</v>
          </cell>
          <cell r="I647">
            <v>3073.84</v>
          </cell>
        </row>
        <row r="648">
          <cell r="G648">
            <v>990360</v>
          </cell>
          <cell r="H648">
            <v>22425.99</v>
          </cell>
          <cell r="I648">
            <v>5361.28</v>
          </cell>
        </row>
        <row r="649">
          <cell r="G649">
            <v>990362</v>
          </cell>
          <cell r="H649">
            <v>5275.65</v>
          </cell>
          <cell r="I649">
            <v>2143.6</v>
          </cell>
        </row>
        <row r="650">
          <cell r="G650">
            <v>990364</v>
          </cell>
          <cell r="H650">
            <v>353268.34</v>
          </cell>
          <cell r="I650">
            <v>44184.93</v>
          </cell>
        </row>
        <row r="651">
          <cell r="G651">
            <v>990365</v>
          </cell>
          <cell r="H651">
            <v>1741.61</v>
          </cell>
          <cell r="I651">
            <v>1110.8399999999999</v>
          </cell>
        </row>
        <row r="652">
          <cell r="G652">
            <v>990373</v>
          </cell>
          <cell r="H652">
            <v>2907.36</v>
          </cell>
          <cell r="I652">
            <v>1552.21</v>
          </cell>
        </row>
        <row r="653">
          <cell r="G653">
            <v>990376</v>
          </cell>
          <cell r="H653">
            <v>2751.1</v>
          </cell>
          <cell r="I653">
            <v>2652.07</v>
          </cell>
        </row>
        <row r="654">
          <cell r="G654">
            <v>990378</v>
          </cell>
          <cell r="H654">
            <v>5981.3</v>
          </cell>
          <cell r="I654">
            <v>3091.29</v>
          </cell>
        </row>
        <row r="655">
          <cell r="G655">
            <v>990380</v>
          </cell>
          <cell r="H655">
            <v>81628.69</v>
          </cell>
          <cell r="I655">
            <v>20300.98</v>
          </cell>
        </row>
        <row r="656">
          <cell r="G656">
            <v>990381</v>
          </cell>
          <cell r="H656">
            <v>14665.6</v>
          </cell>
          <cell r="I656">
            <v>4460.62</v>
          </cell>
        </row>
        <row r="657">
          <cell r="G657">
            <v>990388</v>
          </cell>
          <cell r="H657">
            <v>58395.66</v>
          </cell>
          <cell r="I657">
            <v>17840.75</v>
          </cell>
        </row>
        <row r="658">
          <cell r="G658">
            <v>990390</v>
          </cell>
          <cell r="H658">
            <v>3366.63</v>
          </cell>
          <cell r="I658">
            <v>1474.49</v>
          </cell>
        </row>
        <row r="659">
          <cell r="G659">
            <v>990392</v>
          </cell>
          <cell r="H659">
            <v>1044.19</v>
          </cell>
          <cell r="I659">
            <v>1049.5899999999999</v>
          </cell>
        </row>
        <row r="660">
          <cell r="G660">
            <v>990394</v>
          </cell>
          <cell r="H660">
            <v>11773.07</v>
          </cell>
          <cell r="I660">
            <v>8297.2099999999991</v>
          </cell>
        </row>
        <row r="661">
          <cell r="G661">
            <v>990395</v>
          </cell>
          <cell r="H661">
            <v>12386.1</v>
          </cell>
          <cell r="I661">
            <v>3217.4</v>
          </cell>
        </row>
        <row r="662">
          <cell r="G662">
            <v>990396</v>
          </cell>
          <cell r="H662">
            <v>35210.800000000003</v>
          </cell>
          <cell r="I662">
            <v>11232.92</v>
          </cell>
        </row>
        <row r="663">
          <cell r="G663">
            <v>990397</v>
          </cell>
          <cell r="H663">
            <v>1934.54</v>
          </cell>
          <cell r="I663">
            <v>1310.58</v>
          </cell>
        </row>
        <row r="664">
          <cell r="G664">
            <v>990398</v>
          </cell>
          <cell r="H664">
            <v>45444.34</v>
          </cell>
          <cell r="I664">
            <v>10234.780000000001</v>
          </cell>
        </row>
        <row r="665">
          <cell r="G665">
            <v>990399</v>
          </cell>
          <cell r="H665">
            <v>52135.15</v>
          </cell>
          <cell r="I665">
            <v>13344.86</v>
          </cell>
        </row>
        <row r="666">
          <cell r="G666">
            <v>990401</v>
          </cell>
          <cell r="H666">
            <v>4614.28</v>
          </cell>
          <cell r="I666">
            <v>1258.21</v>
          </cell>
        </row>
        <row r="667">
          <cell r="G667">
            <v>990402</v>
          </cell>
          <cell r="H667">
            <v>19883.82</v>
          </cell>
          <cell r="I667">
            <v>5062.0600000000004</v>
          </cell>
        </row>
        <row r="668">
          <cell r="G668">
            <v>990404</v>
          </cell>
          <cell r="H668">
            <v>1578.4</v>
          </cell>
          <cell r="I668">
            <v>1122.1400000000001</v>
          </cell>
        </row>
        <row r="669">
          <cell r="G669">
            <v>990405</v>
          </cell>
          <cell r="H669">
            <v>2386.79</v>
          </cell>
          <cell r="I669">
            <v>1210.32</v>
          </cell>
        </row>
        <row r="670">
          <cell r="G670">
            <v>990406</v>
          </cell>
          <cell r="H670">
            <v>2540.15</v>
          </cell>
          <cell r="I670">
            <v>1422.94</v>
          </cell>
        </row>
        <row r="671">
          <cell r="G671">
            <v>990410</v>
          </cell>
          <cell r="H671">
            <v>712.79</v>
          </cell>
          <cell r="I671">
            <v>1024.1099999999999</v>
          </cell>
        </row>
        <row r="672">
          <cell r="G672">
            <v>990414</v>
          </cell>
          <cell r="H672">
            <v>71095.710000000006</v>
          </cell>
          <cell r="I672">
            <v>16703.47</v>
          </cell>
        </row>
        <row r="673">
          <cell r="G673">
            <v>990415</v>
          </cell>
          <cell r="H673">
            <v>15907.8</v>
          </cell>
          <cell r="I673">
            <v>7087.38</v>
          </cell>
        </row>
        <row r="674">
          <cell r="G674">
            <v>990417</v>
          </cell>
          <cell r="H674">
            <v>119861.71</v>
          </cell>
          <cell r="I674">
            <v>32506.48</v>
          </cell>
        </row>
        <row r="675">
          <cell r="G675">
            <v>990419</v>
          </cell>
          <cell r="H675">
            <v>91541.24</v>
          </cell>
          <cell r="I675">
            <v>30210.95</v>
          </cell>
        </row>
        <row r="676">
          <cell r="G676">
            <v>990420</v>
          </cell>
          <cell r="H676">
            <v>209138.85</v>
          </cell>
          <cell r="I676">
            <v>33858.629999999997</v>
          </cell>
        </row>
        <row r="677">
          <cell r="G677">
            <v>990422</v>
          </cell>
          <cell r="H677">
            <v>142249.98000000001</v>
          </cell>
          <cell r="I677">
            <v>30366.080000000002</v>
          </cell>
        </row>
        <row r="678">
          <cell r="G678">
            <v>990423</v>
          </cell>
          <cell r="H678">
            <v>3926.16</v>
          </cell>
          <cell r="I678">
            <v>1552.7</v>
          </cell>
        </row>
        <row r="679">
          <cell r="G679">
            <v>990424</v>
          </cell>
          <cell r="H679">
            <v>10530.52</v>
          </cell>
          <cell r="I679">
            <v>3045.84</v>
          </cell>
        </row>
        <row r="680">
          <cell r="G680">
            <v>990427</v>
          </cell>
          <cell r="H680">
            <v>483.43</v>
          </cell>
          <cell r="I680">
            <v>1052.67</v>
          </cell>
        </row>
        <row r="681">
          <cell r="G681">
            <v>990428</v>
          </cell>
          <cell r="H681">
            <v>454.09</v>
          </cell>
          <cell r="I681">
            <v>850.65</v>
          </cell>
        </row>
        <row r="682">
          <cell r="G682">
            <v>990431</v>
          </cell>
          <cell r="H682">
            <v>76996</v>
          </cell>
          <cell r="I682">
            <v>22823.62</v>
          </cell>
        </row>
        <row r="683">
          <cell r="G683">
            <v>990432</v>
          </cell>
          <cell r="H683">
            <v>102026.64</v>
          </cell>
          <cell r="I683">
            <v>43083.1</v>
          </cell>
        </row>
        <row r="684">
          <cell r="G684">
            <v>990436</v>
          </cell>
          <cell r="H684">
            <v>6483.02</v>
          </cell>
          <cell r="I684">
            <v>2380.86</v>
          </cell>
        </row>
        <row r="685">
          <cell r="G685">
            <v>990437</v>
          </cell>
          <cell r="H685">
            <v>184807.54</v>
          </cell>
          <cell r="I685">
            <v>45836.959999999999</v>
          </cell>
        </row>
        <row r="686">
          <cell r="G686">
            <v>990438</v>
          </cell>
          <cell r="H686">
            <v>83561.56</v>
          </cell>
          <cell r="I686">
            <v>21142.33</v>
          </cell>
        </row>
        <row r="687">
          <cell r="G687">
            <v>990440</v>
          </cell>
          <cell r="H687">
            <v>6494.2</v>
          </cell>
          <cell r="I687">
            <v>2546.52</v>
          </cell>
        </row>
        <row r="688">
          <cell r="G688">
            <v>990441</v>
          </cell>
          <cell r="H688">
            <v>6862.37</v>
          </cell>
          <cell r="I688">
            <v>2548.31</v>
          </cell>
        </row>
        <row r="689">
          <cell r="G689">
            <v>990442</v>
          </cell>
          <cell r="H689">
            <v>1883.71</v>
          </cell>
          <cell r="I689">
            <v>1610.66</v>
          </cell>
        </row>
        <row r="690">
          <cell r="G690">
            <v>990444</v>
          </cell>
          <cell r="H690">
            <v>89056.8</v>
          </cell>
          <cell r="I690">
            <v>16690.86</v>
          </cell>
        </row>
        <row r="691">
          <cell r="G691">
            <v>990445</v>
          </cell>
          <cell r="H691">
            <v>9231.15</v>
          </cell>
          <cell r="I691">
            <v>1759.7</v>
          </cell>
        </row>
        <row r="692">
          <cell r="G692">
            <v>990446</v>
          </cell>
          <cell r="H692">
            <v>38751.360000000001</v>
          </cell>
          <cell r="I692">
            <v>9355.5400000000009</v>
          </cell>
        </row>
        <row r="693">
          <cell r="G693">
            <v>990448</v>
          </cell>
          <cell r="H693">
            <v>10094.99</v>
          </cell>
          <cell r="I693">
            <v>3120.58</v>
          </cell>
        </row>
        <row r="694">
          <cell r="G694">
            <v>990449</v>
          </cell>
          <cell r="H694">
            <v>28215</v>
          </cell>
          <cell r="I694">
            <v>6489.81</v>
          </cell>
        </row>
        <row r="695">
          <cell r="G695">
            <v>990450</v>
          </cell>
          <cell r="H695">
            <v>2479.5</v>
          </cell>
          <cell r="I695">
            <v>1282</v>
          </cell>
        </row>
        <row r="696">
          <cell r="G696">
            <v>990451</v>
          </cell>
          <cell r="H696">
            <v>957.6</v>
          </cell>
          <cell r="I696">
            <v>1047.3</v>
          </cell>
        </row>
        <row r="697">
          <cell r="G697">
            <v>990452</v>
          </cell>
          <cell r="H697">
            <v>4232.25</v>
          </cell>
          <cell r="I697">
            <v>1564.99</v>
          </cell>
        </row>
        <row r="698">
          <cell r="G698">
            <v>990453</v>
          </cell>
          <cell r="H698">
            <v>5864.86</v>
          </cell>
          <cell r="I698">
            <v>3292.48</v>
          </cell>
        </row>
        <row r="699">
          <cell r="G699">
            <v>990457</v>
          </cell>
          <cell r="H699">
            <v>52147.37</v>
          </cell>
          <cell r="I699">
            <v>21090.400000000001</v>
          </cell>
        </row>
        <row r="700">
          <cell r="G700">
            <v>990458</v>
          </cell>
          <cell r="H700">
            <v>71314.649999999994</v>
          </cell>
          <cell r="I700">
            <v>23663.74</v>
          </cell>
        </row>
        <row r="701">
          <cell r="G701">
            <v>990459</v>
          </cell>
          <cell r="H701">
            <v>1193.43</v>
          </cell>
          <cell r="I701">
            <v>1123.1199999999999</v>
          </cell>
        </row>
        <row r="702">
          <cell r="G702">
            <v>990460</v>
          </cell>
          <cell r="H702">
            <v>1102.9000000000001</v>
          </cell>
          <cell r="I702">
            <v>1036.1199999999999</v>
          </cell>
        </row>
        <row r="703">
          <cell r="G703">
            <v>990461</v>
          </cell>
          <cell r="H703">
            <v>141.85</v>
          </cell>
          <cell r="I703">
            <v>864.9</v>
          </cell>
        </row>
        <row r="704">
          <cell r="G704">
            <v>990464</v>
          </cell>
          <cell r="H704">
            <v>6198.75</v>
          </cell>
          <cell r="I704">
            <v>1919.79</v>
          </cell>
        </row>
        <row r="705">
          <cell r="G705">
            <v>990465</v>
          </cell>
          <cell r="H705">
            <v>17185.39</v>
          </cell>
          <cell r="I705">
            <v>5810.75</v>
          </cell>
        </row>
        <row r="706">
          <cell r="G706">
            <v>990469</v>
          </cell>
          <cell r="H706">
            <v>1702.83</v>
          </cell>
          <cell r="I706">
            <v>1538.34</v>
          </cell>
        </row>
        <row r="707">
          <cell r="G707">
            <v>990472</v>
          </cell>
          <cell r="H707">
            <v>109922.37</v>
          </cell>
          <cell r="I707">
            <v>22010.77</v>
          </cell>
        </row>
        <row r="708">
          <cell r="G708">
            <v>990473</v>
          </cell>
          <cell r="H708">
            <v>3308.53</v>
          </cell>
          <cell r="I708">
            <v>1674.06</v>
          </cell>
        </row>
        <row r="709">
          <cell r="G709">
            <v>990474</v>
          </cell>
          <cell r="H709">
            <v>38116.99</v>
          </cell>
          <cell r="I709">
            <v>7851.92</v>
          </cell>
        </row>
        <row r="710">
          <cell r="G710">
            <v>990475</v>
          </cell>
          <cell r="H710">
            <v>12763.14</v>
          </cell>
          <cell r="I710">
            <v>3786.03</v>
          </cell>
        </row>
        <row r="711">
          <cell r="G711">
            <v>990476</v>
          </cell>
          <cell r="H711">
            <v>3996.42</v>
          </cell>
          <cell r="I711">
            <v>2222.21</v>
          </cell>
        </row>
        <row r="712">
          <cell r="G712">
            <v>990477</v>
          </cell>
          <cell r="H712">
            <v>888.03</v>
          </cell>
          <cell r="I712">
            <v>1346.25</v>
          </cell>
        </row>
        <row r="713">
          <cell r="G713">
            <v>990478</v>
          </cell>
          <cell r="H713">
            <v>1371.5</v>
          </cell>
          <cell r="I713">
            <v>1582.14</v>
          </cell>
        </row>
        <row r="714">
          <cell r="G714">
            <v>990484</v>
          </cell>
          <cell r="H714">
            <v>10767.17</v>
          </cell>
          <cell r="I714">
            <v>4099.4799999999996</v>
          </cell>
        </row>
        <row r="715">
          <cell r="G715">
            <v>990486</v>
          </cell>
          <cell r="H715">
            <v>2567.21</v>
          </cell>
          <cell r="I715">
            <v>1474.72</v>
          </cell>
        </row>
        <row r="716">
          <cell r="G716">
            <v>990489</v>
          </cell>
          <cell r="H716">
            <v>9726.4500000000007</v>
          </cell>
          <cell r="I716">
            <v>3306.66</v>
          </cell>
        </row>
        <row r="717">
          <cell r="G717">
            <v>990490</v>
          </cell>
          <cell r="H717">
            <v>10843.16</v>
          </cell>
          <cell r="I717">
            <v>4041.81</v>
          </cell>
        </row>
        <row r="718">
          <cell r="G718">
            <v>990491</v>
          </cell>
          <cell r="H718">
            <v>1195.3399999999999</v>
          </cell>
          <cell r="I718">
            <v>1038.46</v>
          </cell>
        </row>
        <row r="719">
          <cell r="G719">
            <v>990492</v>
          </cell>
          <cell r="H719">
            <v>4091.76</v>
          </cell>
          <cell r="I719">
            <v>1603.48</v>
          </cell>
        </row>
        <row r="720">
          <cell r="G720">
            <v>990493</v>
          </cell>
          <cell r="H720">
            <v>13440.67</v>
          </cell>
          <cell r="I720">
            <v>3189.29</v>
          </cell>
        </row>
        <row r="721">
          <cell r="G721">
            <v>990494</v>
          </cell>
          <cell r="H721">
            <v>2811.74</v>
          </cell>
          <cell r="I721">
            <v>2873.2</v>
          </cell>
        </row>
        <row r="722">
          <cell r="G722">
            <v>990495</v>
          </cell>
          <cell r="H722">
            <v>36713.4</v>
          </cell>
          <cell r="I722">
            <v>7613.91</v>
          </cell>
        </row>
        <row r="723">
          <cell r="G723">
            <v>990498</v>
          </cell>
          <cell r="H723">
            <v>19542.18</v>
          </cell>
          <cell r="I723">
            <v>4179.57</v>
          </cell>
        </row>
        <row r="724">
          <cell r="G724">
            <v>990499</v>
          </cell>
          <cell r="H724">
            <v>7954.49</v>
          </cell>
          <cell r="I724">
            <v>2977.28</v>
          </cell>
        </row>
        <row r="725">
          <cell r="G725">
            <v>990503</v>
          </cell>
          <cell r="H725">
            <v>17307.060000000001</v>
          </cell>
          <cell r="I725">
            <v>6467.37</v>
          </cell>
        </row>
        <row r="726">
          <cell r="G726">
            <v>990504</v>
          </cell>
          <cell r="H726">
            <v>27129.52</v>
          </cell>
          <cell r="I726">
            <v>11633.91</v>
          </cell>
        </row>
        <row r="727">
          <cell r="G727">
            <v>990506</v>
          </cell>
          <cell r="H727">
            <v>4386.0600000000004</v>
          </cell>
          <cell r="I727">
            <v>1629.1</v>
          </cell>
        </row>
        <row r="728">
          <cell r="G728">
            <v>990507</v>
          </cell>
          <cell r="H728">
            <v>434.75</v>
          </cell>
          <cell r="I728">
            <v>946.42</v>
          </cell>
        </row>
        <row r="729">
          <cell r="G729">
            <v>990508</v>
          </cell>
          <cell r="H729">
            <v>9912</v>
          </cell>
          <cell r="I729">
            <v>3340.08</v>
          </cell>
        </row>
        <row r="730">
          <cell r="G730">
            <v>990509</v>
          </cell>
          <cell r="H730">
            <v>5055.8100000000004</v>
          </cell>
          <cell r="I730">
            <v>2051.4</v>
          </cell>
        </row>
        <row r="731">
          <cell r="G731">
            <v>990510</v>
          </cell>
          <cell r="H731">
            <v>19102.509999999998</v>
          </cell>
          <cell r="I731">
            <v>5841.52</v>
          </cell>
        </row>
        <row r="732">
          <cell r="G732">
            <v>990511</v>
          </cell>
          <cell r="H732">
            <v>7456.88</v>
          </cell>
          <cell r="I732">
            <v>2795.09</v>
          </cell>
        </row>
        <row r="733">
          <cell r="G733">
            <v>990512</v>
          </cell>
          <cell r="H733">
            <v>1854.08</v>
          </cell>
          <cell r="I733">
            <v>1165.81</v>
          </cell>
        </row>
        <row r="734">
          <cell r="G734">
            <v>990513</v>
          </cell>
          <cell r="H734">
            <v>24320.400000000001</v>
          </cell>
          <cell r="I734">
            <v>5521</v>
          </cell>
        </row>
        <row r="735">
          <cell r="G735">
            <v>990515</v>
          </cell>
          <cell r="H735">
            <v>13132.69</v>
          </cell>
          <cell r="I735">
            <v>3371.22</v>
          </cell>
        </row>
        <row r="736">
          <cell r="G736">
            <v>990516</v>
          </cell>
          <cell r="H736">
            <v>6678.31</v>
          </cell>
          <cell r="I736">
            <v>2399.4</v>
          </cell>
        </row>
        <row r="737">
          <cell r="G737">
            <v>990517</v>
          </cell>
          <cell r="H737">
            <v>10460.700000000001</v>
          </cell>
          <cell r="I737">
            <v>2879.81</v>
          </cell>
        </row>
        <row r="738">
          <cell r="G738">
            <v>990518</v>
          </cell>
          <cell r="H738">
            <v>38413.25</v>
          </cell>
          <cell r="I738">
            <v>8077.72</v>
          </cell>
        </row>
        <row r="739">
          <cell r="G739">
            <v>990520</v>
          </cell>
          <cell r="H739">
            <v>3028.23</v>
          </cell>
          <cell r="I739">
            <v>2155.36</v>
          </cell>
        </row>
        <row r="740">
          <cell r="G740">
            <v>990521</v>
          </cell>
          <cell r="H740">
            <v>108607.2</v>
          </cell>
          <cell r="I740">
            <v>21895.52</v>
          </cell>
        </row>
        <row r="741">
          <cell r="G741">
            <v>990525</v>
          </cell>
          <cell r="H741">
            <v>11900.18</v>
          </cell>
          <cell r="I741">
            <v>3007.92</v>
          </cell>
        </row>
        <row r="742">
          <cell r="G742">
            <v>990530</v>
          </cell>
          <cell r="H742">
            <v>5063.5</v>
          </cell>
          <cell r="I742">
            <v>1842.66</v>
          </cell>
        </row>
        <row r="743">
          <cell r="G743">
            <v>990533</v>
          </cell>
          <cell r="H743">
            <v>17615.04</v>
          </cell>
          <cell r="I743">
            <v>4265.72</v>
          </cell>
        </row>
        <row r="744">
          <cell r="G744">
            <v>990535</v>
          </cell>
          <cell r="H744">
            <v>92064.6</v>
          </cell>
          <cell r="I744">
            <v>9702.89</v>
          </cell>
        </row>
        <row r="745">
          <cell r="G745">
            <v>990540</v>
          </cell>
          <cell r="H745">
            <v>8861.94</v>
          </cell>
          <cell r="I745">
            <v>3550.94</v>
          </cell>
        </row>
        <row r="746">
          <cell r="G746">
            <v>990541</v>
          </cell>
          <cell r="H746">
            <v>1372.71</v>
          </cell>
          <cell r="I746">
            <v>7682.79</v>
          </cell>
        </row>
        <row r="747">
          <cell r="G747">
            <v>990542</v>
          </cell>
          <cell r="H747">
            <v>3490.44</v>
          </cell>
          <cell r="I747">
            <v>1409.06</v>
          </cell>
        </row>
        <row r="748">
          <cell r="G748">
            <v>990543</v>
          </cell>
          <cell r="H748">
            <v>42214.5</v>
          </cell>
          <cell r="I748">
            <v>8532.0499999999993</v>
          </cell>
        </row>
        <row r="749">
          <cell r="G749">
            <v>990544</v>
          </cell>
          <cell r="H749">
            <v>435912.79</v>
          </cell>
          <cell r="I749">
            <v>96211.59</v>
          </cell>
        </row>
        <row r="750">
          <cell r="G750">
            <v>990545</v>
          </cell>
          <cell r="H750">
            <v>22602.41</v>
          </cell>
          <cell r="I750">
            <v>7266.07</v>
          </cell>
        </row>
        <row r="751">
          <cell r="G751">
            <v>990546</v>
          </cell>
          <cell r="H751">
            <v>8135.77</v>
          </cell>
          <cell r="I751">
            <v>4916.72</v>
          </cell>
        </row>
        <row r="752">
          <cell r="G752">
            <v>990547</v>
          </cell>
          <cell r="H752">
            <v>108824.32000000001</v>
          </cell>
          <cell r="I752">
            <v>20629.96</v>
          </cell>
        </row>
        <row r="753">
          <cell r="G753">
            <v>990548</v>
          </cell>
          <cell r="H753">
            <v>14835.8</v>
          </cell>
          <cell r="I753">
            <v>5030.32</v>
          </cell>
        </row>
        <row r="754">
          <cell r="G754">
            <v>990552</v>
          </cell>
          <cell r="H754">
            <v>12412.23</v>
          </cell>
          <cell r="I754">
            <v>3023.42</v>
          </cell>
        </row>
        <row r="755">
          <cell r="G755">
            <v>990554</v>
          </cell>
          <cell r="H755">
            <v>2771.78</v>
          </cell>
          <cell r="I755">
            <v>1593.04</v>
          </cell>
        </row>
        <row r="756">
          <cell r="G756">
            <v>990560</v>
          </cell>
          <cell r="H756">
            <v>545.29999999999995</v>
          </cell>
          <cell r="I756">
            <v>857.32</v>
          </cell>
        </row>
        <row r="757">
          <cell r="G757">
            <v>990569</v>
          </cell>
          <cell r="H757">
            <v>9621.7900000000009</v>
          </cell>
          <cell r="I757">
            <v>3376.14</v>
          </cell>
        </row>
        <row r="758">
          <cell r="G758">
            <v>990570</v>
          </cell>
          <cell r="H758">
            <v>1413.42</v>
          </cell>
          <cell r="I758">
            <v>1935.37</v>
          </cell>
        </row>
        <row r="759">
          <cell r="G759">
            <v>990570</v>
          </cell>
          <cell r="H759">
            <v>1656.45</v>
          </cell>
          <cell r="I759">
            <v>2268.44</v>
          </cell>
        </row>
        <row r="760">
          <cell r="G760">
            <v>990570</v>
          </cell>
          <cell r="H760">
            <v>1923.15</v>
          </cell>
          <cell r="I760">
            <v>2633.63</v>
          </cell>
        </row>
        <row r="761">
          <cell r="G761">
            <v>990573</v>
          </cell>
          <cell r="H761">
            <v>17518.5</v>
          </cell>
          <cell r="I761">
            <v>4291.6499999999996</v>
          </cell>
        </row>
        <row r="762">
          <cell r="G762">
            <v>990574</v>
          </cell>
          <cell r="H762">
            <v>8821.9</v>
          </cell>
          <cell r="I762">
            <v>2257.89</v>
          </cell>
        </row>
        <row r="763">
          <cell r="G763">
            <v>990575</v>
          </cell>
          <cell r="H763">
            <v>8269.1200000000008</v>
          </cell>
          <cell r="I763">
            <v>2360.65</v>
          </cell>
        </row>
        <row r="764">
          <cell r="G764">
            <v>990577</v>
          </cell>
          <cell r="H764">
            <v>8067.66</v>
          </cell>
          <cell r="I764">
            <v>2998.12</v>
          </cell>
        </row>
        <row r="765">
          <cell r="G765">
            <v>990578</v>
          </cell>
          <cell r="H765">
            <v>6408.58</v>
          </cell>
          <cell r="I765">
            <v>1987.74</v>
          </cell>
        </row>
        <row r="766">
          <cell r="G766">
            <v>990579</v>
          </cell>
          <cell r="H766">
            <v>4779</v>
          </cell>
          <cell r="I766">
            <v>1563.68</v>
          </cell>
        </row>
        <row r="767">
          <cell r="G767">
            <v>990580</v>
          </cell>
          <cell r="H767">
            <v>14337</v>
          </cell>
          <cell r="I767">
            <v>3761.62</v>
          </cell>
        </row>
        <row r="768">
          <cell r="G768">
            <v>990583</v>
          </cell>
          <cell r="H768">
            <v>178.01</v>
          </cell>
          <cell r="I768">
            <v>737.1</v>
          </cell>
        </row>
        <row r="769">
          <cell r="G769">
            <v>990584</v>
          </cell>
          <cell r="H769">
            <v>2953.73</v>
          </cell>
          <cell r="I769">
            <v>1613.01</v>
          </cell>
        </row>
        <row r="770">
          <cell r="G770">
            <v>990587</v>
          </cell>
          <cell r="H770">
            <v>2379.64</v>
          </cell>
          <cell r="I770">
            <v>1052.9100000000001</v>
          </cell>
        </row>
        <row r="771">
          <cell r="G771">
            <v>990592</v>
          </cell>
          <cell r="H771">
            <v>1525.62</v>
          </cell>
          <cell r="I771">
            <v>1195.6500000000001</v>
          </cell>
        </row>
        <row r="772">
          <cell r="G772">
            <v>990593</v>
          </cell>
          <cell r="H772">
            <v>45132.82</v>
          </cell>
          <cell r="I772">
            <v>8460.5</v>
          </cell>
        </row>
        <row r="773">
          <cell r="G773">
            <v>990594</v>
          </cell>
          <cell r="H773">
            <v>8933.08</v>
          </cell>
          <cell r="I773">
            <v>3872.7</v>
          </cell>
        </row>
        <row r="774">
          <cell r="G774">
            <v>990595</v>
          </cell>
          <cell r="H774">
            <v>162.37</v>
          </cell>
          <cell r="I774">
            <v>963.16</v>
          </cell>
        </row>
        <row r="775">
          <cell r="G775">
            <v>990597</v>
          </cell>
          <cell r="H775">
            <v>100764.53</v>
          </cell>
          <cell r="I775">
            <v>33802.61</v>
          </cell>
        </row>
        <row r="776">
          <cell r="G776">
            <v>990598</v>
          </cell>
          <cell r="H776">
            <v>339.95</v>
          </cell>
          <cell r="I776">
            <v>845.62</v>
          </cell>
        </row>
        <row r="777">
          <cell r="G777">
            <v>990599</v>
          </cell>
          <cell r="H777">
            <v>2434.2199999999998</v>
          </cell>
          <cell r="I777">
            <v>2016.59</v>
          </cell>
        </row>
        <row r="778">
          <cell r="G778">
            <v>990601</v>
          </cell>
          <cell r="H778">
            <v>219.21</v>
          </cell>
          <cell r="I778">
            <v>789.58</v>
          </cell>
        </row>
        <row r="779">
          <cell r="G779">
            <v>990602</v>
          </cell>
          <cell r="H779">
            <v>1908.4</v>
          </cell>
          <cell r="I779">
            <v>1176.82</v>
          </cell>
        </row>
        <row r="780">
          <cell r="G780">
            <v>990604</v>
          </cell>
          <cell r="H780">
            <v>200343.6</v>
          </cell>
          <cell r="I780">
            <v>71289.52</v>
          </cell>
        </row>
        <row r="781">
          <cell r="G781">
            <v>990606</v>
          </cell>
          <cell r="H781">
            <v>27877.02</v>
          </cell>
          <cell r="I781">
            <v>12545.52</v>
          </cell>
        </row>
        <row r="782">
          <cell r="G782">
            <v>990607</v>
          </cell>
          <cell r="H782">
            <v>6176.86</v>
          </cell>
          <cell r="I782">
            <v>1333.81</v>
          </cell>
        </row>
        <row r="783">
          <cell r="G783">
            <v>990609</v>
          </cell>
          <cell r="H783">
            <v>2423.62</v>
          </cell>
          <cell r="I783">
            <v>1204.51</v>
          </cell>
        </row>
        <row r="784">
          <cell r="G784">
            <v>990610</v>
          </cell>
          <cell r="H784">
            <v>33798.15</v>
          </cell>
          <cell r="I784">
            <v>6754.07</v>
          </cell>
        </row>
        <row r="785">
          <cell r="G785">
            <v>990611</v>
          </cell>
          <cell r="H785">
            <v>51300</v>
          </cell>
          <cell r="I785">
            <v>13816.92</v>
          </cell>
        </row>
        <row r="786">
          <cell r="G786">
            <v>990613</v>
          </cell>
          <cell r="H786">
            <v>6052.07</v>
          </cell>
          <cell r="I786">
            <v>2529.64</v>
          </cell>
        </row>
        <row r="787">
          <cell r="G787">
            <v>990617</v>
          </cell>
          <cell r="H787">
            <v>7836.05</v>
          </cell>
          <cell r="I787">
            <v>2454.33</v>
          </cell>
        </row>
        <row r="788">
          <cell r="G788">
            <v>990620</v>
          </cell>
          <cell r="H788">
            <v>684</v>
          </cell>
          <cell r="I788">
            <v>930.27</v>
          </cell>
        </row>
        <row r="789">
          <cell r="G789">
            <v>990621</v>
          </cell>
          <cell r="H789">
            <v>65481.3</v>
          </cell>
          <cell r="I789">
            <v>21371.01</v>
          </cell>
        </row>
        <row r="790">
          <cell r="G790">
            <v>990622</v>
          </cell>
          <cell r="H790">
            <v>4838.4399999999996</v>
          </cell>
          <cell r="I790">
            <v>1800.04</v>
          </cell>
        </row>
        <row r="791">
          <cell r="G791">
            <v>990631</v>
          </cell>
          <cell r="H791">
            <v>1618</v>
          </cell>
          <cell r="I791">
            <v>1089.69</v>
          </cell>
          <cell r="R791" t="str">
            <v>FORN</v>
          </cell>
        </row>
        <row r="792">
          <cell r="G792">
            <v>990634</v>
          </cell>
          <cell r="H792">
            <v>89497.36</v>
          </cell>
          <cell r="I792">
            <v>18191.91</v>
          </cell>
        </row>
        <row r="793">
          <cell r="G793">
            <v>990636</v>
          </cell>
          <cell r="H793">
            <v>2741.67</v>
          </cell>
          <cell r="I793">
            <v>1411.2</v>
          </cell>
        </row>
        <row r="794">
          <cell r="G794">
            <v>990637</v>
          </cell>
          <cell r="H794">
            <v>234930.51</v>
          </cell>
          <cell r="I794">
            <v>76630.94</v>
          </cell>
        </row>
        <row r="795">
          <cell r="G795">
            <v>990638</v>
          </cell>
          <cell r="H795">
            <v>10680.83</v>
          </cell>
          <cell r="I795">
            <v>3495.91</v>
          </cell>
        </row>
        <row r="796">
          <cell r="G796">
            <v>990642</v>
          </cell>
          <cell r="H796">
            <v>44826.26</v>
          </cell>
          <cell r="I796">
            <v>12149.05</v>
          </cell>
        </row>
        <row r="797">
          <cell r="G797">
            <v>990644</v>
          </cell>
          <cell r="H797">
            <v>11225.9</v>
          </cell>
          <cell r="I797">
            <v>2664.65</v>
          </cell>
        </row>
        <row r="798">
          <cell r="G798">
            <v>990645</v>
          </cell>
          <cell r="H798">
            <v>2455.3200000000002</v>
          </cell>
          <cell r="I798">
            <v>1176.83</v>
          </cell>
        </row>
        <row r="799">
          <cell r="G799">
            <v>990646</v>
          </cell>
          <cell r="H799">
            <v>30.31</v>
          </cell>
          <cell r="I799">
            <v>816.31</v>
          </cell>
        </row>
        <row r="800">
          <cell r="G800">
            <v>990647</v>
          </cell>
          <cell r="H800">
            <v>37760.129999999997</v>
          </cell>
          <cell r="I800">
            <v>4369.3599999999997</v>
          </cell>
        </row>
        <row r="801">
          <cell r="G801">
            <v>990649</v>
          </cell>
          <cell r="H801">
            <v>3034.3</v>
          </cell>
          <cell r="I801">
            <v>1536.98</v>
          </cell>
        </row>
        <row r="802">
          <cell r="G802">
            <v>990650</v>
          </cell>
          <cell r="H802">
            <v>7083.22</v>
          </cell>
          <cell r="I802">
            <v>2549.5500000000002</v>
          </cell>
        </row>
        <row r="803">
          <cell r="G803">
            <v>990651</v>
          </cell>
          <cell r="H803">
            <v>2386.35</v>
          </cell>
          <cell r="I803">
            <v>1406.52</v>
          </cell>
        </row>
        <row r="804">
          <cell r="G804">
            <v>990652</v>
          </cell>
          <cell r="H804">
            <v>9435.07</v>
          </cell>
          <cell r="I804">
            <v>2748.36</v>
          </cell>
        </row>
        <row r="805">
          <cell r="G805">
            <v>990653</v>
          </cell>
          <cell r="H805">
            <v>1186.95</v>
          </cell>
          <cell r="I805">
            <v>918.09</v>
          </cell>
        </row>
        <row r="806">
          <cell r="G806">
            <v>990655</v>
          </cell>
          <cell r="H806">
            <v>80.44</v>
          </cell>
          <cell r="I806">
            <v>962.71</v>
          </cell>
        </row>
        <row r="807">
          <cell r="G807">
            <v>990656</v>
          </cell>
          <cell r="H807">
            <v>25727.01</v>
          </cell>
          <cell r="I807">
            <v>7406.6</v>
          </cell>
        </row>
        <row r="808">
          <cell r="G808">
            <v>990658</v>
          </cell>
          <cell r="H808">
            <v>14013.28</v>
          </cell>
          <cell r="I808">
            <v>3181.88</v>
          </cell>
        </row>
        <row r="809">
          <cell r="G809">
            <v>990659</v>
          </cell>
          <cell r="H809">
            <v>273.14</v>
          </cell>
          <cell r="I809">
            <v>1003.39</v>
          </cell>
        </row>
        <row r="810">
          <cell r="G810">
            <v>990661</v>
          </cell>
          <cell r="H810">
            <v>3569.76</v>
          </cell>
          <cell r="I810">
            <v>1345.29</v>
          </cell>
        </row>
        <row r="811">
          <cell r="G811">
            <v>990664</v>
          </cell>
          <cell r="H811">
            <v>21517.72</v>
          </cell>
          <cell r="I811">
            <v>4317.25</v>
          </cell>
        </row>
        <row r="812">
          <cell r="G812">
            <v>990665</v>
          </cell>
          <cell r="H812">
            <v>1048.6500000000001</v>
          </cell>
          <cell r="I812">
            <v>1053.24</v>
          </cell>
        </row>
        <row r="813">
          <cell r="G813">
            <v>990666</v>
          </cell>
          <cell r="H813">
            <v>3024.25</v>
          </cell>
          <cell r="I813">
            <v>1456.12</v>
          </cell>
        </row>
        <row r="814">
          <cell r="G814">
            <v>990668</v>
          </cell>
          <cell r="H814">
            <v>5156.32</v>
          </cell>
          <cell r="I814">
            <v>1557.61</v>
          </cell>
        </row>
        <row r="815">
          <cell r="G815">
            <v>990669</v>
          </cell>
          <cell r="H815">
            <v>14517.02</v>
          </cell>
          <cell r="I815">
            <v>3104.82</v>
          </cell>
        </row>
        <row r="816">
          <cell r="G816">
            <v>990670</v>
          </cell>
          <cell r="H816">
            <v>8924.4</v>
          </cell>
          <cell r="I816">
            <v>2175.33</v>
          </cell>
        </row>
        <row r="817">
          <cell r="G817">
            <v>990671</v>
          </cell>
          <cell r="H817">
            <v>35925.919999999998</v>
          </cell>
          <cell r="I817">
            <v>4548.8599999999997</v>
          </cell>
        </row>
        <row r="818">
          <cell r="G818">
            <v>990673</v>
          </cell>
          <cell r="H818">
            <v>7425.93</v>
          </cell>
          <cell r="I818">
            <v>2341.21</v>
          </cell>
        </row>
        <row r="819">
          <cell r="G819">
            <v>990674</v>
          </cell>
          <cell r="H819">
            <v>5006.88</v>
          </cell>
          <cell r="I819">
            <v>1708.15</v>
          </cell>
        </row>
        <row r="820">
          <cell r="G820">
            <v>990675</v>
          </cell>
          <cell r="H820">
            <v>802.68</v>
          </cell>
          <cell r="I820">
            <v>1195.1300000000001</v>
          </cell>
        </row>
        <row r="821">
          <cell r="G821">
            <v>990676</v>
          </cell>
          <cell r="H821">
            <v>730.51</v>
          </cell>
          <cell r="I821">
            <v>975.39</v>
          </cell>
        </row>
        <row r="822">
          <cell r="G822">
            <v>990677</v>
          </cell>
          <cell r="H822">
            <v>4463.95</v>
          </cell>
          <cell r="I822">
            <v>2312.31</v>
          </cell>
        </row>
        <row r="823">
          <cell r="G823">
            <v>990680</v>
          </cell>
          <cell r="H823">
            <v>54593.64</v>
          </cell>
          <cell r="I823">
            <v>11244.18</v>
          </cell>
        </row>
        <row r="824">
          <cell r="G824">
            <v>990683</v>
          </cell>
          <cell r="H824">
            <v>11390.04</v>
          </cell>
          <cell r="I824">
            <v>2803.72</v>
          </cell>
        </row>
        <row r="825">
          <cell r="G825">
            <v>990684</v>
          </cell>
          <cell r="H825">
            <v>27689.200000000001</v>
          </cell>
          <cell r="I825">
            <v>6315.76</v>
          </cell>
        </row>
        <row r="826">
          <cell r="G826">
            <v>990687</v>
          </cell>
          <cell r="H826">
            <v>34706</v>
          </cell>
          <cell r="I826">
            <v>7875.97</v>
          </cell>
        </row>
        <row r="827">
          <cell r="G827">
            <v>990689</v>
          </cell>
          <cell r="H827">
            <v>3471.51</v>
          </cell>
          <cell r="I827">
            <v>1315.52</v>
          </cell>
        </row>
        <row r="828">
          <cell r="G828">
            <v>990691</v>
          </cell>
          <cell r="H828">
            <v>566.47</v>
          </cell>
          <cell r="I828">
            <v>1512.8</v>
          </cell>
        </row>
        <row r="829">
          <cell r="G829">
            <v>990692</v>
          </cell>
          <cell r="H829">
            <v>2934.31</v>
          </cell>
          <cell r="I829">
            <v>2891.79</v>
          </cell>
        </row>
        <row r="830">
          <cell r="G830">
            <v>990693</v>
          </cell>
          <cell r="H830">
            <v>4076.83</v>
          </cell>
          <cell r="I830">
            <v>3276.05</v>
          </cell>
        </row>
        <row r="831">
          <cell r="G831">
            <v>990695</v>
          </cell>
          <cell r="H831">
            <v>24425.08</v>
          </cell>
          <cell r="I831">
            <v>24494.98</v>
          </cell>
        </row>
        <row r="832">
          <cell r="G832">
            <v>990698</v>
          </cell>
          <cell r="H832">
            <v>3905.67</v>
          </cell>
          <cell r="I832">
            <v>10339.209999999999</v>
          </cell>
        </row>
        <row r="833">
          <cell r="G833">
            <v>990701</v>
          </cell>
          <cell r="H833">
            <v>15452.59</v>
          </cell>
          <cell r="I833">
            <v>5116.3900000000003</v>
          </cell>
        </row>
        <row r="834">
          <cell r="G834">
            <v>990703</v>
          </cell>
          <cell r="H834">
            <v>585.25</v>
          </cell>
          <cell r="I834">
            <v>940.75</v>
          </cell>
        </row>
        <row r="835">
          <cell r="G835">
            <v>990704</v>
          </cell>
          <cell r="H835">
            <v>362.48</v>
          </cell>
          <cell r="I835">
            <v>861.59</v>
          </cell>
        </row>
        <row r="836">
          <cell r="G836">
            <v>990709</v>
          </cell>
          <cell r="H836">
            <v>21910.12</v>
          </cell>
          <cell r="I836">
            <v>4663.96</v>
          </cell>
        </row>
        <row r="837">
          <cell r="G837">
            <v>990710</v>
          </cell>
          <cell r="H837">
            <v>18142.310000000001</v>
          </cell>
          <cell r="I837">
            <v>4765.08</v>
          </cell>
        </row>
        <row r="838">
          <cell r="G838">
            <v>990718</v>
          </cell>
          <cell r="H838">
            <v>71556.89</v>
          </cell>
          <cell r="I838">
            <v>16769.189999999999</v>
          </cell>
        </row>
        <row r="839">
          <cell r="G839">
            <v>990721</v>
          </cell>
          <cell r="H839">
            <v>907.99</v>
          </cell>
          <cell r="I839">
            <v>978.31</v>
          </cell>
        </row>
        <row r="840">
          <cell r="G840">
            <v>990723</v>
          </cell>
          <cell r="H840">
            <v>12206.98</v>
          </cell>
          <cell r="I840">
            <v>2931.36</v>
          </cell>
        </row>
        <row r="841">
          <cell r="G841">
            <v>990724</v>
          </cell>
          <cell r="H841">
            <v>5376.02</v>
          </cell>
          <cell r="I841">
            <v>1764.33</v>
          </cell>
        </row>
        <row r="842">
          <cell r="G842">
            <v>990726</v>
          </cell>
          <cell r="H842">
            <v>4883.04</v>
          </cell>
          <cell r="I842">
            <v>1333.8</v>
          </cell>
        </row>
        <row r="843">
          <cell r="G843">
            <v>990731</v>
          </cell>
          <cell r="H843">
            <v>23407.16</v>
          </cell>
          <cell r="I843">
            <v>8465.32</v>
          </cell>
        </row>
        <row r="844">
          <cell r="G844">
            <v>990732</v>
          </cell>
          <cell r="H844">
            <v>4225.32</v>
          </cell>
          <cell r="I844">
            <v>1394.36</v>
          </cell>
        </row>
        <row r="845">
          <cell r="G845">
            <v>990733</v>
          </cell>
          <cell r="H845">
            <v>7016.7</v>
          </cell>
          <cell r="I845">
            <v>3228.49</v>
          </cell>
        </row>
        <row r="846">
          <cell r="G846">
            <v>990737</v>
          </cell>
          <cell r="H846">
            <v>4275.3900000000003</v>
          </cell>
          <cell r="I846">
            <v>2196.67</v>
          </cell>
        </row>
        <row r="847">
          <cell r="G847">
            <v>990740</v>
          </cell>
          <cell r="H847">
            <v>1692.82</v>
          </cell>
          <cell r="I847">
            <v>1866.53</v>
          </cell>
        </row>
        <row r="848">
          <cell r="G848">
            <v>990741</v>
          </cell>
          <cell r="H848">
            <v>1275.05</v>
          </cell>
          <cell r="I848">
            <v>1096.8599999999999</v>
          </cell>
        </row>
        <row r="849">
          <cell r="G849">
            <v>990742</v>
          </cell>
          <cell r="H849">
            <v>7039.33</v>
          </cell>
          <cell r="I849">
            <v>2085.04</v>
          </cell>
        </row>
        <row r="850">
          <cell r="G850">
            <v>990747</v>
          </cell>
          <cell r="H850">
            <v>7459.46</v>
          </cell>
          <cell r="I850">
            <v>2290.42</v>
          </cell>
        </row>
        <row r="851">
          <cell r="G851">
            <v>990748</v>
          </cell>
          <cell r="H851">
            <v>796.91</v>
          </cell>
          <cell r="I851">
            <v>925.9</v>
          </cell>
        </row>
        <row r="852">
          <cell r="G852">
            <v>990749</v>
          </cell>
          <cell r="H852">
            <v>35229.58</v>
          </cell>
          <cell r="I852">
            <v>7707.69</v>
          </cell>
        </row>
        <row r="853">
          <cell r="G853">
            <v>990750</v>
          </cell>
          <cell r="H853">
            <v>3120.08</v>
          </cell>
          <cell r="I853">
            <v>2086.14</v>
          </cell>
        </row>
        <row r="854">
          <cell r="G854">
            <v>990752</v>
          </cell>
          <cell r="H854">
            <v>1403.97</v>
          </cell>
          <cell r="I854">
            <v>1063.17</v>
          </cell>
        </row>
        <row r="855">
          <cell r="G855">
            <v>990756</v>
          </cell>
          <cell r="H855">
            <v>8854.84</v>
          </cell>
          <cell r="I855">
            <v>2933.33</v>
          </cell>
        </row>
        <row r="856">
          <cell r="G856">
            <v>990757</v>
          </cell>
          <cell r="H856">
            <v>12877.93</v>
          </cell>
          <cell r="I856">
            <v>5304.45</v>
          </cell>
        </row>
        <row r="857">
          <cell r="G857">
            <v>990758</v>
          </cell>
          <cell r="H857">
            <v>443.11</v>
          </cell>
          <cell r="I857">
            <v>914.67</v>
          </cell>
        </row>
        <row r="858">
          <cell r="G858">
            <v>990759</v>
          </cell>
          <cell r="H858">
            <v>8788.5499999999993</v>
          </cell>
          <cell r="I858">
            <v>2817.16</v>
          </cell>
        </row>
        <row r="859">
          <cell r="G859">
            <v>990761</v>
          </cell>
          <cell r="H859">
            <v>106.14</v>
          </cell>
          <cell r="I859">
            <v>882.28</v>
          </cell>
        </row>
        <row r="860">
          <cell r="G860">
            <v>990767</v>
          </cell>
          <cell r="H860">
            <v>14187.81</v>
          </cell>
          <cell r="I860">
            <v>18067.22</v>
          </cell>
        </row>
        <row r="861">
          <cell r="G861">
            <v>990775</v>
          </cell>
          <cell r="H861">
            <v>6940.61</v>
          </cell>
          <cell r="I861">
            <v>3903.6</v>
          </cell>
        </row>
        <row r="862">
          <cell r="G862">
            <v>990776</v>
          </cell>
          <cell r="H862">
            <v>510.57</v>
          </cell>
          <cell r="I862">
            <v>997.68</v>
          </cell>
        </row>
        <row r="863">
          <cell r="G863">
            <v>990782</v>
          </cell>
          <cell r="H863">
            <v>13275</v>
          </cell>
          <cell r="I863">
            <v>3389.21</v>
          </cell>
        </row>
        <row r="864">
          <cell r="G864">
            <v>990783</v>
          </cell>
          <cell r="H864">
            <v>29144.3</v>
          </cell>
          <cell r="I864">
            <v>5922.9</v>
          </cell>
        </row>
        <row r="865">
          <cell r="G865">
            <v>990790</v>
          </cell>
          <cell r="H865">
            <v>16248.54</v>
          </cell>
          <cell r="I865">
            <v>5580.53</v>
          </cell>
        </row>
        <row r="866">
          <cell r="G866">
            <v>990796</v>
          </cell>
          <cell r="H866">
            <v>2477.92</v>
          </cell>
          <cell r="I866">
            <v>1480.12</v>
          </cell>
        </row>
        <row r="867">
          <cell r="G867">
            <v>990798</v>
          </cell>
          <cell r="H867">
            <v>15019.92</v>
          </cell>
          <cell r="I867">
            <v>5177.6000000000004</v>
          </cell>
        </row>
        <row r="868">
          <cell r="G868">
            <v>990801</v>
          </cell>
          <cell r="H868">
            <v>8525.7999999999993</v>
          </cell>
          <cell r="I868">
            <v>2386.8200000000002</v>
          </cell>
        </row>
        <row r="869">
          <cell r="G869">
            <v>990805</v>
          </cell>
          <cell r="H869">
            <v>10122.120000000001</v>
          </cell>
          <cell r="I869">
            <v>2892.61</v>
          </cell>
        </row>
        <row r="870">
          <cell r="G870">
            <v>990809</v>
          </cell>
          <cell r="H870">
            <v>8291.3799999999992</v>
          </cell>
          <cell r="I870">
            <v>4821.68</v>
          </cell>
        </row>
        <row r="871">
          <cell r="G871">
            <v>990810</v>
          </cell>
          <cell r="H871">
            <v>627.97</v>
          </cell>
          <cell r="I871">
            <v>1117.0999999999999</v>
          </cell>
        </row>
        <row r="872">
          <cell r="G872">
            <v>990811</v>
          </cell>
          <cell r="H872">
            <v>3847.8</v>
          </cell>
          <cell r="I872">
            <v>2221.66</v>
          </cell>
        </row>
        <row r="873">
          <cell r="G873">
            <v>990812</v>
          </cell>
          <cell r="H873">
            <v>15100.7</v>
          </cell>
          <cell r="I873">
            <v>4879.25</v>
          </cell>
        </row>
        <row r="874">
          <cell r="G874">
            <v>990814</v>
          </cell>
          <cell r="H874">
            <v>9349.25</v>
          </cell>
          <cell r="I874">
            <v>3362.97</v>
          </cell>
        </row>
        <row r="875">
          <cell r="G875">
            <v>990815</v>
          </cell>
          <cell r="H875">
            <v>23685.79</v>
          </cell>
          <cell r="I875">
            <v>5873.25</v>
          </cell>
        </row>
        <row r="876">
          <cell r="G876">
            <v>990817</v>
          </cell>
          <cell r="H876">
            <v>2445.58</v>
          </cell>
          <cell r="I876">
            <v>1908.79</v>
          </cell>
        </row>
        <row r="877">
          <cell r="G877">
            <v>990819</v>
          </cell>
          <cell r="H877">
            <v>12334.11</v>
          </cell>
          <cell r="I877">
            <v>7033.06</v>
          </cell>
        </row>
        <row r="878">
          <cell r="G878">
            <v>990822</v>
          </cell>
          <cell r="H878">
            <v>11812.86</v>
          </cell>
          <cell r="I878">
            <v>3930.12</v>
          </cell>
        </row>
        <row r="879">
          <cell r="G879">
            <v>990823</v>
          </cell>
          <cell r="H879">
            <v>916.98</v>
          </cell>
          <cell r="I879">
            <v>1078.53</v>
          </cell>
        </row>
        <row r="880">
          <cell r="G880">
            <v>990824</v>
          </cell>
          <cell r="H880">
            <v>1833.96</v>
          </cell>
          <cell r="I880">
            <v>1309.8</v>
          </cell>
        </row>
        <row r="881">
          <cell r="G881">
            <v>990832</v>
          </cell>
          <cell r="H881">
            <v>29433.93</v>
          </cell>
          <cell r="I881">
            <v>6240.08</v>
          </cell>
        </row>
        <row r="882">
          <cell r="G882">
            <v>990836</v>
          </cell>
          <cell r="H882">
            <v>101.42</v>
          </cell>
          <cell r="I882">
            <v>815.07</v>
          </cell>
        </row>
        <row r="883">
          <cell r="G883">
            <v>990839</v>
          </cell>
          <cell r="H883">
            <v>12363.98</v>
          </cell>
          <cell r="I883">
            <v>3858.54</v>
          </cell>
        </row>
        <row r="884">
          <cell r="G884">
            <v>990843</v>
          </cell>
          <cell r="H884">
            <v>3387.73</v>
          </cell>
          <cell r="I884">
            <v>1360.88</v>
          </cell>
        </row>
        <row r="885">
          <cell r="G885">
            <v>990844</v>
          </cell>
          <cell r="H885">
            <v>12180.81</v>
          </cell>
          <cell r="I885">
            <v>3199.02</v>
          </cell>
        </row>
        <row r="886">
          <cell r="G886">
            <v>990845</v>
          </cell>
          <cell r="H886">
            <v>14949.53</v>
          </cell>
          <cell r="I886">
            <v>3553.03</v>
          </cell>
        </row>
        <row r="887">
          <cell r="G887">
            <v>990846</v>
          </cell>
          <cell r="H887">
            <v>2839.14</v>
          </cell>
          <cell r="I887">
            <v>1332.38</v>
          </cell>
        </row>
        <row r="888">
          <cell r="G888">
            <v>990847</v>
          </cell>
          <cell r="H888">
            <v>1410.41</v>
          </cell>
          <cell r="I888">
            <v>1050.29</v>
          </cell>
        </row>
        <row r="889">
          <cell r="G889">
            <v>990848</v>
          </cell>
          <cell r="H889">
            <v>2891.84</v>
          </cell>
          <cell r="I889">
            <v>2047.03</v>
          </cell>
        </row>
        <row r="890">
          <cell r="G890">
            <v>990852</v>
          </cell>
          <cell r="H890">
            <v>3007.21</v>
          </cell>
          <cell r="I890">
            <v>1715.14</v>
          </cell>
        </row>
        <row r="891">
          <cell r="G891">
            <v>990855</v>
          </cell>
          <cell r="H891">
            <v>13939.07</v>
          </cell>
          <cell r="I891">
            <v>4024.02</v>
          </cell>
        </row>
        <row r="892">
          <cell r="G892">
            <v>990860</v>
          </cell>
          <cell r="H892">
            <v>17376.87</v>
          </cell>
          <cell r="I892">
            <v>5051.49</v>
          </cell>
        </row>
        <row r="893">
          <cell r="G893">
            <v>990863</v>
          </cell>
          <cell r="H893">
            <v>5935.39</v>
          </cell>
          <cell r="I893">
            <v>1906.21</v>
          </cell>
        </row>
        <row r="894">
          <cell r="G894">
            <v>990868</v>
          </cell>
          <cell r="H894">
            <v>3632.42</v>
          </cell>
          <cell r="I894">
            <v>1407.12</v>
          </cell>
        </row>
        <row r="895">
          <cell r="G895">
            <v>990870</v>
          </cell>
          <cell r="H895">
            <v>6185.97</v>
          </cell>
          <cell r="I895">
            <v>1815.95</v>
          </cell>
        </row>
        <row r="896">
          <cell r="G896">
            <v>990873</v>
          </cell>
          <cell r="H896">
            <v>1611.79</v>
          </cell>
          <cell r="I896">
            <v>872.66</v>
          </cell>
        </row>
        <row r="897">
          <cell r="G897">
            <v>990874</v>
          </cell>
          <cell r="H897">
            <v>1815.21</v>
          </cell>
          <cell r="I897">
            <v>1291.08</v>
          </cell>
        </row>
        <row r="898">
          <cell r="G898">
            <v>990877</v>
          </cell>
          <cell r="H898">
            <v>1410.41</v>
          </cell>
          <cell r="I898">
            <v>1050.29</v>
          </cell>
        </row>
        <row r="899">
          <cell r="G899">
            <v>990880</v>
          </cell>
          <cell r="H899">
            <v>2121.4299999999998</v>
          </cell>
          <cell r="I899">
            <v>1620.67</v>
          </cell>
        </row>
        <row r="900">
          <cell r="G900">
            <v>990885</v>
          </cell>
          <cell r="H900">
            <v>7061.68</v>
          </cell>
          <cell r="I900">
            <v>2736.02</v>
          </cell>
        </row>
        <row r="901">
          <cell r="G901">
            <v>990889</v>
          </cell>
          <cell r="H901">
            <v>4711.53</v>
          </cell>
          <cell r="I901">
            <v>1495.44</v>
          </cell>
        </row>
        <row r="902">
          <cell r="G902">
            <v>990890</v>
          </cell>
          <cell r="H902">
            <v>2912.94</v>
          </cell>
          <cell r="I902">
            <v>1353.96</v>
          </cell>
        </row>
        <row r="903">
          <cell r="G903">
            <v>990901</v>
          </cell>
          <cell r="H903">
            <v>1283.1199999999999</v>
          </cell>
          <cell r="I903">
            <v>1907.72</v>
          </cell>
        </row>
        <row r="904">
          <cell r="G904">
            <v>990902</v>
          </cell>
          <cell r="H904">
            <v>1960.85</v>
          </cell>
          <cell r="I904">
            <v>1489.81</v>
          </cell>
        </row>
        <row r="905">
          <cell r="G905">
            <v>990903</v>
          </cell>
          <cell r="H905">
            <v>25873.439999999999</v>
          </cell>
          <cell r="I905">
            <v>4338.13</v>
          </cell>
        </row>
        <row r="906">
          <cell r="G906">
            <v>990916</v>
          </cell>
          <cell r="H906">
            <v>171.68</v>
          </cell>
          <cell r="I906">
            <v>989.15</v>
          </cell>
        </row>
        <row r="907">
          <cell r="G907">
            <v>990919</v>
          </cell>
          <cell r="H907">
            <v>21035.27</v>
          </cell>
          <cell r="I907">
            <v>4931.03</v>
          </cell>
        </row>
        <row r="908">
          <cell r="G908">
            <v>990922</v>
          </cell>
          <cell r="H908">
            <v>4975.0200000000004</v>
          </cell>
          <cell r="I908">
            <v>2305.0100000000002</v>
          </cell>
        </row>
        <row r="909">
          <cell r="G909">
            <v>990924</v>
          </cell>
          <cell r="H909">
            <v>1247.1099999999999</v>
          </cell>
          <cell r="I909">
            <v>1167.54</v>
          </cell>
        </row>
        <row r="910">
          <cell r="G910">
            <v>990928</v>
          </cell>
          <cell r="H910">
            <v>5361.63</v>
          </cell>
          <cell r="I910">
            <v>2064.67</v>
          </cell>
        </row>
        <row r="911">
          <cell r="G911">
            <v>990935</v>
          </cell>
          <cell r="H911">
            <v>12197.55</v>
          </cell>
          <cell r="I911">
            <v>4611</v>
          </cell>
        </row>
        <row r="912">
          <cell r="G912">
            <v>990939</v>
          </cell>
          <cell r="H912">
            <v>7324.71</v>
          </cell>
          <cell r="I912">
            <v>4348.34</v>
          </cell>
        </row>
        <row r="913">
          <cell r="G913">
            <v>990944</v>
          </cell>
          <cell r="H913">
            <v>10516.07</v>
          </cell>
          <cell r="I913">
            <v>2788.84</v>
          </cell>
        </row>
        <row r="914">
          <cell r="G914">
            <v>990945</v>
          </cell>
          <cell r="H914">
            <v>12421.67</v>
          </cell>
          <cell r="I914">
            <v>3096.27</v>
          </cell>
        </row>
        <row r="915">
          <cell r="G915">
            <v>990947</v>
          </cell>
          <cell r="H915">
            <v>568.59</v>
          </cell>
          <cell r="I915">
            <v>887.59</v>
          </cell>
        </row>
        <row r="916">
          <cell r="G916">
            <v>990952</v>
          </cell>
          <cell r="H916">
            <v>465.22</v>
          </cell>
          <cell r="I916">
            <v>892.74</v>
          </cell>
        </row>
        <row r="917">
          <cell r="G917">
            <v>990953</v>
          </cell>
          <cell r="H917">
            <v>320.31</v>
          </cell>
          <cell r="I917">
            <v>947.74</v>
          </cell>
        </row>
        <row r="918">
          <cell r="G918">
            <v>990964</v>
          </cell>
          <cell r="H918">
            <v>5479.27</v>
          </cell>
          <cell r="I918">
            <v>2267.9699999999998</v>
          </cell>
        </row>
        <row r="919">
          <cell r="G919">
            <v>990970</v>
          </cell>
          <cell r="H919">
            <v>300</v>
          </cell>
          <cell r="I919">
            <v>401.52</v>
          </cell>
        </row>
        <row r="920">
          <cell r="G920">
            <v>990984</v>
          </cell>
          <cell r="H920">
            <v>336.23</v>
          </cell>
          <cell r="I920">
            <v>868.36</v>
          </cell>
        </row>
        <row r="921">
          <cell r="G921">
            <v>991000</v>
          </cell>
          <cell r="H921">
            <v>911.23</v>
          </cell>
          <cell r="I921">
            <v>1068.1099999999999</v>
          </cell>
        </row>
        <row r="922">
          <cell r="G922">
            <v>991011</v>
          </cell>
          <cell r="H922">
            <v>15463.28</v>
          </cell>
          <cell r="I922">
            <v>3534.22</v>
          </cell>
        </row>
        <row r="923">
          <cell r="G923">
            <v>991026</v>
          </cell>
          <cell r="H923">
            <v>1120.06</v>
          </cell>
          <cell r="I923">
            <v>1093.96</v>
          </cell>
        </row>
        <row r="924">
          <cell r="G924">
            <v>991027</v>
          </cell>
          <cell r="H924">
            <v>1035.67</v>
          </cell>
          <cell r="I924">
            <v>1071.08</v>
          </cell>
        </row>
        <row r="925">
          <cell r="G925">
            <v>991028</v>
          </cell>
          <cell r="H925">
            <v>2384.33</v>
          </cell>
          <cell r="I925">
            <v>1438</v>
          </cell>
        </row>
        <row r="926">
          <cell r="G926">
            <v>991041</v>
          </cell>
          <cell r="H926">
            <v>760.38</v>
          </cell>
          <cell r="I926">
            <v>1086.75</v>
          </cell>
        </row>
        <row r="927">
          <cell r="G927">
            <v>991044</v>
          </cell>
          <cell r="H927">
            <v>570.11</v>
          </cell>
          <cell r="I927">
            <v>995.63</v>
          </cell>
        </row>
        <row r="928">
          <cell r="G928">
            <v>991051</v>
          </cell>
          <cell r="H928">
            <v>1504.52</v>
          </cell>
          <cell r="I928">
            <v>1573.72</v>
          </cell>
        </row>
        <row r="929">
          <cell r="G929">
            <v>991052</v>
          </cell>
          <cell r="H929">
            <v>2556.56</v>
          </cell>
          <cell r="I929">
            <v>1206.05</v>
          </cell>
        </row>
        <row r="930">
          <cell r="G930">
            <v>991066</v>
          </cell>
          <cell r="H930">
            <v>18759.580000000002</v>
          </cell>
          <cell r="I930">
            <v>6021.46</v>
          </cell>
        </row>
        <row r="931">
          <cell r="G931">
            <v>991067</v>
          </cell>
          <cell r="H931">
            <v>9934.84</v>
          </cell>
          <cell r="I931">
            <v>5398.47</v>
          </cell>
        </row>
        <row r="932">
          <cell r="G932">
            <v>991070</v>
          </cell>
          <cell r="H932">
            <v>5021.25</v>
          </cell>
          <cell r="I932">
            <v>2108.19</v>
          </cell>
        </row>
        <row r="933">
          <cell r="G933">
            <v>991071</v>
          </cell>
          <cell r="H933">
            <v>1669.4</v>
          </cell>
          <cell r="I933">
            <v>944.36</v>
          </cell>
        </row>
        <row r="934">
          <cell r="G934">
            <v>991074</v>
          </cell>
          <cell r="H934">
            <v>32295.05</v>
          </cell>
          <cell r="I934">
            <v>13203.97</v>
          </cell>
        </row>
        <row r="935">
          <cell r="G935">
            <v>991091</v>
          </cell>
          <cell r="H935">
            <v>4926.6099999999997</v>
          </cell>
          <cell r="I935">
            <v>1730.03</v>
          </cell>
        </row>
        <row r="936">
          <cell r="G936">
            <v>991097</v>
          </cell>
          <cell r="H936">
            <v>12204.53</v>
          </cell>
          <cell r="I936">
            <v>3176.36</v>
          </cell>
        </row>
        <row r="937">
          <cell r="G937">
            <v>991105</v>
          </cell>
          <cell r="H937">
            <v>247.13</v>
          </cell>
          <cell r="I937">
            <v>1065.3</v>
          </cell>
        </row>
        <row r="938">
          <cell r="G938">
            <v>991144</v>
          </cell>
          <cell r="H938">
            <v>1943.29</v>
          </cell>
          <cell r="I938">
            <v>1261.26</v>
          </cell>
        </row>
        <row r="939">
          <cell r="G939">
            <v>991185</v>
          </cell>
          <cell r="H939">
            <v>4045.16</v>
          </cell>
          <cell r="I939">
            <v>1982.37</v>
          </cell>
        </row>
        <row r="940">
          <cell r="G940" t="str">
            <v/>
          </cell>
        </row>
        <row r="1188">
          <cell r="O1188" t="str">
            <v>FORN</v>
          </cell>
        </row>
        <row r="1687">
          <cell r="I1687" t="str">
            <v>FORN</v>
          </cell>
        </row>
      </sheetData>
      <sheetData sheetId="2"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1159637.06</v>
          </cell>
          <cell r="R3">
            <v>135425</v>
          </cell>
          <cell r="S3">
            <v>328982.88</v>
          </cell>
          <cell r="T3">
            <v>666616.03</v>
          </cell>
          <cell r="U3">
            <v>3066543.37</v>
          </cell>
          <cell r="V3">
            <v>20206851.810000017</v>
          </cell>
          <cell r="Y3">
            <v>259</v>
          </cell>
          <cell r="Z3">
            <v>0</v>
          </cell>
          <cell r="AA3">
            <v>486</v>
          </cell>
          <cell r="AB3">
            <v>303</v>
          </cell>
          <cell r="AC3">
            <v>290</v>
          </cell>
          <cell r="AD3">
            <v>1038.73</v>
          </cell>
        </row>
        <row r="4">
          <cell r="A4">
            <v>982871</v>
          </cell>
          <cell r="C4">
            <v>176</v>
          </cell>
          <cell r="D4">
            <v>7</v>
          </cell>
          <cell r="E4">
            <v>130</v>
          </cell>
          <cell r="F4">
            <v>257</v>
          </cell>
          <cell r="G4">
            <v>450</v>
          </cell>
          <cell r="H4">
            <v>1022.6</v>
          </cell>
          <cell r="I4">
            <v>1335.48</v>
          </cell>
          <cell r="J4">
            <v>90742</v>
          </cell>
          <cell r="K4" t="str">
            <v>MP</v>
          </cell>
        </row>
        <row r="5">
          <cell r="A5">
            <v>984685</v>
          </cell>
          <cell r="C5">
            <v>145</v>
          </cell>
          <cell r="D5">
            <v>4</v>
          </cell>
          <cell r="E5">
            <v>130</v>
          </cell>
          <cell r="F5">
            <v>1257</v>
          </cell>
          <cell r="G5">
            <v>292</v>
          </cell>
          <cell r="H5">
            <v>1830.23</v>
          </cell>
          <cell r="I5">
            <v>899.76</v>
          </cell>
          <cell r="J5">
            <v>91457</v>
          </cell>
          <cell r="K5" t="str">
            <v>MP</v>
          </cell>
        </row>
        <row r="6">
          <cell r="A6">
            <v>985033</v>
          </cell>
          <cell r="C6">
            <v>227</v>
          </cell>
          <cell r="D6">
            <v>116</v>
          </cell>
          <cell r="E6">
            <v>463</v>
          </cell>
          <cell r="F6">
            <v>1071</v>
          </cell>
          <cell r="G6">
            <v>2105</v>
          </cell>
          <cell r="H6">
            <v>3984.97</v>
          </cell>
          <cell r="I6">
            <v>22617.31</v>
          </cell>
          <cell r="J6">
            <v>90083</v>
          </cell>
          <cell r="K6" t="str">
            <v>MP</v>
          </cell>
        </row>
        <row r="7">
          <cell r="A7">
            <v>985068</v>
          </cell>
          <cell r="C7">
            <v>9789</v>
          </cell>
          <cell r="D7">
            <v>12600</v>
          </cell>
          <cell r="E7">
            <v>457</v>
          </cell>
          <cell r="F7">
            <v>46192</v>
          </cell>
          <cell r="G7">
            <v>124905</v>
          </cell>
          <cell r="H7">
            <v>193946.32</v>
          </cell>
          <cell r="I7">
            <v>1291742.49</v>
          </cell>
          <cell r="J7">
            <v>91706</v>
          </cell>
          <cell r="K7" t="str">
            <v>MP</v>
          </cell>
        </row>
        <row r="8">
          <cell r="A8">
            <v>985098</v>
          </cell>
          <cell r="C8">
            <v>210</v>
          </cell>
          <cell r="D8">
            <v>45</v>
          </cell>
          <cell r="E8">
            <v>557</v>
          </cell>
          <cell r="F8">
            <v>341</v>
          </cell>
          <cell r="G8">
            <v>1351</v>
          </cell>
          <cell r="H8">
            <v>2505.5700000000002</v>
          </cell>
          <cell r="I8">
            <v>4695.6000000000004</v>
          </cell>
          <cell r="J8">
            <v>92219</v>
          </cell>
          <cell r="K8" t="str">
            <v>MP</v>
          </cell>
        </row>
        <row r="9">
          <cell r="A9">
            <v>985192</v>
          </cell>
          <cell r="C9">
            <v>197</v>
          </cell>
          <cell r="D9">
            <v>326</v>
          </cell>
          <cell r="E9">
            <v>504</v>
          </cell>
          <cell r="F9">
            <v>1460</v>
          </cell>
          <cell r="G9">
            <v>4253</v>
          </cell>
          <cell r="H9">
            <v>6743.21</v>
          </cell>
          <cell r="I9">
            <v>32486.79</v>
          </cell>
          <cell r="J9">
            <v>90086</v>
          </cell>
          <cell r="K9" t="str">
            <v>MP</v>
          </cell>
        </row>
        <row r="10">
          <cell r="A10">
            <v>985247</v>
          </cell>
          <cell r="C10">
            <v>3483</v>
          </cell>
          <cell r="D10">
            <v>241</v>
          </cell>
          <cell r="E10">
            <v>446</v>
          </cell>
          <cell r="F10">
            <v>1115</v>
          </cell>
          <cell r="G10">
            <v>8022</v>
          </cell>
          <cell r="H10">
            <v>13309.75</v>
          </cell>
          <cell r="I10">
            <v>22419.53</v>
          </cell>
          <cell r="J10">
            <v>91375</v>
          </cell>
          <cell r="K10" t="str">
            <v>MP</v>
          </cell>
        </row>
        <row r="11">
          <cell r="A11">
            <v>985282</v>
          </cell>
          <cell r="C11">
            <v>11860</v>
          </cell>
          <cell r="D11">
            <v>1276</v>
          </cell>
          <cell r="E11">
            <v>439</v>
          </cell>
          <cell r="F11">
            <v>5324</v>
          </cell>
          <cell r="G11">
            <v>42838</v>
          </cell>
          <cell r="H11">
            <v>61739.01</v>
          </cell>
          <cell r="I11">
            <v>136481.92000000001</v>
          </cell>
          <cell r="J11">
            <v>90442</v>
          </cell>
          <cell r="K11" t="str">
            <v>MP</v>
          </cell>
        </row>
        <row r="12">
          <cell r="A12">
            <v>985288</v>
          </cell>
          <cell r="C12">
            <v>1643</v>
          </cell>
          <cell r="D12">
            <v>61</v>
          </cell>
          <cell r="E12">
            <v>495</v>
          </cell>
          <cell r="F12">
            <v>508</v>
          </cell>
          <cell r="G12">
            <v>2142</v>
          </cell>
          <cell r="H12">
            <v>3358.18</v>
          </cell>
          <cell r="I12">
            <v>8210</v>
          </cell>
          <cell r="J12">
            <v>91462</v>
          </cell>
          <cell r="K12" t="str">
            <v>MP</v>
          </cell>
        </row>
        <row r="13">
          <cell r="A13">
            <v>990095</v>
          </cell>
          <cell r="C13">
            <v>28678</v>
          </cell>
          <cell r="D13">
            <v>1394</v>
          </cell>
          <cell r="E13">
            <v>495</v>
          </cell>
          <cell r="F13">
            <v>10062</v>
          </cell>
          <cell r="G13">
            <v>64606</v>
          </cell>
          <cell r="H13">
            <v>105237.28</v>
          </cell>
          <cell r="I13">
            <v>237470.78</v>
          </cell>
          <cell r="J13">
            <v>92243</v>
          </cell>
          <cell r="K13" t="str">
            <v>MP</v>
          </cell>
        </row>
        <row r="14">
          <cell r="A14">
            <v>990115</v>
          </cell>
          <cell r="C14">
            <v>2753</v>
          </cell>
          <cell r="D14">
            <v>788</v>
          </cell>
          <cell r="E14">
            <v>475</v>
          </cell>
          <cell r="F14">
            <v>3124</v>
          </cell>
          <cell r="G14">
            <v>24223</v>
          </cell>
          <cell r="H14">
            <v>31365</v>
          </cell>
          <cell r="I14">
            <v>75650</v>
          </cell>
          <cell r="J14">
            <v>92140</v>
          </cell>
          <cell r="K14" t="str">
            <v>MP</v>
          </cell>
        </row>
        <row r="15">
          <cell r="A15">
            <v>990175</v>
          </cell>
          <cell r="C15">
            <v>3447</v>
          </cell>
          <cell r="D15">
            <v>3592</v>
          </cell>
          <cell r="E15">
            <v>511</v>
          </cell>
          <cell r="F15">
            <v>25604</v>
          </cell>
          <cell r="G15">
            <v>57405</v>
          </cell>
          <cell r="H15">
            <v>90561.96</v>
          </cell>
          <cell r="I15">
            <v>635976.14</v>
          </cell>
          <cell r="J15">
            <v>91578</v>
          </cell>
          <cell r="K15" t="str">
            <v>MP</v>
          </cell>
        </row>
        <row r="16">
          <cell r="A16">
            <v>990199</v>
          </cell>
          <cell r="C16">
            <v>2801</v>
          </cell>
          <cell r="D16">
            <v>3655</v>
          </cell>
          <cell r="E16">
            <v>456</v>
          </cell>
          <cell r="F16">
            <v>13691</v>
          </cell>
          <cell r="G16">
            <v>67265</v>
          </cell>
          <cell r="H16">
            <v>87870.67</v>
          </cell>
          <cell r="I16">
            <v>381378.12</v>
          </cell>
          <cell r="J16">
            <v>90570</v>
          </cell>
          <cell r="K16" t="str">
            <v>MP</v>
          </cell>
        </row>
        <row r="17">
          <cell r="A17">
            <v>990219</v>
          </cell>
          <cell r="C17">
            <v>4916</v>
          </cell>
          <cell r="D17">
            <v>157</v>
          </cell>
          <cell r="E17">
            <v>519</v>
          </cell>
          <cell r="F17">
            <v>4782</v>
          </cell>
          <cell r="G17">
            <v>38225</v>
          </cell>
          <cell r="H17">
            <v>48601.77</v>
          </cell>
          <cell r="I17">
            <v>109747.99</v>
          </cell>
          <cell r="J17">
            <v>91262</v>
          </cell>
          <cell r="K17" t="str">
            <v>MP</v>
          </cell>
        </row>
        <row r="18">
          <cell r="A18">
            <v>990225</v>
          </cell>
          <cell r="C18">
            <v>416</v>
          </cell>
          <cell r="D18">
            <v>260</v>
          </cell>
          <cell r="E18">
            <v>519</v>
          </cell>
          <cell r="F18">
            <v>1206</v>
          </cell>
          <cell r="G18">
            <v>5913</v>
          </cell>
          <cell r="H18">
            <v>8316.44</v>
          </cell>
          <cell r="I18">
            <v>23258.880000000001</v>
          </cell>
          <cell r="J18">
            <v>91468</v>
          </cell>
          <cell r="K18" t="str">
            <v>MP</v>
          </cell>
        </row>
        <row r="19">
          <cell r="A19">
            <v>990285</v>
          </cell>
          <cell r="C19">
            <v>2114</v>
          </cell>
          <cell r="D19">
            <v>59</v>
          </cell>
          <cell r="E19">
            <v>483</v>
          </cell>
          <cell r="F19">
            <v>448</v>
          </cell>
          <cell r="G19">
            <v>1886</v>
          </cell>
          <cell r="H19">
            <v>4992.13</v>
          </cell>
          <cell r="I19">
            <v>5284.96</v>
          </cell>
          <cell r="J19">
            <v>91262</v>
          </cell>
          <cell r="K19" t="str">
            <v>MP</v>
          </cell>
        </row>
        <row r="20">
          <cell r="A20">
            <v>990307</v>
          </cell>
          <cell r="C20">
            <v>540</v>
          </cell>
          <cell r="D20">
            <v>954</v>
          </cell>
          <cell r="E20">
            <v>488</v>
          </cell>
          <cell r="F20">
            <v>3729</v>
          </cell>
          <cell r="G20">
            <v>7718</v>
          </cell>
          <cell r="H20">
            <v>13430.42</v>
          </cell>
          <cell r="I20">
            <v>99110.03</v>
          </cell>
          <cell r="J20">
            <v>91578</v>
          </cell>
          <cell r="K20" t="str">
            <v>MP</v>
          </cell>
        </row>
        <row r="21">
          <cell r="A21">
            <v>990336</v>
          </cell>
          <cell r="C21">
            <v>798</v>
          </cell>
          <cell r="D21">
            <v>306</v>
          </cell>
          <cell r="E21">
            <v>504</v>
          </cell>
          <cell r="F21">
            <v>1390</v>
          </cell>
          <cell r="G21">
            <v>4938</v>
          </cell>
          <cell r="H21">
            <v>7938.51</v>
          </cell>
          <cell r="I21">
            <v>36191.26</v>
          </cell>
          <cell r="J21">
            <v>90424</v>
          </cell>
          <cell r="K21" t="str">
            <v>MP</v>
          </cell>
        </row>
        <row r="22">
          <cell r="A22">
            <v>990393</v>
          </cell>
          <cell r="C22">
            <v>155</v>
          </cell>
          <cell r="D22">
            <v>10</v>
          </cell>
          <cell r="E22">
            <v>486</v>
          </cell>
          <cell r="F22">
            <v>204</v>
          </cell>
          <cell r="G22">
            <v>449</v>
          </cell>
          <cell r="H22">
            <v>1306.1500000000001</v>
          </cell>
          <cell r="I22">
            <v>2198.85</v>
          </cell>
          <cell r="J22">
            <v>90485</v>
          </cell>
          <cell r="K22" t="str">
            <v>MP</v>
          </cell>
        </row>
        <row r="23">
          <cell r="A23">
            <v>990435</v>
          </cell>
          <cell r="C23">
            <v>874</v>
          </cell>
          <cell r="D23">
            <v>165</v>
          </cell>
          <cell r="E23">
            <v>447</v>
          </cell>
          <cell r="F23">
            <v>857</v>
          </cell>
          <cell r="G23">
            <v>5078</v>
          </cell>
          <cell r="H23">
            <v>7422.35</v>
          </cell>
          <cell r="I23">
            <v>19356.98</v>
          </cell>
          <cell r="J23">
            <v>90986</v>
          </cell>
          <cell r="K23" t="str">
            <v>MP</v>
          </cell>
        </row>
        <row r="24">
          <cell r="A24">
            <v>990443</v>
          </cell>
          <cell r="C24">
            <v>712</v>
          </cell>
          <cell r="D24">
            <v>849</v>
          </cell>
          <cell r="E24">
            <v>488</v>
          </cell>
          <cell r="F24">
            <v>3348</v>
          </cell>
          <cell r="G24">
            <v>19242</v>
          </cell>
          <cell r="H24">
            <v>24641.07</v>
          </cell>
          <cell r="I24">
            <v>102718.97</v>
          </cell>
          <cell r="J24">
            <v>91578</v>
          </cell>
          <cell r="K24" t="str">
            <v>MP</v>
          </cell>
        </row>
        <row r="25">
          <cell r="A25">
            <v>990462</v>
          </cell>
          <cell r="C25">
            <v>2310</v>
          </cell>
          <cell r="D25">
            <v>74</v>
          </cell>
          <cell r="E25">
            <v>495</v>
          </cell>
          <cell r="F25">
            <v>513</v>
          </cell>
          <cell r="G25">
            <v>2170</v>
          </cell>
          <cell r="H25">
            <v>5564.38</v>
          </cell>
          <cell r="I25">
            <v>7287.19</v>
          </cell>
          <cell r="J25">
            <v>91262</v>
          </cell>
          <cell r="K25" t="str">
            <v>MP</v>
          </cell>
        </row>
        <row r="26">
          <cell r="A26">
            <v>990463</v>
          </cell>
          <cell r="C26">
            <v>1169</v>
          </cell>
          <cell r="D26">
            <v>33</v>
          </cell>
          <cell r="E26">
            <v>495</v>
          </cell>
          <cell r="F26">
            <v>246</v>
          </cell>
          <cell r="G26">
            <v>964</v>
          </cell>
          <cell r="H26">
            <v>2909.27</v>
          </cell>
          <cell r="I26">
            <v>3290.9</v>
          </cell>
          <cell r="J26">
            <v>91262</v>
          </cell>
          <cell r="K26" t="str">
            <v>MP</v>
          </cell>
        </row>
        <row r="27">
          <cell r="A27">
            <v>990467</v>
          </cell>
          <cell r="C27">
            <v>242</v>
          </cell>
          <cell r="D27">
            <v>196</v>
          </cell>
          <cell r="E27">
            <v>478</v>
          </cell>
          <cell r="F27">
            <v>1643</v>
          </cell>
          <cell r="G27">
            <v>8634</v>
          </cell>
          <cell r="H27">
            <v>11196.03</v>
          </cell>
          <cell r="I27">
            <v>52374.53</v>
          </cell>
          <cell r="J27">
            <v>90097</v>
          </cell>
          <cell r="K27" t="str">
            <v>MP</v>
          </cell>
        </row>
        <row r="28">
          <cell r="A28">
            <v>990483</v>
          </cell>
          <cell r="C28">
            <v>9463</v>
          </cell>
          <cell r="D28">
            <v>468</v>
          </cell>
          <cell r="E28">
            <v>519</v>
          </cell>
          <cell r="F28">
            <v>1962</v>
          </cell>
          <cell r="G28">
            <v>15924</v>
          </cell>
          <cell r="H28">
            <v>28338.83</v>
          </cell>
          <cell r="I28">
            <v>46832.08</v>
          </cell>
          <cell r="J28">
            <v>91375</v>
          </cell>
          <cell r="K28" t="str">
            <v>MP</v>
          </cell>
        </row>
        <row r="29">
          <cell r="A29">
            <v>990496</v>
          </cell>
          <cell r="C29">
            <v>337</v>
          </cell>
          <cell r="D29">
            <v>23</v>
          </cell>
          <cell r="E29">
            <v>519</v>
          </cell>
          <cell r="F29">
            <v>218</v>
          </cell>
          <cell r="G29">
            <v>729</v>
          </cell>
          <cell r="H29">
            <v>1829.06</v>
          </cell>
          <cell r="I29">
            <v>2685.14</v>
          </cell>
          <cell r="J29">
            <v>91462</v>
          </cell>
          <cell r="K29" t="str">
            <v>MP</v>
          </cell>
        </row>
        <row r="30">
          <cell r="A30">
            <v>990497</v>
          </cell>
          <cell r="C30">
            <v>448</v>
          </cell>
          <cell r="D30">
            <v>167</v>
          </cell>
          <cell r="E30">
            <v>488</v>
          </cell>
          <cell r="F30">
            <v>887</v>
          </cell>
          <cell r="G30">
            <v>3869</v>
          </cell>
          <cell r="H30">
            <v>5861.97</v>
          </cell>
          <cell r="I30">
            <v>24126.799999999999</v>
          </cell>
          <cell r="J30">
            <v>90086</v>
          </cell>
          <cell r="K30" t="str">
            <v>MP</v>
          </cell>
        </row>
        <row r="31">
          <cell r="A31">
            <v>990501</v>
          </cell>
          <cell r="C31">
            <v>272</v>
          </cell>
          <cell r="D31">
            <v>26</v>
          </cell>
          <cell r="E31">
            <v>150</v>
          </cell>
          <cell r="F31">
            <v>357</v>
          </cell>
          <cell r="G31">
            <v>828</v>
          </cell>
          <cell r="H31">
            <v>1634.76</v>
          </cell>
          <cell r="I31">
            <v>3260.82</v>
          </cell>
          <cell r="J31">
            <v>91462</v>
          </cell>
          <cell r="K31" t="str">
            <v>MP</v>
          </cell>
        </row>
        <row r="32">
          <cell r="A32">
            <v>990502</v>
          </cell>
          <cell r="C32">
            <v>108</v>
          </cell>
          <cell r="D32">
            <v>3</v>
          </cell>
          <cell r="E32">
            <v>250</v>
          </cell>
          <cell r="F32">
            <v>307</v>
          </cell>
          <cell r="G32">
            <v>110</v>
          </cell>
          <cell r="H32">
            <v>780.56</v>
          </cell>
          <cell r="I32">
            <v>314.89999999999998</v>
          </cell>
          <cell r="J32">
            <v>91869</v>
          </cell>
          <cell r="K32" t="str">
            <v>MP</v>
          </cell>
        </row>
        <row r="33">
          <cell r="A33">
            <v>990522</v>
          </cell>
          <cell r="C33">
            <v>182</v>
          </cell>
          <cell r="D33">
            <v>18</v>
          </cell>
          <cell r="E33">
            <v>460</v>
          </cell>
          <cell r="F33">
            <v>5799</v>
          </cell>
          <cell r="G33">
            <v>794</v>
          </cell>
          <cell r="H33">
            <v>7255.11</v>
          </cell>
          <cell r="I33">
            <v>4873.5</v>
          </cell>
          <cell r="J33">
            <v>90061</v>
          </cell>
          <cell r="K33" t="str">
            <v>MP</v>
          </cell>
        </row>
        <row r="34">
          <cell r="A34">
            <v>990526</v>
          </cell>
          <cell r="C34">
            <v>7789</v>
          </cell>
          <cell r="D34">
            <v>2576</v>
          </cell>
          <cell r="E34">
            <v>511</v>
          </cell>
          <cell r="F34">
            <v>18292</v>
          </cell>
          <cell r="G34">
            <v>106455</v>
          </cell>
          <cell r="H34">
            <v>135626.04999999999</v>
          </cell>
          <cell r="I34">
            <v>571263.36</v>
          </cell>
          <cell r="J34">
            <v>92107</v>
          </cell>
          <cell r="K34" t="str">
            <v>MP</v>
          </cell>
        </row>
        <row r="35">
          <cell r="A35">
            <v>990527</v>
          </cell>
          <cell r="C35">
            <v>6620</v>
          </cell>
          <cell r="D35">
            <v>415</v>
          </cell>
          <cell r="E35">
            <v>472</v>
          </cell>
          <cell r="F35">
            <v>1757</v>
          </cell>
          <cell r="G35">
            <v>12678</v>
          </cell>
          <cell r="H35">
            <v>21945.07</v>
          </cell>
          <cell r="I35">
            <v>50736.56</v>
          </cell>
          <cell r="J35">
            <v>91975</v>
          </cell>
          <cell r="K35" t="str">
            <v>MP</v>
          </cell>
        </row>
        <row r="36">
          <cell r="A36">
            <v>990550</v>
          </cell>
          <cell r="C36">
            <v>2439</v>
          </cell>
          <cell r="D36">
            <v>325</v>
          </cell>
          <cell r="E36">
            <v>478</v>
          </cell>
          <cell r="F36">
            <v>1439</v>
          </cell>
          <cell r="G36">
            <v>9993</v>
          </cell>
          <cell r="H36">
            <v>14676.78</v>
          </cell>
          <cell r="I36">
            <v>46925</v>
          </cell>
          <cell r="J36">
            <v>90469</v>
          </cell>
          <cell r="K36" t="str">
            <v>MP</v>
          </cell>
        </row>
        <row r="37">
          <cell r="A37">
            <v>990553</v>
          </cell>
          <cell r="C37">
            <v>174</v>
          </cell>
          <cell r="D37">
            <v>8</v>
          </cell>
          <cell r="E37">
            <v>495</v>
          </cell>
          <cell r="F37">
            <v>183</v>
          </cell>
          <cell r="G37">
            <v>435</v>
          </cell>
          <cell r="H37">
            <v>1297.8499999999999</v>
          </cell>
          <cell r="I37">
            <v>2045.62</v>
          </cell>
          <cell r="J37">
            <v>91901</v>
          </cell>
          <cell r="K37" t="str">
            <v>MP</v>
          </cell>
        </row>
        <row r="38">
          <cell r="A38">
            <v>990555</v>
          </cell>
          <cell r="C38">
            <v>175</v>
          </cell>
          <cell r="D38">
            <v>94</v>
          </cell>
          <cell r="E38">
            <v>555</v>
          </cell>
          <cell r="F38">
            <v>924</v>
          </cell>
          <cell r="G38">
            <v>5645</v>
          </cell>
          <cell r="H38">
            <v>7395.81</v>
          </cell>
          <cell r="I38">
            <v>30537.54</v>
          </cell>
          <cell r="J38">
            <v>90685</v>
          </cell>
          <cell r="K38" t="str">
            <v>MP</v>
          </cell>
        </row>
        <row r="39">
          <cell r="A39">
            <v>990557</v>
          </cell>
          <cell r="C39">
            <v>711</v>
          </cell>
          <cell r="D39">
            <v>55</v>
          </cell>
          <cell r="E39">
            <v>486</v>
          </cell>
          <cell r="F39">
            <v>646</v>
          </cell>
          <cell r="G39">
            <v>2428</v>
          </cell>
          <cell r="H39">
            <v>4327.71</v>
          </cell>
          <cell r="I39">
            <v>14465.8</v>
          </cell>
          <cell r="J39">
            <v>91750</v>
          </cell>
          <cell r="K39" t="str">
            <v>MP</v>
          </cell>
        </row>
        <row r="40">
          <cell r="A40">
            <v>990566</v>
          </cell>
          <cell r="C40">
            <v>19855</v>
          </cell>
          <cell r="D40">
            <v>483</v>
          </cell>
          <cell r="E40">
            <v>504</v>
          </cell>
          <cell r="F40">
            <v>2046</v>
          </cell>
          <cell r="G40">
            <v>9421</v>
          </cell>
          <cell r="H40">
            <v>32311.37</v>
          </cell>
          <cell r="I40">
            <v>36509.49</v>
          </cell>
          <cell r="J40">
            <v>91996</v>
          </cell>
          <cell r="K40" t="str">
            <v>MP</v>
          </cell>
        </row>
        <row r="41">
          <cell r="A41">
            <v>990571</v>
          </cell>
          <cell r="C41">
            <v>247</v>
          </cell>
          <cell r="D41">
            <v>41</v>
          </cell>
          <cell r="E41">
            <v>486</v>
          </cell>
          <cell r="F41">
            <v>545</v>
          </cell>
          <cell r="G41">
            <v>2447</v>
          </cell>
          <cell r="H41">
            <v>3768.2</v>
          </cell>
          <cell r="I41">
            <v>10988.16</v>
          </cell>
          <cell r="J41">
            <v>90402</v>
          </cell>
          <cell r="K41" t="str">
            <v>MP</v>
          </cell>
        </row>
        <row r="42">
          <cell r="A42">
            <v>990572</v>
          </cell>
          <cell r="C42">
            <v>215</v>
          </cell>
          <cell r="D42">
            <v>436</v>
          </cell>
          <cell r="E42">
            <v>472</v>
          </cell>
          <cell r="F42">
            <v>3337</v>
          </cell>
          <cell r="G42">
            <v>22088</v>
          </cell>
          <cell r="H42">
            <v>26551.61</v>
          </cell>
          <cell r="I42">
            <v>129822.71</v>
          </cell>
          <cell r="J42">
            <v>90685</v>
          </cell>
          <cell r="K42" t="str">
            <v>MP</v>
          </cell>
        </row>
        <row r="43">
          <cell r="A43">
            <v>990581</v>
          </cell>
          <cell r="C43">
            <v>288</v>
          </cell>
          <cell r="D43">
            <v>91</v>
          </cell>
          <cell r="E43">
            <v>519</v>
          </cell>
          <cell r="F43">
            <v>903</v>
          </cell>
          <cell r="G43">
            <v>6039</v>
          </cell>
          <cell r="H43">
            <v>7842.05</v>
          </cell>
          <cell r="I43">
            <v>22418.1</v>
          </cell>
          <cell r="J43">
            <v>91681</v>
          </cell>
          <cell r="K43" t="str">
            <v>MP</v>
          </cell>
        </row>
        <row r="44">
          <cell r="A44">
            <v>990586</v>
          </cell>
          <cell r="C44">
            <v>281</v>
          </cell>
          <cell r="D44">
            <v>8</v>
          </cell>
          <cell r="E44">
            <v>495</v>
          </cell>
          <cell r="F44">
            <v>190</v>
          </cell>
          <cell r="G44">
            <v>497</v>
          </cell>
          <cell r="H44">
            <v>1474.38</v>
          </cell>
          <cell r="I44">
            <v>2117.2600000000002</v>
          </cell>
          <cell r="J44">
            <v>90402</v>
          </cell>
          <cell r="K44" t="str">
            <v>MP</v>
          </cell>
        </row>
        <row r="45">
          <cell r="A45">
            <v>990588</v>
          </cell>
          <cell r="C45">
            <v>212</v>
          </cell>
          <cell r="D45">
            <v>3</v>
          </cell>
          <cell r="E45">
            <v>486</v>
          </cell>
          <cell r="F45">
            <v>145</v>
          </cell>
          <cell r="G45">
            <v>81</v>
          </cell>
          <cell r="H45">
            <v>929.93</v>
          </cell>
          <cell r="I45">
            <v>339.95</v>
          </cell>
          <cell r="J45">
            <v>90061</v>
          </cell>
          <cell r="K45" t="str">
            <v>MP</v>
          </cell>
        </row>
        <row r="46">
          <cell r="A46">
            <v>990589</v>
          </cell>
          <cell r="C46">
            <v>384</v>
          </cell>
          <cell r="D46">
            <v>171</v>
          </cell>
          <cell r="E46">
            <v>519</v>
          </cell>
          <cell r="F46">
            <v>883</v>
          </cell>
          <cell r="G46">
            <v>3907</v>
          </cell>
          <cell r="H46">
            <v>5866.63</v>
          </cell>
          <cell r="I46">
            <v>23862.46</v>
          </cell>
          <cell r="J46">
            <v>90061</v>
          </cell>
          <cell r="K46" t="str">
            <v>MP</v>
          </cell>
        </row>
        <row r="47">
          <cell r="A47">
            <v>990596</v>
          </cell>
          <cell r="C47">
            <v>2973</v>
          </cell>
          <cell r="D47">
            <v>375</v>
          </cell>
          <cell r="E47">
            <v>495</v>
          </cell>
          <cell r="F47">
            <v>1607</v>
          </cell>
          <cell r="G47">
            <v>12169</v>
          </cell>
          <cell r="H47">
            <v>17621.759999999998</v>
          </cell>
          <cell r="I47">
            <v>54736.01</v>
          </cell>
          <cell r="J47">
            <v>91552</v>
          </cell>
          <cell r="K47" t="str">
            <v>MP</v>
          </cell>
        </row>
        <row r="48">
          <cell r="A48">
            <v>990600</v>
          </cell>
          <cell r="C48">
            <v>430</v>
          </cell>
          <cell r="D48">
            <v>120</v>
          </cell>
          <cell r="E48">
            <v>519</v>
          </cell>
          <cell r="F48">
            <v>1100</v>
          </cell>
          <cell r="G48">
            <v>4878</v>
          </cell>
          <cell r="H48">
            <v>7049.42</v>
          </cell>
          <cell r="I48">
            <v>29210.22</v>
          </cell>
          <cell r="J48">
            <v>92107</v>
          </cell>
          <cell r="K48" t="str">
            <v>MP</v>
          </cell>
        </row>
        <row r="49">
          <cell r="A49">
            <v>990605</v>
          </cell>
          <cell r="C49">
            <v>1603</v>
          </cell>
          <cell r="D49">
            <v>492</v>
          </cell>
          <cell r="E49">
            <v>519</v>
          </cell>
          <cell r="F49">
            <v>3710</v>
          </cell>
          <cell r="G49">
            <v>4606</v>
          </cell>
          <cell r="H49">
            <v>10932.02</v>
          </cell>
          <cell r="I49">
            <v>119274.8</v>
          </cell>
          <cell r="J49">
            <v>92107</v>
          </cell>
          <cell r="K49" t="str">
            <v>MP</v>
          </cell>
        </row>
        <row r="50">
          <cell r="A50">
            <v>990608</v>
          </cell>
          <cell r="C50">
            <v>269</v>
          </cell>
          <cell r="D50">
            <v>177</v>
          </cell>
          <cell r="E50">
            <v>519</v>
          </cell>
          <cell r="F50">
            <v>873</v>
          </cell>
          <cell r="G50">
            <v>5211</v>
          </cell>
          <cell r="H50">
            <v>7052.02</v>
          </cell>
          <cell r="I50">
            <v>22072.13</v>
          </cell>
          <cell r="J50">
            <v>91431</v>
          </cell>
          <cell r="K50" t="str">
            <v>MP</v>
          </cell>
        </row>
        <row r="51">
          <cell r="A51">
            <v>990615</v>
          </cell>
          <cell r="C51">
            <v>302</v>
          </cell>
          <cell r="D51">
            <v>19</v>
          </cell>
          <cell r="E51">
            <v>519</v>
          </cell>
          <cell r="F51">
            <v>273</v>
          </cell>
          <cell r="G51">
            <v>1137</v>
          </cell>
          <cell r="H51">
            <v>2252.21</v>
          </cell>
          <cell r="I51">
            <v>4941.71</v>
          </cell>
          <cell r="J51">
            <v>90379</v>
          </cell>
          <cell r="K51" t="str">
            <v>MP</v>
          </cell>
        </row>
        <row r="52">
          <cell r="A52">
            <v>990618</v>
          </cell>
          <cell r="C52">
            <v>226</v>
          </cell>
          <cell r="D52">
            <v>95</v>
          </cell>
          <cell r="E52">
            <v>472</v>
          </cell>
          <cell r="F52">
            <v>925</v>
          </cell>
          <cell r="G52">
            <v>4163</v>
          </cell>
          <cell r="H52">
            <v>5884.25</v>
          </cell>
          <cell r="I52">
            <v>28193.02</v>
          </cell>
          <cell r="J52">
            <v>90048</v>
          </cell>
          <cell r="K52" t="str">
            <v>MP</v>
          </cell>
        </row>
        <row r="53">
          <cell r="A53">
            <v>990619</v>
          </cell>
          <cell r="C53">
            <v>162</v>
          </cell>
          <cell r="D53">
            <v>31</v>
          </cell>
          <cell r="E53">
            <v>486</v>
          </cell>
          <cell r="F53">
            <v>245</v>
          </cell>
          <cell r="G53">
            <v>708</v>
          </cell>
          <cell r="H53">
            <v>1634.83</v>
          </cell>
          <cell r="I53">
            <v>4532.6400000000003</v>
          </cell>
          <cell r="J53">
            <v>90971</v>
          </cell>
          <cell r="K53" t="str">
            <v>MP</v>
          </cell>
        </row>
        <row r="54">
          <cell r="A54">
            <v>990623</v>
          </cell>
          <cell r="C54">
            <v>219</v>
          </cell>
          <cell r="D54">
            <v>1</v>
          </cell>
          <cell r="E54">
            <v>486</v>
          </cell>
          <cell r="F54">
            <v>141</v>
          </cell>
          <cell r="G54">
            <v>80</v>
          </cell>
          <cell r="H54">
            <v>930.16</v>
          </cell>
          <cell r="I54">
            <v>193.5</v>
          </cell>
          <cell r="J54">
            <v>90402</v>
          </cell>
          <cell r="K54" t="str">
            <v>MP</v>
          </cell>
        </row>
        <row r="55">
          <cell r="A55">
            <v>990624</v>
          </cell>
          <cell r="C55">
            <v>153</v>
          </cell>
          <cell r="D55">
            <v>20</v>
          </cell>
          <cell r="E55">
            <v>504</v>
          </cell>
          <cell r="F55">
            <v>206</v>
          </cell>
          <cell r="G55">
            <v>400</v>
          </cell>
          <cell r="H55">
            <v>1285.72</v>
          </cell>
          <cell r="I55">
            <v>2716.33</v>
          </cell>
          <cell r="J55">
            <v>91227</v>
          </cell>
          <cell r="K55" t="str">
            <v>MP</v>
          </cell>
        </row>
        <row r="56">
          <cell r="A56">
            <v>990625</v>
          </cell>
          <cell r="C56">
            <v>94</v>
          </cell>
          <cell r="D56">
            <v>5</v>
          </cell>
          <cell r="E56">
            <v>555</v>
          </cell>
          <cell r="F56">
            <v>274</v>
          </cell>
          <cell r="G56">
            <v>176</v>
          </cell>
          <cell r="H56">
            <v>1107.21</v>
          </cell>
          <cell r="I56">
            <v>730.84</v>
          </cell>
          <cell r="J56">
            <v>91953</v>
          </cell>
          <cell r="K56" t="str">
            <v>MP</v>
          </cell>
        </row>
        <row r="57">
          <cell r="A57">
            <v>990626</v>
          </cell>
          <cell r="C57">
            <v>2454</v>
          </cell>
          <cell r="D57">
            <v>325</v>
          </cell>
          <cell r="E57">
            <v>478</v>
          </cell>
          <cell r="F57">
            <v>1439</v>
          </cell>
          <cell r="G57">
            <v>9996</v>
          </cell>
          <cell r="H57">
            <v>14694.25</v>
          </cell>
          <cell r="I57">
            <v>38950</v>
          </cell>
          <cell r="J57">
            <v>92142</v>
          </cell>
          <cell r="K57" t="str">
            <v>MP</v>
          </cell>
        </row>
        <row r="58">
          <cell r="A58">
            <v>990628</v>
          </cell>
          <cell r="C58">
            <v>162</v>
          </cell>
          <cell r="D58">
            <v>8</v>
          </cell>
          <cell r="E58">
            <v>486</v>
          </cell>
          <cell r="F58">
            <v>188</v>
          </cell>
          <cell r="G58">
            <v>353</v>
          </cell>
          <cell r="H58">
            <v>1200.04</v>
          </cell>
          <cell r="I58">
            <v>2195.5</v>
          </cell>
          <cell r="J58">
            <v>90485</v>
          </cell>
          <cell r="K58" t="str">
            <v>MP</v>
          </cell>
        </row>
        <row r="59">
          <cell r="A59">
            <v>990629</v>
          </cell>
          <cell r="C59">
            <v>197</v>
          </cell>
          <cell r="D59">
            <v>10</v>
          </cell>
          <cell r="E59">
            <v>486</v>
          </cell>
          <cell r="F59">
            <v>206</v>
          </cell>
          <cell r="G59">
            <v>298</v>
          </cell>
          <cell r="H59">
            <v>1200.05</v>
          </cell>
          <cell r="I59">
            <v>2891.82</v>
          </cell>
          <cell r="J59">
            <v>90121</v>
          </cell>
          <cell r="K59" t="str">
            <v>MP</v>
          </cell>
        </row>
        <row r="60">
          <cell r="A60">
            <v>990640</v>
          </cell>
          <cell r="C60">
            <v>304</v>
          </cell>
          <cell r="D60">
            <v>51</v>
          </cell>
          <cell r="E60">
            <v>486</v>
          </cell>
          <cell r="F60">
            <v>618</v>
          </cell>
          <cell r="G60">
            <v>2370</v>
          </cell>
          <cell r="H60">
            <v>3831.53</v>
          </cell>
          <cell r="I60">
            <v>14580.54</v>
          </cell>
          <cell r="J60">
            <v>90083</v>
          </cell>
          <cell r="K60" t="str">
            <v>MP</v>
          </cell>
        </row>
        <row r="61">
          <cell r="A61">
            <v>990641</v>
          </cell>
          <cell r="C61">
            <v>433</v>
          </cell>
          <cell r="D61">
            <v>35</v>
          </cell>
          <cell r="E61">
            <v>495</v>
          </cell>
          <cell r="F61">
            <v>255</v>
          </cell>
          <cell r="G61">
            <v>1044</v>
          </cell>
          <cell r="H61">
            <v>2264.5</v>
          </cell>
          <cell r="I61">
            <v>4771.28</v>
          </cell>
          <cell r="J61">
            <v>92240</v>
          </cell>
          <cell r="K61" t="str">
            <v>MP</v>
          </cell>
        </row>
        <row r="62">
          <cell r="A62">
            <v>990643</v>
          </cell>
          <cell r="C62">
            <v>205</v>
          </cell>
          <cell r="D62">
            <v>182</v>
          </cell>
          <cell r="E62">
            <v>519</v>
          </cell>
          <cell r="F62">
            <v>922</v>
          </cell>
          <cell r="G62">
            <v>4142</v>
          </cell>
          <cell r="H62">
            <v>5972.15</v>
          </cell>
          <cell r="I62">
            <v>26765.200000000001</v>
          </cell>
          <cell r="J62">
            <v>90086</v>
          </cell>
          <cell r="K62" t="str">
            <v>MP</v>
          </cell>
        </row>
        <row r="63">
          <cell r="A63">
            <v>990648</v>
          </cell>
          <cell r="C63">
            <v>714</v>
          </cell>
          <cell r="D63">
            <v>97</v>
          </cell>
          <cell r="E63">
            <v>495</v>
          </cell>
          <cell r="F63">
            <v>610</v>
          </cell>
          <cell r="G63">
            <v>2738</v>
          </cell>
          <cell r="H63">
            <v>4656.28</v>
          </cell>
          <cell r="I63">
            <v>14384.99</v>
          </cell>
          <cell r="J63">
            <v>90424</v>
          </cell>
          <cell r="K63" t="str">
            <v>MP</v>
          </cell>
        </row>
        <row r="64">
          <cell r="A64">
            <v>990660</v>
          </cell>
          <cell r="C64">
            <v>259</v>
          </cell>
          <cell r="D64">
            <v>92</v>
          </cell>
          <cell r="E64">
            <v>486</v>
          </cell>
          <cell r="F64">
            <v>590</v>
          </cell>
          <cell r="G64">
            <v>2828</v>
          </cell>
          <cell r="H64">
            <v>4256.54</v>
          </cell>
          <cell r="I64">
            <v>1684940.4</v>
          </cell>
          <cell r="J64">
            <v>91337</v>
          </cell>
          <cell r="K64" t="str">
            <v>MP</v>
          </cell>
        </row>
        <row r="65">
          <cell r="A65">
            <v>990663</v>
          </cell>
          <cell r="C65">
            <v>579</v>
          </cell>
          <cell r="D65">
            <v>211</v>
          </cell>
          <cell r="E65">
            <v>519</v>
          </cell>
          <cell r="F65">
            <v>1027</v>
          </cell>
          <cell r="G65">
            <v>2563</v>
          </cell>
          <cell r="H65">
            <v>4900.3599999999997</v>
          </cell>
          <cell r="I65">
            <v>30670.19</v>
          </cell>
          <cell r="J65">
            <v>90061</v>
          </cell>
          <cell r="K65" t="str">
            <v>MP</v>
          </cell>
        </row>
        <row r="66">
          <cell r="A66">
            <v>990678</v>
          </cell>
          <cell r="C66">
            <v>509</v>
          </cell>
          <cell r="D66">
            <v>204</v>
          </cell>
          <cell r="E66">
            <v>447</v>
          </cell>
          <cell r="F66">
            <v>992</v>
          </cell>
          <cell r="G66">
            <v>5324</v>
          </cell>
          <cell r="H66">
            <v>7478.48</v>
          </cell>
          <cell r="I66">
            <v>35428.85</v>
          </cell>
          <cell r="J66">
            <v>91552</v>
          </cell>
          <cell r="K66" t="str">
            <v>MP</v>
          </cell>
        </row>
        <row r="67">
          <cell r="A67">
            <v>990679</v>
          </cell>
          <cell r="C67">
            <v>816</v>
          </cell>
          <cell r="D67">
            <v>359</v>
          </cell>
          <cell r="E67">
            <v>478</v>
          </cell>
          <cell r="F67">
            <v>1570</v>
          </cell>
          <cell r="G67">
            <v>4457</v>
          </cell>
          <cell r="H67">
            <v>7682.56</v>
          </cell>
          <cell r="I67">
            <v>56381.68</v>
          </cell>
          <cell r="J67">
            <v>91822</v>
          </cell>
          <cell r="K67" t="str">
            <v>MP</v>
          </cell>
        </row>
        <row r="68">
          <cell r="A68">
            <v>990681</v>
          </cell>
          <cell r="C68">
            <v>241</v>
          </cell>
          <cell r="D68">
            <v>2</v>
          </cell>
          <cell r="E68">
            <v>504</v>
          </cell>
          <cell r="F68">
            <v>148</v>
          </cell>
          <cell r="G68">
            <v>133</v>
          </cell>
          <cell r="H68">
            <v>1030.29</v>
          </cell>
          <cell r="I68">
            <v>429.84</v>
          </cell>
          <cell r="J68">
            <v>90379</v>
          </cell>
          <cell r="K68" t="str">
            <v>MP</v>
          </cell>
        </row>
        <row r="69">
          <cell r="A69">
            <v>990682</v>
          </cell>
          <cell r="C69">
            <v>180</v>
          </cell>
          <cell r="D69">
            <v>59</v>
          </cell>
          <cell r="E69">
            <v>555</v>
          </cell>
          <cell r="F69">
            <v>683</v>
          </cell>
          <cell r="G69">
            <v>2658</v>
          </cell>
          <cell r="H69">
            <v>4137.57</v>
          </cell>
          <cell r="I69">
            <v>19883.48</v>
          </cell>
          <cell r="J69">
            <v>90485</v>
          </cell>
          <cell r="K69" t="str">
            <v>MP</v>
          </cell>
        </row>
        <row r="70">
          <cell r="A70">
            <v>990685</v>
          </cell>
          <cell r="C70">
            <v>2638</v>
          </cell>
          <cell r="D70">
            <v>351</v>
          </cell>
          <cell r="E70">
            <v>519</v>
          </cell>
          <cell r="F70">
            <v>1540</v>
          </cell>
          <cell r="G70">
            <v>10850</v>
          </cell>
          <cell r="H70">
            <v>15901.23</v>
          </cell>
          <cell r="I70">
            <v>44950</v>
          </cell>
          <cell r="J70">
            <v>92142</v>
          </cell>
          <cell r="K70" t="str">
            <v>MP</v>
          </cell>
        </row>
        <row r="71">
          <cell r="A71">
            <v>990690</v>
          </cell>
          <cell r="C71">
            <v>1458</v>
          </cell>
          <cell r="D71">
            <v>168</v>
          </cell>
          <cell r="E71">
            <v>504</v>
          </cell>
          <cell r="F71">
            <v>871</v>
          </cell>
          <cell r="G71">
            <v>5194</v>
          </cell>
          <cell r="H71">
            <v>8197.34</v>
          </cell>
          <cell r="I71">
            <v>21992.33</v>
          </cell>
          <cell r="J71">
            <v>91673</v>
          </cell>
          <cell r="K71" t="str">
            <v>MP</v>
          </cell>
        </row>
        <row r="72">
          <cell r="A72">
            <v>990694</v>
          </cell>
          <cell r="C72">
            <v>29319</v>
          </cell>
          <cell r="D72">
            <v>26856</v>
          </cell>
          <cell r="E72">
            <v>472</v>
          </cell>
          <cell r="F72">
            <v>10293</v>
          </cell>
          <cell r="G72">
            <v>68188</v>
          </cell>
          <cell r="H72">
            <v>135130.16</v>
          </cell>
          <cell r="I72">
            <v>304383.59000000003</v>
          </cell>
          <cell r="J72">
            <v>92243</v>
          </cell>
          <cell r="K72" t="str">
            <v>MP</v>
          </cell>
        </row>
        <row r="73">
          <cell r="A73">
            <v>990700</v>
          </cell>
          <cell r="C73">
            <v>330</v>
          </cell>
          <cell r="D73">
            <v>22</v>
          </cell>
          <cell r="E73">
            <v>495</v>
          </cell>
          <cell r="F73">
            <v>212</v>
          </cell>
          <cell r="G73">
            <v>680</v>
          </cell>
          <cell r="H73">
            <v>1741.74</v>
          </cell>
          <cell r="I73">
            <v>3150.88</v>
          </cell>
          <cell r="J73">
            <v>90424</v>
          </cell>
          <cell r="K73" t="str">
            <v>MP</v>
          </cell>
        </row>
        <row r="74">
          <cell r="A74">
            <v>990702</v>
          </cell>
          <cell r="C74">
            <v>171</v>
          </cell>
          <cell r="D74">
            <v>3</v>
          </cell>
          <cell r="E74">
            <v>504</v>
          </cell>
          <cell r="F74">
            <v>160</v>
          </cell>
          <cell r="G74">
            <v>171</v>
          </cell>
          <cell r="H74">
            <v>1012.08</v>
          </cell>
          <cell r="I74">
            <v>981.9</v>
          </cell>
          <cell r="J74">
            <v>90485</v>
          </cell>
          <cell r="K74" t="str">
            <v>MP</v>
          </cell>
        </row>
        <row r="75">
          <cell r="A75">
            <v>990705</v>
          </cell>
          <cell r="C75">
            <v>288</v>
          </cell>
          <cell r="D75">
            <v>19</v>
          </cell>
          <cell r="E75">
            <v>486</v>
          </cell>
          <cell r="F75">
            <v>280</v>
          </cell>
          <cell r="G75">
            <v>1291</v>
          </cell>
          <cell r="H75">
            <v>2367.5700000000002</v>
          </cell>
          <cell r="I75">
            <v>5178.24</v>
          </cell>
          <cell r="J75">
            <v>90639</v>
          </cell>
          <cell r="K75" t="str">
            <v>MP</v>
          </cell>
        </row>
        <row r="76">
          <cell r="A76">
            <v>990706</v>
          </cell>
          <cell r="C76">
            <v>218</v>
          </cell>
          <cell r="D76">
            <v>226</v>
          </cell>
          <cell r="E76">
            <v>472</v>
          </cell>
          <cell r="F76">
            <v>1852</v>
          </cell>
          <cell r="G76">
            <v>11510</v>
          </cell>
          <cell r="H76">
            <v>14280.15</v>
          </cell>
          <cell r="I76">
            <v>64323.45</v>
          </cell>
          <cell r="J76">
            <v>90685</v>
          </cell>
          <cell r="K76" t="str">
            <v>MP</v>
          </cell>
        </row>
        <row r="77">
          <cell r="A77">
            <v>990707</v>
          </cell>
          <cell r="C77">
            <v>308</v>
          </cell>
          <cell r="D77">
            <v>264</v>
          </cell>
          <cell r="E77">
            <v>488</v>
          </cell>
          <cell r="F77">
            <v>2119</v>
          </cell>
          <cell r="G77">
            <v>11597</v>
          </cell>
          <cell r="H77">
            <v>14779.35</v>
          </cell>
          <cell r="I77">
            <v>72684.149999999994</v>
          </cell>
          <cell r="J77">
            <v>91982</v>
          </cell>
          <cell r="K77" t="str">
            <v>MP</v>
          </cell>
        </row>
        <row r="78">
          <cell r="A78">
            <v>990708</v>
          </cell>
          <cell r="C78">
            <v>281</v>
          </cell>
          <cell r="D78">
            <v>17</v>
          </cell>
          <cell r="E78">
            <v>495</v>
          </cell>
          <cell r="F78">
            <v>257</v>
          </cell>
          <cell r="G78">
            <v>1061</v>
          </cell>
          <cell r="H78">
            <v>2114.4299999999998</v>
          </cell>
          <cell r="I78">
            <v>4603.96</v>
          </cell>
          <cell r="J78">
            <v>90402</v>
          </cell>
          <cell r="K78" t="str">
            <v>MP</v>
          </cell>
        </row>
        <row r="79">
          <cell r="A79">
            <v>990712</v>
          </cell>
          <cell r="C79">
            <v>920</v>
          </cell>
          <cell r="D79">
            <v>98</v>
          </cell>
          <cell r="E79">
            <v>444</v>
          </cell>
          <cell r="F79">
            <v>948</v>
          </cell>
          <cell r="G79">
            <v>4309</v>
          </cell>
          <cell r="H79">
            <v>6721.21</v>
          </cell>
          <cell r="I79">
            <v>28893.79</v>
          </cell>
          <cell r="J79">
            <v>91750</v>
          </cell>
          <cell r="K79" t="str">
            <v>MP</v>
          </cell>
        </row>
        <row r="80">
          <cell r="A80">
            <v>990714</v>
          </cell>
          <cell r="C80">
            <v>161</v>
          </cell>
          <cell r="D80">
            <v>3</v>
          </cell>
          <cell r="E80">
            <v>457</v>
          </cell>
          <cell r="F80">
            <v>144</v>
          </cell>
          <cell r="G80">
            <v>79</v>
          </cell>
          <cell r="H80">
            <v>846.76</v>
          </cell>
          <cell r="I80">
            <v>377.58</v>
          </cell>
          <cell r="J80">
            <v>90097</v>
          </cell>
          <cell r="K80" t="str">
            <v>MP</v>
          </cell>
        </row>
        <row r="81">
          <cell r="A81">
            <v>990715</v>
          </cell>
          <cell r="C81">
            <v>204</v>
          </cell>
          <cell r="D81">
            <v>9</v>
          </cell>
          <cell r="E81">
            <v>557</v>
          </cell>
          <cell r="F81">
            <v>199</v>
          </cell>
          <cell r="G81">
            <v>609</v>
          </cell>
          <cell r="H81">
            <v>1580.59</v>
          </cell>
          <cell r="I81">
            <v>2892.98</v>
          </cell>
          <cell r="J81">
            <v>91591</v>
          </cell>
          <cell r="K81" t="str">
            <v>MP</v>
          </cell>
        </row>
        <row r="82">
          <cell r="A82">
            <v>990716</v>
          </cell>
          <cell r="C82">
            <v>1122</v>
          </cell>
          <cell r="D82">
            <v>353</v>
          </cell>
          <cell r="E82">
            <v>519</v>
          </cell>
          <cell r="F82">
            <v>1543</v>
          </cell>
          <cell r="G82">
            <v>10875</v>
          </cell>
          <cell r="H82">
            <v>14415.56</v>
          </cell>
          <cell r="I82">
            <v>46316.480000000003</v>
          </cell>
          <cell r="J82">
            <v>92133</v>
          </cell>
          <cell r="K82" t="str">
            <v>MP</v>
          </cell>
        </row>
        <row r="83">
          <cell r="A83">
            <v>990720</v>
          </cell>
          <cell r="C83">
            <v>2208</v>
          </cell>
          <cell r="D83">
            <v>723</v>
          </cell>
          <cell r="E83">
            <v>519</v>
          </cell>
          <cell r="F83">
            <v>5378</v>
          </cell>
          <cell r="G83">
            <v>45537</v>
          </cell>
          <cell r="H83">
            <v>54367.24</v>
          </cell>
          <cell r="I83">
            <v>194883.28</v>
          </cell>
          <cell r="J83">
            <v>92107</v>
          </cell>
          <cell r="K83" t="str">
            <v>MP</v>
          </cell>
        </row>
        <row r="84">
          <cell r="A84">
            <v>990722</v>
          </cell>
          <cell r="C84">
            <v>227</v>
          </cell>
          <cell r="D84">
            <v>157</v>
          </cell>
          <cell r="E84">
            <v>519</v>
          </cell>
          <cell r="F84">
            <v>832</v>
          </cell>
          <cell r="G84">
            <v>3586</v>
          </cell>
          <cell r="H84">
            <v>5323.08</v>
          </cell>
          <cell r="I84">
            <v>20955.689999999999</v>
          </cell>
          <cell r="J84">
            <v>90061</v>
          </cell>
          <cell r="K84" t="str">
            <v>MP</v>
          </cell>
        </row>
        <row r="85">
          <cell r="A85">
            <v>990728</v>
          </cell>
          <cell r="C85">
            <v>256</v>
          </cell>
          <cell r="D85">
            <v>333</v>
          </cell>
          <cell r="E85">
            <v>495</v>
          </cell>
          <cell r="F85">
            <v>1458</v>
          </cell>
          <cell r="G85">
            <v>10150</v>
          </cell>
          <cell r="H85">
            <v>12694.57</v>
          </cell>
          <cell r="I85">
            <v>47130.53</v>
          </cell>
          <cell r="J85">
            <v>92293</v>
          </cell>
          <cell r="K85" t="str">
            <v>MP</v>
          </cell>
        </row>
        <row r="86">
          <cell r="A86">
            <v>990729</v>
          </cell>
          <cell r="C86">
            <v>1017</v>
          </cell>
          <cell r="D86">
            <v>134</v>
          </cell>
          <cell r="E86">
            <v>504</v>
          </cell>
          <cell r="F86">
            <v>707</v>
          </cell>
          <cell r="G86">
            <v>3816</v>
          </cell>
          <cell r="H86">
            <v>6179.91</v>
          </cell>
          <cell r="I86">
            <v>18079.03</v>
          </cell>
          <cell r="J86">
            <v>91462</v>
          </cell>
          <cell r="K86" t="str">
            <v>MP</v>
          </cell>
        </row>
        <row r="87">
          <cell r="A87">
            <v>990738</v>
          </cell>
          <cell r="C87">
            <v>308</v>
          </cell>
          <cell r="D87">
            <v>13</v>
          </cell>
          <cell r="E87">
            <v>460</v>
          </cell>
          <cell r="F87">
            <v>181</v>
          </cell>
          <cell r="G87">
            <v>415</v>
          </cell>
          <cell r="H87">
            <v>1379.48</v>
          </cell>
          <cell r="I87">
            <v>1769.84</v>
          </cell>
          <cell r="J87">
            <v>92088</v>
          </cell>
          <cell r="K87" t="str">
            <v>MP</v>
          </cell>
        </row>
        <row r="88">
          <cell r="A88">
            <v>990739</v>
          </cell>
          <cell r="C88">
            <v>3230</v>
          </cell>
          <cell r="D88">
            <v>467</v>
          </cell>
          <cell r="E88">
            <v>450</v>
          </cell>
          <cell r="F88">
            <v>2044</v>
          </cell>
          <cell r="G88">
            <v>15101</v>
          </cell>
          <cell r="H88">
            <v>21293.89</v>
          </cell>
          <cell r="I88">
            <v>71870.350000000006</v>
          </cell>
          <cell r="J88">
            <v>90338</v>
          </cell>
          <cell r="K88" t="str">
            <v>MP</v>
          </cell>
        </row>
        <row r="89">
          <cell r="A89">
            <v>990743</v>
          </cell>
          <cell r="C89">
            <v>3411</v>
          </cell>
          <cell r="D89">
            <v>458</v>
          </cell>
          <cell r="E89">
            <v>519</v>
          </cell>
          <cell r="F89">
            <v>1926</v>
          </cell>
          <cell r="G89">
            <v>14102</v>
          </cell>
          <cell r="H89">
            <v>20418.349999999999</v>
          </cell>
          <cell r="I89">
            <v>63823.5</v>
          </cell>
          <cell r="J89">
            <v>92142</v>
          </cell>
          <cell r="K89" t="str">
            <v>MP</v>
          </cell>
        </row>
        <row r="90">
          <cell r="A90">
            <v>990746</v>
          </cell>
          <cell r="C90">
            <v>1435</v>
          </cell>
          <cell r="D90">
            <v>558</v>
          </cell>
          <cell r="E90">
            <v>488</v>
          </cell>
          <cell r="F90">
            <v>2296</v>
          </cell>
          <cell r="G90">
            <v>12650</v>
          </cell>
          <cell r="H90">
            <v>17430.509999999998</v>
          </cell>
          <cell r="I90">
            <v>77190.87</v>
          </cell>
          <cell r="J90">
            <v>90061</v>
          </cell>
          <cell r="K90" t="str">
            <v>MP</v>
          </cell>
        </row>
        <row r="91">
          <cell r="A91">
            <v>990751</v>
          </cell>
          <cell r="C91">
            <v>2139</v>
          </cell>
          <cell r="D91">
            <v>364</v>
          </cell>
          <cell r="E91">
            <v>478</v>
          </cell>
          <cell r="F91">
            <v>2828</v>
          </cell>
          <cell r="G91">
            <v>21723</v>
          </cell>
          <cell r="H91">
            <v>27535.119999999999</v>
          </cell>
          <cell r="I91">
            <v>99347.49</v>
          </cell>
          <cell r="J91">
            <v>90472</v>
          </cell>
          <cell r="K91" t="str">
            <v>MP</v>
          </cell>
        </row>
        <row r="92">
          <cell r="A92">
            <v>990754</v>
          </cell>
          <cell r="C92">
            <v>332</v>
          </cell>
          <cell r="D92">
            <v>114</v>
          </cell>
          <cell r="E92">
            <v>519</v>
          </cell>
          <cell r="F92">
            <v>1061</v>
          </cell>
          <cell r="G92">
            <v>5065</v>
          </cell>
          <cell r="H92">
            <v>7093.53</v>
          </cell>
          <cell r="I92">
            <v>28914.37</v>
          </cell>
          <cell r="J92">
            <v>90236</v>
          </cell>
          <cell r="K92" t="str">
            <v>MP</v>
          </cell>
        </row>
        <row r="93">
          <cell r="A93">
            <v>990760</v>
          </cell>
          <cell r="C93">
            <v>221</v>
          </cell>
          <cell r="D93">
            <v>19</v>
          </cell>
          <cell r="E93">
            <v>486</v>
          </cell>
          <cell r="F93">
            <v>202</v>
          </cell>
          <cell r="G93">
            <v>598</v>
          </cell>
          <cell r="H93">
            <v>1529</v>
          </cell>
          <cell r="I93">
            <v>2819.53</v>
          </cell>
          <cell r="J93">
            <v>92174</v>
          </cell>
          <cell r="K93" t="str">
            <v>MP</v>
          </cell>
        </row>
        <row r="94">
          <cell r="A94">
            <v>990762</v>
          </cell>
          <cell r="C94">
            <v>16380</v>
          </cell>
          <cell r="D94">
            <v>332</v>
          </cell>
          <cell r="E94">
            <v>472</v>
          </cell>
          <cell r="F94">
            <v>1470</v>
          </cell>
          <cell r="G94">
            <v>6474</v>
          </cell>
          <cell r="H94">
            <v>25131.15</v>
          </cell>
          <cell r="I94">
            <v>33449.19</v>
          </cell>
          <cell r="J94">
            <v>92000</v>
          </cell>
          <cell r="K94" t="str">
            <v>MP</v>
          </cell>
        </row>
        <row r="95">
          <cell r="A95">
            <v>990765</v>
          </cell>
          <cell r="C95">
            <v>0</v>
          </cell>
          <cell r="D95">
            <v>9</v>
          </cell>
          <cell r="E95">
            <v>555</v>
          </cell>
          <cell r="F95">
            <v>197</v>
          </cell>
          <cell r="G95">
            <v>404</v>
          </cell>
          <cell r="H95">
            <v>1166.6099999999999</v>
          </cell>
          <cell r="I95">
            <v>3089.83</v>
          </cell>
          <cell r="J95">
            <v>91919</v>
          </cell>
          <cell r="K95" t="str">
            <v>MP</v>
          </cell>
        </row>
        <row r="96">
          <cell r="A96">
            <v>990766</v>
          </cell>
          <cell r="C96">
            <v>260</v>
          </cell>
          <cell r="D96">
            <v>10</v>
          </cell>
          <cell r="E96">
            <v>457</v>
          </cell>
          <cell r="F96">
            <v>202</v>
          </cell>
          <cell r="G96">
            <v>594</v>
          </cell>
          <cell r="H96">
            <v>1524.4</v>
          </cell>
          <cell r="I96">
            <v>2974.8</v>
          </cell>
          <cell r="J96">
            <v>92243</v>
          </cell>
          <cell r="K96" t="str">
            <v>MP</v>
          </cell>
        </row>
        <row r="97">
          <cell r="A97">
            <v>990768</v>
          </cell>
          <cell r="C97">
            <v>187</v>
          </cell>
          <cell r="D97">
            <v>1</v>
          </cell>
          <cell r="E97">
            <v>495</v>
          </cell>
          <cell r="F97">
            <v>285</v>
          </cell>
          <cell r="G97">
            <v>876</v>
          </cell>
          <cell r="H97">
            <v>1846.6</v>
          </cell>
          <cell r="I97">
            <v>5972.05</v>
          </cell>
          <cell r="J97">
            <v>91841</v>
          </cell>
          <cell r="K97" t="str">
            <v>MP</v>
          </cell>
        </row>
        <row r="98">
          <cell r="A98">
            <v>990769</v>
          </cell>
          <cell r="C98">
            <v>536</v>
          </cell>
          <cell r="D98">
            <v>14</v>
          </cell>
          <cell r="E98">
            <v>504</v>
          </cell>
          <cell r="F98">
            <v>186</v>
          </cell>
          <cell r="G98">
            <v>456</v>
          </cell>
          <cell r="H98">
            <v>1697.76</v>
          </cell>
          <cell r="I98">
            <v>1728.14</v>
          </cell>
          <cell r="J98">
            <v>91990</v>
          </cell>
          <cell r="K98" t="str">
            <v>MP</v>
          </cell>
        </row>
        <row r="99">
          <cell r="A99">
            <v>990771</v>
          </cell>
          <cell r="C99">
            <v>1027</v>
          </cell>
          <cell r="D99">
            <v>212</v>
          </cell>
          <cell r="E99">
            <v>488</v>
          </cell>
          <cell r="F99">
            <v>963</v>
          </cell>
          <cell r="G99">
            <v>5962</v>
          </cell>
          <cell r="H99">
            <v>8655.4500000000007</v>
          </cell>
          <cell r="I99">
            <v>26578.35</v>
          </cell>
          <cell r="J99">
            <v>92339</v>
          </cell>
          <cell r="K99" t="str">
            <v>MP</v>
          </cell>
        </row>
        <row r="100">
          <cell r="A100">
            <v>990773</v>
          </cell>
          <cell r="C100">
            <v>1031</v>
          </cell>
          <cell r="D100">
            <v>28</v>
          </cell>
          <cell r="E100">
            <v>495</v>
          </cell>
          <cell r="F100">
            <v>235</v>
          </cell>
          <cell r="G100">
            <v>915</v>
          </cell>
          <cell r="H100">
            <v>2706.64</v>
          </cell>
          <cell r="I100">
            <v>3346.32</v>
          </cell>
          <cell r="J100">
            <v>90593</v>
          </cell>
          <cell r="K100" t="str">
            <v>MP</v>
          </cell>
        </row>
        <row r="101">
          <cell r="A101">
            <v>990774</v>
          </cell>
          <cell r="C101">
            <v>60297</v>
          </cell>
          <cell r="D101">
            <v>4193</v>
          </cell>
          <cell r="E101">
            <v>486</v>
          </cell>
          <cell r="F101">
            <v>15746</v>
          </cell>
          <cell r="G101">
            <v>109004</v>
          </cell>
          <cell r="H101">
            <v>189729.91</v>
          </cell>
          <cell r="I101">
            <v>544245.17000000004</v>
          </cell>
          <cell r="J101">
            <v>90593</v>
          </cell>
          <cell r="K101" t="str">
            <v>MP</v>
          </cell>
        </row>
        <row r="102">
          <cell r="A102">
            <v>990778</v>
          </cell>
          <cell r="C102">
            <v>228</v>
          </cell>
          <cell r="D102">
            <v>5</v>
          </cell>
          <cell r="E102">
            <v>519</v>
          </cell>
          <cell r="F102">
            <v>173</v>
          </cell>
          <cell r="G102">
            <v>164</v>
          </cell>
          <cell r="H102">
            <v>1091.2</v>
          </cell>
          <cell r="I102">
            <v>1379.6</v>
          </cell>
          <cell r="J102">
            <v>92274</v>
          </cell>
          <cell r="K102" t="str">
            <v>MP</v>
          </cell>
        </row>
        <row r="103">
          <cell r="A103">
            <v>990779</v>
          </cell>
          <cell r="C103">
            <v>153</v>
          </cell>
          <cell r="D103">
            <v>15</v>
          </cell>
          <cell r="E103">
            <v>495</v>
          </cell>
          <cell r="F103">
            <v>189</v>
          </cell>
          <cell r="G103">
            <v>485</v>
          </cell>
          <cell r="H103">
            <v>1340.14</v>
          </cell>
          <cell r="I103">
            <v>1777.93</v>
          </cell>
          <cell r="J103">
            <v>92134</v>
          </cell>
          <cell r="K103" t="str">
            <v>MP</v>
          </cell>
        </row>
        <row r="104">
          <cell r="A104">
            <v>990780</v>
          </cell>
          <cell r="C104">
            <v>8499</v>
          </cell>
          <cell r="D104">
            <v>64</v>
          </cell>
          <cell r="E104">
            <v>519</v>
          </cell>
          <cell r="F104">
            <v>711</v>
          </cell>
          <cell r="G104">
            <v>2427</v>
          </cell>
          <cell r="H104">
            <v>12222.73</v>
          </cell>
          <cell r="I104">
            <v>10180.5</v>
          </cell>
          <cell r="J104">
            <v>92304</v>
          </cell>
          <cell r="K104" t="str">
            <v>MP</v>
          </cell>
        </row>
        <row r="105">
          <cell r="A105">
            <v>990784</v>
          </cell>
          <cell r="C105">
            <v>611</v>
          </cell>
          <cell r="D105">
            <v>75</v>
          </cell>
          <cell r="E105">
            <v>495</v>
          </cell>
          <cell r="F105">
            <v>532</v>
          </cell>
          <cell r="G105">
            <v>2577</v>
          </cell>
          <cell r="H105">
            <v>4292.83</v>
          </cell>
          <cell r="I105">
            <v>10420.07</v>
          </cell>
          <cell r="J105">
            <v>92357</v>
          </cell>
          <cell r="K105" t="str">
            <v>MP</v>
          </cell>
        </row>
        <row r="106">
          <cell r="A106">
            <v>990786</v>
          </cell>
          <cell r="C106">
            <v>148</v>
          </cell>
          <cell r="D106">
            <v>186</v>
          </cell>
          <cell r="E106">
            <v>444</v>
          </cell>
          <cell r="F106">
            <v>938</v>
          </cell>
          <cell r="G106">
            <v>4550</v>
          </cell>
          <cell r="H106">
            <v>6269.16</v>
          </cell>
          <cell r="I106">
            <v>30595.32</v>
          </cell>
          <cell r="J106">
            <v>91333</v>
          </cell>
          <cell r="K106" t="str">
            <v>MP</v>
          </cell>
        </row>
        <row r="107">
          <cell r="A107">
            <v>990791</v>
          </cell>
          <cell r="C107">
            <v>396</v>
          </cell>
          <cell r="D107">
            <v>3</v>
          </cell>
          <cell r="E107">
            <v>504</v>
          </cell>
          <cell r="F107">
            <v>143</v>
          </cell>
          <cell r="G107">
            <v>89</v>
          </cell>
          <cell r="H107">
            <v>1136.75</v>
          </cell>
          <cell r="I107">
            <v>100.98</v>
          </cell>
          <cell r="J107">
            <v>90131</v>
          </cell>
          <cell r="K107" t="str">
            <v>MP</v>
          </cell>
        </row>
        <row r="108">
          <cell r="A108">
            <v>990792</v>
          </cell>
          <cell r="C108">
            <v>544</v>
          </cell>
          <cell r="D108">
            <v>383</v>
          </cell>
          <cell r="E108">
            <v>486</v>
          </cell>
          <cell r="F108">
            <v>1651</v>
          </cell>
          <cell r="G108">
            <v>8681</v>
          </cell>
          <cell r="H108">
            <v>11747.34</v>
          </cell>
          <cell r="I108">
            <v>53327.61</v>
          </cell>
          <cell r="J108">
            <v>90118</v>
          </cell>
          <cell r="K108" t="str">
            <v>MP</v>
          </cell>
        </row>
        <row r="109">
          <cell r="A109">
            <v>990793</v>
          </cell>
          <cell r="C109">
            <v>6463</v>
          </cell>
          <cell r="D109">
            <v>560</v>
          </cell>
          <cell r="E109">
            <v>456</v>
          </cell>
          <cell r="F109">
            <v>2270</v>
          </cell>
          <cell r="G109">
            <v>17017</v>
          </cell>
          <cell r="H109">
            <v>26769.42</v>
          </cell>
          <cell r="I109">
            <v>77819.83</v>
          </cell>
          <cell r="J109">
            <v>91975</v>
          </cell>
          <cell r="K109" t="str">
            <v>MP</v>
          </cell>
        </row>
        <row r="110">
          <cell r="A110">
            <v>990794</v>
          </cell>
          <cell r="C110">
            <v>14633</v>
          </cell>
          <cell r="D110">
            <v>534</v>
          </cell>
          <cell r="E110">
            <v>519</v>
          </cell>
          <cell r="F110">
            <v>2167</v>
          </cell>
          <cell r="G110">
            <v>16988</v>
          </cell>
          <cell r="H110">
            <v>34842.730000000003</v>
          </cell>
          <cell r="I110">
            <v>389829.46</v>
          </cell>
          <cell r="J110">
            <v>92418</v>
          </cell>
          <cell r="K110" t="str">
            <v>MP</v>
          </cell>
        </row>
        <row r="111">
          <cell r="A111">
            <v>990795</v>
          </cell>
          <cell r="C111">
            <v>800</v>
          </cell>
          <cell r="D111">
            <v>74</v>
          </cell>
          <cell r="E111">
            <v>444</v>
          </cell>
          <cell r="F111">
            <v>533</v>
          </cell>
          <cell r="G111">
            <v>2592</v>
          </cell>
          <cell r="H111">
            <v>4446.1899999999996</v>
          </cell>
          <cell r="I111">
            <v>11365.44</v>
          </cell>
          <cell r="J111">
            <v>92105</v>
          </cell>
          <cell r="K111" t="str">
            <v>MP</v>
          </cell>
        </row>
        <row r="112">
          <cell r="A112">
            <v>990797</v>
          </cell>
          <cell r="C112">
            <v>230</v>
          </cell>
          <cell r="D112">
            <v>12</v>
          </cell>
          <cell r="E112">
            <v>519</v>
          </cell>
          <cell r="F112">
            <v>216</v>
          </cell>
          <cell r="G112">
            <v>689</v>
          </cell>
          <cell r="H112">
            <v>1668.06</v>
          </cell>
          <cell r="I112">
            <v>2960.45</v>
          </cell>
          <cell r="J112">
            <v>91678</v>
          </cell>
          <cell r="K112" t="str">
            <v>MP</v>
          </cell>
        </row>
        <row r="113">
          <cell r="A113">
            <v>990799</v>
          </cell>
          <cell r="C113">
            <v>674</v>
          </cell>
          <cell r="D113">
            <v>1494</v>
          </cell>
          <cell r="E113">
            <v>457</v>
          </cell>
          <cell r="F113">
            <v>10800</v>
          </cell>
          <cell r="G113">
            <v>65612</v>
          </cell>
          <cell r="H113">
            <v>79039.789999999994</v>
          </cell>
          <cell r="I113">
            <v>444067.2</v>
          </cell>
          <cell r="J113">
            <v>90097</v>
          </cell>
          <cell r="K113" t="str">
            <v>MP</v>
          </cell>
        </row>
        <row r="114">
          <cell r="A114">
            <v>990803</v>
          </cell>
          <cell r="C114">
            <v>1077</v>
          </cell>
          <cell r="D114">
            <v>299</v>
          </cell>
          <cell r="E114">
            <v>555</v>
          </cell>
          <cell r="F114">
            <v>1328</v>
          </cell>
          <cell r="G114">
            <v>9056</v>
          </cell>
          <cell r="H114">
            <v>12316.85</v>
          </cell>
          <cell r="I114">
            <v>45350</v>
          </cell>
          <cell r="J114">
            <v>92140</v>
          </cell>
          <cell r="K114" t="str">
            <v>MP</v>
          </cell>
        </row>
        <row r="115">
          <cell r="A115">
            <v>990804</v>
          </cell>
          <cell r="C115">
            <v>211</v>
          </cell>
          <cell r="D115">
            <v>80</v>
          </cell>
          <cell r="E115">
            <v>519</v>
          </cell>
          <cell r="F115">
            <v>822</v>
          </cell>
          <cell r="G115">
            <v>3525</v>
          </cell>
          <cell r="H115">
            <v>5159.6000000000004</v>
          </cell>
          <cell r="I115">
            <v>20861</v>
          </cell>
          <cell r="J115">
            <v>90697</v>
          </cell>
          <cell r="K115" t="str">
            <v>MP</v>
          </cell>
        </row>
        <row r="116">
          <cell r="A116">
            <v>990806</v>
          </cell>
          <cell r="C116">
            <v>505</v>
          </cell>
          <cell r="D116">
            <v>124</v>
          </cell>
          <cell r="E116">
            <v>519</v>
          </cell>
          <cell r="F116">
            <v>1131</v>
          </cell>
          <cell r="G116">
            <v>5060</v>
          </cell>
          <cell r="H116">
            <v>7342.29</v>
          </cell>
          <cell r="I116">
            <v>34743.550000000003</v>
          </cell>
          <cell r="J116">
            <v>92107</v>
          </cell>
          <cell r="K116" t="str">
            <v>MP</v>
          </cell>
        </row>
        <row r="117">
          <cell r="A117">
            <v>990813</v>
          </cell>
          <cell r="C117">
            <v>2246</v>
          </cell>
          <cell r="D117">
            <v>1797</v>
          </cell>
          <cell r="E117">
            <v>472</v>
          </cell>
          <cell r="F117">
            <v>6865</v>
          </cell>
          <cell r="G117">
            <v>49767</v>
          </cell>
          <cell r="H117">
            <v>61150.03</v>
          </cell>
          <cell r="I117">
            <v>280789.65000000002</v>
          </cell>
          <cell r="J117">
            <v>90570</v>
          </cell>
          <cell r="K117" t="str">
            <v>MP</v>
          </cell>
        </row>
        <row r="118">
          <cell r="A118">
            <v>990816</v>
          </cell>
          <cell r="C118">
            <v>5115</v>
          </cell>
          <cell r="D118">
            <v>836</v>
          </cell>
          <cell r="E118">
            <v>478</v>
          </cell>
          <cell r="F118">
            <v>3288</v>
          </cell>
          <cell r="G118">
            <v>25611</v>
          </cell>
          <cell r="H118">
            <v>35331.39</v>
          </cell>
          <cell r="I118">
            <v>124223.3</v>
          </cell>
          <cell r="J118">
            <v>91437</v>
          </cell>
          <cell r="K118" t="str">
            <v>MP</v>
          </cell>
        </row>
        <row r="119">
          <cell r="A119">
            <v>990818</v>
          </cell>
          <cell r="C119">
            <v>344</v>
          </cell>
          <cell r="D119">
            <v>82</v>
          </cell>
          <cell r="E119">
            <v>519</v>
          </cell>
          <cell r="F119">
            <v>838</v>
          </cell>
          <cell r="G119">
            <v>4918</v>
          </cell>
          <cell r="H119">
            <v>6703.37</v>
          </cell>
          <cell r="I119">
            <v>21332.639999999999</v>
          </cell>
          <cell r="J119">
            <v>90402</v>
          </cell>
          <cell r="K119" t="str">
            <v>MP</v>
          </cell>
        </row>
        <row r="120">
          <cell r="A120">
            <v>990820</v>
          </cell>
          <cell r="C120">
            <v>1221</v>
          </cell>
          <cell r="D120">
            <v>189</v>
          </cell>
          <cell r="E120">
            <v>519</v>
          </cell>
          <cell r="F120">
            <v>945</v>
          </cell>
          <cell r="G120">
            <v>6434</v>
          </cell>
          <cell r="H120">
            <v>9310.58</v>
          </cell>
          <cell r="I120">
            <v>25941.97</v>
          </cell>
          <cell r="J120">
            <v>92105</v>
          </cell>
          <cell r="K120" t="str">
            <v>MP</v>
          </cell>
        </row>
        <row r="121">
          <cell r="A121">
            <v>990821</v>
          </cell>
          <cell r="C121">
            <v>8110</v>
          </cell>
          <cell r="D121">
            <v>306</v>
          </cell>
          <cell r="E121">
            <v>450</v>
          </cell>
          <cell r="F121">
            <v>1372</v>
          </cell>
          <cell r="G121">
            <v>8935</v>
          </cell>
          <cell r="H121">
            <v>19176.349999999999</v>
          </cell>
          <cell r="I121">
            <v>41536.230000000003</v>
          </cell>
          <cell r="J121">
            <v>92158</v>
          </cell>
          <cell r="K121" t="str">
            <v>MP</v>
          </cell>
        </row>
        <row r="122">
          <cell r="A122">
            <v>990829</v>
          </cell>
          <cell r="C122">
            <v>1034</v>
          </cell>
          <cell r="D122">
            <v>386</v>
          </cell>
          <cell r="E122">
            <v>450</v>
          </cell>
          <cell r="F122">
            <v>1824</v>
          </cell>
          <cell r="G122">
            <v>4911</v>
          </cell>
          <cell r="H122">
            <v>8607.39</v>
          </cell>
          <cell r="I122">
            <v>66421.58</v>
          </cell>
          <cell r="J122">
            <v>91462</v>
          </cell>
          <cell r="K122" t="str">
            <v>MP</v>
          </cell>
        </row>
        <row r="123">
          <cell r="A123">
            <v>990830</v>
          </cell>
          <cell r="C123">
            <v>571</v>
          </cell>
          <cell r="D123">
            <v>13</v>
          </cell>
          <cell r="E123">
            <v>450</v>
          </cell>
          <cell r="F123">
            <v>229</v>
          </cell>
          <cell r="G123">
            <v>825</v>
          </cell>
          <cell r="H123">
            <v>2091.14</v>
          </cell>
          <cell r="I123">
            <v>3966.4</v>
          </cell>
          <cell r="J123">
            <v>92263</v>
          </cell>
          <cell r="K123" t="str">
            <v>MP</v>
          </cell>
        </row>
        <row r="124">
          <cell r="A124">
            <v>990831</v>
          </cell>
          <cell r="C124">
            <v>198</v>
          </cell>
          <cell r="D124">
            <v>3</v>
          </cell>
          <cell r="E124">
            <v>495</v>
          </cell>
          <cell r="F124">
            <v>143</v>
          </cell>
          <cell r="G124">
            <v>100</v>
          </cell>
          <cell r="H124">
            <v>941.72</v>
          </cell>
          <cell r="I124">
            <v>289.31</v>
          </cell>
          <cell r="J124">
            <v>91462</v>
          </cell>
          <cell r="K124" t="str">
            <v>MP</v>
          </cell>
        </row>
        <row r="125">
          <cell r="A125">
            <v>990833</v>
          </cell>
          <cell r="C125">
            <v>797</v>
          </cell>
          <cell r="D125">
            <v>197</v>
          </cell>
          <cell r="E125">
            <v>478</v>
          </cell>
          <cell r="F125">
            <v>933</v>
          </cell>
          <cell r="G125">
            <v>5186</v>
          </cell>
          <cell r="H125">
            <v>7594.22</v>
          </cell>
          <cell r="I125">
            <v>27018.89</v>
          </cell>
          <cell r="J125">
            <v>92109</v>
          </cell>
          <cell r="K125" t="str">
            <v>MP</v>
          </cell>
        </row>
        <row r="126">
          <cell r="A126">
            <v>990837</v>
          </cell>
          <cell r="C126">
            <v>621</v>
          </cell>
          <cell r="D126">
            <v>17</v>
          </cell>
          <cell r="E126">
            <v>486</v>
          </cell>
          <cell r="F126">
            <v>194</v>
          </cell>
          <cell r="G126">
            <v>526</v>
          </cell>
          <cell r="H126">
            <v>1846.13</v>
          </cell>
          <cell r="I126">
            <v>1974.44</v>
          </cell>
          <cell r="J126">
            <v>90257</v>
          </cell>
          <cell r="K126" t="str">
            <v>MP</v>
          </cell>
        </row>
        <row r="127">
          <cell r="A127">
            <v>990840</v>
          </cell>
          <cell r="C127">
            <v>229</v>
          </cell>
          <cell r="D127">
            <v>46</v>
          </cell>
          <cell r="E127">
            <v>511</v>
          </cell>
          <cell r="F127">
            <v>581</v>
          </cell>
          <cell r="G127">
            <v>3037</v>
          </cell>
          <cell r="H127">
            <v>4406.13</v>
          </cell>
          <cell r="I127">
            <v>12081.24</v>
          </cell>
          <cell r="J127">
            <v>91681</v>
          </cell>
          <cell r="K127" t="str">
            <v>MP</v>
          </cell>
        </row>
        <row r="128">
          <cell r="A128">
            <v>990841</v>
          </cell>
          <cell r="C128">
            <v>234</v>
          </cell>
          <cell r="D128">
            <v>4</v>
          </cell>
          <cell r="E128">
            <v>519</v>
          </cell>
          <cell r="F128">
            <v>148</v>
          </cell>
          <cell r="G128">
            <v>138</v>
          </cell>
          <cell r="H128">
            <v>1044.72</v>
          </cell>
          <cell r="I128">
            <v>412.5</v>
          </cell>
          <cell r="J128">
            <v>90402</v>
          </cell>
          <cell r="K128" t="str">
            <v>MP</v>
          </cell>
        </row>
        <row r="129">
          <cell r="A129">
            <v>990851</v>
          </cell>
          <cell r="C129">
            <v>149</v>
          </cell>
          <cell r="D129">
            <v>146</v>
          </cell>
          <cell r="E129">
            <v>447</v>
          </cell>
          <cell r="F129">
            <v>1290</v>
          </cell>
          <cell r="G129">
            <v>8380</v>
          </cell>
          <cell r="H129">
            <v>10414.030000000001</v>
          </cell>
          <cell r="I129">
            <v>45629.27</v>
          </cell>
          <cell r="J129">
            <v>92015</v>
          </cell>
          <cell r="K129" t="str">
            <v>MP</v>
          </cell>
        </row>
        <row r="130">
          <cell r="A130">
            <v>990853</v>
          </cell>
          <cell r="C130">
            <v>150</v>
          </cell>
          <cell r="D130">
            <v>11</v>
          </cell>
          <cell r="E130">
            <v>450</v>
          </cell>
          <cell r="F130">
            <v>215</v>
          </cell>
          <cell r="G130">
            <v>522</v>
          </cell>
          <cell r="H130">
            <v>1350.79</v>
          </cell>
          <cell r="I130">
            <v>3480.23</v>
          </cell>
          <cell r="J130">
            <v>90485</v>
          </cell>
          <cell r="K130" t="str">
            <v>MP</v>
          </cell>
        </row>
        <row r="131">
          <cell r="A131">
            <v>990859</v>
          </cell>
          <cell r="C131">
            <v>201</v>
          </cell>
          <cell r="D131">
            <v>25</v>
          </cell>
          <cell r="E131">
            <v>130</v>
          </cell>
          <cell r="F131">
            <v>357</v>
          </cell>
          <cell r="G131">
            <v>123</v>
          </cell>
          <cell r="H131">
            <v>838.68</v>
          </cell>
          <cell r="I131">
            <v>3681.41</v>
          </cell>
          <cell r="J131">
            <v>91839</v>
          </cell>
          <cell r="K131" t="str">
            <v>MP</v>
          </cell>
        </row>
        <row r="132">
          <cell r="A132">
            <v>990861</v>
          </cell>
          <cell r="C132">
            <v>408</v>
          </cell>
          <cell r="D132">
            <v>11</v>
          </cell>
          <cell r="E132">
            <v>130</v>
          </cell>
          <cell r="F132">
            <v>257</v>
          </cell>
          <cell r="G132">
            <v>339</v>
          </cell>
          <cell r="H132">
            <v>1147.1199999999999</v>
          </cell>
          <cell r="I132">
            <v>1396.36</v>
          </cell>
          <cell r="J132">
            <v>91975</v>
          </cell>
          <cell r="K132" t="str">
            <v>MP</v>
          </cell>
        </row>
        <row r="133">
          <cell r="A133">
            <v>990862</v>
          </cell>
          <cell r="C133">
            <v>3757</v>
          </cell>
          <cell r="D133">
            <v>571</v>
          </cell>
          <cell r="E133">
            <v>130</v>
          </cell>
          <cell r="F133">
            <v>457</v>
          </cell>
          <cell r="G133">
            <v>17577</v>
          </cell>
          <cell r="H133">
            <v>22494.51</v>
          </cell>
          <cell r="I133">
            <v>87205.18</v>
          </cell>
          <cell r="J133">
            <v>91975</v>
          </cell>
          <cell r="K133" t="str">
            <v>MP</v>
          </cell>
        </row>
        <row r="134">
          <cell r="A134">
            <v>990864</v>
          </cell>
          <cell r="C134">
            <v>83</v>
          </cell>
          <cell r="D134">
            <v>36</v>
          </cell>
          <cell r="E134">
            <v>130</v>
          </cell>
          <cell r="F134">
            <v>362</v>
          </cell>
          <cell r="G134">
            <v>1121</v>
          </cell>
          <cell r="H134">
            <v>1734.17</v>
          </cell>
          <cell r="I134">
            <v>5969.95</v>
          </cell>
          <cell r="J134">
            <v>90118</v>
          </cell>
          <cell r="K134" t="str">
            <v>MP</v>
          </cell>
        </row>
        <row r="135">
          <cell r="A135">
            <v>990865</v>
          </cell>
          <cell r="C135">
            <v>935</v>
          </cell>
          <cell r="D135">
            <v>167</v>
          </cell>
          <cell r="E135">
            <v>472</v>
          </cell>
          <cell r="F135">
            <v>348</v>
          </cell>
          <cell r="G135">
            <v>3521</v>
          </cell>
          <cell r="H135">
            <v>5446.77</v>
          </cell>
          <cell r="I135">
            <v>23862.35</v>
          </cell>
          <cell r="J135">
            <v>91384</v>
          </cell>
          <cell r="K135" t="str">
            <v>MP</v>
          </cell>
        </row>
        <row r="136">
          <cell r="A136">
            <v>990869</v>
          </cell>
          <cell r="C136">
            <v>263</v>
          </cell>
          <cell r="D136">
            <v>71</v>
          </cell>
          <cell r="E136">
            <v>557</v>
          </cell>
          <cell r="F136">
            <v>754</v>
          </cell>
          <cell r="G136">
            <v>3101</v>
          </cell>
          <cell r="H136">
            <v>4749.13</v>
          </cell>
          <cell r="I136">
            <v>21099.53</v>
          </cell>
          <cell r="J136">
            <v>90349</v>
          </cell>
          <cell r="K136" t="str">
            <v>MP</v>
          </cell>
        </row>
        <row r="137">
          <cell r="A137">
            <v>990872</v>
          </cell>
          <cell r="C137">
            <v>250</v>
          </cell>
          <cell r="D137">
            <v>7</v>
          </cell>
          <cell r="E137">
            <v>495</v>
          </cell>
          <cell r="F137">
            <v>160</v>
          </cell>
          <cell r="G137">
            <v>240</v>
          </cell>
          <cell r="H137">
            <v>1155.02</v>
          </cell>
          <cell r="I137">
            <v>969.83</v>
          </cell>
          <cell r="J137">
            <v>91462</v>
          </cell>
          <cell r="K137" t="str">
            <v>MP</v>
          </cell>
        </row>
        <row r="138">
          <cell r="A138">
            <v>990875</v>
          </cell>
          <cell r="C138">
            <v>220</v>
          </cell>
          <cell r="D138">
            <v>139</v>
          </cell>
          <cell r="E138">
            <v>457</v>
          </cell>
          <cell r="F138">
            <v>1239</v>
          </cell>
          <cell r="G138">
            <v>6119</v>
          </cell>
          <cell r="H138">
            <v>8176.87</v>
          </cell>
          <cell r="I138">
            <v>40287.980000000003</v>
          </cell>
          <cell r="J138">
            <v>90061</v>
          </cell>
          <cell r="K138" t="str">
            <v>MP</v>
          </cell>
        </row>
        <row r="139">
          <cell r="A139">
            <v>990876</v>
          </cell>
          <cell r="C139">
            <v>201</v>
          </cell>
          <cell r="D139">
            <v>12</v>
          </cell>
          <cell r="E139">
            <v>519</v>
          </cell>
          <cell r="F139">
            <v>175</v>
          </cell>
          <cell r="G139">
            <v>175</v>
          </cell>
          <cell r="H139">
            <v>1084.68</v>
          </cell>
          <cell r="I139">
            <v>1553.39</v>
          </cell>
          <cell r="J139">
            <v>90086</v>
          </cell>
          <cell r="K139" t="str">
            <v>MP</v>
          </cell>
        </row>
        <row r="140">
          <cell r="A140">
            <v>990879</v>
          </cell>
          <cell r="C140">
            <v>197</v>
          </cell>
          <cell r="D140">
            <v>8</v>
          </cell>
          <cell r="E140">
            <v>486</v>
          </cell>
          <cell r="F140">
            <v>192</v>
          </cell>
          <cell r="G140">
            <v>375</v>
          </cell>
          <cell r="H140">
            <v>1260.8399999999999</v>
          </cell>
          <cell r="I140">
            <v>2270.3000000000002</v>
          </cell>
          <cell r="J140">
            <v>90468</v>
          </cell>
          <cell r="K140" t="str">
            <v>MP</v>
          </cell>
        </row>
        <row r="141">
          <cell r="A141">
            <v>990881</v>
          </cell>
          <cell r="C141">
            <v>2265</v>
          </cell>
          <cell r="D141">
            <v>288</v>
          </cell>
          <cell r="E141">
            <v>444</v>
          </cell>
          <cell r="F141">
            <v>1355</v>
          </cell>
          <cell r="G141">
            <v>9282</v>
          </cell>
          <cell r="H141">
            <v>13635.53</v>
          </cell>
          <cell r="I141">
            <v>48332.5</v>
          </cell>
          <cell r="J141">
            <v>92142</v>
          </cell>
          <cell r="K141" t="str">
            <v>MP</v>
          </cell>
        </row>
        <row r="142">
          <cell r="A142">
            <v>990882</v>
          </cell>
          <cell r="C142">
            <v>6355</v>
          </cell>
          <cell r="D142">
            <v>199</v>
          </cell>
          <cell r="E142">
            <v>486</v>
          </cell>
          <cell r="F142">
            <v>402</v>
          </cell>
          <cell r="G142">
            <v>6458</v>
          </cell>
          <cell r="H142">
            <v>13903.99</v>
          </cell>
          <cell r="I142">
            <v>148741.32999999999</v>
          </cell>
          <cell r="J142">
            <v>92358</v>
          </cell>
          <cell r="K142" t="str">
            <v>MP</v>
          </cell>
        </row>
        <row r="143">
          <cell r="A143">
            <v>990884</v>
          </cell>
          <cell r="C143">
            <v>1357</v>
          </cell>
          <cell r="D143">
            <v>124</v>
          </cell>
          <cell r="E143">
            <v>240</v>
          </cell>
          <cell r="F143">
            <v>359</v>
          </cell>
          <cell r="G143">
            <v>4241</v>
          </cell>
          <cell r="H143">
            <v>6323.81</v>
          </cell>
          <cell r="I143">
            <v>19536</v>
          </cell>
          <cell r="J143">
            <v>93042</v>
          </cell>
          <cell r="K143" t="str">
            <v>MP</v>
          </cell>
        </row>
        <row r="144">
          <cell r="A144">
            <v>990886</v>
          </cell>
          <cell r="C144">
            <v>192</v>
          </cell>
          <cell r="D144">
            <v>4</v>
          </cell>
          <cell r="E144">
            <v>486</v>
          </cell>
          <cell r="F144">
            <v>161</v>
          </cell>
          <cell r="G144">
            <v>184</v>
          </cell>
          <cell r="H144">
            <v>1029.8499999999999</v>
          </cell>
          <cell r="I144">
            <v>860.8</v>
          </cell>
          <cell r="J144">
            <v>90061</v>
          </cell>
          <cell r="K144" t="str">
            <v>MP</v>
          </cell>
        </row>
        <row r="145">
          <cell r="A145">
            <v>990888</v>
          </cell>
          <cell r="C145">
            <v>459</v>
          </cell>
          <cell r="D145">
            <v>968</v>
          </cell>
          <cell r="E145">
            <v>488</v>
          </cell>
          <cell r="F145">
            <v>3699</v>
          </cell>
          <cell r="G145">
            <v>21445</v>
          </cell>
          <cell r="H145">
            <v>27060.6</v>
          </cell>
          <cell r="I145">
            <v>143246.25</v>
          </cell>
          <cell r="J145">
            <v>90614</v>
          </cell>
          <cell r="K145" t="str">
            <v>MP</v>
          </cell>
        </row>
        <row r="146">
          <cell r="A146">
            <v>990892</v>
          </cell>
          <cell r="C146">
            <v>20164</v>
          </cell>
          <cell r="D146">
            <v>192</v>
          </cell>
          <cell r="E146">
            <v>519</v>
          </cell>
          <cell r="F146">
            <v>1411</v>
          </cell>
          <cell r="G146">
            <v>6164</v>
          </cell>
          <cell r="H146">
            <v>28452.080000000002</v>
          </cell>
          <cell r="I146">
            <v>27515.279999999999</v>
          </cell>
          <cell r="J146">
            <v>91996</v>
          </cell>
          <cell r="K146" t="str">
            <v>MP</v>
          </cell>
        </row>
        <row r="147">
          <cell r="A147">
            <v>990894</v>
          </cell>
          <cell r="C147">
            <v>39133</v>
          </cell>
          <cell r="D147">
            <v>1142</v>
          </cell>
          <cell r="E147">
            <v>519</v>
          </cell>
          <cell r="F147">
            <v>4404</v>
          </cell>
          <cell r="G147">
            <v>22124</v>
          </cell>
          <cell r="H147">
            <v>67325.55</v>
          </cell>
          <cell r="I147">
            <v>127847.72</v>
          </cell>
          <cell r="J147">
            <v>91997</v>
          </cell>
          <cell r="K147" t="str">
            <v>MP</v>
          </cell>
        </row>
        <row r="148">
          <cell r="A148">
            <v>990896</v>
          </cell>
          <cell r="C148">
            <v>11690</v>
          </cell>
          <cell r="D148">
            <v>935</v>
          </cell>
          <cell r="E148">
            <v>478</v>
          </cell>
          <cell r="F148">
            <v>3661</v>
          </cell>
          <cell r="G148">
            <v>31787</v>
          </cell>
          <cell r="H148">
            <v>48553.86</v>
          </cell>
          <cell r="I148">
            <v>123254.64</v>
          </cell>
          <cell r="J148">
            <v>91375</v>
          </cell>
          <cell r="K148" t="str">
            <v>MP</v>
          </cell>
        </row>
        <row r="149">
          <cell r="A149">
            <v>990897</v>
          </cell>
          <cell r="C149">
            <v>221</v>
          </cell>
          <cell r="D149">
            <v>32</v>
          </cell>
          <cell r="E149">
            <v>486</v>
          </cell>
          <cell r="F149">
            <v>250</v>
          </cell>
          <cell r="G149">
            <v>998</v>
          </cell>
          <cell r="H149">
            <v>1989.59</v>
          </cell>
          <cell r="I149">
            <v>4612.21</v>
          </cell>
          <cell r="J149">
            <v>92174</v>
          </cell>
          <cell r="K149" t="str">
            <v>MP</v>
          </cell>
        </row>
        <row r="150">
          <cell r="A150">
            <v>990898</v>
          </cell>
          <cell r="C150">
            <v>182</v>
          </cell>
          <cell r="D150">
            <v>334</v>
          </cell>
          <cell r="E150">
            <v>478</v>
          </cell>
          <cell r="F150">
            <v>1435</v>
          </cell>
          <cell r="G150">
            <v>9959</v>
          </cell>
          <cell r="H150">
            <v>12360.13</v>
          </cell>
          <cell r="I150">
            <v>49416.57</v>
          </cell>
          <cell r="J150">
            <v>91431</v>
          </cell>
          <cell r="K150" t="str">
            <v>MP</v>
          </cell>
        </row>
        <row r="151">
          <cell r="A151">
            <v>990899</v>
          </cell>
          <cell r="C151">
            <v>1932</v>
          </cell>
          <cell r="D151">
            <v>50</v>
          </cell>
          <cell r="E151">
            <v>495</v>
          </cell>
          <cell r="F151">
            <v>370</v>
          </cell>
          <cell r="G151">
            <v>1713</v>
          </cell>
          <cell r="H151">
            <v>4562.1400000000003</v>
          </cell>
          <cell r="I151">
            <v>5427.49</v>
          </cell>
          <cell r="J151">
            <v>90487</v>
          </cell>
          <cell r="K151" t="str">
            <v>MP</v>
          </cell>
        </row>
        <row r="152">
          <cell r="A152">
            <v>990900</v>
          </cell>
          <cell r="C152">
            <v>555</v>
          </cell>
          <cell r="D152">
            <v>128</v>
          </cell>
          <cell r="E152">
            <v>450</v>
          </cell>
          <cell r="F152">
            <v>723</v>
          </cell>
          <cell r="G152">
            <v>4359</v>
          </cell>
          <cell r="H152">
            <v>6217.73</v>
          </cell>
          <cell r="I152">
            <v>19216.13</v>
          </cell>
          <cell r="J152">
            <v>92278</v>
          </cell>
          <cell r="K152" t="str">
            <v>MP</v>
          </cell>
        </row>
        <row r="153">
          <cell r="A153">
            <v>990905</v>
          </cell>
          <cell r="C153">
            <v>12082</v>
          </cell>
          <cell r="D153">
            <v>274</v>
          </cell>
          <cell r="E153">
            <v>472</v>
          </cell>
          <cell r="F153">
            <v>1259</v>
          </cell>
          <cell r="G153">
            <v>5353</v>
          </cell>
          <cell r="H153">
            <v>19443.63</v>
          </cell>
          <cell r="I153">
            <v>29687.78</v>
          </cell>
          <cell r="J153">
            <v>92253</v>
          </cell>
          <cell r="K153" t="str">
            <v>MP</v>
          </cell>
        </row>
        <row r="154">
          <cell r="A154">
            <v>990908</v>
          </cell>
          <cell r="C154">
            <v>259</v>
          </cell>
          <cell r="D154">
            <v>10</v>
          </cell>
          <cell r="E154">
            <v>478</v>
          </cell>
          <cell r="F154">
            <v>169</v>
          </cell>
          <cell r="G154">
            <v>318</v>
          </cell>
          <cell r="H154">
            <v>1237.33</v>
          </cell>
          <cell r="I154">
            <v>1423.75</v>
          </cell>
          <cell r="J154">
            <v>92334</v>
          </cell>
          <cell r="K154" t="str">
            <v>MP</v>
          </cell>
        </row>
        <row r="155">
          <cell r="A155">
            <v>990909</v>
          </cell>
          <cell r="C155">
            <v>208</v>
          </cell>
          <cell r="D155">
            <v>4</v>
          </cell>
          <cell r="E155">
            <v>519</v>
          </cell>
          <cell r="F155">
            <v>165</v>
          </cell>
          <cell r="G155">
            <v>281</v>
          </cell>
          <cell r="H155">
            <v>1179.05</v>
          </cell>
          <cell r="I155">
            <v>1071.54</v>
          </cell>
          <cell r="J155">
            <v>91178</v>
          </cell>
          <cell r="K155" t="str">
            <v>MP</v>
          </cell>
        </row>
        <row r="156">
          <cell r="A156">
            <v>990910</v>
          </cell>
          <cell r="C156">
            <v>259</v>
          </cell>
          <cell r="D156">
            <v>3</v>
          </cell>
          <cell r="E156">
            <v>444</v>
          </cell>
          <cell r="F156">
            <v>164</v>
          </cell>
          <cell r="G156">
            <v>273</v>
          </cell>
          <cell r="H156">
            <v>1145.27</v>
          </cell>
          <cell r="I156">
            <v>1228.03</v>
          </cell>
          <cell r="J156">
            <v>90379</v>
          </cell>
          <cell r="K156" t="str">
            <v>MP</v>
          </cell>
        </row>
        <row r="157">
          <cell r="A157">
            <v>990913</v>
          </cell>
          <cell r="C157">
            <v>219</v>
          </cell>
          <cell r="D157">
            <v>1</v>
          </cell>
          <cell r="E157">
            <v>478</v>
          </cell>
          <cell r="F157">
            <v>139</v>
          </cell>
          <cell r="G157">
            <v>64</v>
          </cell>
          <cell r="H157">
            <v>903.07</v>
          </cell>
          <cell r="I157">
            <v>116</v>
          </cell>
          <cell r="J157">
            <v>91343</v>
          </cell>
          <cell r="K157" t="str">
            <v>MP</v>
          </cell>
        </row>
        <row r="158">
          <cell r="A158">
            <v>990914</v>
          </cell>
          <cell r="C158">
            <v>231</v>
          </cell>
          <cell r="D158">
            <v>0</v>
          </cell>
          <cell r="E158">
            <v>504</v>
          </cell>
          <cell r="F158">
            <v>138</v>
          </cell>
          <cell r="G158">
            <v>50</v>
          </cell>
          <cell r="H158">
            <v>924.77</v>
          </cell>
          <cell r="I158">
            <v>18.16</v>
          </cell>
          <cell r="J158">
            <v>91591</v>
          </cell>
          <cell r="K158" t="str">
            <v>MP</v>
          </cell>
        </row>
        <row r="159">
          <cell r="A159">
            <v>990915</v>
          </cell>
          <cell r="C159">
            <v>227</v>
          </cell>
          <cell r="D159">
            <v>1</v>
          </cell>
          <cell r="E159">
            <v>504</v>
          </cell>
          <cell r="F159">
            <v>144</v>
          </cell>
          <cell r="G159">
            <v>101</v>
          </cell>
          <cell r="H159">
            <v>979.03</v>
          </cell>
          <cell r="I159">
            <v>278.39999999999998</v>
          </cell>
          <cell r="J159">
            <v>90402</v>
          </cell>
          <cell r="K159" t="str">
            <v>MP</v>
          </cell>
        </row>
        <row r="160">
          <cell r="A160">
            <v>990921</v>
          </cell>
          <cell r="C160">
            <v>508</v>
          </cell>
          <cell r="D160">
            <v>82</v>
          </cell>
          <cell r="E160">
            <v>504</v>
          </cell>
          <cell r="F160">
            <v>288</v>
          </cell>
          <cell r="G160">
            <v>1879</v>
          </cell>
          <cell r="H160">
            <v>3264.8</v>
          </cell>
          <cell r="I160">
            <v>12152.98</v>
          </cell>
          <cell r="J160">
            <v>91351</v>
          </cell>
          <cell r="K160" t="str">
            <v>MP</v>
          </cell>
        </row>
        <row r="161">
          <cell r="A161">
            <v>990923</v>
          </cell>
          <cell r="C161">
            <v>536</v>
          </cell>
          <cell r="D161">
            <v>12</v>
          </cell>
          <cell r="E161">
            <v>478</v>
          </cell>
          <cell r="F161">
            <v>187</v>
          </cell>
          <cell r="G161">
            <v>471</v>
          </cell>
          <cell r="H161">
            <v>1686.63</v>
          </cell>
          <cell r="I161">
            <v>1928.72</v>
          </cell>
          <cell r="J161">
            <v>91163</v>
          </cell>
          <cell r="K161" t="str">
            <v>MP</v>
          </cell>
        </row>
        <row r="162">
          <cell r="A162">
            <v>990925</v>
          </cell>
          <cell r="C162">
            <v>212</v>
          </cell>
          <cell r="D162">
            <v>98</v>
          </cell>
          <cell r="E162">
            <v>486</v>
          </cell>
          <cell r="F162">
            <v>616</v>
          </cell>
          <cell r="G162">
            <v>3042</v>
          </cell>
          <cell r="H162">
            <v>4456.92</v>
          </cell>
          <cell r="I162">
            <v>14963.74</v>
          </cell>
          <cell r="J162">
            <v>91468</v>
          </cell>
          <cell r="K162" t="str">
            <v>MP</v>
          </cell>
        </row>
        <row r="163">
          <cell r="A163">
            <v>990926</v>
          </cell>
          <cell r="C163">
            <v>173</v>
          </cell>
          <cell r="D163">
            <v>10</v>
          </cell>
          <cell r="E163">
            <v>519</v>
          </cell>
          <cell r="F163">
            <v>171</v>
          </cell>
          <cell r="G163">
            <v>247</v>
          </cell>
          <cell r="H163">
            <v>1122.29</v>
          </cell>
          <cell r="I163">
            <v>1411.31</v>
          </cell>
          <cell r="J163">
            <v>90349</v>
          </cell>
          <cell r="K163" t="str">
            <v>MP</v>
          </cell>
        </row>
        <row r="164">
          <cell r="A164">
            <v>990927</v>
          </cell>
          <cell r="C164">
            <v>340</v>
          </cell>
          <cell r="D164">
            <v>86</v>
          </cell>
          <cell r="E164">
            <v>519</v>
          </cell>
          <cell r="F164">
            <v>860</v>
          </cell>
          <cell r="G164">
            <v>3760</v>
          </cell>
          <cell r="H164">
            <v>5567.14</v>
          </cell>
          <cell r="I164">
            <v>23605.59</v>
          </cell>
          <cell r="J164">
            <v>90349</v>
          </cell>
          <cell r="K164" t="str">
            <v>MP</v>
          </cell>
        </row>
        <row r="165">
          <cell r="A165">
            <v>990929</v>
          </cell>
          <cell r="C165">
            <v>194</v>
          </cell>
          <cell r="D165">
            <v>1</v>
          </cell>
          <cell r="E165">
            <v>486</v>
          </cell>
          <cell r="F165">
            <v>139</v>
          </cell>
          <cell r="G165">
            <v>60</v>
          </cell>
          <cell r="H165">
            <v>882.73</v>
          </cell>
          <cell r="I165">
            <v>114.1</v>
          </cell>
          <cell r="J165">
            <v>91462</v>
          </cell>
          <cell r="K165" t="str">
            <v>MP</v>
          </cell>
        </row>
        <row r="166">
          <cell r="A166">
            <v>990930</v>
          </cell>
          <cell r="C166">
            <v>2227</v>
          </cell>
          <cell r="D166">
            <v>419</v>
          </cell>
          <cell r="E166">
            <v>472</v>
          </cell>
          <cell r="F166">
            <v>678</v>
          </cell>
          <cell r="G166">
            <v>3323</v>
          </cell>
          <cell r="H166">
            <v>7122.61</v>
          </cell>
          <cell r="I166">
            <v>15075.99</v>
          </cell>
          <cell r="J166">
            <v>92107</v>
          </cell>
          <cell r="K166" t="str">
            <v>MP</v>
          </cell>
        </row>
        <row r="167">
          <cell r="A167">
            <v>990931</v>
          </cell>
          <cell r="C167">
            <v>1193</v>
          </cell>
          <cell r="D167">
            <v>59</v>
          </cell>
          <cell r="E167">
            <v>504</v>
          </cell>
          <cell r="F167">
            <v>676</v>
          </cell>
          <cell r="G167">
            <v>2764</v>
          </cell>
          <cell r="H167">
            <v>5197.83</v>
          </cell>
          <cell r="I167">
            <v>14820.38</v>
          </cell>
          <cell r="J167">
            <v>92284</v>
          </cell>
          <cell r="K167" t="str">
            <v>MP</v>
          </cell>
        </row>
        <row r="168">
          <cell r="A168">
            <v>990934</v>
          </cell>
          <cell r="C168">
            <v>4571</v>
          </cell>
          <cell r="D168">
            <v>253</v>
          </cell>
          <cell r="E168">
            <v>486</v>
          </cell>
          <cell r="F168">
            <v>5735</v>
          </cell>
          <cell r="G168">
            <v>5160</v>
          </cell>
          <cell r="H168">
            <v>16208.47</v>
          </cell>
          <cell r="I168">
            <v>33274.17</v>
          </cell>
          <cell r="J168">
            <v>92287</v>
          </cell>
          <cell r="K168" t="str">
            <v>MP</v>
          </cell>
        </row>
        <row r="169">
          <cell r="A169">
            <v>990936</v>
          </cell>
          <cell r="C169">
            <v>7221</v>
          </cell>
          <cell r="D169">
            <v>2370</v>
          </cell>
          <cell r="E169">
            <v>495</v>
          </cell>
          <cell r="F169">
            <v>8827</v>
          </cell>
          <cell r="G169">
            <v>62389</v>
          </cell>
          <cell r="H169">
            <v>81303.97</v>
          </cell>
          <cell r="I169">
            <v>347712.98</v>
          </cell>
          <cell r="J169">
            <v>90593</v>
          </cell>
          <cell r="K169" t="str">
            <v>MP</v>
          </cell>
        </row>
        <row r="170">
          <cell r="A170">
            <v>990938</v>
          </cell>
          <cell r="C170">
            <v>324</v>
          </cell>
          <cell r="D170">
            <v>44</v>
          </cell>
          <cell r="E170">
            <v>504</v>
          </cell>
          <cell r="F170">
            <v>330</v>
          </cell>
          <cell r="G170">
            <v>1009</v>
          </cell>
          <cell r="H170">
            <v>2213.15</v>
          </cell>
          <cell r="I170">
            <v>6470.53</v>
          </cell>
          <cell r="J170">
            <v>92344</v>
          </cell>
          <cell r="K170" t="str">
            <v>MP</v>
          </cell>
        </row>
        <row r="171">
          <cell r="A171">
            <v>990940</v>
          </cell>
          <cell r="C171">
            <v>324</v>
          </cell>
          <cell r="D171">
            <v>3</v>
          </cell>
          <cell r="E171">
            <v>504</v>
          </cell>
          <cell r="F171">
            <v>144</v>
          </cell>
          <cell r="G171">
            <v>101</v>
          </cell>
          <cell r="H171">
            <v>1077.17</v>
          </cell>
          <cell r="I171">
            <v>22743.599999999999</v>
          </cell>
          <cell r="J171">
            <v>90662</v>
          </cell>
          <cell r="K171" t="str">
            <v>MP</v>
          </cell>
        </row>
        <row r="172">
          <cell r="A172">
            <v>990941</v>
          </cell>
          <cell r="C172">
            <v>931</v>
          </cell>
          <cell r="D172">
            <v>87</v>
          </cell>
          <cell r="E172">
            <v>504</v>
          </cell>
          <cell r="F172">
            <v>580</v>
          </cell>
          <cell r="G172">
            <v>2558</v>
          </cell>
          <cell r="H172">
            <v>4662.8900000000003</v>
          </cell>
          <cell r="I172">
            <v>12756.9</v>
          </cell>
          <cell r="J172">
            <v>92093</v>
          </cell>
          <cell r="K172" t="str">
            <v>MP</v>
          </cell>
        </row>
        <row r="173">
          <cell r="A173">
            <v>990942</v>
          </cell>
          <cell r="C173">
            <v>533</v>
          </cell>
          <cell r="D173">
            <v>110</v>
          </cell>
          <cell r="E173">
            <v>472</v>
          </cell>
          <cell r="F173">
            <v>674</v>
          </cell>
          <cell r="G173">
            <v>2606</v>
          </cell>
          <cell r="H173">
            <v>4398.08</v>
          </cell>
          <cell r="I173">
            <v>17997.55</v>
          </cell>
          <cell r="J173">
            <v>91351</v>
          </cell>
          <cell r="K173" t="str">
            <v>MP</v>
          </cell>
        </row>
        <row r="174">
          <cell r="A174">
            <v>990943</v>
          </cell>
          <cell r="C174">
            <v>212</v>
          </cell>
          <cell r="D174">
            <v>23</v>
          </cell>
          <cell r="E174">
            <v>486</v>
          </cell>
          <cell r="F174">
            <v>216</v>
          </cell>
          <cell r="G174">
            <v>473</v>
          </cell>
          <cell r="H174">
            <v>1413</v>
          </cell>
          <cell r="I174">
            <v>3278.87</v>
          </cell>
          <cell r="J174">
            <v>90061</v>
          </cell>
          <cell r="K174" t="str">
            <v>MP</v>
          </cell>
        </row>
        <row r="175">
          <cell r="A175">
            <v>990946</v>
          </cell>
          <cell r="C175">
            <v>635</v>
          </cell>
          <cell r="D175">
            <v>43</v>
          </cell>
          <cell r="E175">
            <v>504</v>
          </cell>
          <cell r="F175">
            <v>566</v>
          </cell>
          <cell r="G175">
            <v>2585</v>
          </cell>
          <cell r="H175">
            <v>4335.38</v>
          </cell>
          <cell r="I175">
            <v>11656.1</v>
          </cell>
          <cell r="J175">
            <v>91934</v>
          </cell>
          <cell r="K175" t="str">
            <v>MP</v>
          </cell>
        </row>
        <row r="176">
          <cell r="A176">
            <v>990948</v>
          </cell>
          <cell r="C176">
            <v>1844</v>
          </cell>
          <cell r="D176">
            <v>829</v>
          </cell>
          <cell r="E176">
            <v>488</v>
          </cell>
          <cell r="F176">
            <v>3276</v>
          </cell>
          <cell r="G176">
            <v>20166</v>
          </cell>
          <cell r="H176">
            <v>26555.040000000001</v>
          </cell>
          <cell r="I176">
            <v>122530.06</v>
          </cell>
          <cell r="J176">
            <v>92375</v>
          </cell>
          <cell r="K176" t="str">
            <v>MP</v>
          </cell>
        </row>
        <row r="177">
          <cell r="A177">
            <v>990949</v>
          </cell>
          <cell r="C177">
            <v>223</v>
          </cell>
          <cell r="D177">
            <v>1</v>
          </cell>
          <cell r="E177">
            <v>486</v>
          </cell>
          <cell r="F177">
            <v>145</v>
          </cell>
          <cell r="G177">
            <v>115</v>
          </cell>
          <cell r="H177">
            <v>972.56</v>
          </cell>
          <cell r="I177">
            <v>343.44</v>
          </cell>
          <cell r="J177">
            <v>91343</v>
          </cell>
          <cell r="K177" t="str">
            <v>MP</v>
          </cell>
        </row>
        <row r="178">
          <cell r="A178">
            <v>990950</v>
          </cell>
          <cell r="C178">
            <v>223</v>
          </cell>
          <cell r="D178">
            <v>1</v>
          </cell>
          <cell r="E178">
            <v>486</v>
          </cell>
          <cell r="F178">
            <v>139</v>
          </cell>
          <cell r="G178">
            <v>66</v>
          </cell>
          <cell r="H178">
            <v>917.48</v>
          </cell>
          <cell r="I178">
            <v>113.57</v>
          </cell>
          <cell r="J178">
            <v>91591</v>
          </cell>
          <cell r="K178" t="str">
            <v>MP</v>
          </cell>
        </row>
        <row r="179">
          <cell r="A179">
            <v>990951</v>
          </cell>
          <cell r="C179">
            <v>637</v>
          </cell>
          <cell r="D179">
            <v>8</v>
          </cell>
          <cell r="E179">
            <v>486</v>
          </cell>
          <cell r="F179">
            <v>161</v>
          </cell>
          <cell r="G179">
            <v>155</v>
          </cell>
          <cell r="H179">
            <v>1449.01</v>
          </cell>
          <cell r="I179">
            <v>573.91999999999996</v>
          </cell>
          <cell r="J179">
            <v>92302</v>
          </cell>
          <cell r="K179" t="str">
            <v>MP</v>
          </cell>
        </row>
        <row r="180">
          <cell r="A180">
            <v>990954</v>
          </cell>
          <cell r="C180">
            <v>173</v>
          </cell>
          <cell r="D180">
            <v>39</v>
          </cell>
          <cell r="E180">
            <v>519</v>
          </cell>
          <cell r="F180">
            <v>530</v>
          </cell>
          <cell r="G180">
            <v>1705</v>
          </cell>
          <cell r="H180">
            <v>2967.59</v>
          </cell>
          <cell r="I180">
            <v>10481.01</v>
          </cell>
          <cell r="J180">
            <v>90971</v>
          </cell>
          <cell r="K180" t="str">
            <v>MP</v>
          </cell>
        </row>
        <row r="181">
          <cell r="A181">
            <v>990955</v>
          </cell>
          <cell r="C181">
            <v>300</v>
          </cell>
          <cell r="D181">
            <v>41</v>
          </cell>
          <cell r="E181">
            <v>519</v>
          </cell>
          <cell r="F181">
            <v>548</v>
          </cell>
          <cell r="G181">
            <v>1817</v>
          </cell>
          <cell r="H181">
            <v>3227.2</v>
          </cell>
          <cell r="I181">
            <v>10694.2</v>
          </cell>
          <cell r="J181">
            <v>91750</v>
          </cell>
          <cell r="K181" t="str">
            <v>MP</v>
          </cell>
        </row>
        <row r="182">
          <cell r="A182">
            <v>990957</v>
          </cell>
          <cell r="C182">
            <v>253</v>
          </cell>
          <cell r="D182">
            <v>97</v>
          </cell>
          <cell r="E182">
            <v>504</v>
          </cell>
          <cell r="F182">
            <v>599</v>
          </cell>
          <cell r="G182">
            <v>2860</v>
          </cell>
          <cell r="H182">
            <v>4315.99</v>
          </cell>
          <cell r="I182">
            <v>14232.59</v>
          </cell>
          <cell r="J182">
            <v>91337</v>
          </cell>
          <cell r="K182" t="str">
            <v>MP</v>
          </cell>
        </row>
        <row r="183">
          <cell r="A183">
            <v>990958</v>
          </cell>
          <cell r="C183">
            <v>7149</v>
          </cell>
          <cell r="D183">
            <v>851</v>
          </cell>
          <cell r="E183">
            <v>519</v>
          </cell>
          <cell r="F183">
            <v>3364</v>
          </cell>
          <cell r="G183">
            <v>22160</v>
          </cell>
          <cell r="H183">
            <v>34046.17</v>
          </cell>
          <cell r="I183">
            <v>113464.6</v>
          </cell>
          <cell r="J183">
            <v>92376</v>
          </cell>
          <cell r="K183" t="str">
            <v>MP</v>
          </cell>
        </row>
        <row r="184">
          <cell r="A184">
            <v>990959</v>
          </cell>
          <cell r="C184">
            <v>136</v>
          </cell>
          <cell r="D184">
            <v>50</v>
          </cell>
          <cell r="E184">
            <v>504</v>
          </cell>
          <cell r="F184">
            <v>619</v>
          </cell>
          <cell r="G184">
            <v>2233</v>
          </cell>
          <cell r="H184">
            <v>3545.51</v>
          </cell>
          <cell r="I184">
            <v>14214.75</v>
          </cell>
          <cell r="J184">
            <v>91979</v>
          </cell>
          <cell r="K184" t="str">
            <v>MP</v>
          </cell>
        </row>
        <row r="185">
          <cell r="A185">
            <v>990960</v>
          </cell>
          <cell r="C185">
            <v>531</v>
          </cell>
          <cell r="D185">
            <v>8</v>
          </cell>
          <cell r="E185">
            <v>504</v>
          </cell>
          <cell r="F185">
            <v>164</v>
          </cell>
          <cell r="G185">
            <v>269</v>
          </cell>
          <cell r="H185">
            <v>1478.64</v>
          </cell>
          <cell r="I185">
            <v>846.37</v>
          </cell>
          <cell r="J185">
            <v>91975</v>
          </cell>
          <cell r="K185" t="str">
            <v>MP</v>
          </cell>
        </row>
        <row r="186">
          <cell r="A186">
            <v>990961</v>
          </cell>
          <cell r="C186">
            <v>384</v>
          </cell>
          <cell r="D186">
            <v>42</v>
          </cell>
          <cell r="E186">
            <v>250</v>
          </cell>
          <cell r="F186">
            <v>370</v>
          </cell>
          <cell r="G186">
            <v>835</v>
          </cell>
          <cell r="H186">
            <v>1882.89</v>
          </cell>
          <cell r="I186">
            <v>5531.73</v>
          </cell>
          <cell r="J186">
            <v>92313</v>
          </cell>
          <cell r="K186" t="str">
            <v>MP</v>
          </cell>
        </row>
        <row r="187">
          <cell r="A187">
            <v>990965</v>
          </cell>
          <cell r="C187">
            <v>173</v>
          </cell>
          <cell r="D187">
            <v>471</v>
          </cell>
          <cell r="E187">
            <v>519</v>
          </cell>
          <cell r="F187">
            <v>3578</v>
          </cell>
          <cell r="G187">
            <v>28057</v>
          </cell>
          <cell r="H187">
            <v>32799.72</v>
          </cell>
          <cell r="I187">
            <v>128151.46</v>
          </cell>
          <cell r="J187">
            <v>91980</v>
          </cell>
          <cell r="K187" t="str">
            <v>MP</v>
          </cell>
        </row>
        <row r="188">
          <cell r="A188">
            <v>990967</v>
          </cell>
          <cell r="C188">
            <v>161</v>
          </cell>
          <cell r="D188">
            <v>6</v>
          </cell>
          <cell r="E188">
            <v>457</v>
          </cell>
          <cell r="F188">
            <v>174</v>
          </cell>
          <cell r="G188">
            <v>263</v>
          </cell>
          <cell r="H188">
            <v>1063.3699999999999</v>
          </cell>
          <cell r="I188">
            <v>1698.12</v>
          </cell>
          <cell r="J188">
            <v>90097</v>
          </cell>
          <cell r="K188" t="str">
            <v>MP</v>
          </cell>
        </row>
        <row r="189">
          <cell r="A189">
            <v>990968</v>
          </cell>
          <cell r="C189">
            <v>2510</v>
          </cell>
          <cell r="D189">
            <v>88</v>
          </cell>
          <cell r="E189">
            <v>478</v>
          </cell>
          <cell r="F189">
            <v>32332</v>
          </cell>
          <cell r="G189">
            <v>2708</v>
          </cell>
          <cell r="H189">
            <v>38119.14</v>
          </cell>
          <cell r="I189">
            <v>11034.01</v>
          </cell>
          <cell r="J189">
            <v>92046</v>
          </cell>
          <cell r="K189" t="str">
            <v>MP</v>
          </cell>
        </row>
        <row r="190">
          <cell r="A190">
            <v>990969</v>
          </cell>
          <cell r="C190">
            <v>67</v>
          </cell>
          <cell r="D190">
            <v>27</v>
          </cell>
          <cell r="E190">
            <v>504</v>
          </cell>
          <cell r="F190">
            <v>233</v>
          </cell>
          <cell r="G190">
            <v>134</v>
          </cell>
          <cell r="H190">
            <v>967.43</v>
          </cell>
          <cell r="I190">
            <v>4076.7</v>
          </cell>
          <cell r="J190">
            <v>90086</v>
          </cell>
          <cell r="K190" t="str">
            <v>MP</v>
          </cell>
        </row>
        <row r="191">
          <cell r="A191">
            <v>990971</v>
          </cell>
          <cell r="C191">
            <v>204</v>
          </cell>
          <cell r="D191">
            <v>9</v>
          </cell>
          <cell r="E191">
            <v>504</v>
          </cell>
          <cell r="F191">
            <v>197</v>
          </cell>
          <cell r="G191">
            <v>85</v>
          </cell>
          <cell r="H191">
            <v>1001</v>
          </cell>
          <cell r="I191">
            <v>2363.7800000000002</v>
          </cell>
          <cell r="J191">
            <v>90121</v>
          </cell>
          <cell r="K191" t="str">
            <v>MP</v>
          </cell>
        </row>
        <row r="192">
          <cell r="A192">
            <v>990972</v>
          </cell>
          <cell r="C192">
            <v>204</v>
          </cell>
          <cell r="D192">
            <v>41</v>
          </cell>
          <cell r="E192">
            <v>504</v>
          </cell>
          <cell r="F192">
            <v>553</v>
          </cell>
          <cell r="G192">
            <v>1826</v>
          </cell>
          <cell r="H192">
            <v>3131.55</v>
          </cell>
          <cell r="I192">
            <v>11490.23</v>
          </cell>
          <cell r="J192">
            <v>90496</v>
          </cell>
          <cell r="K192" t="str">
            <v>MP</v>
          </cell>
        </row>
        <row r="193">
          <cell r="A193">
            <v>990973</v>
          </cell>
          <cell r="C193">
            <v>378</v>
          </cell>
          <cell r="D193">
            <v>24</v>
          </cell>
          <cell r="E193">
            <v>504</v>
          </cell>
          <cell r="F193">
            <v>222</v>
          </cell>
          <cell r="G193">
            <v>762</v>
          </cell>
          <cell r="H193">
            <v>1892.94</v>
          </cell>
          <cell r="I193">
            <v>3365.27</v>
          </cell>
          <cell r="J193">
            <v>90257</v>
          </cell>
          <cell r="K193" t="str">
            <v>MP</v>
          </cell>
        </row>
        <row r="194">
          <cell r="A194">
            <v>990977</v>
          </cell>
          <cell r="C194">
            <v>205</v>
          </cell>
          <cell r="D194">
            <v>3</v>
          </cell>
          <cell r="E194">
            <v>519</v>
          </cell>
          <cell r="F194">
            <v>143</v>
          </cell>
          <cell r="G194">
            <v>94</v>
          </cell>
          <cell r="H194">
            <v>965.42</v>
          </cell>
          <cell r="I194">
            <v>263.44</v>
          </cell>
          <cell r="J194">
            <v>91462</v>
          </cell>
          <cell r="K194" t="str">
            <v>MP</v>
          </cell>
        </row>
        <row r="195">
          <cell r="A195">
            <v>990978</v>
          </cell>
          <cell r="C195">
            <v>241</v>
          </cell>
          <cell r="D195">
            <v>16</v>
          </cell>
          <cell r="E195">
            <v>504</v>
          </cell>
          <cell r="F195">
            <v>253</v>
          </cell>
          <cell r="G195">
            <v>742</v>
          </cell>
          <cell r="H195">
            <v>1758.65</v>
          </cell>
          <cell r="I195">
            <v>4548.72</v>
          </cell>
          <cell r="J195">
            <v>90379</v>
          </cell>
          <cell r="K195" t="str">
            <v>MP</v>
          </cell>
        </row>
        <row r="196">
          <cell r="A196">
            <v>990981</v>
          </cell>
          <cell r="C196">
            <v>220</v>
          </cell>
          <cell r="D196">
            <v>23</v>
          </cell>
          <cell r="E196">
            <v>504</v>
          </cell>
          <cell r="F196">
            <v>331</v>
          </cell>
          <cell r="G196">
            <v>1014</v>
          </cell>
          <cell r="H196">
            <v>2094.21</v>
          </cell>
          <cell r="I196">
            <v>6437.89</v>
          </cell>
          <cell r="J196">
            <v>90062</v>
          </cell>
          <cell r="K196" t="str">
            <v>MP</v>
          </cell>
        </row>
        <row r="197">
          <cell r="A197">
            <v>990985</v>
          </cell>
          <cell r="C197">
            <v>654</v>
          </cell>
          <cell r="D197">
            <v>11</v>
          </cell>
          <cell r="E197">
            <v>519</v>
          </cell>
          <cell r="F197">
            <v>174</v>
          </cell>
          <cell r="G197">
            <v>336</v>
          </cell>
          <cell r="H197">
            <v>1696.6</v>
          </cell>
          <cell r="I197">
            <v>1077.83</v>
          </cell>
          <cell r="J197">
            <v>91351</v>
          </cell>
          <cell r="K197" t="str">
            <v>MP</v>
          </cell>
        </row>
        <row r="198">
          <cell r="A198">
            <v>990986</v>
          </cell>
          <cell r="C198">
            <v>334</v>
          </cell>
          <cell r="D198">
            <v>59</v>
          </cell>
          <cell r="E198">
            <v>519</v>
          </cell>
          <cell r="F198">
            <v>433</v>
          </cell>
          <cell r="G198">
            <v>1820</v>
          </cell>
          <cell r="H198">
            <v>3167.69</v>
          </cell>
          <cell r="I198">
            <v>8058.71</v>
          </cell>
          <cell r="J198">
            <v>92199</v>
          </cell>
          <cell r="K198" t="str">
            <v>MP</v>
          </cell>
        </row>
        <row r="199">
          <cell r="A199">
            <v>990987</v>
          </cell>
          <cell r="C199">
            <v>931</v>
          </cell>
          <cell r="D199">
            <v>49</v>
          </cell>
          <cell r="E199">
            <v>504</v>
          </cell>
          <cell r="F199">
            <v>393</v>
          </cell>
          <cell r="G199">
            <v>1465</v>
          </cell>
          <cell r="H199">
            <v>3344.59</v>
          </cell>
          <cell r="I199">
            <v>7065.1</v>
          </cell>
          <cell r="J199">
            <v>91868</v>
          </cell>
          <cell r="K199" t="str">
            <v>MP</v>
          </cell>
        </row>
        <row r="200">
          <cell r="A200">
            <v>990988</v>
          </cell>
          <cell r="C200">
            <v>1599</v>
          </cell>
          <cell r="D200">
            <v>350</v>
          </cell>
          <cell r="E200">
            <v>472</v>
          </cell>
          <cell r="F200">
            <v>1522</v>
          </cell>
          <cell r="G200">
            <v>10691</v>
          </cell>
          <cell r="H200">
            <v>14637.44</v>
          </cell>
          <cell r="I200">
            <v>54379.26</v>
          </cell>
          <cell r="J200">
            <v>90424</v>
          </cell>
          <cell r="K200" t="str">
            <v>MP</v>
          </cell>
        </row>
        <row r="201">
          <cell r="A201">
            <v>990989</v>
          </cell>
          <cell r="C201">
            <v>197</v>
          </cell>
          <cell r="D201">
            <v>101</v>
          </cell>
          <cell r="E201">
            <v>504</v>
          </cell>
          <cell r="F201">
            <v>631</v>
          </cell>
          <cell r="G201">
            <v>2302</v>
          </cell>
          <cell r="H201">
            <v>3737.34</v>
          </cell>
          <cell r="I201">
            <v>15262.96</v>
          </cell>
          <cell r="J201">
            <v>90086</v>
          </cell>
          <cell r="K201" t="str">
            <v>MP</v>
          </cell>
        </row>
        <row r="202">
          <cell r="A202">
            <v>990992</v>
          </cell>
          <cell r="C202">
            <v>205</v>
          </cell>
          <cell r="D202">
            <v>15</v>
          </cell>
          <cell r="E202">
            <v>519</v>
          </cell>
          <cell r="F202">
            <v>239</v>
          </cell>
          <cell r="G202">
            <v>667</v>
          </cell>
          <cell r="H202">
            <v>1647.02</v>
          </cell>
          <cell r="I202">
            <v>3986.64</v>
          </cell>
          <cell r="J202">
            <v>90061</v>
          </cell>
          <cell r="K202" t="str">
            <v>MP</v>
          </cell>
        </row>
        <row r="203">
          <cell r="A203">
            <v>990993</v>
          </cell>
          <cell r="C203">
            <v>486</v>
          </cell>
          <cell r="D203">
            <v>128</v>
          </cell>
          <cell r="E203">
            <v>555</v>
          </cell>
          <cell r="F203">
            <v>1164</v>
          </cell>
          <cell r="G203">
            <v>5433</v>
          </cell>
          <cell r="H203">
            <v>7768.22</v>
          </cell>
          <cell r="I203">
            <v>40771.94</v>
          </cell>
          <cell r="J203">
            <v>90083</v>
          </cell>
          <cell r="K203" t="str">
            <v>MP</v>
          </cell>
        </row>
        <row r="204">
          <cell r="A204">
            <v>990994</v>
          </cell>
          <cell r="C204">
            <v>204</v>
          </cell>
          <cell r="D204">
            <v>7</v>
          </cell>
          <cell r="E204">
            <v>557</v>
          </cell>
          <cell r="F204">
            <v>192</v>
          </cell>
          <cell r="G204">
            <v>512</v>
          </cell>
          <cell r="H204">
            <v>1475.55</v>
          </cell>
          <cell r="I204">
            <v>2520.7600000000002</v>
          </cell>
          <cell r="J204">
            <v>91343</v>
          </cell>
          <cell r="K204" t="str">
            <v>MP</v>
          </cell>
        </row>
        <row r="205">
          <cell r="A205">
            <v>990995</v>
          </cell>
          <cell r="C205">
            <v>231</v>
          </cell>
          <cell r="D205">
            <v>1</v>
          </cell>
          <cell r="E205">
            <v>504</v>
          </cell>
          <cell r="F205">
            <v>142</v>
          </cell>
          <cell r="G205">
            <v>89</v>
          </cell>
          <cell r="H205">
            <v>969.18</v>
          </cell>
          <cell r="I205">
            <v>212.27</v>
          </cell>
          <cell r="J205">
            <v>91591</v>
          </cell>
          <cell r="K205" t="str">
            <v>MP</v>
          </cell>
        </row>
        <row r="206">
          <cell r="A206">
            <v>990996</v>
          </cell>
          <cell r="C206">
            <v>231</v>
          </cell>
          <cell r="D206">
            <v>0</v>
          </cell>
          <cell r="E206">
            <v>504</v>
          </cell>
          <cell r="F206">
            <v>137</v>
          </cell>
          <cell r="G206">
            <v>47</v>
          </cell>
          <cell r="H206">
            <v>921.34</v>
          </cell>
          <cell r="I206">
            <v>14.24</v>
          </cell>
          <cell r="J206">
            <v>91591</v>
          </cell>
          <cell r="K206" t="str">
            <v>MP</v>
          </cell>
        </row>
        <row r="207">
          <cell r="A207">
            <v>990997</v>
          </cell>
          <cell r="C207">
            <v>148</v>
          </cell>
          <cell r="D207">
            <v>123</v>
          </cell>
          <cell r="E207">
            <v>444</v>
          </cell>
          <cell r="F207">
            <v>1125</v>
          </cell>
          <cell r="G207">
            <v>5410</v>
          </cell>
          <cell r="H207">
            <v>7251.86</v>
          </cell>
          <cell r="I207">
            <v>39333.33</v>
          </cell>
          <cell r="J207">
            <v>90062</v>
          </cell>
          <cell r="K207" t="str">
            <v>MP</v>
          </cell>
        </row>
        <row r="208">
          <cell r="A208">
            <v>990998</v>
          </cell>
          <cell r="C208">
            <v>211</v>
          </cell>
          <cell r="D208">
            <v>3</v>
          </cell>
          <cell r="E208">
            <v>519</v>
          </cell>
          <cell r="F208">
            <v>157</v>
          </cell>
          <cell r="G208">
            <v>157</v>
          </cell>
          <cell r="H208">
            <v>1048.83</v>
          </cell>
          <cell r="I208">
            <v>797.33</v>
          </cell>
          <cell r="J208">
            <v>90121</v>
          </cell>
          <cell r="K208" t="str">
            <v>MP</v>
          </cell>
        </row>
        <row r="209">
          <cell r="A209">
            <v>991001</v>
          </cell>
          <cell r="C209">
            <v>234</v>
          </cell>
          <cell r="D209">
            <v>20</v>
          </cell>
          <cell r="E209">
            <v>504</v>
          </cell>
          <cell r="F209">
            <v>295</v>
          </cell>
          <cell r="G209">
            <v>1232</v>
          </cell>
          <cell r="H209">
            <v>2287.62</v>
          </cell>
          <cell r="I209">
            <v>5626.86</v>
          </cell>
          <cell r="J209">
            <v>91178</v>
          </cell>
          <cell r="K209" t="str">
            <v>MP</v>
          </cell>
        </row>
        <row r="210">
          <cell r="A210">
            <v>991002</v>
          </cell>
          <cell r="C210">
            <v>2572</v>
          </cell>
          <cell r="D210">
            <v>287</v>
          </cell>
          <cell r="E210">
            <v>486</v>
          </cell>
          <cell r="F210">
            <v>827</v>
          </cell>
          <cell r="G210">
            <v>7721</v>
          </cell>
          <cell r="H210">
            <v>11895.67</v>
          </cell>
          <cell r="I210">
            <v>38283.32</v>
          </cell>
          <cell r="J210">
            <v>92375</v>
          </cell>
          <cell r="K210" t="str">
            <v>MP</v>
          </cell>
        </row>
        <row r="211">
          <cell r="A211">
            <v>991003</v>
          </cell>
          <cell r="C211">
            <v>168</v>
          </cell>
          <cell r="D211">
            <v>2</v>
          </cell>
          <cell r="E211">
            <v>504</v>
          </cell>
          <cell r="F211">
            <v>148</v>
          </cell>
          <cell r="G211">
            <v>136</v>
          </cell>
          <cell r="H211">
            <v>959.64</v>
          </cell>
          <cell r="I211">
            <v>498.65</v>
          </cell>
          <cell r="J211">
            <v>92235</v>
          </cell>
          <cell r="K211" t="str">
            <v>MP</v>
          </cell>
        </row>
        <row r="212">
          <cell r="A212">
            <v>991004</v>
          </cell>
          <cell r="C212">
            <v>295</v>
          </cell>
          <cell r="D212">
            <v>206</v>
          </cell>
          <cell r="E212">
            <v>488</v>
          </cell>
          <cell r="F212">
            <v>1711</v>
          </cell>
          <cell r="G212">
            <v>9053</v>
          </cell>
          <cell r="H212">
            <v>11754.08</v>
          </cell>
          <cell r="I212">
            <v>60469.66</v>
          </cell>
          <cell r="J212">
            <v>91974</v>
          </cell>
          <cell r="K212" t="str">
            <v>MP</v>
          </cell>
        </row>
        <row r="213">
          <cell r="A213">
            <v>991005</v>
          </cell>
          <cell r="C213">
            <v>213</v>
          </cell>
          <cell r="D213">
            <v>17</v>
          </cell>
          <cell r="E213">
            <v>486</v>
          </cell>
          <cell r="F213">
            <v>257</v>
          </cell>
          <cell r="G213">
            <v>1061</v>
          </cell>
          <cell r="H213">
            <v>2036.66</v>
          </cell>
          <cell r="I213">
            <v>5063.26</v>
          </cell>
          <cell r="J213">
            <v>91978</v>
          </cell>
          <cell r="K213" t="str">
            <v>MP</v>
          </cell>
        </row>
        <row r="214">
          <cell r="A214">
            <v>991006</v>
          </cell>
          <cell r="C214">
            <v>238</v>
          </cell>
          <cell r="D214">
            <v>3</v>
          </cell>
          <cell r="E214">
            <v>519</v>
          </cell>
          <cell r="F214">
            <v>154</v>
          </cell>
          <cell r="G214">
            <v>142</v>
          </cell>
          <cell r="H214">
            <v>1058.79</v>
          </cell>
          <cell r="I214">
            <v>690.44</v>
          </cell>
          <cell r="J214">
            <v>90463</v>
          </cell>
          <cell r="K214" t="str">
            <v>MP</v>
          </cell>
        </row>
        <row r="215">
          <cell r="A215">
            <v>991008</v>
          </cell>
          <cell r="C215">
            <v>197</v>
          </cell>
          <cell r="D215">
            <v>36</v>
          </cell>
          <cell r="E215">
            <v>504</v>
          </cell>
          <cell r="F215">
            <v>270</v>
          </cell>
          <cell r="G215">
            <v>823</v>
          </cell>
          <cell r="H215">
            <v>1832.4</v>
          </cell>
          <cell r="I215">
            <v>5356.92</v>
          </cell>
          <cell r="J215">
            <v>90086</v>
          </cell>
          <cell r="K215" t="str">
            <v>MP</v>
          </cell>
        </row>
        <row r="216">
          <cell r="A216">
            <v>991009</v>
          </cell>
          <cell r="C216">
            <v>177</v>
          </cell>
          <cell r="D216">
            <v>1</v>
          </cell>
          <cell r="E216">
            <v>557</v>
          </cell>
          <cell r="F216">
            <v>140</v>
          </cell>
          <cell r="G216">
            <v>71</v>
          </cell>
          <cell r="H216">
            <v>948.76</v>
          </cell>
          <cell r="I216">
            <v>208.75</v>
          </cell>
          <cell r="J216">
            <v>93013</v>
          </cell>
          <cell r="K216" t="str">
            <v>MP</v>
          </cell>
        </row>
        <row r="217">
          <cell r="A217">
            <v>991010</v>
          </cell>
          <cell r="C217">
            <v>204</v>
          </cell>
          <cell r="D217">
            <v>5</v>
          </cell>
          <cell r="E217">
            <v>504</v>
          </cell>
          <cell r="F217">
            <v>153</v>
          </cell>
          <cell r="G217">
            <v>178</v>
          </cell>
          <cell r="H217">
            <v>1047.23</v>
          </cell>
          <cell r="I217">
            <v>692.67</v>
          </cell>
          <cell r="J217">
            <v>90424</v>
          </cell>
          <cell r="K217" t="str">
            <v>MP</v>
          </cell>
        </row>
        <row r="218">
          <cell r="A218">
            <v>991012</v>
          </cell>
          <cell r="C218">
            <v>377</v>
          </cell>
          <cell r="D218">
            <v>13</v>
          </cell>
          <cell r="E218">
            <v>504</v>
          </cell>
          <cell r="F218">
            <v>183</v>
          </cell>
          <cell r="G218">
            <v>429</v>
          </cell>
          <cell r="H218">
            <v>1509.88</v>
          </cell>
          <cell r="I218">
            <v>1706.93</v>
          </cell>
          <cell r="J218">
            <v>90721</v>
          </cell>
          <cell r="K218" t="str">
            <v>MP</v>
          </cell>
        </row>
        <row r="219">
          <cell r="A219">
            <v>991013</v>
          </cell>
          <cell r="C219">
            <v>647</v>
          </cell>
          <cell r="D219">
            <v>120</v>
          </cell>
          <cell r="E219">
            <v>504</v>
          </cell>
          <cell r="F219">
            <v>701</v>
          </cell>
          <cell r="G219">
            <v>3714</v>
          </cell>
          <cell r="H219">
            <v>5688.52</v>
          </cell>
          <cell r="I219">
            <v>17396.82</v>
          </cell>
          <cell r="J219">
            <v>90338</v>
          </cell>
          <cell r="K219" t="str">
            <v>MP</v>
          </cell>
        </row>
        <row r="220">
          <cell r="A220">
            <v>991014</v>
          </cell>
          <cell r="C220">
            <v>216</v>
          </cell>
          <cell r="D220">
            <v>2</v>
          </cell>
          <cell r="E220">
            <v>519</v>
          </cell>
          <cell r="F220">
            <v>150</v>
          </cell>
          <cell r="G220">
            <v>112</v>
          </cell>
          <cell r="H220">
            <v>1001.19</v>
          </cell>
          <cell r="I220">
            <v>517.83000000000004</v>
          </cell>
          <cell r="J220">
            <v>90061</v>
          </cell>
          <cell r="K220" t="str">
            <v>MP</v>
          </cell>
        </row>
        <row r="221">
          <cell r="A221">
            <v>991016</v>
          </cell>
          <cell r="C221">
            <v>1484</v>
          </cell>
          <cell r="D221">
            <v>1148</v>
          </cell>
          <cell r="E221">
            <v>444</v>
          </cell>
          <cell r="F221">
            <v>4484</v>
          </cell>
          <cell r="G221">
            <v>26769</v>
          </cell>
          <cell r="H221">
            <v>34331.67</v>
          </cell>
          <cell r="I221">
            <v>197789.8</v>
          </cell>
          <cell r="J221">
            <v>90570</v>
          </cell>
          <cell r="K221" t="str">
            <v>MP</v>
          </cell>
        </row>
        <row r="222">
          <cell r="A222">
            <v>991018</v>
          </cell>
          <cell r="C222">
            <v>463</v>
          </cell>
          <cell r="D222">
            <v>59</v>
          </cell>
          <cell r="E222">
            <v>228</v>
          </cell>
          <cell r="F222">
            <v>441</v>
          </cell>
          <cell r="G222">
            <v>1841</v>
          </cell>
          <cell r="H222">
            <v>3034.46</v>
          </cell>
          <cell r="I222">
            <v>8702.52</v>
          </cell>
          <cell r="J222">
            <v>91304</v>
          </cell>
          <cell r="K222" t="str">
            <v>MP</v>
          </cell>
        </row>
        <row r="223">
          <cell r="A223">
            <v>991020</v>
          </cell>
          <cell r="C223">
            <v>514</v>
          </cell>
          <cell r="D223">
            <v>123</v>
          </cell>
          <cell r="E223">
            <v>519</v>
          </cell>
          <cell r="F223">
            <v>708</v>
          </cell>
          <cell r="G223">
            <v>3621</v>
          </cell>
          <cell r="H223">
            <v>5488.83</v>
          </cell>
          <cell r="I223">
            <v>17261.099999999999</v>
          </cell>
          <cell r="J223">
            <v>92255</v>
          </cell>
          <cell r="K223" t="str">
            <v>MP</v>
          </cell>
        </row>
        <row r="224">
          <cell r="A224">
            <v>991021</v>
          </cell>
          <cell r="C224">
            <v>226</v>
          </cell>
          <cell r="D224">
            <v>75</v>
          </cell>
          <cell r="E224">
            <v>444</v>
          </cell>
          <cell r="F224">
            <v>786</v>
          </cell>
          <cell r="G224">
            <v>3301</v>
          </cell>
          <cell r="H224">
            <v>4834.2700000000004</v>
          </cell>
          <cell r="I224">
            <v>24104.17</v>
          </cell>
          <cell r="J224">
            <v>90468</v>
          </cell>
          <cell r="K224" t="str">
            <v>MP</v>
          </cell>
        </row>
        <row r="225">
          <cell r="A225">
            <v>991022</v>
          </cell>
          <cell r="C225">
            <v>197</v>
          </cell>
          <cell r="D225">
            <v>35</v>
          </cell>
          <cell r="E225">
            <v>450</v>
          </cell>
          <cell r="F225">
            <v>503</v>
          </cell>
          <cell r="G225">
            <v>1561</v>
          </cell>
          <cell r="H225">
            <v>2748.36</v>
          </cell>
          <cell r="I225">
            <v>11149.71</v>
          </cell>
          <cell r="J225">
            <v>91319</v>
          </cell>
          <cell r="K225" t="str">
            <v>MP</v>
          </cell>
        </row>
        <row r="226">
          <cell r="A226">
            <v>991023</v>
          </cell>
          <cell r="C226">
            <v>231</v>
          </cell>
          <cell r="D226">
            <v>37</v>
          </cell>
          <cell r="E226">
            <v>504</v>
          </cell>
          <cell r="F226">
            <v>520</v>
          </cell>
          <cell r="G226">
            <v>1623</v>
          </cell>
          <cell r="H226">
            <v>2917.49</v>
          </cell>
          <cell r="I226">
            <v>10337.48</v>
          </cell>
          <cell r="J226">
            <v>91982</v>
          </cell>
          <cell r="K226" t="str">
            <v>MP</v>
          </cell>
        </row>
        <row r="227">
          <cell r="A227">
            <v>991024</v>
          </cell>
          <cell r="C227">
            <v>646</v>
          </cell>
          <cell r="D227">
            <v>54</v>
          </cell>
          <cell r="E227">
            <v>486</v>
          </cell>
          <cell r="F227">
            <v>642</v>
          </cell>
          <cell r="G227">
            <v>3266</v>
          </cell>
          <cell r="H227">
            <v>5097.3900000000003</v>
          </cell>
          <cell r="I227">
            <v>15590.61</v>
          </cell>
          <cell r="J227">
            <v>90402</v>
          </cell>
          <cell r="K227" t="str">
            <v>MP</v>
          </cell>
        </row>
        <row r="228">
          <cell r="A228">
            <v>991025</v>
          </cell>
          <cell r="C228">
            <v>175</v>
          </cell>
          <cell r="D228">
            <v>236</v>
          </cell>
          <cell r="E228">
            <v>444</v>
          </cell>
          <cell r="F228">
            <v>1921</v>
          </cell>
          <cell r="G228">
            <v>10364</v>
          </cell>
          <cell r="H228">
            <v>13143.02</v>
          </cell>
          <cell r="I228">
            <v>75461.399999999994</v>
          </cell>
          <cell r="J228">
            <v>90685</v>
          </cell>
          <cell r="K228" t="str">
            <v>MP</v>
          </cell>
        </row>
        <row r="229">
          <cell r="A229">
            <v>991029</v>
          </cell>
          <cell r="C229">
            <v>251</v>
          </cell>
          <cell r="D229">
            <v>32</v>
          </cell>
          <cell r="E229">
            <v>447</v>
          </cell>
          <cell r="F229">
            <v>456</v>
          </cell>
          <cell r="G229">
            <v>1446</v>
          </cell>
          <cell r="H229">
            <v>2633.61</v>
          </cell>
          <cell r="I229">
            <v>10105.42</v>
          </cell>
          <cell r="J229">
            <v>90083</v>
          </cell>
          <cell r="K229" t="str">
            <v>MP</v>
          </cell>
        </row>
        <row r="230">
          <cell r="A230">
            <v>991030</v>
          </cell>
          <cell r="C230">
            <v>192</v>
          </cell>
          <cell r="D230">
            <v>47</v>
          </cell>
          <cell r="E230">
            <v>450</v>
          </cell>
          <cell r="F230">
            <v>588</v>
          </cell>
          <cell r="G230">
            <v>2069</v>
          </cell>
          <cell r="H230">
            <v>3348.64</v>
          </cell>
          <cell r="I230">
            <v>14848.38</v>
          </cell>
          <cell r="J230">
            <v>90468</v>
          </cell>
          <cell r="K230" t="str">
            <v>MP</v>
          </cell>
        </row>
        <row r="231">
          <cell r="A231">
            <v>991031</v>
          </cell>
          <cell r="C231">
            <v>204</v>
          </cell>
          <cell r="D231">
            <v>12</v>
          </cell>
          <cell r="E231">
            <v>504</v>
          </cell>
          <cell r="F231">
            <v>222</v>
          </cell>
          <cell r="G231">
            <v>557</v>
          </cell>
          <cell r="H231">
            <v>1502.34</v>
          </cell>
          <cell r="I231">
            <v>3433.52</v>
          </cell>
          <cell r="J231">
            <v>90236</v>
          </cell>
          <cell r="K231" t="str">
            <v>MP</v>
          </cell>
        </row>
        <row r="232">
          <cell r="A232">
            <v>991032</v>
          </cell>
          <cell r="C232">
            <v>220</v>
          </cell>
          <cell r="D232">
            <v>70</v>
          </cell>
          <cell r="E232">
            <v>504</v>
          </cell>
          <cell r="F232">
            <v>288</v>
          </cell>
          <cell r="G232">
            <v>1598</v>
          </cell>
          <cell r="H232">
            <v>2682.83</v>
          </cell>
          <cell r="I232">
            <v>10149.530000000001</v>
          </cell>
          <cell r="J232">
            <v>91446</v>
          </cell>
          <cell r="K232" t="str">
            <v>MP</v>
          </cell>
        </row>
        <row r="233">
          <cell r="A233">
            <v>991033</v>
          </cell>
          <cell r="C233">
            <v>220</v>
          </cell>
          <cell r="D233">
            <v>3</v>
          </cell>
          <cell r="E233">
            <v>504</v>
          </cell>
          <cell r="F233">
            <v>158</v>
          </cell>
          <cell r="G233">
            <v>163</v>
          </cell>
          <cell r="H233">
            <v>1051.6300000000001</v>
          </cell>
          <cell r="I233">
            <v>863.06</v>
          </cell>
          <cell r="J233">
            <v>90061</v>
          </cell>
          <cell r="K233" t="str">
            <v>MP</v>
          </cell>
        </row>
        <row r="234">
          <cell r="A234">
            <v>991034</v>
          </cell>
          <cell r="C234">
            <v>212</v>
          </cell>
          <cell r="D234">
            <v>1</v>
          </cell>
          <cell r="E234">
            <v>486</v>
          </cell>
          <cell r="F234">
            <v>141</v>
          </cell>
          <cell r="G234">
            <v>58</v>
          </cell>
          <cell r="H234">
            <v>901.62</v>
          </cell>
          <cell r="I234">
            <v>195.63</v>
          </cell>
          <cell r="J234">
            <v>91750</v>
          </cell>
          <cell r="K234" t="str">
            <v>MP</v>
          </cell>
        </row>
        <row r="235">
          <cell r="A235">
            <v>991035</v>
          </cell>
          <cell r="C235">
            <v>309</v>
          </cell>
          <cell r="D235">
            <v>56</v>
          </cell>
          <cell r="E235">
            <v>519</v>
          </cell>
          <cell r="F235">
            <v>416</v>
          </cell>
          <cell r="G235">
            <v>1439</v>
          </cell>
          <cell r="H235">
            <v>2741.66</v>
          </cell>
          <cell r="I235">
            <v>7810.17</v>
          </cell>
          <cell r="J235">
            <v>90809</v>
          </cell>
          <cell r="K235" t="str">
            <v>MP</v>
          </cell>
        </row>
        <row r="236">
          <cell r="A236">
            <v>991037</v>
          </cell>
          <cell r="C236">
            <v>270</v>
          </cell>
          <cell r="D236">
            <v>152</v>
          </cell>
          <cell r="E236">
            <v>481</v>
          </cell>
          <cell r="F236">
            <v>1792</v>
          </cell>
          <cell r="G236">
            <v>5234</v>
          </cell>
          <cell r="H236">
            <v>7932.29</v>
          </cell>
          <cell r="I236">
            <v>21594.3</v>
          </cell>
          <cell r="J236">
            <v>90410</v>
          </cell>
          <cell r="K236" t="str">
            <v>MP</v>
          </cell>
        </row>
        <row r="237">
          <cell r="A237">
            <v>991038</v>
          </cell>
          <cell r="C237">
            <v>262</v>
          </cell>
          <cell r="D237">
            <v>6</v>
          </cell>
          <cell r="E237">
            <v>504</v>
          </cell>
          <cell r="F237">
            <v>174</v>
          </cell>
          <cell r="G237">
            <v>262</v>
          </cell>
          <cell r="H237">
            <v>1210.08</v>
          </cell>
          <cell r="I237">
            <v>1447.53</v>
          </cell>
          <cell r="J237">
            <v>92172</v>
          </cell>
          <cell r="K237" t="str">
            <v>MP</v>
          </cell>
        </row>
        <row r="238">
          <cell r="A238">
            <v>991039</v>
          </cell>
          <cell r="C238">
            <v>187</v>
          </cell>
          <cell r="D238">
            <v>42</v>
          </cell>
          <cell r="E238">
            <v>472</v>
          </cell>
          <cell r="F238">
            <v>553</v>
          </cell>
          <cell r="G238">
            <v>1853</v>
          </cell>
          <cell r="H238">
            <v>3109.45</v>
          </cell>
          <cell r="I238">
            <v>12281.94</v>
          </cell>
          <cell r="J238">
            <v>92167</v>
          </cell>
          <cell r="K238" t="str">
            <v>MP</v>
          </cell>
        </row>
        <row r="239">
          <cell r="A239">
            <v>991040</v>
          </cell>
          <cell r="C239">
            <v>207</v>
          </cell>
          <cell r="D239">
            <v>416</v>
          </cell>
          <cell r="E239">
            <v>444</v>
          </cell>
          <cell r="F239">
            <v>1775</v>
          </cell>
          <cell r="G239">
            <v>9455</v>
          </cell>
          <cell r="H239">
            <v>12299.5</v>
          </cell>
          <cell r="I239">
            <v>69045.5</v>
          </cell>
          <cell r="J239">
            <v>90614</v>
          </cell>
          <cell r="K239" t="str">
            <v>MP</v>
          </cell>
        </row>
        <row r="240">
          <cell r="A240">
            <v>991042</v>
          </cell>
          <cell r="C240">
            <v>177</v>
          </cell>
          <cell r="D240">
            <v>22</v>
          </cell>
          <cell r="E240">
            <v>519</v>
          </cell>
          <cell r="F240">
            <v>214</v>
          </cell>
          <cell r="G240">
            <v>696</v>
          </cell>
          <cell r="H240">
            <v>1631.53</v>
          </cell>
          <cell r="I240">
            <v>3151.42</v>
          </cell>
          <cell r="J240">
            <v>90342</v>
          </cell>
          <cell r="K240" t="str">
            <v>MP</v>
          </cell>
        </row>
        <row r="241">
          <cell r="A241">
            <v>991043</v>
          </cell>
          <cell r="C241">
            <v>898</v>
          </cell>
          <cell r="D241">
            <v>89</v>
          </cell>
          <cell r="E241">
            <v>495</v>
          </cell>
          <cell r="F241">
            <v>572</v>
          </cell>
          <cell r="G241">
            <v>2951</v>
          </cell>
          <cell r="H241">
            <v>5008.24</v>
          </cell>
          <cell r="I241">
            <v>12669.07</v>
          </cell>
          <cell r="J241">
            <v>92105</v>
          </cell>
          <cell r="K241" t="str">
            <v>MP</v>
          </cell>
        </row>
        <row r="242">
          <cell r="A242">
            <v>991045</v>
          </cell>
          <cell r="C242">
            <v>227</v>
          </cell>
          <cell r="D242">
            <v>38</v>
          </cell>
          <cell r="E242">
            <v>519</v>
          </cell>
          <cell r="F242">
            <v>525</v>
          </cell>
          <cell r="G242">
            <v>1673</v>
          </cell>
          <cell r="H242">
            <v>2983.93</v>
          </cell>
          <cell r="I242">
            <v>10048.86</v>
          </cell>
          <cell r="J242">
            <v>91358</v>
          </cell>
          <cell r="K242" t="str">
            <v>MP</v>
          </cell>
        </row>
        <row r="243">
          <cell r="A243">
            <v>991046</v>
          </cell>
          <cell r="C243">
            <v>136</v>
          </cell>
          <cell r="D243">
            <v>19</v>
          </cell>
          <cell r="E243">
            <v>457</v>
          </cell>
          <cell r="F243">
            <v>201</v>
          </cell>
          <cell r="G243">
            <v>584</v>
          </cell>
          <cell r="H243">
            <v>1398.49</v>
          </cell>
          <cell r="I243">
            <v>2922.44</v>
          </cell>
          <cell r="J243">
            <v>90827</v>
          </cell>
          <cell r="K243" t="str">
            <v>MP</v>
          </cell>
        </row>
        <row r="244">
          <cell r="A244">
            <v>991047</v>
          </cell>
          <cell r="C244">
            <v>199</v>
          </cell>
          <cell r="D244">
            <v>15</v>
          </cell>
          <cell r="E244">
            <v>504</v>
          </cell>
          <cell r="F244">
            <v>242</v>
          </cell>
          <cell r="G244">
            <v>680</v>
          </cell>
          <cell r="H244">
            <v>1643.21</v>
          </cell>
          <cell r="I244">
            <v>4272.59</v>
          </cell>
          <cell r="J244">
            <v>90061</v>
          </cell>
          <cell r="K244" t="str">
            <v>MP</v>
          </cell>
        </row>
        <row r="245">
          <cell r="A245">
            <v>991048</v>
          </cell>
          <cell r="C245">
            <v>176</v>
          </cell>
          <cell r="D245">
            <v>6</v>
          </cell>
          <cell r="E245">
            <v>557</v>
          </cell>
          <cell r="F245">
            <v>141</v>
          </cell>
          <cell r="G245">
            <v>12</v>
          </cell>
          <cell r="H245">
            <v>893.93</v>
          </cell>
          <cell r="I245">
            <v>226.68</v>
          </cell>
          <cell r="J245">
            <v>90061</v>
          </cell>
          <cell r="K245" t="str">
            <v>MP</v>
          </cell>
        </row>
        <row r="246">
          <cell r="A246">
            <v>991049</v>
          </cell>
          <cell r="C246">
            <v>161</v>
          </cell>
          <cell r="D246">
            <v>22</v>
          </cell>
          <cell r="E246">
            <v>472</v>
          </cell>
          <cell r="F246">
            <v>314</v>
          </cell>
          <cell r="G246">
            <v>967</v>
          </cell>
          <cell r="H246">
            <v>1937.94</v>
          </cell>
          <cell r="I246">
            <v>6544.26</v>
          </cell>
          <cell r="J246">
            <v>91323</v>
          </cell>
          <cell r="K246" t="str">
            <v>MP</v>
          </cell>
        </row>
        <row r="247">
          <cell r="A247">
            <v>991050</v>
          </cell>
          <cell r="C247">
            <v>525</v>
          </cell>
          <cell r="D247">
            <v>104</v>
          </cell>
          <cell r="E247">
            <v>450</v>
          </cell>
          <cell r="F247">
            <v>654</v>
          </cell>
          <cell r="G247">
            <v>3258</v>
          </cell>
          <cell r="H247">
            <v>4994.71</v>
          </cell>
          <cell r="I247">
            <v>17725.41</v>
          </cell>
          <cell r="J247">
            <v>91552</v>
          </cell>
          <cell r="K247" t="str">
            <v>MP</v>
          </cell>
        </row>
        <row r="248">
          <cell r="A248">
            <v>991053</v>
          </cell>
          <cell r="C248">
            <v>203</v>
          </cell>
          <cell r="D248">
            <v>2</v>
          </cell>
          <cell r="E248">
            <v>444</v>
          </cell>
          <cell r="F248">
            <v>149</v>
          </cell>
          <cell r="G248">
            <v>110</v>
          </cell>
          <cell r="H248">
            <v>911.11</v>
          </cell>
          <cell r="I248">
            <v>604.14</v>
          </cell>
          <cell r="J248">
            <v>91974</v>
          </cell>
          <cell r="K248" t="str">
            <v>MP</v>
          </cell>
        </row>
        <row r="249">
          <cell r="A249">
            <v>991054</v>
          </cell>
          <cell r="C249">
            <v>168</v>
          </cell>
          <cell r="D249">
            <v>1</v>
          </cell>
          <cell r="E249">
            <v>504</v>
          </cell>
          <cell r="F249">
            <v>141</v>
          </cell>
          <cell r="G249">
            <v>58</v>
          </cell>
          <cell r="H249">
            <v>873.72</v>
          </cell>
          <cell r="I249">
            <v>224.39</v>
          </cell>
          <cell r="J249">
            <v>92235</v>
          </cell>
          <cell r="K249" t="str">
            <v>MP</v>
          </cell>
        </row>
        <row r="250">
          <cell r="A250">
            <v>991056</v>
          </cell>
          <cell r="C250">
            <v>214</v>
          </cell>
          <cell r="D250">
            <v>46</v>
          </cell>
          <cell r="E250">
            <v>478</v>
          </cell>
          <cell r="F250">
            <v>583</v>
          </cell>
          <cell r="G250">
            <v>3052</v>
          </cell>
          <cell r="H250">
            <v>4374.13</v>
          </cell>
          <cell r="I250">
            <v>14060.81</v>
          </cell>
          <cell r="J250">
            <v>91681</v>
          </cell>
          <cell r="K250" t="str">
            <v>MP</v>
          </cell>
        </row>
        <row r="251">
          <cell r="A251">
            <v>991057</v>
          </cell>
          <cell r="C251">
            <v>311</v>
          </cell>
          <cell r="D251">
            <v>21</v>
          </cell>
          <cell r="E251">
            <v>457</v>
          </cell>
          <cell r="F251">
            <v>320</v>
          </cell>
          <cell r="G251">
            <v>986</v>
          </cell>
          <cell r="H251">
            <v>2098.39</v>
          </cell>
          <cell r="I251">
            <v>6761.56</v>
          </cell>
          <cell r="J251">
            <v>90061</v>
          </cell>
          <cell r="K251" t="str">
            <v>MP</v>
          </cell>
        </row>
        <row r="252">
          <cell r="A252">
            <v>991058</v>
          </cell>
          <cell r="C252">
            <v>189</v>
          </cell>
          <cell r="D252">
            <v>6</v>
          </cell>
          <cell r="E252">
            <v>478</v>
          </cell>
          <cell r="F252">
            <v>181</v>
          </cell>
          <cell r="G252">
            <v>306</v>
          </cell>
          <cell r="H252">
            <v>1162.6600000000001</v>
          </cell>
          <cell r="I252">
            <v>1917.9</v>
          </cell>
          <cell r="J252">
            <v>90061</v>
          </cell>
          <cell r="K252" t="str">
            <v>MP</v>
          </cell>
        </row>
        <row r="253">
          <cell r="A253">
            <v>991059</v>
          </cell>
          <cell r="C253">
            <v>189</v>
          </cell>
          <cell r="D253">
            <v>2</v>
          </cell>
          <cell r="E253">
            <v>478</v>
          </cell>
          <cell r="F253">
            <v>149</v>
          </cell>
          <cell r="G253">
            <v>110</v>
          </cell>
          <cell r="H253">
            <v>930.72</v>
          </cell>
          <cell r="I253">
            <v>575.37</v>
          </cell>
          <cell r="J253">
            <v>90061</v>
          </cell>
          <cell r="K253" t="str">
            <v>MP</v>
          </cell>
        </row>
        <row r="254">
          <cell r="A254">
            <v>991060</v>
          </cell>
          <cell r="C254">
            <v>168</v>
          </cell>
          <cell r="D254">
            <v>53</v>
          </cell>
          <cell r="E254">
            <v>504</v>
          </cell>
          <cell r="F254">
            <v>401</v>
          </cell>
          <cell r="G254">
            <v>1223</v>
          </cell>
          <cell r="H254">
            <v>2351.1999999999998</v>
          </cell>
          <cell r="I254">
            <v>7767.5</v>
          </cell>
          <cell r="J254">
            <v>90349</v>
          </cell>
          <cell r="K254" t="str">
            <v>MP</v>
          </cell>
        </row>
        <row r="255">
          <cell r="A255">
            <v>991061</v>
          </cell>
          <cell r="C255">
            <v>220</v>
          </cell>
          <cell r="D255">
            <v>4</v>
          </cell>
          <cell r="E255">
            <v>504</v>
          </cell>
          <cell r="F255">
            <v>147</v>
          </cell>
          <cell r="G255">
            <v>92</v>
          </cell>
          <cell r="H255">
            <v>968.82</v>
          </cell>
          <cell r="I255">
            <v>397.01</v>
          </cell>
          <cell r="J255">
            <v>90061</v>
          </cell>
          <cell r="K255" t="str">
            <v>MP</v>
          </cell>
        </row>
        <row r="256">
          <cell r="A256">
            <v>991062</v>
          </cell>
          <cell r="C256">
            <v>220</v>
          </cell>
          <cell r="D256">
            <v>61</v>
          </cell>
          <cell r="E256">
            <v>504</v>
          </cell>
          <cell r="F256">
            <v>696</v>
          </cell>
          <cell r="G256">
            <v>578</v>
          </cell>
          <cell r="H256">
            <v>2062.25</v>
          </cell>
          <cell r="I256">
            <v>17347.41</v>
          </cell>
          <cell r="J256">
            <v>90061</v>
          </cell>
          <cell r="K256" t="str">
            <v>MP</v>
          </cell>
        </row>
        <row r="257">
          <cell r="A257">
            <v>991064</v>
          </cell>
          <cell r="C257">
            <v>321</v>
          </cell>
          <cell r="D257">
            <v>204</v>
          </cell>
          <cell r="E257">
            <v>532</v>
          </cell>
          <cell r="F257">
            <v>1698</v>
          </cell>
          <cell r="G257">
            <v>8975</v>
          </cell>
          <cell r="H257">
            <v>11733.13</v>
          </cell>
          <cell r="I257">
            <v>68703.97</v>
          </cell>
          <cell r="J257">
            <v>90097</v>
          </cell>
          <cell r="K257" t="str">
            <v>MP</v>
          </cell>
        </row>
        <row r="258">
          <cell r="A258">
            <v>991065</v>
          </cell>
          <cell r="C258">
            <v>194</v>
          </cell>
          <cell r="D258">
            <v>25</v>
          </cell>
          <cell r="E258">
            <v>478</v>
          </cell>
          <cell r="F258">
            <v>368</v>
          </cell>
          <cell r="G258">
            <v>1177</v>
          </cell>
          <cell r="H258">
            <v>2245.0100000000002</v>
          </cell>
          <cell r="I258">
            <v>7601.6</v>
          </cell>
          <cell r="J258">
            <v>90236</v>
          </cell>
          <cell r="K258" t="str">
            <v>MP</v>
          </cell>
        </row>
        <row r="259">
          <cell r="A259">
            <v>991068</v>
          </cell>
          <cell r="C259">
            <v>564</v>
          </cell>
          <cell r="D259">
            <v>109</v>
          </cell>
          <cell r="E259">
            <v>504</v>
          </cell>
          <cell r="F259">
            <v>659</v>
          </cell>
          <cell r="G259">
            <v>2477</v>
          </cell>
          <cell r="H259">
            <v>4314.92</v>
          </cell>
          <cell r="I259">
            <v>16220.48</v>
          </cell>
          <cell r="J259">
            <v>91351</v>
          </cell>
          <cell r="K259" t="str">
            <v>MP</v>
          </cell>
        </row>
        <row r="260">
          <cell r="A260">
            <v>991069</v>
          </cell>
          <cell r="C260">
            <v>4955</v>
          </cell>
          <cell r="D260">
            <v>221</v>
          </cell>
          <cell r="E260">
            <v>250</v>
          </cell>
          <cell r="F260">
            <v>692</v>
          </cell>
          <cell r="G260">
            <v>6453</v>
          </cell>
          <cell r="H260">
            <v>12573.13</v>
          </cell>
          <cell r="I260">
            <v>30230.17</v>
          </cell>
          <cell r="J260">
            <v>92330</v>
          </cell>
          <cell r="K260" t="str">
            <v>MP</v>
          </cell>
        </row>
        <row r="261">
          <cell r="A261">
            <v>991072</v>
          </cell>
          <cell r="C261">
            <v>227</v>
          </cell>
          <cell r="D261">
            <v>13</v>
          </cell>
          <cell r="E261">
            <v>495</v>
          </cell>
          <cell r="F261">
            <v>223</v>
          </cell>
          <cell r="G261">
            <v>387</v>
          </cell>
          <cell r="H261">
            <v>1347.02</v>
          </cell>
          <cell r="I261">
            <v>3538.63</v>
          </cell>
          <cell r="J261">
            <v>92233</v>
          </cell>
          <cell r="K261" t="str">
            <v>MP</v>
          </cell>
        </row>
        <row r="262">
          <cell r="A262">
            <v>991073</v>
          </cell>
          <cell r="C262">
            <v>1048</v>
          </cell>
          <cell r="D262">
            <v>75</v>
          </cell>
          <cell r="E262">
            <v>488</v>
          </cell>
          <cell r="F262">
            <v>790</v>
          </cell>
          <cell r="G262">
            <v>3325</v>
          </cell>
          <cell r="H262">
            <v>5728.81</v>
          </cell>
          <cell r="I262">
            <v>21112.68</v>
          </cell>
          <cell r="J262">
            <v>91750</v>
          </cell>
          <cell r="K262" t="str">
            <v>MP</v>
          </cell>
        </row>
        <row r="263">
          <cell r="A263">
            <v>991075</v>
          </cell>
          <cell r="C263">
            <v>262</v>
          </cell>
          <cell r="D263">
            <v>7</v>
          </cell>
          <cell r="E263">
            <v>504</v>
          </cell>
          <cell r="F263">
            <v>187</v>
          </cell>
          <cell r="G263">
            <v>458</v>
          </cell>
          <cell r="H263">
            <v>1420.98</v>
          </cell>
          <cell r="I263">
            <v>1956.26</v>
          </cell>
          <cell r="J263">
            <v>92172</v>
          </cell>
          <cell r="K263" t="str">
            <v>MP</v>
          </cell>
        </row>
        <row r="264">
          <cell r="A264">
            <v>991077</v>
          </cell>
          <cell r="C264">
            <v>220</v>
          </cell>
          <cell r="D264">
            <v>30</v>
          </cell>
          <cell r="E264">
            <v>504</v>
          </cell>
          <cell r="F264">
            <v>442</v>
          </cell>
          <cell r="G264">
            <v>2039</v>
          </cell>
          <cell r="H264">
            <v>3237.86</v>
          </cell>
          <cell r="I264">
            <v>8490.6</v>
          </cell>
          <cell r="J264">
            <v>91681</v>
          </cell>
          <cell r="K264" t="str">
            <v>MP</v>
          </cell>
        </row>
        <row r="265">
          <cell r="A265">
            <v>991080</v>
          </cell>
          <cell r="C265">
            <v>166</v>
          </cell>
          <cell r="D265">
            <v>21</v>
          </cell>
          <cell r="E265">
            <v>486</v>
          </cell>
          <cell r="F265">
            <v>209</v>
          </cell>
          <cell r="G265">
            <v>652</v>
          </cell>
          <cell r="H265">
            <v>1536.5</v>
          </cell>
          <cell r="I265">
            <v>3154.95</v>
          </cell>
          <cell r="J265">
            <v>90342</v>
          </cell>
          <cell r="K265" t="str">
            <v>MP</v>
          </cell>
        </row>
        <row r="266">
          <cell r="A266">
            <v>991081</v>
          </cell>
          <cell r="C266">
            <v>227</v>
          </cell>
          <cell r="D266">
            <v>1</v>
          </cell>
          <cell r="E266">
            <v>504</v>
          </cell>
          <cell r="F266">
            <v>143</v>
          </cell>
          <cell r="G266">
            <v>93</v>
          </cell>
          <cell r="H266">
            <v>969.96</v>
          </cell>
          <cell r="I266">
            <v>235.96</v>
          </cell>
          <cell r="J266">
            <v>90402</v>
          </cell>
          <cell r="K266" t="str">
            <v>MP</v>
          </cell>
        </row>
        <row r="267">
          <cell r="A267">
            <v>991082</v>
          </cell>
          <cell r="C267">
            <v>177</v>
          </cell>
          <cell r="D267">
            <v>83</v>
          </cell>
          <cell r="E267">
            <v>519</v>
          </cell>
          <cell r="F267">
            <v>845</v>
          </cell>
          <cell r="G267">
            <v>3670</v>
          </cell>
          <cell r="H267">
            <v>5296.4</v>
          </cell>
          <cell r="I267">
            <v>22995.62</v>
          </cell>
          <cell r="J267">
            <v>91323</v>
          </cell>
          <cell r="K267" t="str">
            <v>MP</v>
          </cell>
        </row>
        <row r="268">
          <cell r="A268">
            <v>991083</v>
          </cell>
          <cell r="C268">
            <v>157</v>
          </cell>
          <cell r="D268">
            <v>14</v>
          </cell>
          <cell r="E268">
            <v>444</v>
          </cell>
          <cell r="F268">
            <v>237</v>
          </cell>
          <cell r="G268">
            <v>654</v>
          </cell>
          <cell r="H268">
            <v>1508.24</v>
          </cell>
          <cell r="I268">
            <v>4624.05</v>
          </cell>
          <cell r="J268">
            <v>90097</v>
          </cell>
          <cell r="K268" t="str">
            <v>MP</v>
          </cell>
        </row>
        <row r="269">
          <cell r="A269">
            <v>991085</v>
          </cell>
          <cell r="C269">
            <v>194</v>
          </cell>
          <cell r="D269">
            <v>14</v>
          </cell>
          <cell r="E269">
            <v>478</v>
          </cell>
          <cell r="F269">
            <v>234</v>
          </cell>
          <cell r="G269">
            <v>640</v>
          </cell>
          <cell r="H269">
            <v>1562.4</v>
          </cell>
          <cell r="I269">
            <v>4165.07</v>
          </cell>
          <cell r="J269">
            <v>90496</v>
          </cell>
          <cell r="K269" t="str">
            <v>MP</v>
          </cell>
        </row>
        <row r="270">
          <cell r="A270">
            <v>991087</v>
          </cell>
          <cell r="C270">
            <v>3936</v>
          </cell>
          <cell r="D270">
            <v>106</v>
          </cell>
          <cell r="E270">
            <v>504</v>
          </cell>
          <cell r="F270">
            <v>649</v>
          </cell>
          <cell r="G270">
            <v>3103</v>
          </cell>
          <cell r="H270">
            <v>8299.7199999999993</v>
          </cell>
          <cell r="I270">
            <v>12385.88</v>
          </cell>
          <cell r="J270">
            <v>92093</v>
          </cell>
          <cell r="K270" t="str">
            <v>MP</v>
          </cell>
        </row>
        <row r="271">
          <cell r="A271">
            <v>991088</v>
          </cell>
          <cell r="C271">
            <v>292</v>
          </cell>
          <cell r="D271">
            <v>2</v>
          </cell>
          <cell r="E271">
            <v>557</v>
          </cell>
          <cell r="F271">
            <v>147</v>
          </cell>
          <cell r="G271">
            <v>134</v>
          </cell>
          <cell r="H271">
            <v>1135.49</v>
          </cell>
          <cell r="I271">
            <v>412.75</v>
          </cell>
          <cell r="J271">
            <v>90662</v>
          </cell>
          <cell r="K271" t="str">
            <v>MP</v>
          </cell>
        </row>
        <row r="272">
          <cell r="A272">
            <v>991089</v>
          </cell>
          <cell r="C272">
            <v>588</v>
          </cell>
          <cell r="D272">
            <v>61</v>
          </cell>
          <cell r="E272">
            <v>457</v>
          </cell>
          <cell r="F272">
            <v>500</v>
          </cell>
          <cell r="G272">
            <v>2105</v>
          </cell>
          <cell r="H272">
            <v>3713</v>
          </cell>
          <cell r="I272">
            <v>10681.36</v>
          </cell>
          <cell r="J272">
            <v>90257</v>
          </cell>
          <cell r="K272" t="str">
            <v>MP</v>
          </cell>
        </row>
        <row r="273">
          <cell r="A273">
            <v>991092</v>
          </cell>
          <cell r="C273">
            <v>238</v>
          </cell>
          <cell r="D273">
            <v>133</v>
          </cell>
          <cell r="E273">
            <v>457</v>
          </cell>
          <cell r="F273">
            <v>742</v>
          </cell>
          <cell r="G273">
            <v>4541</v>
          </cell>
          <cell r="H273">
            <v>6112.56</v>
          </cell>
          <cell r="I273">
            <v>21223.040000000001</v>
          </cell>
          <cell r="J273">
            <v>91349</v>
          </cell>
          <cell r="K273" t="str">
            <v>MP</v>
          </cell>
        </row>
        <row r="274">
          <cell r="A274">
            <v>991093</v>
          </cell>
          <cell r="C274">
            <v>229</v>
          </cell>
          <cell r="D274">
            <v>8</v>
          </cell>
          <cell r="E274">
            <v>504</v>
          </cell>
          <cell r="F274">
            <v>193</v>
          </cell>
          <cell r="G274">
            <v>512</v>
          </cell>
          <cell r="H274">
            <v>1448.97</v>
          </cell>
          <cell r="I274">
            <v>2226.39</v>
          </cell>
          <cell r="J274">
            <v>91178</v>
          </cell>
          <cell r="K274" t="str">
            <v>MP</v>
          </cell>
        </row>
        <row r="275">
          <cell r="A275">
            <v>991094</v>
          </cell>
          <cell r="C275">
            <v>852</v>
          </cell>
          <cell r="D275">
            <v>136</v>
          </cell>
          <cell r="E275">
            <v>555</v>
          </cell>
          <cell r="F275">
            <v>1219</v>
          </cell>
          <cell r="G275">
            <v>8138</v>
          </cell>
          <cell r="H275">
            <v>10902.69</v>
          </cell>
          <cell r="I275">
            <v>43005.54</v>
          </cell>
          <cell r="J275">
            <v>90469</v>
          </cell>
          <cell r="K275" t="str">
            <v>MP</v>
          </cell>
        </row>
        <row r="276">
          <cell r="A276">
            <v>991095</v>
          </cell>
          <cell r="C276">
            <v>557</v>
          </cell>
          <cell r="D276">
            <v>157</v>
          </cell>
          <cell r="E276">
            <v>555</v>
          </cell>
          <cell r="F276">
            <v>830</v>
          </cell>
          <cell r="G276">
            <v>3321</v>
          </cell>
          <cell r="H276">
            <v>5424.3</v>
          </cell>
          <cell r="I276">
            <v>26504.06</v>
          </cell>
          <cell r="J276">
            <v>92109</v>
          </cell>
          <cell r="K276" t="str">
            <v>MP</v>
          </cell>
        </row>
        <row r="277">
          <cell r="A277">
            <v>991096</v>
          </cell>
          <cell r="C277">
            <v>187</v>
          </cell>
          <cell r="D277">
            <v>43</v>
          </cell>
          <cell r="E277">
            <v>478</v>
          </cell>
          <cell r="F277">
            <v>315</v>
          </cell>
          <cell r="G277">
            <v>969</v>
          </cell>
          <cell r="H277">
            <v>1994.26</v>
          </cell>
          <cell r="I277">
            <v>6682.35</v>
          </cell>
          <cell r="J277">
            <v>90086</v>
          </cell>
          <cell r="K277" t="str">
            <v>MP</v>
          </cell>
        </row>
        <row r="278">
          <cell r="A278">
            <v>991098</v>
          </cell>
          <cell r="C278">
            <v>410</v>
          </cell>
          <cell r="D278">
            <v>101</v>
          </cell>
          <cell r="E278">
            <v>444</v>
          </cell>
          <cell r="F278">
            <v>625</v>
          </cell>
          <cell r="G278">
            <v>2301</v>
          </cell>
          <cell r="H278">
            <v>3884</v>
          </cell>
          <cell r="I278">
            <v>16518.88</v>
          </cell>
          <cell r="J278">
            <v>92271</v>
          </cell>
          <cell r="K278" t="str">
            <v>MP</v>
          </cell>
        </row>
        <row r="279">
          <cell r="A279">
            <v>991101</v>
          </cell>
          <cell r="C279">
            <v>2263</v>
          </cell>
          <cell r="D279">
            <v>573</v>
          </cell>
          <cell r="E279">
            <v>447</v>
          </cell>
          <cell r="F279">
            <v>2350</v>
          </cell>
          <cell r="G279">
            <v>12102</v>
          </cell>
          <cell r="H279">
            <v>17736.97</v>
          </cell>
          <cell r="I279">
            <v>93658.72</v>
          </cell>
          <cell r="J279">
            <v>92107</v>
          </cell>
          <cell r="K279" t="str">
            <v>MP</v>
          </cell>
        </row>
        <row r="280">
          <cell r="A280">
            <v>991104</v>
          </cell>
          <cell r="C280">
            <v>1692</v>
          </cell>
          <cell r="D280">
            <v>66</v>
          </cell>
          <cell r="E280">
            <v>504</v>
          </cell>
          <cell r="F280">
            <v>491</v>
          </cell>
          <cell r="G280">
            <v>2269</v>
          </cell>
          <cell r="H280">
            <v>5024.84</v>
          </cell>
          <cell r="I280">
            <v>8512.1299999999992</v>
          </cell>
          <cell r="J280">
            <v>92020</v>
          </cell>
          <cell r="K280" t="str">
            <v>MP</v>
          </cell>
        </row>
        <row r="281">
          <cell r="A281">
            <v>991106</v>
          </cell>
          <cell r="C281">
            <v>2087</v>
          </cell>
          <cell r="D281">
            <v>73</v>
          </cell>
          <cell r="E281">
            <v>557</v>
          </cell>
          <cell r="F281">
            <v>573</v>
          </cell>
          <cell r="G281">
            <v>2679</v>
          </cell>
          <cell r="H281">
            <v>5971.38</v>
          </cell>
          <cell r="I281">
            <v>12438.25</v>
          </cell>
          <cell r="J281">
            <v>91553</v>
          </cell>
          <cell r="K281" t="str">
            <v>MP</v>
          </cell>
        </row>
        <row r="282">
          <cell r="A282">
            <v>991108</v>
          </cell>
          <cell r="C282">
            <v>293</v>
          </cell>
          <cell r="D282">
            <v>7</v>
          </cell>
          <cell r="E282">
            <v>447</v>
          </cell>
          <cell r="F282">
            <v>158</v>
          </cell>
          <cell r="G282">
            <v>225</v>
          </cell>
          <cell r="H282">
            <v>1132.1400000000001</v>
          </cell>
          <cell r="I282">
            <v>921.9</v>
          </cell>
          <cell r="J282">
            <v>92416</v>
          </cell>
          <cell r="K282" t="str">
            <v>MP</v>
          </cell>
        </row>
        <row r="283">
          <cell r="A283">
            <v>991109</v>
          </cell>
          <cell r="C283">
            <v>2875</v>
          </cell>
          <cell r="D283">
            <v>70</v>
          </cell>
          <cell r="E283">
            <v>478</v>
          </cell>
          <cell r="F283">
            <v>510</v>
          </cell>
          <cell r="G283">
            <v>2149</v>
          </cell>
          <cell r="H283">
            <v>6085.07</v>
          </cell>
          <cell r="I283">
            <v>8263.64</v>
          </cell>
          <cell r="J283">
            <v>91550</v>
          </cell>
          <cell r="K283" t="str">
            <v>MP</v>
          </cell>
        </row>
        <row r="284">
          <cell r="A284">
            <v>991110</v>
          </cell>
          <cell r="C284">
            <v>499</v>
          </cell>
          <cell r="D284">
            <v>14</v>
          </cell>
          <cell r="E284">
            <v>478</v>
          </cell>
          <cell r="F284">
            <v>146</v>
          </cell>
          <cell r="G284">
            <v>119</v>
          </cell>
          <cell r="H284">
            <v>1257.76</v>
          </cell>
          <cell r="I284">
            <v>115.34</v>
          </cell>
          <cell r="J284">
            <v>91550</v>
          </cell>
          <cell r="K284" t="str">
            <v>MP</v>
          </cell>
        </row>
        <row r="285">
          <cell r="A285">
            <v>991111</v>
          </cell>
          <cell r="C285">
            <v>4531</v>
          </cell>
          <cell r="D285">
            <v>164</v>
          </cell>
          <cell r="E285">
            <v>555</v>
          </cell>
          <cell r="F285">
            <v>940</v>
          </cell>
          <cell r="G285">
            <v>5480</v>
          </cell>
          <cell r="H285">
            <v>11671.86</v>
          </cell>
          <cell r="I285">
            <v>27282.57</v>
          </cell>
          <cell r="J285">
            <v>92158</v>
          </cell>
          <cell r="K285" t="str">
            <v>MP</v>
          </cell>
        </row>
        <row r="286">
          <cell r="A286">
            <v>991112</v>
          </cell>
          <cell r="C286">
            <v>746</v>
          </cell>
          <cell r="D286">
            <v>368</v>
          </cell>
          <cell r="E286">
            <v>532</v>
          </cell>
          <cell r="F286">
            <v>1576</v>
          </cell>
          <cell r="G286">
            <v>11148</v>
          </cell>
          <cell r="H286">
            <v>14371.94</v>
          </cell>
          <cell r="I286">
            <v>64071.27</v>
          </cell>
          <cell r="J286">
            <v>91431</v>
          </cell>
          <cell r="K286" t="str">
            <v>MP</v>
          </cell>
        </row>
        <row r="287">
          <cell r="A287">
            <v>991113</v>
          </cell>
          <cell r="C287">
            <v>3255</v>
          </cell>
          <cell r="D287">
            <v>82</v>
          </cell>
          <cell r="E287">
            <v>444</v>
          </cell>
          <cell r="F287">
            <v>840</v>
          </cell>
          <cell r="G287">
            <v>4931</v>
          </cell>
          <cell r="H287">
            <v>9553.8799999999992</v>
          </cell>
          <cell r="I287">
            <v>23455.27</v>
          </cell>
          <cell r="J287">
            <v>90013</v>
          </cell>
          <cell r="K287" t="str">
            <v>MP</v>
          </cell>
        </row>
        <row r="288">
          <cell r="A288">
            <v>991114</v>
          </cell>
          <cell r="C288">
            <v>252</v>
          </cell>
          <cell r="D288">
            <v>46</v>
          </cell>
          <cell r="E288">
            <v>495</v>
          </cell>
          <cell r="F288">
            <v>590</v>
          </cell>
          <cell r="G288">
            <v>2080</v>
          </cell>
          <cell r="H288">
            <v>3465.66</v>
          </cell>
          <cell r="I288">
            <v>13544.14</v>
          </cell>
          <cell r="J288">
            <v>90083</v>
          </cell>
          <cell r="K288" t="str">
            <v>MP</v>
          </cell>
        </row>
        <row r="289">
          <cell r="A289">
            <v>991115</v>
          </cell>
          <cell r="C289">
            <v>215</v>
          </cell>
          <cell r="D289">
            <v>2</v>
          </cell>
          <cell r="E289">
            <v>478</v>
          </cell>
          <cell r="F289">
            <v>152</v>
          </cell>
          <cell r="G289">
            <v>168</v>
          </cell>
          <cell r="H289">
            <v>1018.05</v>
          </cell>
          <cell r="I289">
            <v>646.16</v>
          </cell>
          <cell r="J289">
            <v>90402</v>
          </cell>
          <cell r="K289" t="str">
            <v>MP</v>
          </cell>
        </row>
        <row r="290">
          <cell r="A290">
            <v>991116</v>
          </cell>
          <cell r="C290">
            <v>157</v>
          </cell>
          <cell r="D290">
            <v>7</v>
          </cell>
          <cell r="E290">
            <v>555</v>
          </cell>
          <cell r="F290">
            <v>187</v>
          </cell>
          <cell r="G290">
            <v>345</v>
          </cell>
          <cell r="H290">
            <v>1253.68</v>
          </cell>
          <cell r="I290">
            <v>2391.4</v>
          </cell>
          <cell r="J290">
            <v>90097</v>
          </cell>
          <cell r="K290" t="str">
            <v>MP</v>
          </cell>
        </row>
        <row r="291">
          <cell r="A291">
            <v>991117</v>
          </cell>
          <cell r="C291">
            <v>189</v>
          </cell>
          <cell r="D291">
            <v>3</v>
          </cell>
          <cell r="E291">
            <v>478</v>
          </cell>
          <cell r="F291">
            <v>158</v>
          </cell>
          <cell r="G291">
            <v>161</v>
          </cell>
          <cell r="H291">
            <v>991.36</v>
          </cell>
          <cell r="I291">
            <v>927.75</v>
          </cell>
          <cell r="J291">
            <v>90061</v>
          </cell>
          <cell r="K291" t="str">
            <v>MP</v>
          </cell>
        </row>
        <row r="292">
          <cell r="A292">
            <v>991119</v>
          </cell>
          <cell r="C292">
            <v>162</v>
          </cell>
          <cell r="D292">
            <v>31</v>
          </cell>
          <cell r="E292">
            <v>486</v>
          </cell>
          <cell r="F292">
            <v>247</v>
          </cell>
          <cell r="G292">
            <v>720</v>
          </cell>
          <cell r="H292">
            <v>1648.6</v>
          </cell>
          <cell r="I292">
            <v>4643.08</v>
          </cell>
          <cell r="J292">
            <v>90349</v>
          </cell>
          <cell r="K292" t="str">
            <v>MP</v>
          </cell>
        </row>
        <row r="293">
          <cell r="A293">
            <v>991120</v>
          </cell>
          <cell r="C293">
            <v>209</v>
          </cell>
          <cell r="D293">
            <v>5</v>
          </cell>
          <cell r="E293">
            <v>478</v>
          </cell>
          <cell r="F293">
            <v>152</v>
          </cell>
          <cell r="G293">
            <v>128</v>
          </cell>
          <cell r="H293">
            <v>975.05</v>
          </cell>
          <cell r="I293">
            <v>679.96</v>
          </cell>
          <cell r="J293">
            <v>90061</v>
          </cell>
          <cell r="K293" t="str">
            <v>MP</v>
          </cell>
        </row>
        <row r="294">
          <cell r="A294">
            <v>991121</v>
          </cell>
          <cell r="C294">
            <v>209</v>
          </cell>
          <cell r="D294">
            <v>2</v>
          </cell>
          <cell r="E294">
            <v>478</v>
          </cell>
          <cell r="F294">
            <v>146</v>
          </cell>
          <cell r="G294">
            <v>87</v>
          </cell>
          <cell r="H294">
            <v>923.16</v>
          </cell>
          <cell r="I294">
            <v>397.61</v>
          </cell>
          <cell r="J294">
            <v>90061</v>
          </cell>
          <cell r="K294" t="str">
            <v>MP</v>
          </cell>
        </row>
        <row r="295">
          <cell r="A295">
            <v>991122</v>
          </cell>
          <cell r="C295">
            <v>148</v>
          </cell>
          <cell r="D295">
            <v>85</v>
          </cell>
          <cell r="E295">
            <v>444</v>
          </cell>
          <cell r="F295">
            <v>861</v>
          </cell>
          <cell r="G295">
            <v>3766</v>
          </cell>
          <cell r="H295">
            <v>5306.46</v>
          </cell>
          <cell r="I295">
            <v>27659.52</v>
          </cell>
          <cell r="J295">
            <v>90485</v>
          </cell>
          <cell r="K295" t="str">
            <v>MP</v>
          </cell>
        </row>
        <row r="296">
          <cell r="A296">
            <v>991123</v>
          </cell>
          <cell r="C296">
            <v>219</v>
          </cell>
          <cell r="D296">
            <v>2</v>
          </cell>
          <cell r="E296">
            <v>478</v>
          </cell>
          <cell r="F296">
            <v>148</v>
          </cell>
          <cell r="G296">
            <v>139</v>
          </cell>
          <cell r="H296">
            <v>987.65</v>
          </cell>
          <cell r="I296">
            <v>487.14</v>
          </cell>
          <cell r="J296">
            <v>91591</v>
          </cell>
          <cell r="K296" t="str">
            <v>MP</v>
          </cell>
        </row>
        <row r="297">
          <cell r="A297">
            <v>991124</v>
          </cell>
          <cell r="C297">
            <v>223</v>
          </cell>
          <cell r="D297">
            <v>1</v>
          </cell>
          <cell r="E297">
            <v>486</v>
          </cell>
          <cell r="F297">
            <v>140</v>
          </cell>
          <cell r="G297">
            <v>71</v>
          </cell>
          <cell r="H297">
            <v>923.18</v>
          </cell>
          <cell r="I297">
            <v>144.06</v>
          </cell>
          <cell r="J297">
            <v>91343</v>
          </cell>
          <cell r="K297" t="str">
            <v>MP</v>
          </cell>
        </row>
        <row r="298">
          <cell r="A298">
            <v>991125</v>
          </cell>
          <cell r="C298">
            <v>159</v>
          </cell>
          <cell r="D298">
            <v>11</v>
          </cell>
          <cell r="E298">
            <v>478</v>
          </cell>
          <cell r="F298">
            <v>213</v>
          </cell>
          <cell r="G298">
            <v>684</v>
          </cell>
          <cell r="H298">
            <v>1547.2</v>
          </cell>
          <cell r="I298">
            <v>3307.62</v>
          </cell>
          <cell r="J298">
            <v>92235</v>
          </cell>
          <cell r="K298" t="str">
            <v>MP</v>
          </cell>
        </row>
        <row r="299">
          <cell r="A299">
            <v>991127</v>
          </cell>
          <cell r="C299">
            <v>219</v>
          </cell>
          <cell r="D299">
            <v>42</v>
          </cell>
          <cell r="E299">
            <v>478</v>
          </cell>
          <cell r="F299">
            <v>553</v>
          </cell>
          <cell r="G299">
            <v>2507</v>
          </cell>
          <cell r="H299">
            <v>3800.52</v>
          </cell>
          <cell r="I299">
            <v>12562.04</v>
          </cell>
          <cell r="J299">
            <v>91978</v>
          </cell>
          <cell r="K299" t="str">
            <v>MP</v>
          </cell>
        </row>
        <row r="300">
          <cell r="A300">
            <v>991128</v>
          </cell>
          <cell r="C300">
            <v>249</v>
          </cell>
          <cell r="D300">
            <v>20</v>
          </cell>
          <cell r="E300">
            <v>478</v>
          </cell>
          <cell r="F300">
            <v>285</v>
          </cell>
          <cell r="G300">
            <v>876</v>
          </cell>
          <cell r="H300">
            <v>1909.61</v>
          </cell>
          <cell r="I300">
            <v>5772</v>
          </cell>
          <cell r="J300">
            <v>92172</v>
          </cell>
          <cell r="K300" t="str">
            <v>MP</v>
          </cell>
        </row>
        <row r="301">
          <cell r="A301">
            <v>991129</v>
          </cell>
          <cell r="C301">
            <v>150</v>
          </cell>
          <cell r="D301">
            <v>283</v>
          </cell>
          <cell r="E301">
            <v>450</v>
          </cell>
          <cell r="F301">
            <v>1043</v>
          </cell>
          <cell r="G301">
            <v>6451</v>
          </cell>
          <cell r="H301">
            <v>8379.93</v>
          </cell>
          <cell r="I301">
            <v>46675.44</v>
          </cell>
          <cell r="J301">
            <v>91333</v>
          </cell>
          <cell r="K301" t="str">
            <v>MP</v>
          </cell>
        </row>
        <row r="302">
          <cell r="A302">
            <v>991130</v>
          </cell>
          <cell r="C302">
            <v>168</v>
          </cell>
          <cell r="D302">
            <v>67</v>
          </cell>
          <cell r="E302">
            <v>504</v>
          </cell>
          <cell r="F302">
            <v>500</v>
          </cell>
          <cell r="G302">
            <v>1541</v>
          </cell>
          <cell r="H302">
            <v>2782.26</v>
          </cell>
          <cell r="I302">
            <v>9844.1</v>
          </cell>
          <cell r="J302">
            <v>90242</v>
          </cell>
          <cell r="K302" t="str">
            <v>MP</v>
          </cell>
        </row>
        <row r="303">
          <cell r="A303">
            <v>991133</v>
          </cell>
          <cell r="C303">
            <v>384</v>
          </cell>
          <cell r="D303">
            <v>27</v>
          </cell>
          <cell r="E303">
            <v>450</v>
          </cell>
          <cell r="F303">
            <v>163</v>
          </cell>
          <cell r="G303">
            <v>250</v>
          </cell>
          <cell r="H303">
            <v>1277.26</v>
          </cell>
          <cell r="I303">
            <v>4125.53</v>
          </cell>
          <cell r="J303">
            <v>92130</v>
          </cell>
          <cell r="K303" t="str">
            <v>MP</v>
          </cell>
        </row>
        <row r="304">
          <cell r="A304">
            <v>991134</v>
          </cell>
          <cell r="C304">
            <v>621</v>
          </cell>
          <cell r="D304">
            <v>45</v>
          </cell>
          <cell r="E304">
            <v>504</v>
          </cell>
          <cell r="F304">
            <v>336</v>
          </cell>
          <cell r="G304">
            <v>1396</v>
          </cell>
          <cell r="H304">
            <v>2905.15</v>
          </cell>
          <cell r="I304">
            <v>6000.02</v>
          </cell>
          <cell r="J304">
            <v>92090</v>
          </cell>
          <cell r="K304" t="str">
            <v>MP</v>
          </cell>
        </row>
        <row r="305">
          <cell r="A305">
            <v>991135</v>
          </cell>
          <cell r="C305">
            <v>9720</v>
          </cell>
          <cell r="D305">
            <v>315</v>
          </cell>
          <cell r="E305">
            <v>250</v>
          </cell>
          <cell r="F305">
            <v>299</v>
          </cell>
          <cell r="G305">
            <v>10868</v>
          </cell>
          <cell r="H305">
            <v>21454.97</v>
          </cell>
          <cell r="I305">
            <v>46385.64</v>
          </cell>
          <cell r="J305">
            <v>92418</v>
          </cell>
          <cell r="K305" t="str">
            <v>MP</v>
          </cell>
        </row>
        <row r="306">
          <cell r="A306">
            <v>991136</v>
          </cell>
          <cell r="C306">
            <v>1141</v>
          </cell>
          <cell r="D306">
            <v>439</v>
          </cell>
          <cell r="E306">
            <v>444</v>
          </cell>
          <cell r="F306">
            <v>1859</v>
          </cell>
          <cell r="G306">
            <v>13567</v>
          </cell>
          <cell r="H306">
            <v>17452.8</v>
          </cell>
          <cell r="I306">
            <v>70605.05</v>
          </cell>
          <cell r="J306">
            <v>91462</v>
          </cell>
          <cell r="K306" t="str">
            <v>MP</v>
          </cell>
        </row>
        <row r="307">
          <cell r="A307">
            <v>991137</v>
          </cell>
          <cell r="C307">
            <v>385</v>
          </cell>
          <cell r="D307">
            <v>110</v>
          </cell>
          <cell r="E307">
            <v>486</v>
          </cell>
          <cell r="F307">
            <v>5734</v>
          </cell>
          <cell r="G307">
            <v>3385</v>
          </cell>
          <cell r="H307">
            <v>10102.26</v>
          </cell>
          <cell r="I307">
            <v>16645.63</v>
          </cell>
          <cell r="J307">
            <v>91462</v>
          </cell>
          <cell r="K307" t="str">
            <v>MP</v>
          </cell>
        </row>
        <row r="308">
          <cell r="A308">
            <v>991138</v>
          </cell>
          <cell r="C308">
            <v>174</v>
          </cell>
          <cell r="D308">
            <v>2</v>
          </cell>
          <cell r="E308">
            <v>504</v>
          </cell>
          <cell r="F308">
            <v>141</v>
          </cell>
          <cell r="G308">
            <v>81</v>
          </cell>
          <cell r="H308">
            <v>905.05</v>
          </cell>
          <cell r="I308">
            <v>241.56</v>
          </cell>
          <cell r="J308">
            <v>91462</v>
          </cell>
          <cell r="K308" t="str">
            <v>MP</v>
          </cell>
        </row>
        <row r="309">
          <cell r="A309">
            <v>991139</v>
          </cell>
          <cell r="C309">
            <v>174</v>
          </cell>
          <cell r="D309">
            <v>2</v>
          </cell>
          <cell r="E309">
            <v>504</v>
          </cell>
          <cell r="F309">
            <v>141</v>
          </cell>
          <cell r="G309">
            <v>77</v>
          </cell>
          <cell r="H309">
            <v>900.43</v>
          </cell>
          <cell r="I309">
            <v>217.18</v>
          </cell>
          <cell r="J309">
            <v>91462</v>
          </cell>
          <cell r="K309" t="str">
            <v>MP</v>
          </cell>
        </row>
        <row r="310">
          <cell r="A310">
            <v>991140</v>
          </cell>
          <cell r="C310">
            <v>18358</v>
          </cell>
          <cell r="D310">
            <v>390</v>
          </cell>
          <cell r="E310">
            <v>472</v>
          </cell>
          <cell r="F310">
            <v>2093</v>
          </cell>
          <cell r="G310">
            <v>10492</v>
          </cell>
          <cell r="H310">
            <v>31806.6</v>
          </cell>
          <cell r="I310">
            <v>57911.040000000001</v>
          </cell>
          <cell r="J310">
            <v>91996</v>
          </cell>
          <cell r="K310" t="str">
            <v>MP</v>
          </cell>
        </row>
        <row r="311">
          <cell r="A311">
            <v>991141</v>
          </cell>
          <cell r="C311">
            <v>8471</v>
          </cell>
          <cell r="D311">
            <v>47</v>
          </cell>
          <cell r="E311">
            <v>504</v>
          </cell>
          <cell r="F311">
            <v>591</v>
          </cell>
          <cell r="G311">
            <v>1765</v>
          </cell>
          <cell r="H311">
            <v>11380.33</v>
          </cell>
          <cell r="I311">
            <v>5342.23</v>
          </cell>
          <cell r="J311">
            <v>91996</v>
          </cell>
          <cell r="K311" t="str">
            <v>MP</v>
          </cell>
        </row>
        <row r="312">
          <cell r="A312">
            <v>991142</v>
          </cell>
          <cell r="C312">
            <v>17497</v>
          </cell>
          <cell r="D312">
            <v>118</v>
          </cell>
          <cell r="E312">
            <v>450</v>
          </cell>
          <cell r="F312">
            <v>1089</v>
          </cell>
          <cell r="G312">
            <v>6666</v>
          </cell>
          <cell r="H312">
            <v>25822.65</v>
          </cell>
          <cell r="I312">
            <v>18753.13</v>
          </cell>
          <cell r="J312">
            <v>91996</v>
          </cell>
          <cell r="K312" t="str">
            <v>MP</v>
          </cell>
        </row>
        <row r="313">
          <cell r="A313">
            <v>991143</v>
          </cell>
          <cell r="C313">
            <v>259</v>
          </cell>
          <cell r="D313">
            <v>31</v>
          </cell>
          <cell r="E313">
            <v>444</v>
          </cell>
          <cell r="F313">
            <v>445</v>
          </cell>
          <cell r="G313">
            <v>2067</v>
          </cell>
          <cell r="H313">
            <v>3248.43</v>
          </cell>
          <cell r="I313">
            <v>9911.33</v>
          </cell>
          <cell r="J313">
            <v>90506</v>
          </cell>
          <cell r="K313" t="str">
            <v>MP</v>
          </cell>
        </row>
        <row r="314">
          <cell r="A314">
            <v>991145</v>
          </cell>
          <cell r="C314">
            <v>632</v>
          </cell>
          <cell r="D314">
            <v>29</v>
          </cell>
          <cell r="E314">
            <v>486</v>
          </cell>
          <cell r="F314">
            <v>418</v>
          </cell>
          <cell r="G314">
            <v>1756</v>
          </cell>
          <cell r="H314">
            <v>3324.41</v>
          </cell>
          <cell r="I314">
            <v>8127.87</v>
          </cell>
          <cell r="J314">
            <v>91178</v>
          </cell>
          <cell r="K314" t="str">
            <v>MP</v>
          </cell>
        </row>
        <row r="315">
          <cell r="A315">
            <v>991147</v>
          </cell>
          <cell r="C315">
            <v>884</v>
          </cell>
          <cell r="D315">
            <v>23</v>
          </cell>
          <cell r="E315">
            <v>478</v>
          </cell>
          <cell r="F315">
            <v>218</v>
          </cell>
          <cell r="G315">
            <v>727</v>
          </cell>
          <cell r="H315">
            <v>2332.0500000000002</v>
          </cell>
          <cell r="I315">
            <v>2868.98</v>
          </cell>
          <cell r="J315">
            <v>90642</v>
          </cell>
          <cell r="K315" t="str">
            <v>MP</v>
          </cell>
        </row>
        <row r="316">
          <cell r="A316">
            <v>991148</v>
          </cell>
          <cell r="C316">
            <v>372</v>
          </cell>
          <cell r="D316">
            <v>29</v>
          </cell>
          <cell r="E316">
            <v>478</v>
          </cell>
          <cell r="F316">
            <v>241</v>
          </cell>
          <cell r="G316">
            <v>924</v>
          </cell>
          <cell r="H316">
            <v>2045.89</v>
          </cell>
          <cell r="I316">
            <v>4292.26</v>
          </cell>
          <cell r="J316">
            <v>92285</v>
          </cell>
          <cell r="K316" t="str">
            <v>MP</v>
          </cell>
        </row>
        <row r="317">
          <cell r="A317">
            <v>991149</v>
          </cell>
          <cell r="C317">
            <v>6985</v>
          </cell>
          <cell r="D317">
            <v>118</v>
          </cell>
          <cell r="E317">
            <v>472</v>
          </cell>
          <cell r="F317">
            <v>1089</v>
          </cell>
          <cell r="G317">
            <v>4543</v>
          </cell>
          <cell r="H317">
            <v>13210.01</v>
          </cell>
          <cell r="I317">
            <v>29822.54</v>
          </cell>
          <cell r="J317">
            <v>92316</v>
          </cell>
          <cell r="K317" t="str">
            <v>MP</v>
          </cell>
        </row>
        <row r="318">
          <cell r="A318">
            <v>991151</v>
          </cell>
          <cell r="C318">
            <v>235</v>
          </cell>
          <cell r="D318">
            <v>50</v>
          </cell>
          <cell r="E318">
            <v>504</v>
          </cell>
          <cell r="F318">
            <v>372</v>
          </cell>
          <cell r="G318">
            <v>1711</v>
          </cell>
          <cell r="H318">
            <v>2873.35</v>
          </cell>
          <cell r="I318">
            <v>7172.95</v>
          </cell>
          <cell r="J318">
            <v>92278</v>
          </cell>
          <cell r="K318" t="str">
            <v>MP</v>
          </cell>
        </row>
        <row r="319">
          <cell r="A319">
            <v>991152</v>
          </cell>
          <cell r="C319">
            <v>92</v>
          </cell>
          <cell r="D319">
            <v>83</v>
          </cell>
          <cell r="E319">
            <v>495</v>
          </cell>
          <cell r="F319">
            <v>561</v>
          </cell>
          <cell r="G319">
            <v>1897</v>
          </cell>
          <cell r="H319">
            <v>3130.96</v>
          </cell>
          <cell r="I319">
            <v>12427.99</v>
          </cell>
          <cell r="J319">
            <v>92018</v>
          </cell>
          <cell r="K319" t="str">
            <v>MP</v>
          </cell>
        </row>
        <row r="320">
          <cell r="A320">
            <v>991153</v>
          </cell>
          <cell r="C320">
            <v>920</v>
          </cell>
          <cell r="D320">
            <v>72</v>
          </cell>
          <cell r="E320">
            <v>447</v>
          </cell>
          <cell r="F320">
            <v>522</v>
          </cell>
          <cell r="G320">
            <v>2245</v>
          </cell>
          <cell r="H320">
            <v>4207.93</v>
          </cell>
          <cell r="I320">
            <v>11029.7</v>
          </cell>
          <cell r="J320">
            <v>92294</v>
          </cell>
          <cell r="K320" t="str">
            <v>MP</v>
          </cell>
        </row>
        <row r="321">
          <cell r="A321">
            <v>991154</v>
          </cell>
          <cell r="C321">
            <v>3399</v>
          </cell>
          <cell r="D321">
            <v>195</v>
          </cell>
          <cell r="E321">
            <v>519</v>
          </cell>
          <cell r="F321">
            <v>969</v>
          </cell>
          <cell r="G321">
            <v>5615</v>
          </cell>
          <cell r="H321">
            <v>10699.31</v>
          </cell>
          <cell r="I321">
            <v>25117.43</v>
          </cell>
          <cell r="J321">
            <v>92251</v>
          </cell>
          <cell r="K321" t="str">
            <v>MP</v>
          </cell>
        </row>
        <row r="322">
          <cell r="A322">
            <v>991155</v>
          </cell>
          <cell r="C322">
            <v>185</v>
          </cell>
          <cell r="D322">
            <v>5</v>
          </cell>
          <cell r="E322">
            <v>504</v>
          </cell>
          <cell r="F322">
            <v>172</v>
          </cell>
          <cell r="G322">
            <v>335</v>
          </cell>
          <cell r="H322">
            <v>1203.98</v>
          </cell>
          <cell r="I322">
            <v>1415.1</v>
          </cell>
          <cell r="J322">
            <v>92285</v>
          </cell>
          <cell r="K322" t="str">
            <v>MP</v>
          </cell>
        </row>
        <row r="323">
          <cell r="A323">
            <v>991156</v>
          </cell>
          <cell r="C323">
            <v>22021</v>
          </cell>
          <cell r="D323">
            <v>57</v>
          </cell>
          <cell r="E323">
            <v>557</v>
          </cell>
          <cell r="F323">
            <v>962</v>
          </cell>
          <cell r="G323">
            <v>3765</v>
          </cell>
          <cell r="H323">
            <v>27363.94</v>
          </cell>
          <cell r="I323">
            <v>9433.06</v>
          </cell>
          <cell r="J323">
            <v>92315</v>
          </cell>
          <cell r="K323" t="str">
            <v>MP</v>
          </cell>
        </row>
        <row r="324">
          <cell r="A324">
            <v>991157</v>
          </cell>
          <cell r="C324">
            <v>6788</v>
          </cell>
          <cell r="D324">
            <v>63</v>
          </cell>
          <cell r="E324">
            <v>472</v>
          </cell>
          <cell r="F324">
            <v>697</v>
          </cell>
          <cell r="G324">
            <v>2355</v>
          </cell>
          <cell r="H324">
            <v>10377.200000000001</v>
          </cell>
          <cell r="I324">
            <v>12308.18</v>
          </cell>
          <cell r="J324">
            <v>92287</v>
          </cell>
          <cell r="K324" t="str">
            <v>MP</v>
          </cell>
        </row>
        <row r="325">
          <cell r="A325">
            <v>991158</v>
          </cell>
          <cell r="C325">
            <v>282</v>
          </cell>
          <cell r="D325">
            <v>45</v>
          </cell>
          <cell r="E325">
            <v>555</v>
          </cell>
          <cell r="F325">
            <v>298</v>
          </cell>
          <cell r="G325">
            <v>942</v>
          </cell>
          <cell r="H325">
            <v>2124.31</v>
          </cell>
          <cell r="I325">
            <v>7251.89</v>
          </cell>
          <cell r="J325">
            <v>92282</v>
          </cell>
          <cell r="K325" t="str">
            <v>MP</v>
          </cell>
        </row>
        <row r="326">
          <cell r="A326">
            <v>991159</v>
          </cell>
          <cell r="C326">
            <v>438</v>
          </cell>
          <cell r="D326">
            <v>5</v>
          </cell>
          <cell r="E326">
            <v>504</v>
          </cell>
          <cell r="F326">
            <v>172</v>
          </cell>
          <cell r="G326">
            <v>339</v>
          </cell>
          <cell r="H326">
            <v>1461.12</v>
          </cell>
          <cell r="I326">
            <v>1214.98</v>
          </cell>
          <cell r="J326">
            <v>92285</v>
          </cell>
          <cell r="K326" t="str">
            <v>MP</v>
          </cell>
        </row>
        <row r="327">
          <cell r="A327">
            <v>991160</v>
          </cell>
          <cell r="C327">
            <v>8331</v>
          </cell>
          <cell r="D327">
            <v>38</v>
          </cell>
          <cell r="E327">
            <v>447</v>
          </cell>
          <cell r="F327">
            <v>710</v>
          </cell>
          <cell r="G327">
            <v>2423</v>
          </cell>
          <cell r="H327">
            <v>11950.82</v>
          </cell>
          <cell r="I327">
            <v>12191.87</v>
          </cell>
          <cell r="J327">
            <v>92000</v>
          </cell>
          <cell r="K327" t="str">
            <v>MP</v>
          </cell>
        </row>
        <row r="328">
          <cell r="A328">
            <v>991161</v>
          </cell>
          <cell r="C328">
            <v>1044</v>
          </cell>
          <cell r="D328">
            <v>43</v>
          </cell>
          <cell r="E328">
            <v>472</v>
          </cell>
          <cell r="F328">
            <v>323</v>
          </cell>
          <cell r="G328">
            <v>1494</v>
          </cell>
          <cell r="H328">
            <v>3379.71</v>
          </cell>
          <cell r="I328">
            <v>5868.77</v>
          </cell>
          <cell r="J328">
            <v>92281</v>
          </cell>
          <cell r="K328" t="str">
            <v>MP</v>
          </cell>
        </row>
        <row r="329">
          <cell r="A329">
            <v>991162</v>
          </cell>
          <cell r="C329">
            <v>642</v>
          </cell>
          <cell r="D329">
            <v>153</v>
          </cell>
          <cell r="E329">
            <v>450</v>
          </cell>
          <cell r="F329">
            <v>815</v>
          </cell>
          <cell r="G329">
            <v>5226</v>
          </cell>
          <cell r="H329">
            <v>7288.95</v>
          </cell>
          <cell r="I329">
            <v>24404.69</v>
          </cell>
          <cell r="J329">
            <v>92278</v>
          </cell>
          <cell r="K329" t="str">
            <v>MP</v>
          </cell>
        </row>
        <row r="330">
          <cell r="A330">
            <v>991163</v>
          </cell>
          <cell r="C330">
            <v>379</v>
          </cell>
          <cell r="D330">
            <v>12</v>
          </cell>
          <cell r="E330">
            <v>478</v>
          </cell>
          <cell r="F330">
            <v>177</v>
          </cell>
          <cell r="G330">
            <v>244</v>
          </cell>
          <cell r="H330">
            <v>1292.04</v>
          </cell>
          <cell r="I330">
            <v>1581.78</v>
          </cell>
          <cell r="J330">
            <v>92316</v>
          </cell>
          <cell r="K330" t="str">
            <v>MP</v>
          </cell>
        </row>
        <row r="331">
          <cell r="A331">
            <v>991164</v>
          </cell>
          <cell r="C331">
            <v>2484</v>
          </cell>
          <cell r="D331">
            <v>95</v>
          </cell>
          <cell r="E331">
            <v>478</v>
          </cell>
          <cell r="F331">
            <v>605</v>
          </cell>
          <cell r="G331">
            <v>2946</v>
          </cell>
          <cell r="H331">
            <v>6610.85</v>
          </cell>
          <cell r="I331">
            <v>12554.3</v>
          </cell>
          <cell r="J331">
            <v>91990</v>
          </cell>
          <cell r="K331" t="str">
            <v>MP</v>
          </cell>
        </row>
        <row r="332">
          <cell r="A332">
            <v>991165</v>
          </cell>
          <cell r="C332">
            <v>779</v>
          </cell>
          <cell r="D332">
            <v>25</v>
          </cell>
          <cell r="E332">
            <v>478</v>
          </cell>
          <cell r="F332">
            <v>226</v>
          </cell>
          <cell r="G332">
            <v>797</v>
          </cell>
          <cell r="H332">
            <v>2306.91</v>
          </cell>
          <cell r="I332">
            <v>3292.46</v>
          </cell>
          <cell r="J332">
            <v>92285</v>
          </cell>
          <cell r="K332" t="str">
            <v>MP</v>
          </cell>
        </row>
        <row r="333">
          <cell r="A333">
            <v>991166</v>
          </cell>
          <cell r="C333">
            <v>3658</v>
          </cell>
          <cell r="D333">
            <v>59</v>
          </cell>
          <cell r="E333">
            <v>472</v>
          </cell>
          <cell r="F333">
            <v>433</v>
          </cell>
          <cell r="G333">
            <v>1918</v>
          </cell>
          <cell r="H333">
            <v>6542.91</v>
          </cell>
          <cell r="I333">
            <v>5713.35</v>
          </cell>
          <cell r="J333">
            <v>91999</v>
          </cell>
          <cell r="K333" t="str">
            <v>MP</v>
          </cell>
        </row>
        <row r="334">
          <cell r="A334">
            <v>991168</v>
          </cell>
          <cell r="C334">
            <v>727</v>
          </cell>
          <cell r="D334">
            <v>163</v>
          </cell>
          <cell r="E334">
            <v>488</v>
          </cell>
          <cell r="F334">
            <v>850</v>
          </cell>
          <cell r="G334">
            <v>4520</v>
          </cell>
          <cell r="H334">
            <v>6750.99</v>
          </cell>
          <cell r="I334">
            <v>24298.79</v>
          </cell>
          <cell r="J334">
            <v>91395</v>
          </cell>
          <cell r="K334" t="str">
            <v>MP</v>
          </cell>
        </row>
        <row r="335">
          <cell r="A335">
            <v>991169</v>
          </cell>
          <cell r="C335">
            <v>308</v>
          </cell>
          <cell r="D335">
            <v>7</v>
          </cell>
          <cell r="E335">
            <v>478</v>
          </cell>
          <cell r="F335">
            <v>158</v>
          </cell>
          <cell r="G335">
            <v>223</v>
          </cell>
          <cell r="H335">
            <v>1176.0899999999999</v>
          </cell>
          <cell r="I335">
            <v>852.26</v>
          </cell>
          <cell r="J335">
            <v>91351</v>
          </cell>
          <cell r="K335" t="str">
            <v>MP</v>
          </cell>
        </row>
        <row r="336">
          <cell r="A336">
            <v>991171</v>
          </cell>
          <cell r="C336">
            <v>161</v>
          </cell>
          <cell r="D336">
            <v>23</v>
          </cell>
          <cell r="E336">
            <v>457</v>
          </cell>
          <cell r="F336">
            <v>340</v>
          </cell>
          <cell r="G336">
            <v>526</v>
          </cell>
          <cell r="H336">
            <v>1509.2</v>
          </cell>
          <cell r="I336">
            <v>3774</v>
          </cell>
          <cell r="J336">
            <v>90097</v>
          </cell>
          <cell r="K336" t="str">
            <v>MP</v>
          </cell>
        </row>
        <row r="337">
          <cell r="A337">
            <v>991173</v>
          </cell>
          <cell r="C337">
            <v>194</v>
          </cell>
          <cell r="D337">
            <v>9</v>
          </cell>
          <cell r="E337">
            <v>478</v>
          </cell>
          <cell r="F337">
            <v>196</v>
          </cell>
          <cell r="G337">
            <v>403</v>
          </cell>
          <cell r="H337">
            <v>1282.47</v>
          </cell>
          <cell r="I337">
            <v>2705.2</v>
          </cell>
          <cell r="J337">
            <v>91670</v>
          </cell>
          <cell r="K337" t="str">
            <v>MP</v>
          </cell>
        </row>
        <row r="338">
          <cell r="A338">
            <v>991174</v>
          </cell>
          <cell r="C338">
            <v>194</v>
          </cell>
          <cell r="D338">
            <v>5</v>
          </cell>
          <cell r="E338">
            <v>478</v>
          </cell>
          <cell r="F338">
            <v>171</v>
          </cell>
          <cell r="G338">
            <v>246</v>
          </cell>
          <cell r="H338">
            <v>1096.58</v>
          </cell>
          <cell r="I338">
            <v>1576.02</v>
          </cell>
          <cell r="J338">
            <v>90236</v>
          </cell>
          <cell r="K338" t="str">
            <v>MP</v>
          </cell>
        </row>
        <row r="339">
          <cell r="A339">
            <v>991175</v>
          </cell>
          <cell r="C339">
            <v>194</v>
          </cell>
          <cell r="D339">
            <v>46</v>
          </cell>
          <cell r="E339">
            <v>478</v>
          </cell>
          <cell r="F339">
            <v>580</v>
          </cell>
          <cell r="G339">
            <v>2018</v>
          </cell>
          <cell r="H339">
            <v>3318.18</v>
          </cell>
          <cell r="I339">
            <v>14318.25</v>
          </cell>
          <cell r="J339">
            <v>90496</v>
          </cell>
          <cell r="K339" t="str">
            <v>MP</v>
          </cell>
        </row>
        <row r="340">
          <cell r="A340">
            <v>991177</v>
          </cell>
          <cell r="C340">
            <v>57</v>
          </cell>
          <cell r="D340">
            <v>11</v>
          </cell>
          <cell r="E340">
            <v>557</v>
          </cell>
          <cell r="F340">
            <v>277</v>
          </cell>
          <cell r="G340">
            <v>177</v>
          </cell>
          <cell r="H340">
            <v>1082.3399999999999</v>
          </cell>
          <cell r="I340">
            <v>2100.04</v>
          </cell>
          <cell r="J340">
            <v>93041</v>
          </cell>
          <cell r="K340" t="str">
            <v>MP</v>
          </cell>
        </row>
        <row r="341">
          <cell r="A341">
            <v>991178</v>
          </cell>
          <cell r="C341">
            <v>5150</v>
          </cell>
          <cell r="D341">
            <v>228</v>
          </cell>
          <cell r="E341">
            <v>450</v>
          </cell>
          <cell r="F341">
            <v>1864</v>
          </cell>
          <cell r="G341">
            <v>12154</v>
          </cell>
          <cell r="H341">
            <v>19848.79</v>
          </cell>
          <cell r="I341">
            <v>70850.559999999998</v>
          </cell>
          <cell r="J341">
            <v>90403</v>
          </cell>
          <cell r="K341" t="str">
            <v>MP</v>
          </cell>
        </row>
        <row r="342">
          <cell r="A342">
            <v>991179</v>
          </cell>
          <cell r="C342">
            <v>566</v>
          </cell>
          <cell r="D342">
            <v>68</v>
          </cell>
          <cell r="E342">
            <v>457</v>
          </cell>
          <cell r="F342">
            <v>497</v>
          </cell>
          <cell r="G342">
            <v>2203</v>
          </cell>
          <cell r="H342">
            <v>3793.31</v>
          </cell>
          <cell r="I342">
            <v>10967.67</v>
          </cell>
          <cell r="J342">
            <v>91620</v>
          </cell>
          <cell r="K342" t="str">
            <v>MP</v>
          </cell>
        </row>
        <row r="343">
          <cell r="A343">
            <v>991181</v>
          </cell>
          <cell r="C343">
            <v>1620</v>
          </cell>
          <cell r="D343">
            <v>199</v>
          </cell>
          <cell r="E343">
            <v>457</v>
          </cell>
          <cell r="F343">
            <v>997</v>
          </cell>
          <cell r="G343">
            <v>6507</v>
          </cell>
          <cell r="H343">
            <v>9781.77</v>
          </cell>
          <cell r="I343">
            <v>32706.59</v>
          </cell>
          <cell r="J343">
            <v>91552</v>
          </cell>
          <cell r="K343" t="str">
            <v>MP</v>
          </cell>
        </row>
        <row r="344">
          <cell r="A344">
            <v>991182</v>
          </cell>
          <cell r="C344">
            <v>750</v>
          </cell>
          <cell r="D344">
            <v>46</v>
          </cell>
          <cell r="E344">
            <v>447</v>
          </cell>
          <cell r="F344">
            <v>343</v>
          </cell>
          <cell r="G344">
            <v>1437</v>
          </cell>
          <cell r="H344">
            <v>3026.18</v>
          </cell>
          <cell r="I344">
            <v>7268.95</v>
          </cell>
          <cell r="J344">
            <v>91975</v>
          </cell>
          <cell r="K344" t="str">
            <v>MP</v>
          </cell>
        </row>
        <row r="345">
          <cell r="A345">
            <v>991186</v>
          </cell>
          <cell r="C345">
            <v>0</v>
          </cell>
          <cell r="D345">
            <v>43</v>
          </cell>
          <cell r="E345">
            <v>483</v>
          </cell>
          <cell r="F345">
            <v>354</v>
          </cell>
          <cell r="G345">
            <v>1482</v>
          </cell>
          <cell r="H345">
            <v>2362.87</v>
          </cell>
          <cell r="I345">
            <v>7391.92</v>
          </cell>
          <cell r="J345">
            <v>92092</v>
          </cell>
          <cell r="K345" t="str">
            <v>MP</v>
          </cell>
        </row>
        <row r="346">
          <cell r="A346">
            <v>991187</v>
          </cell>
          <cell r="C346">
            <v>165</v>
          </cell>
          <cell r="D346">
            <v>20</v>
          </cell>
          <cell r="E346">
            <v>478</v>
          </cell>
          <cell r="F346">
            <v>206</v>
          </cell>
          <cell r="G346">
            <v>465</v>
          </cell>
          <cell r="H346">
            <v>1336.66</v>
          </cell>
          <cell r="I346">
            <v>3207.7</v>
          </cell>
          <cell r="J346">
            <v>90558</v>
          </cell>
          <cell r="K346" t="str">
            <v>MP</v>
          </cell>
        </row>
        <row r="347">
          <cell r="A347">
            <v>991188</v>
          </cell>
          <cell r="C347">
            <v>201</v>
          </cell>
          <cell r="D347">
            <v>94</v>
          </cell>
          <cell r="E347">
            <v>558</v>
          </cell>
          <cell r="F347">
            <v>605</v>
          </cell>
          <cell r="G347">
            <v>2946</v>
          </cell>
          <cell r="H347">
            <v>4406.8999999999996</v>
          </cell>
          <cell r="I347">
            <v>16153.54</v>
          </cell>
          <cell r="J347">
            <v>92174</v>
          </cell>
          <cell r="K347" t="str">
            <v>MP</v>
          </cell>
        </row>
        <row r="348">
          <cell r="A348">
            <v>991189</v>
          </cell>
          <cell r="C348">
            <v>110</v>
          </cell>
          <cell r="D348">
            <v>4</v>
          </cell>
          <cell r="E348">
            <v>478</v>
          </cell>
          <cell r="F348">
            <v>147</v>
          </cell>
          <cell r="G348">
            <v>131</v>
          </cell>
          <cell r="H348">
            <v>871.89</v>
          </cell>
          <cell r="I348">
            <v>566.64</v>
          </cell>
          <cell r="J348">
            <v>90161</v>
          </cell>
          <cell r="K348" t="str">
            <v>MP</v>
          </cell>
        </row>
        <row r="349">
          <cell r="A349">
            <v>991190</v>
          </cell>
          <cell r="C349">
            <v>1369</v>
          </cell>
          <cell r="D349">
            <v>49</v>
          </cell>
          <cell r="E349">
            <v>478</v>
          </cell>
          <cell r="F349">
            <v>365</v>
          </cell>
          <cell r="G349">
            <v>1689</v>
          </cell>
          <cell r="H349">
            <v>3952.51</v>
          </cell>
          <cell r="I349">
            <v>6273.61</v>
          </cell>
          <cell r="J349">
            <v>90487</v>
          </cell>
          <cell r="K349" t="str">
            <v>MP</v>
          </cell>
        </row>
        <row r="350">
          <cell r="A350">
            <v>991191</v>
          </cell>
          <cell r="C350">
            <v>2402</v>
          </cell>
          <cell r="D350">
            <v>96</v>
          </cell>
          <cell r="E350">
            <v>472</v>
          </cell>
          <cell r="F350">
            <v>664</v>
          </cell>
          <cell r="G350">
            <v>3445</v>
          </cell>
          <cell r="H350">
            <v>7081.37</v>
          </cell>
          <cell r="I350">
            <v>15214.51</v>
          </cell>
          <cell r="J350">
            <v>92251</v>
          </cell>
          <cell r="K350" t="str">
            <v>MP</v>
          </cell>
        </row>
        <row r="351">
          <cell r="A351">
            <v>991192</v>
          </cell>
          <cell r="C351">
            <v>3994</v>
          </cell>
          <cell r="D351">
            <v>500</v>
          </cell>
          <cell r="E351">
            <v>552</v>
          </cell>
          <cell r="F351">
            <v>3766</v>
          </cell>
          <cell r="G351">
            <v>20285</v>
          </cell>
          <cell r="H351">
            <v>29100.74</v>
          </cell>
          <cell r="I351">
            <v>157724.26</v>
          </cell>
          <cell r="J351">
            <v>92107</v>
          </cell>
          <cell r="K351" t="str">
            <v>MP</v>
          </cell>
        </row>
        <row r="352">
          <cell r="A352">
            <v>991194</v>
          </cell>
          <cell r="C352">
            <v>195</v>
          </cell>
          <cell r="D352">
            <v>7</v>
          </cell>
          <cell r="E352">
            <v>447</v>
          </cell>
          <cell r="F352">
            <v>159</v>
          </cell>
          <cell r="G352">
            <v>233</v>
          </cell>
          <cell r="H352">
            <v>1043.92</v>
          </cell>
          <cell r="I352">
            <v>125294.39999999999</v>
          </cell>
          <cell r="J352">
            <v>91984</v>
          </cell>
          <cell r="K352" t="str">
            <v>MP</v>
          </cell>
        </row>
        <row r="353">
          <cell r="A353">
            <v>991195</v>
          </cell>
          <cell r="C353">
            <v>205</v>
          </cell>
          <cell r="D353">
            <v>11</v>
          </cell>
          <cell r="E353">
            <v>450</v>
          </cell>
          <cell r="F353">
            <v>177</v>
          </cell>
          <cell r="G353">
            <v>383</v>
          </cell>
          <cell r="H353">
            <v>1228.7</v>
          </cell>
          <cell r="I353">
            <v>1870.22</v>
          </cell>
          <cell r="J353">
            <v>92174</v>
          </cell>
          <cell r="K353" t="str">
            <v>MP</v>
          </cell>
        </row>
        <row r="354">
          <cell r="A354">
            <v>991196</v>
          </cell>
          <cell r="C354">
            <v>219</v>
          </cell>
          <cell r="D354">
            <v>2</v>
          </cell>
          <cell r="E354">
            <v>447</v>
          </cell>
          <cell r="F354">
            <v>141</v>
          </cell>
          <cell r="G354">
            <v>79</v>
          </cell>
          <cell r="H354">
            <v>889.59</v>
          </cell>
          <cell r="I354">
            <v>204.77</v>
          </cell>
          <cell r="J354">
            <v>91162</v>
          </cell>
          <cell r="K354" t="str">
            <v>MP</v>
          </cell>
        </row>
        <row r="355">
          <cell r="A355">
            <v>991197</v>
          </cell>
          <cell r="C355">
            <v>368</v>
          </cell>
          <cell r="D355">
            <v>10</v>
          </cell>
          <cell r="E355">
            <v>478</v>
          </cell>
          <cell r="F355">
            <v>207</v>
          </cell>
          <cell r="G355">
            <v>640</v>
          </cell>
          <cell r="H355">
            <v>1705.36</v>
          </cell>
          <cell r="I355">
            <v>2881.2</v>
          </cell>
          <cell r="J355">
            <v>92169</v>
          </cell>
          <cell r="K355" t="str">
            <v>MP</v>
          </cell>
        </row>
        <row r="356">
          <cell r="A356">
            <v>991198</v>
          </cell>
          <cell r="C356">
            <v>214</v>
          </cell>
          <cell r="D356">
            <v>39</v>
          </cell>
          <cell r="E356">
            <v>478</v>
          </cell>
          <cell r="F356">
            <v>535</v>
          </cell>
          <cell r="G356">
            <v>2606</v>
          </cell>
          <cell r="H356">
            <v>3874.49</v>
          </cell>
          <cell r="I356">
            <v>11716.88</v>
          </cell>
          <cell r="J356">
            <v>91681</v>
          </cell>
          <cell r="K356" t="str">
            <v>MP</v>
          </cell>
        </row>
        <row r="357">
          <cell r="A357">
            <v>991199</v>
          </cell>
          <cell r="C357">
            <v>199</v>
          </cell>
          <cell r="D357">
            <v>5</v>
          </cell>
          <cell r="E357">
            <v>557</v>
          </cell>
          <cell r="F357">
            <v>167</v>
          </cell>
          <cell r="G357">
            <v>374</v>
          </cell>
          <cell r="H357">
            <v>1305.44</v>
          </cell>
          <cell r="I357">
            <v>1632.68</v>
          </cell>
          <cell r="J357">
            <v>91681</v>
          </cell>
          <cell r="K357" t="str">
            <v>MP</v>
          </cell>
        </row>
        <row r="358">
          <cell r="A358">
            <v>991200</v>
          </cell>
          <cell r="C358">
            <v>1881</v>
          </cell>
          <cell r="D358">
            <v>323</v>
          </cell>
          <cell r="E358">
            <v>552</v>
          </cell>
          <cell r="F358">
            <v>1438</v>
          </cell>
          <cell r="G358">
            <v>9985</v>
          </cell>
          <cell r="H358">
            <v>14181.09</v>
          </cell>
          <cell r="I358">
            <v>53394.81</v>
          </cell>
          <cell r="J358">
            <v>90086</v>
          </cell>
          <cell r="K358" t="str">
            <v>MP</v>
          </cell>
        </row>
        <row r="359">
          <cell r="A359">
            <v>991201</v>
          </cell>
          <cell r="C359">
            <v>255</v>
          </cell>
          <cell r="D359">
            <v>481</v>
          </cell>
          <cell r="E359">
            <v>444</v>
          </cell>
          <cell r="F359">
            <v>2075</v>
          </cell>
          <cell r="G359">
            <v>11345</v>
          </cell>
          <cell r="H359">
            <v>14601.3</v>
          </cell>
          <cell r="I359">
            <v>82212</v>
          </cell>
          <cell r="J359">
            <v>90614</v>
          </cell>
          <cell r="K359" t="str">
            <v>MP</v>
          </cell>
        </row>
        <row r="360">
          <cell r="A360">
            <v>991202</v>
          </cell>
          <cell r="C360">
            <v>945</v>
          </cell>
          <cell r="D360">
            <v>92</v>
          </cell>
          <cell r="E360">
            <v>504</v>
          </cell>
          <cell r="F360">
            <v>618</v>
          </cell>
          <cell r="G360">
            <v>3015</v>
          </cell>
          <cell r="H360">
            <v>5176.32</v>
          </cell>
          <cell r="I360">
            <v>13553.16</v>
          </cell>
          <cell r="J360">
            <v>90721</v>
          </cell>
          <cell r="K360" t="str">
            <v>MP</v>
          </cell>
        </row>
        <row r="361">
          <cell r="A361">
            <v>991203</v>
          </cell>
          <cell r="C361">
            <v>225</v>
          </cell>
          <cell r="D361">
            <v>2</v>
          </cell>
          <cell r="E361">
            <v>457</v>
          </cell>
          <cell r="F361">
            <v>146</v>
          </cell>
          <cell r="G361">
            <v>91</v>
          </cell>
          <cell r="H361">
            <v>924.17</v>
          </cell>
          <cell r="I361">
            <v>431.53</v>
          </cell>
          <cell r="J361">
            <v>92159</v>
          </cell>
          <cell r="K361" t="str">
            <v>MP</v>
          </cell>
        </row>
        <row r="362">
          <cell r="A362">
            <v>991204</v>
          </cell>
          <cell r="C362">
            <v>204</v>
          </cell>
          <cell r="D362">
            <v>0</v>
          </cell>
          <cell r="E362">
            <v>557</v>
          </cell>
          <cell r="F362">
            <v>138</v>
          </cell>
          <cell r="G362">
            <v>52</v>
          </cell>
          <cell r="H362">
            <v>953.04</v>
          </cell>
          <cell r="I362">
            <v>71.92</v>
          </cell>
          <cell r="J362">
            <v>91591</v>
          </cell>
          <cell r="K362" t="str">
            <v>MP</v>
          </cell>
        </row>
        <row r="363">
          <cell r="A363">
            <v>991205</v>
          </cell>
          <cell r="C363">
            <v>255</v>
          </cell>
          <cell r="D363">
            <v>15</v>
          </cell>
          <cell r="E363">
            <v>504</v>
          </cell>
          <cell r="F363">
            <v>187</v>
          </cell>
          <cell r="G363">
            <v>294</v>
          </cell>
          <cell r="H363">
            <v>1256.96</v>
          </cell>
          <cell r="I363">
            <v>2006.77</v>
          </cell>
          <cell r="J363">
            <v>92316</v>
          </cell>
          <cell r="K363" t="str">
            <v>MP</v>
          </cell>
        </row>
        <row r="364">
          <cell r="A364">
            <v>991206</v>
          </cell>
          <cell r="C364">
            <v>9321</v>
          </cell>
          <cell r="D364">
            <v>330</v>
          </cell>
          <cell r="E364">
            <v>472</v>
          </cell>
          <cell r="F364">
            <v>1463</v>
          </cell>
          <cell r="G364">
            <v>6505</v>
          </cell>
          <cell r="H364">
            <v>18094.91</v>
          </cell>
          <cell r="I364">
            <v>42142.66</v>
          </cell>
          <cell r="J364">
            <v>91996</v>
          </cell>
          <cell r="K364" t="str">
            <v>MP</v>
          </cell>
        </row>
        <row r="365">
          <cell r="A365">
            <v>991207</v>
          </cell>
          <cell r="C365">
            <v>254</v>
          </cell>
          <cell r="D365">
            <v>3</v>
          </cell>
          <cell r="E365">
            <v>447</v>
          </cell>
          <cell r="F365">
            <v>159</v>
          </cell>
          <cell r="G365">
            <v>229</v>
          </cell>
          <cell r="H365">
            <v>1093.72</v>
          </cell>
          <cell r="I365">
            <v>985.12</v>
          </cell>
          <cell r="J365">
            <v>90402</v>
          </cell>
          <cell r="K365" t="str">
            <v>MP</v>
          </cell>
        </row>
        <row r="366">
          <cell r="A366">
            <v>991208</v>
          </cell>
          <cell r="C366">
            <v>214</v>
          </cell>
          <cell r="D366">
            <v>5</v>
          </cell>
          <cell r="E366">
            <v>447</v>
          </cell>
          <cell r="F366">
            <v>173</v>
          </cell>
          <cell r="G366">
            <v>348</v>
          </cell>
          <cell r="H366">
            <v>1188.5</v>
          </cell>
          <cell r="I366">
            <v>1745.5</v>
          </cell>
          <cell r="J366">
            <v>90379</v>
          </cell>
          <cell r="K366" t="str">
            <v>MP</v>
          </cell>
        </row>
        <row r="367">
          <cell r="A367">
            <v>991209</v>
          </cell>
          <cell r="C367">
            <v>152</v>
          </cell>
          <cell r="D367">
            <v>26</v>
          </cell>
          <cell r="E367">
            <v>447</v>
          </cell>
          <cell r="F367">
            <v>379</v>
          </cell>
          <cell r="G367">
            <v>1172</v>
          </cell>
          <cell r="H367">
            <v>2178.6999999999998</v>
          </cell>
          <cell r="I367">
            <v>8856.32</v>
          </cell>
          <cell r="J367">
            <v>90485</v>
          </cell>
          <cell r="K367" t="str">
            <v>MP</v>
          </cell>
        </row>
        <row r="368">
          <cell r="A368">
            <v>991210</v>
          </cell>
          <cell r="C368">
            <v>158</v>
          </cell>
          <cell r="D368">
            <v>54</v>
          </cell>
          <cell r="E368">
            <v>557</v>
          </cell>
          <cell r="F368">
            <v>400</v>
          </cell>
          <cell r="G368">
            <v>1269</v>
          </cell>
          <cell r="H368">
            <v>2440.81</v>
          </cell>
          <cell r="I368">
            <v>9580.93</v>
          </cell>
          <cell r="J368">
            <v>90349</v>
          </cell>
          <cell r="K368" t="str">
            <v>MP</v>
          </cell>
        </row>
        <row r="369">
          <cell r="A369">
            <v>991211</v>
          </cell>
          <cell r="C369">
            <v>209</v>
          </cell>
          <cell r="D369">
            <v>12</v>
          </cell>
          <cell r="E369">
            <v>478</v>
          </cell>
          <cell r="F369">
            <v>178</v>
          </cell>
          <cell r="G369">
            <v>392</v>
          </cell>
          <cell r="H369">
            <v>1271.08</v>
          </cell>
          <cell r="I369">
            <v>1859.83</v>
          </cell>
          <cell r="J369">
            <v>90390</v>
          </cell>
          <cell r="K369" t="str">
            <v>MP</v>
          </cell>
        </row>
        <row r="370">
          <cell r="A370">
            <v>991212</v>
          </cell>
          <cell r="C370">
            <v>206</v>
          </cell>
          <cell r="D370">
            <v>33</v>
          </cell>
          <cell r="E370">
            <v>472</v>
          </cell>
          <cell r="F370">
            <v>469</v>
          </cell>
          <cell r="G370">
            <v>1454</v>
          </cell>
          <cell r="H370">
            <v>2637.24</v>
          </cell>
          <cell r="I370">
            <v>10365.92</v>
          </cell>
          <cell r="J370">
            <v>92360</v>
          </cell>
          <cell r="K370" t="str">
            <v>MP</v>
          </cell>
        </row>
        <row r="371">
          <cell r="A371">
            <v>991213</v>
          </cell>
          <cell r="C371">
            <v>227</v>
          </cell>
          <cell r="D371">
            <v>191</v>
          </cell>
          <cell r="E371">
            <v>519</v>
          </cell>
          <cell r="F371">
            <v>1595</v>
          </cell>
          <cell r="G371">
            <v>8332</v>
          </cell>
          <cell r="H371">
            <v>10864.99</v>
          </cell>
          <cell r="I371">
            <v>54949.440000000002</v>
          </cell>
          <cell r="J371">
            <v>92235</v>
          </cell>
          <cell r="K371" t="str">
            <v>MP</v>
          </cell>
        </row>
        <row r="372">
          <cell r="A372">
            <v>991214</v>
          </cell>
          <cell r="C372">
            <v>476</v>
          </cell>
          <cell r="D372">
            <v>321</v>
          </cell>
          <cell r="E372">
            <v>519</v>
          </cell>
          <cell r="F372">
            <v>1428</v>
          </cell>
          <cell r="G372">
            <v>7293</v>
          </cell>
          <cell r="H372">
            <v>10038.790000000001</v>
          </cell>
          <cell r="I372">
            <v>47701.35</v>
          </cell>
          <cell r="J372">
            <v>90061</v>
          </cell>
          <cell r="K372" t="str">
            <v>MP</v>
          </cell>
        </row>
        <row r="373">
          <cell r="A373">
            <v>991216</v>
          </cell>
          <cell r="C373">
            <v>189</v>
          </cell>
          <cell r="D373">
            <v>10</v>
          </cell>
          <cell r="E373">
            <v>478</v>
          </cell>
          <cell r="F373">
            <v>206</v>
          </cell>
          <cell r="G373">
            <v>461</v>
          </cell>
          <cell r="H373">
            <v>1346.24</v>
          </cell>
          <cell r="I373">
            <v>3007.92</v>
          </cell>
          <cell r="J373">
            <v>91147</v>
          </cell>
          <cell r="K373" t="str">
            <v>MP</v>
          </cell>
        </row>
        <row r="374">
          <cell r="A374">
            <v>991217</v>
          </cell>
          <cell r="C374">
            <v>157</v>
          </cell>
          <cell r="D374">
            <v>9</v>
          </cell>
          <cell r="E374">
            <v>472</v>
          </cell>
          <cell r="F374">
            <v>168</v>
          </cell>
          <cell r="G374">
            <v>307</v>
          </cell>
          <cell r="H374">
            <v>1116.07</v>
          </cell>
          <cell r="I374">
            <v>1472.43</v>
          </cell>
          <cell r="J374">
            <v>92172</v>
          </cell>
          <cell r="K374" t="str">
            <v>MP</v>
          </cell>
        </row>
        <row r="375">
          <cell r="A375">
            <v>991218</v>
          </cell>
          <cell r="C375">
            <v>8875</v>
          </cell>
          <cell r="D375">
            <v>508</v>
          </cell>
          <cell r="E375">
            <v>447</v>
          </cell>
          <cell r="F375">
            <v>2377</v>
          </cell>
          <cell r="G375">
            <v>17420</v>
          </cell>
          <cell r="H375">
            <v>29628.799999999999</v>
          </cell>
          <cell r="I375">
            <v>10222.469999999999</v>
          </cell>
          <cell r="J375">
            <v>92365</v>
          </cell>
          <cell r="K375" t="str">
            <v>MP</v>
          </cell>
        </row>
        <row r="376">
          <cell r="A376">
            <v>991219</v>
          </cell>
          <cell r="C376">
            <v>306</v>
          </cell>
          <cell r="D376">
            <v>15</v>
          </cell>
          <cell r="E376">
            <v>472</v>
          </cell>
          <cell r="F376">
            <v>187</v>
          </cell>
          <cell r="G376">
            <v>468</v>
          </cell>
          <cell r="H376">
            <v>1450.86</v>
          </cell>
          <cell r="I376">
            <v>2183.5</v>
          </cell>
          <cell r="J376">
            <v>90662</v>
          </cell>
          <cell r="K376" t="str">
            <v>MP</v>
          </cell>
        </row>
        <row r="377">
          <cell r="A377">
            <v>991220</v>
          </cell>
          <cell r="C377">
            <v>3325</v>
          </cell>
          <cell r="D377">
            <v>747</v>
          </cell>
          <cell r="E377">
            <v>519</v>
          </cell>
          <cell r="F377">
            <v>2975</v>
          </cell>
          <cell r="G377">
            <v>15713</v>
          </cell>
          <cell r="H377">
            <v>23281.42</v>
          </cell>
          <cell r="I377">
            <v>106980.28</v>
          </cell>
          <cell r="J377">
            <v>92076</v>
          </cell>
          <cell r="K377" t="str">
            <v>MP</v>
          </cell>
        </row>
        <row r="378">
          <cell r="A378">
            <v>991221</v>
          </cell>
          <cell r="C378">
            <v>533</v>
          </cell>
          <cell r="D378">
            <v>61</v>
          </cell>
          <cell r="E378">
            <v>472</v>
          </cell>
          <cell r="F378">
            <v>449</v>
          </cell>
          <cell r="G378">
            <v>1791</v>
          </cell>
          <cell r="H378">
            <v>3309</v>
          </cell>
          <cell r="I378">
            <v>9619.58</v>
          </cell>
          <cell r="J378">
            <v>92093</v>
          </cell>
          <cell r="K378" t="str">
            <v>MP</v>
          </cell>
        </row>
        <row r="379">
          <cell r="A379">
            <v>991222</v>
          </cell>
          <cell r="C379">
            <v>240</v>
          </cell>
          <cell r="D379">
            <v>66</v>
          </cell>
          <cell r="E379">
            <v>130</v>
          </cell>
          <cell r="F379">
            <v>369</v>
          </cell>
          <cell r="G379">
            <v>1615</v>
          </cell>
          <cell r="H379">
            <v>2422.69</v>
          </cell>
          <cell r="I379">
            <v>10130.83</v>
          </cell>
          <cell r="J379">
            <v>91839</v>
          </cell>
          <cell r="K379" t="str">
            <v>MP</v>
          </cell>
        </row>
        <row r="380">
          <cell r="A380">
            <v>991223</v>
          </cell>
          <cell r="C380">
            <v>491</v>
          </cell>
          <cell r="D380">
            <v>22</v>
          </cell>
          <cell r="E380">
            <v>130</v>
          </cell>
          <cell r="F380">
            <v>257</v>
          </cell>
          <cell r="G380">
            <v>683</v>
          </cell>
          <cell r="H380">
            <v>1584.61</v>
          </cell>
          <cell r="I380">
            <v>2956.29</v>
          </cell>
          <cell r="J380">
            <v>91975</v>
          </cell>
          <cell r="K380" t="str">
            <v>MP</v>
          </cell>
        </row>
        <row r="381">
          <cell r="A381">
            <v>991225</v>
          </cell>
          <cell r="C381">
            <v>335</v>
          </cell>
          <cell r="D381">
            <v>1</v>
          </cell>
          <cell r="E381">
            <v>486</v>
          </cell>
          <cell r="F381">
            <v>224</v>
          </cell>
          <cell r="G381">
            <v>103</v>
          </cell>
          <cell r="H381">
            <v>1151.47</v>
          </cell>
          <cell r="I381">
            <v>151.44999999999999</v>
          </cell>
          <cell r="J381">
            <v>91375</v>
          </cell>
          <cell r="K381" t="str">
            <v>MP</v>
          </cell>
        </row>
        <row r="382">
          <cell r="A382">
            <v>991226</v>
          </cell>
          <cell r="C382">
            <v>903</v>
          </cell>
          <cell r="D382">
            <v>11</v>
          </cell>
          <cell r="E382">
            <v>472</v>
          </cell>
          <cell r="F382">
            <v>2750</v>
          </cell>
          <cell r="G382">
            <v>551</v>
          </cell>
          <cell r="H382">
            <v>4689.7299999999996</v>
          </cell>
          <cell r="I382">
            <v>1771.39</v>
          </cell>
          <cell r="J382">
            <v>92221</v>
          </cell>
          <cell r="K382" t="str">
            <v>MP</v>
          </cell>
        </row>
        <row r="383">
          <cell r="A383">
            <v>991227</v>
          </cell>
          <cell r="C383">
            <v>152</v>
          </cell>
          <cell r="D383">
            <v>0</v>
          </cell>
          <cell r="E383">
            <v>457</v>
          </cell>
          <cell r="F383">
            <v>260</v>
          </cell>
          <cell r="G383">
            <v>38</v>
          </cell>
          <cell r="H383">
            <v>909.14</v>
          </cell>
          <cell r="I383">
            <v>50.88</v>
          </cell>
          <cell r="J383">
            <v>92235</v>
          </cell>
          <cell r="K383" t="str">
            <v>MP</v>
          </cell>
        </row>
        <row r="384">
          <cell r="A384">
            <v>991228</v>
          </cell>
          <cell r="C384">
            <v>642</v>
          </cell>
          <cell r="D384">
            <v>29</v>
          </cell>
          <cell r="E384">
            <v>447</v>
          </cell>
          <cell r="F384">
            <v>443</v>
          </cell>
          <cell r="G384">
            <v>1372</v>
          </cell>
          <cell r="H384">
            <v>2934.49</v>
          </cell>
          <cell r="I384">
            <v>9971.99</v>
          </cell>
          <cell r="J384">
            <v>91974</v>
          </cell>
          <cell r="K384" t="str">
            <v>MP</v>
          </cell>
        </row>
        <row r="385">
          <cell r="A385">
            <v>991229</v>
          </cell>
          <cell r="C385">
            <v>305</v>
          </cell>
          <cell r="D385">
            <v>4</v>
          </cell>
          <cell r="E385">
            <v>478</v>
          </cell>
          <cell r="F385">
            <v>148</v>
          </cell>
          <cell r="G385">
            <v>138</v>
          </cell>
          <cell r="H385">
            <v>698.68</v>
          </cell>
          <cell r="I385">
            <v>376.4</v>
          </cell>
          <cell r="J385">
            <v>90257</v>
          </cell>
          <cell r="K385" t="str">
            <v>MP</v>
          </cell>
        </row>
        <row r="386">
          <cell r="A386">
            <v>991230</v>
          </cell>
          <cell r="C386">
            <v>339</v>
          </cell>
          <cell r="D386">
            <v>2</v>
          </cell>
          <cell r="E386">
            <v>557</v>
          </cell>
          <cell r="F386">
            <v>140</v>
          </cell>
          <cell r="G386">
            <v>71</v>
          </cell>
          <cell r="H386">
            <v>1112.18</v>
          </cell>
          <cell r="I386">
            <v>37.369999999999997</v>
          </cell>
          <cell r="J386">
            <v>91550</v>
          </cell>
          <cell r="K386" t="str">
            <v>MP</v>
          </cell>
        </row>
        <row r="387">
          <cell r="A387">
            <v>991231</v>
          </cell>
          <cell r="C387">
            <v>204</v>
          </cell>
          <cell r="D387">
            <v>3</v>
          </cell>
          <cell r="E387">
            <v>557</v>
          </cell>
          <cell r="F387">
            <v>162</v>
          </cell>
          <cell r="G387">
            <v>244</v>
          </cell>
          <cell r="H387">
            <v>1173.1400000000001</v>
          </cell>
          <cell r="I387">
            <v>1196.67</v>
          </cell>
          <cell r="J387">
            <v>91799</v>
          </cell>
          <cell r="K387" t="str">
            <v>MP</v>
          </cell>
        </row>
        <row r="388">
          <cell r="A388">
            <v>991232</v>
          </cell>
          <cell r="C388">
            <v>398</v>
          </cell>
          <cell r="D388">
            <v>21</v>
          </cell>
          <cell r="E388">
            <v>450</v>
          </cell>
          <cell r="F388">
            <v>320</v>
          </cell>
          <cell r="G388">
            <v>1338</v>
          </cell>
          <cell r="H388">
            <v>2530.04</v>
          </cell>
          <cell r="I388">
            <v>7163.55</v>
          </cell>
          <cell r="J388">
            <v>90402</v>
          </cell>
          <cell r="K388" t="str">
            <v>MP</v>
          </cell>
        </row>
        <row r="389">
          <cell r="A389">
            <v>991233</v>
          </cell>
          <cell r="C389">
            <v>194</v>
          </cell>
          <cell r="D389">
            <v>44</v>
          </cell>
          <cell r="E389">
            <v>444</v>
          </cell>
          <cell r="F389">
            <v>572</v>
          </cell>
          <cell r="G389">
            <v>1967</v>
          </cell>
          <cell r="H389">
            <v>3223.92</v>
          </cell>
          <cell r="I389">
            <v>15181.85</v>
          </cell>
          <cell r="J389">
            <v>91750</v>
          </cell>
          <cell r="K389" t="str">
            <v>MP</v>
          </cell>
        </row>
        <row r="390">
          <cell r="A390">
            <v>991234</v>
          </cell>
          <cell r="C390">
            <v>658</v>
          </cell>
          <cell r="D390">
            <v>171</v>
          </cell>
          <cell r="E390">
            <v>532</v>
          </cell>
          <cell r="F390">
            <v>1479</v>
          </cell>
          <cell r="G390">
            <v>7613</v>
          </cell>
          <cell r="H390">
            <v>10455.89</v>
          </cell>
          <cell r="I390">
            <v>61402.02</v>
          </cell>
          <cell r="J390">
            <v>91750</v>
          </cell>
          <cell r="K390" t="str">
            <v>MP</v>
          </cell>
        </row>
        <row r="391">
          <cell r="A391">
            <v>991235</v>
          </cell>
          <cell r="C391">
            <v>683</v>
          </cell>
          <cell r="D391">
            <v>35</v>
          </cell>
          <cell r="E391">
            <v>457</v>
          </cell>
          <cell r="F391">
            <v>503</v>
          </cell>
          <cell r="G391">
            <v>2120</v>
          </cell>
          <cell r="H391">
            <v>3801.04</v>
          </cell>
          <cell r="I391">
            <v>11151.33</v>
          </cell>
          <cell r="J391">
            <v>91178</v>
          </cell>
          <cell r="K391" t="str">
            <v>MP</v>
          </cell>
        </row>
        <row r="392">
          <cell r="A392">
            <v>991238</v>
          </cell>
          <cell r="C392">
            <v>149</v>
          </cell>
          <cell r="D392">
            <v>7</v>
          </cell>
          <cell r="E392">
            <v>447</v>
          </cell>
          <cell r="F392">
            <v>185</v>
          </cell>
          <cell r="G392">
            <v>502</v>
          </cell>
          <cell r="H392">
            <v>1291.49</v>
          </cell>
          <cell r="I392">
            <v>2442.12</v>
          </cell>
          <cell r="J392">
            <v>92235</v>
          </cell>
          <cell r="K392" t="str">
            <v>MP</v>
          </cell>
        </row>
        <row r="393">
          <cell r="A393">
            <v>991239</v>
          </cell>
          <cell r="C393">
            <v>137</v>
          </cell>
          <cell r="D393">
            <v>4</v>
          </cell>
          <cell r="E393">
            <v>478</v>
          </cell>
          <cell r="F393">
            <v>165</v>
          </cell>
          <cell r="G393">
            <v>178</v>
          </cell>
          <cell r="H393">
            <v>964.85</v>
          </cell>
          <cell r="I393">
            <v>1358.64</v>
          </cell>
          <cell r="J393">
            <v>92253</v>
          </cell>
          <cell r="K393" t="str">
            <v>MP</v>
          </cell>
        </row>
        <row r="394">
          <cell r="A394">
            <v>991242</v>
          </cell>
          <cell r="C394">
            <v>487</v>
          </cell>
          <cell r="D394">
            <v>55</v>
          </cell>
          <cell r="E394">
            <v>447</v>
          </cell>
          <cell r="F394">
            <v>431</v>
          </cell>
          <cell r="G394">
            <v>1717</v>
          </cell>
          <cell r="H394">
            <v>3139.51</v>
          </cell>
          <cell r="I394">
            <v>9263.4599999999991</v>
          </cell>
          <cell r="J394">
            <v>92329</v>
          </cell>
          <cell r="K394" t="str">
            <v>MP</v>
          </cell>
        </row>
        <row r="395">
          <cell r="A395">
            <v>991246</v>
          </cell>
          <cell r="C395">
            <v>3425</v>
          </cell>
          <cell r="D395">
            <v>95</v>
          </cell>
          <cell r="E395">
            <v>557</v>
          </cell>
          <cell r="F395">
            <v>681</v>
          </cell>
          <cell r="G395">
            <v>3259</v>
          </cell>
          <cell r="H395">
            <v>8019.52</v>
          </cell>
          <cell r="I395">
            <v>15882.05</v>
          </cell>
          <cell r="J395">
            <v>92280</v>
          </cell>
          <cell r="K395" t="str">
            <v>MP</v>
          </cell>
        </row>
        <row r="396">
          <cell r="A396">
            <v>991247</v>
          </cell>
          <cell r="C396">
            <v>2133</v>
          </cell>
          <cell r="D396">
            <v>193</v>
          </cell>
          <cell r="E396">
            <v>552</v>
          </cell>
          <cell r="F396">
            <v>1011</v>
          </cell>
          <cell r="G396">
            <v>4109</v>
          </cell>
          <cell r="H396">
            <v>8000.86</v>
          </cell>
          <cell r="I396">
            <v>32533.01</v>
          </cell>
          <cell r="J396">
            <v>92316</v>
          </cell>
          <cell r="K396" t="str">
            <v>MP</v>
          </cell>
        </row>
        <row r="397">
          <cell r="A397">
            <v>991248</v>
          </cell>
          <cell r="C397">
            <v>271</v>
          </cell>
          <cell r="D397">
            <v>54</v>
          </cell>
          <cell r="E397">
            <v>457</v>
          </cell>
          <cell r="F397">
            <v>397</v>
          </cell>
          <cell r="G397">
            <v>1666</v>
          </cell>
          <cell r="H397">
            <v>2846.93</v>
          </cell>
          <cell r="I397">
            <v>8766.48</v>
          </cell>
          <cell r="J397">
            <v>92334</v>
          </cell>
          <cell r="K397" t="str">
            <v>MP</v>
          </cell>
        </row>
        <row r="398">
          <cell r="A398">
            <v>991249</v>
          </cell>
          <cell r="C398">
            <v>9449</v>
          </cell>
          <cell r="D398">
            <v>36</v>
          </cell>
          <cell r="E398">
            <v>450</v>
          </cell>
          <cell r="F398">
            <v>601</v>
          </cell>
          <cell r="G398">
            <v>1996</v>
          </cell>
          <cell r="H398">
            <v>12534.95</v>
          </cell>
          <cell r="I398">
            <v>6442.18</v>
          </cell>
          <cell r="J398">
            <v>92046</v>
          </cell>
          <cell r="K398" t="str">
            <v>MP</v>
          </cell>
        </row>
        <row r="399">
          <cell r="A399">
            <v>991251</v>
          </cell>
          <cell r="C399">
            <v>155</v>
          </cell>
          <cell r="D399">
            <v>78</v>
          </cell>
          <cell r="E399">
            <v>444</v>
          </cell>
          <cell r="F399">
            <v>812</v>
          </cell>
          <cell r="G399">
            <v>4697</v>
          </cell>
          <cell r="H399">
            <v>6188.45</v>
          </cell>
          <cell r="I399">
            <v>25596.37</v>
          </cell>
          <cell r="J399">
            <v>90856</v>
          </cell>
          <cell r="K399" t="str">
            <v>MP</v>
          </cell>
        </row>
        <row r="400">
          <cell r="A400">
            <v>991253</v>
          </cell>
          <cell r="C400">
            <v>1897</v>
          </cell>
          <cell r="D400">
            <v>343</v>
          </cell>
          <cell r="E400">
            <v>457</v>
          </cell>
          <cell r="F400">
            <v>292</v>
          </cell>
          <cell r="G400">
            <v>834</v>
          </cell>
          <cell r="H400">
            <v>3826.72</v>
          </cell>
          <cell r="I400">
            <v>4553.1000000000004</v>
          </cell>
          <cell r="J400">
            <v>92076</v>
          </cell>
          <cell r="K400" t="str">
            <v>MP</v>
          </cell>
        </row>
        <row r="401">
          <cell r="A401">
            <v>991254</v>
          </cell>
          <cell r="C401">
            <v>1829</v>
          </cell>
          <cell r="D401">
            <v>447</v>
          </cell>
          <cell r="E401">
            <v>457</v>
          </cell>
          <cell r="F401">
            <v>1925</v>
          </cell>
          <cell r="G401">
            <v>13371</v>
          </cell>
          <cell r="H401">
            <v>18030.849999999999</v>
          </cell>
          <cell r="I401">
            <v>77954.460000000006</v>
          </cell>
          <cell r="J401">
            <v>91250</v>
          </cell>
          <cell r="K401" t="str">
            <v>MP</v>
          </cell>
        </row>
        <row r="402">
          <cell r="A402">
            <v>991255</v>
          </cell>
          <cell r="C402">
            <v>748</v>
          </cell>
          <cell r="D402">
            <v>47</v>
          </cell>
          <cell r="E402">
            <v>472</v>
          </cell>
          <cell r="F402">
            <v>381</v>
          </cell>
          <cell r="G402">
            <v>1451</v>
          </cell>
          <cell r="H402">
            <v>3102.33</v>
          </cell>
          <cell r="I402">
            <v>8041.96</v>
          </cell>
          <cell r="J402">
            <v>91868</v>
          </cell>
          <cell r="K402" t="str">
            <v>MP</v>
          </cell>
        </row>
        <row r="403">
          <cell r="A403">
            <v>991256</v>
          </cell>
          <cell r="C403">
            <v>19412</v>
          </cell>
          <cell r="D403">
            <v>163</v>
          </cell>
          <cell r="E403">
            <v>511</v>
          </cell>
          <cell r="F403">
            <v>846</v>
          </cell>
          <cell r="G403">
            <v>5514</v>
          </cell>
          <cell r="H403">
            <v>26448.81</v>
          </cell>
          <cell r="I403">
            <v>6528.71</v>
          </cell>
          <cell r="J403">
            <v>91066</v>
          </cell>
          <cell r="K403" t="str">
            <v>MP</v>
          </cell>
        </row>
        <row r="404">
          <cell r="A404">
            <v>991258</v>
          </cell>
          <cell r="C404">
            <v>831</v>
          </cell>
          <cell r="D404">
            <v>21</v>
          </cell>
          <cell r="E404">
            <v>444</v>
          </cell>
          <cell r="F404">
            <v>124</v>
          </cell>
          <cell r="G404">
            <v>592</v>
          </cell>
          <cell r="H404">
            <v>2015.05</v>
          </cell>
          <cell r="I404">
            <v>2937.62</v>
          </cell>
          <cell r="J404">
            <v>91553</v>
          </cell>
          <cell r="K404" t="str">
            <v>MP</v>
          </cell>
        </row>
        <row r="405">
          <cell r="A405">
            <v>991259</v>
          </cell>
          <cell r="C405">
            <v>204</v>
          </cell>
          <cell r="D405">
            <v>11</v>
          </cell>
          <cell r="E405">
            <v>504</v>
          </cell>
          <cell r="F405">
            <v>172</v>
          </cell>
          <cell r="G405">
            <v>340</v>
          </cell>
          <cell r="H405">
            <v>1233.78</v>
          </cell>
          <cell r="I405">
            <v>1509.6</v>
          </cell>
          <cell r="J405">
            <v>91567</v>
          </cell>
          <cell r="K405" t="str">
            <v>MP</v>
          </cell>
        </row>
        <row r="406">
          <cell r="A406">
            <v>991260</v>
          </cell>
          <cell r="C406">
            <v>306</v>
          </cell>
          <cell r="D406">
            <v>4</v>
          </cell>
          <cell r="E406">
            <v>472</v>
          </cell>
          <cell r="F406">
            <v>153</v>
          </cell>
          <cell r="G406">
            <v>172</v>
          </cell>
          <cell r="H406">
            <v>1109.46</v>
          </cell>
          <cell r="I406">
            <v>682.73</v>
          </cell>
          <cell r="J406">
            <v>92088</v>
          </cell>
          <cell r="K406" t="str">
            <v>MP</v>
          </cell>
        </row>
        <row r="407">
          <cell r="A407">
            <v>991261</v>
          </cell>
          <cell r="C407">
            <v>306</v>
          </cell>
          <cell r="D407">
            <v>8</v>
          </cell>
          <cell r="E407">
            <v>472</v>
          </cell>
          <cell r="F407">
            <v>163</v>
          </cell>
          <cell r="G407">
            <v>193</v>
          </cell>
          <cell r="H407">
            <v>1143.93</v>
          </cell>
          <cell r="I407">
            <v>1109.19</v>
          </cell>
          <cell r="J407">
            <v>91351</v>
          </cell>
          <cell r="K407" t="str">
            <v>MP</v>
          </cell>
        </row>
        <row r="408">
          <cell r="A408">
            <v>991262</v>
          </cell>
          <cell r="C408">
            <v>406</v>
          </cell>
          <cell r="D408">
            <v>5</v>
          </cell>
          <cell r="E408">
            <v>472</v>
          </cell>
          <cell r="F408">
            <v>151</v>
          </cell>
          <cell r="G408">
            <v>162</v>
          </cell>
          <cell r="H408">
            <v>1198.48</v>
          </cell>
          <cell r="I408">
            <v>464.04</v>
          </cell>
          <cell r="J408">
            <v>90642</v>
          </cell>
          <cell r="K408" t="str">
            <v>MP</v>
          </cell>
        </row>
        <row r="409">
          <cell r="A409">
            <v>991263</v>
          </cell>
          <cell r="C409">
            <v>290</v>
          </cell>
          <cell r="D409">
            <v>85</v>
          </cell>
          <cell r="E409">
            <v>555</v>
          </cell>
          <cell r="F409">
            <v>862</v>
          </cell>
          <cell r="G409">
            <v>4223</v>
          </cell>
          <cell r="H409">
            <v>6017.31</v>
          </cell>
          <cell r="I409">
            <v>29629.88</v>
          </cell>
          <cell r="J409">
            <v>90379</v>
          </cell>
          <cell r="K409" t="str">
            <v>MP</v>
          </cell>
        </row>
        <row r="410">
          <cell r="A410">
            <v>991265</v>
          </cell>
          <cell r="C410">
            <v>253</v>
          </cell>
          <cell r="D410">
            <v>153</v>
          </cell>
          <cell r="E410">
            <v>519</v>
          </cell>
          <cell r="F410">
            <v>567</v>
          </cell>
          <cell r="G410">
            <v>1939</v>
          </cell>
          <cell r="H410">
            <v>3433.85</v>
          </cell>
          <cell r="I410">
            <v>13056.73</v>
          </cell>
          <cell r="J410">
            <v>90605</v>
          </cell>
          <cell r="K410" t="str">
            <v>MP</v>
          </cell>
        </row>
        <row r="411">
          <cell r="A411">
            <v>991267</v>
          </cell>
          <cell r="C411">
            <v>205</v>
          </cell>
          <cell r="D411">
            <v>5</v>
          </cell>
          <cell r="E411">
            <v>519</v>
          </cell>
          <cell r="F411">
            <v>151</v>
          </cell>
          <cell r="G411">
            <v>164</v>
          </cell>
          <cell r="H411">
            <v>1045.6199999999999</v>
          </cell>
          <cell r="I411">
            <v>631.85</v>
          </cell>
          <cell r="J411">
            <v>91462</v>
          </cell>
          <cell r="K411" t="str">
            <v>MP</v>
          </cell>
        </row>
        <row r="412">
          <cell r="A412">
            <v>991268</v>
          </cell>
          <cell r="C412">
            <v>379</v>
          </cell>
          <cell r="D412">
            <v>7</v>
          </cell>
          <cell r="E412">
            <v>450</v>
          </cell>
          <cell r="F412">
            <v>188</v>
          </cell>
          <cell r="G412">
            <v>523</v>
          </cell>
          <cell r="H412">
            <v>1549.73</v>
          </cell>
          <cell r="I412">
            <v>2267.1999999999998</v>
          </cell>
          <cell r="J412">
            <v>91375</v>
          </cell>
          <cell r="K412" t="str">
            <v>MP</v>
          </cell>
        </row>
        <row r="413">
          <cell r="A413">
            <v>991269</v>
          </cell>
          <cell r="C413">
            <v>11363</v>
          </cell>
          <cell r="D413">
            <v>187</v>
          </cell>
          <cell r="E413">
            <v>444</v>
          </cell>
          <cell r="F413">
            <v>1179</v>
          </cell>
          <cell r="G413">
            <v>7801</v>
          </cell>
          <cell r="H413">
            <v>20977.119999999999</v>
          </cell>
          <cell r="I413">
            <v>32538.6</v>
          </cell>
          <cell r="J413">
            <v>92347</v>
          </cell>
          <cell r="K413" t="str">
            <v>MP</v>
          </cell>
        </row>
        <row r="414">
          <cell r="A414">
            <v>991270</v>
          </cell>
          <cell r="C414">
            <v>297</v>
          </cell>
          <cell r="D414">
            <v>27</v>
          </cell>
          <cell r="E414">
            <v>450</v>
          </cell>
          <cell r="F414">
            <v>238</v>
          </cell>
          <cell r="G414">
            <v>900</v>
          </cell>
          <cell r="H414">
            <v>1915.38</v>
          </cell>
          <cell r="I414">
            <v>4782.49</v>
          </cell>
          <cell r="J414">
            <v>92090</v>
          </cell>
          <cell r="K414" t="str">
            <v>MP</v>
          </cell>
        </row>
        <row r="415">
          <cell r="A415">
            <v>991271</v>
          </cell>
          <cell r="C415">
            <v>211</v>
          </cell>
          <cell r="D415">
            <v>61</v>
          </cell>
          <cell r="E415">
            <v>558</v>
          </cell>
          <cell r="F415">
            <v>459</v>
          </cell>
          <cell r="G415">
            <v>1933</v>
          </cell>
          <cell r="H415">
            <v>3225.33</v>
          </cell>
          <cell r="I415">
            <v>10984.74</v>
          </cell>
          <cell r="J415">
            <v>92063</v>
          </cell>
          <cell r="K415" t="str">
            <v>MP</v>
          </cell>
        </row>
        <row r="416">
          <cell r="A416">
            <v>991273</v>
          </cell>
          <cell r="C416">
            <v>1076</v>
          </cell>
          <cell r="D416">
            <v>149</v>
          </cell>
          <cell r="E416">
            <v>457</v>
          </cell>
          <cell r="F416">
            <v>1333</v>
          </cell>
          <cell r="G416">
            <v>10058</v>
          </cell>
          <cell r="H416">
            <v>13075.45</v>
          </cell>
          <cell r="I416">
            <v>49858.32</v>
          </cell>
          <cell r="J416">
            <v>91039</v>
          </cell>
          <cell r="K416" t="str">
            <v>MP</v>
          </cell>
        </row>
        <row r="417">
          <cell r="A417">
            <v>991274</v>
          </cell>
          <cell r="C417">
            <v>256</v>
          </cell>
          <cell r="D417">
            <v>37</v>
          </cell>
          <cell r="E417">
            <v>444</v>
          </cell>
          <cell r="F417">
            <v>520</v>
          </cell>
          <cell r="G417">
            <v>1646</v>
          </cell>
          <cell r="H417">
            <v>2905.8</v>
          </cell>
          <cell r="I417">
            <v>12597.27</v>
          </cell>
          <cell r="J417">
            <v>90083</v>
          </cell>
          <cell r="K417" t="str">
            <v>MP</v>
          </cell>
        </row>
        <row r="418">
          <cell r="A418">
            <v>991276</v>
          </cell>
          <cell r="C418">
            <v>150</v>
          </cell>
          <cell r="D418">
            <v>13</v>
          </cell>
          <cell r="E418">
            <v>451</v>
          </cell>
          <cell r="F418">
            <v>229</v>
          </cell>
          <cell r="G418">
            <v>606</v>
          </cell>
          <cell r="H418">
            <v>1451.61</v>
          </cell>
          <cell r="I418">
            <v>4717.0600000000004</v>
          </cell>
          <cell r="J418">
            <v>91319</v>
          </cell>
          <cell r="K418" t="str">
            <v>MP</v>
          </cell>
        </row>
        <row r="419">
          <cell r="A419">
            <v>991277</v>
          </cell>
          <cell r="C419">
            <v>181</v>
          </cell>
          <cell r="D419">
            <v>57</v>
          </cell>
          <cell r="E419">
            <v>447</v>
          </cell>
          <cell r="F419">
            <v>662</v>
          </cell>
          <cell r="G419">
            <v>2529</v>
          </cell>
          <cell r="H419">
            <v>3878.01</v>
          </cell>
          <cell r="I419">
            <v>19760.14</v>
          </cell>
          <cell r="J419">
            <v>90121</v>
          </cell>
          <cell r="K419" t="str">
            <v>MP</v>
          </cell>
        </row>
        <row r="420">
          <cell r="A420">
            <v>991279</v>
          </cell>
          <cell r="C420">
            <v>213</v>
          </cell>
          <cell r="D420">
            <v>10</v>
          </cell>
          <cell r="E420">
            <v>447</v>
          </cell>
          <cell r="F420">
            <v>207</v>
          </cell>
          <cell r="G420">
            <v>471</v>
          </cell>
          <cell r="H420">
            <v>1350.42</v>
          </cell>
          <cell r="I420">
            <v>3488.69</v>
          </cell>
          <cell r="J420">
            <v>91923</v>
          </cell>
          <cell r="K420" t="str">
            <v>MP</v>
          </cell>
        </row>
        <row r="421">
          <cell r="A421">
            <v>991281</v>
          </cell>
          <cell r="C421">
            <v>1302</v>
          </cell>
          <cell r="D421">
            <v>11</v>
          </cell>
          <cell r="E421">
            <v>472</v>
          </cell>
          <cell r="F421">
            <v>135</v>
          </cell>
          <cell r="G421">
            <v>737</v>
          </cell>
          <cell r="H421">
            <v>2659</v>
          </cell>
          <cell r="I421">
            <v>3493.64</v>
          </cell>
          <cell r="J421">
            <v>92221</v>
          </cell>
          <cell r="K421" t="str">
            <v>MP</v>
          </cell>
        </row>
        <row r="422">
          <cell r="A422">
            <v>991282</v>
          </cell>
          <cell r="C422">
            <v>96</v>
          </cell>
          <cell r="D422">
            <v>11</v>
          </cell>
          <cell r="E422">
            <v>457</v>
          </cell>
          <cell r="F422">
            <v>176</v>
          </cell>
          <cell r="G422">
            <v>274</v>
          </cell>
          <cell r="H422">
            <v>1015.48</v>
          </cell>
          <cell r="I422">
            <v>1836.33</v>
          </cell>
          <cell r="J422">
            <v>91227</v>
          </cell>
          <cell r="K422" t="str">
            <v>MP</v>
          </cell>
        </row>
        <row r="423">
          <cell r="A423">
            <v>991283</v>
          </cell>
          <cell r="C423">
            <v>852</v>
          </cell>
          <cell r="D423">
            <v>39</v>
          </cell>
          <cell r="E423">
            <v>478</v>
          </cell>
          <cell r="F423">
            <v>294</v>
          </cell>
          <cell r="G423">
            <v>258</v>
          </cell>
          <cell r="H423">
            <v>1923.63</v>
          </cell>
          <cell r="I423">
            <v>5443.5</v>
          </cell>
          <cell r="J423">
            <v>90730</v>
          </cell>
          <cell r="K423" t="str">
            <v>MP</v>
          </cell>
        </row>
        <row r="424">
          <cell r="A424">
            <v>991284</v>
          </cell>
          <cell r="C424">
            <v>106</v>
          </cell>
          <cell r="D424">
            <v>6</v>
          </cell>
          <cell r="E424">
            <v>472</v>
          </cell>
          <cell r="F424">
            <v>152</v>
          </cell>
          <cell r="G424">
            <v>129</v>
          </cell>
          <cell r="H424">
            <v>868.45</v>
          </cell>
          <cell r="I424">
            <v>793.05</v>
          </cell>
          <cell r="J424">
            <v>90614</v>
          </cell>
          <cell r="K424" t="str">
            <v>MP</v>
          </cell>
        </row>
        <row r="425">
          <cell r="A425">
            <v>991285</v>
          </cell>
          <cell r="C425">
            <v>188</v>
          </cell>
          <cell r="D425">
            <v>371</v>
          </cell>
          <cell r="E425">
            <v>444</v>
          </cell>
          <cell r="F425">
            <v>1619</v>
          </cell>
          <cell r="G425">
            <v>8509</v>
          </cell>
          <cell r="H425">
            <v>11134.57</v>
          </cell>
          <cell r="I425">
            <v>60668.33</v>
          </cell>
          <cell r="J425">
            <v>90614</v>
          </cell>
          <cell r="K425" t="str">
            <v>MP</v>
          </cell>
        </row>
        <row r="426">
          <cell r="A426">
            <v>991286</v>
          </cell>
          <cell r="C426">
            <v>5984</v>
          </cell>
          <cell r="D426">
            <v>585</v>
          </cell>
          <cell r="E426">
            <v>563</v>
          </cell>
          <cell r="F426">
            <v>2253</v>
          </cell>
          <cell r="G426">
            <v>17989</v>
          </cell>
          <cell r="H426">
            <v>27376.61</v>
          </cell>
          <cell r="I426">
            <v>101543.91</v>
          </cell>
          <cell r="J426">
            <v>92003</v>
          </cell>
          <cell r="K426" t="str">
            <v>MP</v>
          </cell>
        </row>
        <row r="427">
          <cell r="A427">
            <v>991287</v>
          </cell>
          <cell r="C427">
            <v>84</v>
          </cell>
          <cell r="D427">
            <v>7</v>
          </cell>
          <cell r="E427">
            <v>557</v>
          </cell>
          <cell r="F427">
            <v>255</v>
          </cell>
          <cell r="G427">
            <v>122</v>
          </cell>
          <cell r="H427">
            <v>1027.79</v>
          </cell>
          <cell r="I427">
            <v>1437.5</v>
          </cell>
          <cell r="J427">
            <v>93041</v>
          </cell>
          <cell r="K427" t="str">
            <v>MP</v>
          </cell>
        </row>
        <row r="428">
          <cell r="A428">
            <v>991288</v>
          </cell>
          <cell r="C428">
            <v>194</v>
          </cell>
          <cell r="D428">
            <v>9</v>
          </cell>
          <cell r="E428">
            <v>557</v>
          </cell>
          <cell r="F428">
            <v>199</v>
          </cell>
          <cell r="G428">
            <v>419</v>
          </cell>
          <cell r="H428">
            <v>1380.38</v>
          </cell>
          <cell r="I428">
            <v>3042.6</v>
          </cell>
          <cell r="J428">
            <v>90463</v>
          </cell>
          <cell r="K428" t="str">
            <v>MP</v>
          </cell>
        </row>
        <row r="429">
          <cell r="A429">
            <v>991289</v>
          </cell>
          <cell r="C429">
            <v>226</v>
          </cell>
          <cell r="D429">
            <v>30</v>
          </cell>
          <cell r="E429">
            <v>472</v>
          </cell>
          <cell r="F429">
            <v>435</v>
          </cell>
          <cell r="G429">
            <v>2023</v>
          </cell>
          <cell r="H429">
            <v>3189.46</v>
          </cell>
          <cell r="I429">
            <v>9655.18</v>
          </cell>
          <cell r="J429">
            <v>91981</v>
          </cell>
          <cell r="K429" t="str">
            <v>MP</v>
          </cell>
        </row>
        <row r="430">
          <cell r="A430">
            <v>991290</v>
          </cell>
          <cell r="C430">
            <v>171</v>
          </cell>
          <cell r="D430">
            <v>46</v>
          </cell>
          <cell r="E430">
            <v>504</v>
          </cell>
          <cell r="F430">
            <v>590</v>
          </cell>
          <cell r="G430">
            <v>2053</v>
          </cell>
          <cell r="H430">
            <v>3367.8</v>
          </cell>
          <cell r="I430">
            <v>13991.31</v>
          </cell>
          <cell r="J430">
            <v>90485</v>
          </cell>
          <cell r="K430" t="str">
            <v>MP</v>
          </cell>
        </row>
        <row r="431">
          <cell r="A431">
            <v>991291</v>
          </cell>
          <cell r="C431">
            <v>197</v>
          </cell>
          <cell r="D431">
            <v>16</v>
          </cell>
          <cell r="E431">
            <v>472</v>
          </cell>
          <cell r="F431">
            <v>247</v>
          </cell>
          <cell r="G431">
            <v>709</v>
          </cell>
          <cell r="H431">
            <v>1643.93</v>
          </cell>
          <cell r="I431">
            <v>5139.29</v>
          </cell>
          <cell r="J431">
            <v>91814</v>
          </cell>
          <cell r="K431" t="str">
            <v>MP</v>
          </cell>
        </row>
        <row r="432">
          <cell r="A432">
            <v>991292</v>
          </cell>
          <cell r="C432">
            <v>102</v>
          </cell>
          <cell r="D432">
            <v>11</v>
          </cell>
          <cell r="E432">
            <v>447</v>
          </cell>
          <cell r="F432">
            <v>174</v>
          </cell>
          <cell r="G432">
            <v>360</v>
          </cell>
          <cell r="H432">
            <v>1096.95</v>
          </cell>
          <cell r="I432">
            <v>1832.68</v>
          </cell>
          <cell r="J432">
            <v>90809</v>
          </cell>
          <cell r="K432" t="str">
            <v>MP</v>
          </cell>
        </row>
        <row r="433">
          <cell r="A433">
            <v>991293</v>
          </cell>
          <cell r="C433">
            <v>206</v>
          </cell>
          <cell r="D433">
            <v>15</v>
          </cell>
          <cell r="E433">
            <v>472</v>
          </cell>
          <cell r="F433">
            <v>192</v>
          </cell>
          <cell r="G433">
            <v>375</v>
          </cell>
          <cell r="H433">
            <v>1263</v>
          </cell>
          <cell r="I433">
            <v>2576.87</v>
          </cell>
          <cell r="J433">
            <v>91947</v>
          </cell>
          <cell r="K433" t="str">
            <v>MP</v>
          </cell>
        </row>
        <row r="434">
          <cell r="A434">
            <v>991295</v>
          </cell>
          <cell r="C434">
            <v>176</v>
          </cell>
          <cell r="D434">
            <v>25</v>
          </cell>
          <cell r="E434">
            <v>447</v>
          </cell>
          <cell r="F434">
            <v>363</v>
          </cell>
          <cell r="G434">
            <v>1122</v>
          </cell>
          <cell r="H434">
            <v>2135.7399999999998</v>
          </cell>
          <cell r="I434">
            <v>8405.4500000000007</v>
          </cell>
          <cell r="J434">
            <v>91147</v>
          </cell>
          <cell r="K434" t="str">
            <v>MP</v>
          </cell>
        </row>
        <row r="435">
          <cell r="A435">
            <v>991296</v>
          </cell>
          <cell r="C435">
            <v>232</v>
          </cell>
          <cell r="D435">
            <v>99</v>
          </cell>
          <cell r="E435">
            <v>447</v>
          </cell>
          <cell r="F435">
            <v>623</v>
          </cell>
          <cell r="G435">
            <v>3428</v>
          </cell>
          <cell r="H435">
            <v>4831.22</v>
          </cell>
          <cell r="I435">
            <v>17726.310000000001</v>
          </cell>
          <cell r="J435">
            <v>91349</v>
          </cell>
          <cell r="K435" t="str">
            <v>MP</v>
          </cell>
        </row>
        <row r="436">
          <cell r="A436">
            <v>991297</v>
          </cell>
          <cell r="C436">
            <v>176</v>
          </cell>
          <cell r="D436">
            <v>10</v>
          </cell>
          <cell r="E436">
            <v>447</v>
          </cell>
          <cell r="F436">
            <v>211</v>
          </cell>
          <cell r="G436">
            <v>491</v>
          </cell>
          <cell r="H436">
            <v>1337.72</v>
          </cell>
          <cell r="I436">
            <v>3575.89</v>
          </cell>
          <cell r="J436">
            <v>90061</v>
          </cell>
          <cell r="K436" t="str">
            <v>MP</v>
          </cell>
        </row>
        <row r="437">
          <cell r="A437">
            <v>991298</v>
          </cell>
          <cell r="C437">
            <v>377</v>
          </cell>
          <cell r="D437">
            <v>92</v>
          </cell>
          <cell r="E437">
            <v>478</v>
          </cell>
          <cell r="F437">
            <v>902</v>
          </cell>
          <cell r="G437">
            <v>4022</v>
          </cell>
          <cell r="H437">
            <v>5873.59</v>
          </cell>
          <cell r="I437">
            <v>28405.79</v>
          </cell>
          <cell r="J437">
            <v>90061</v>
          </cell>
          <cell r="K437" t="str">
            <v>MP</v>
          </cell>
        </row>
        <row r="438">
          <cell r="A438">
            <v>991299</v>
          </cell>
          <cell r="C438">
            <v>232</v>
          </cell>
          <cell r="D438">
            <v>1424</v>
          </cell>
          <cell r="E438">
            <v>558</v>
          </cell>
          <cell r="F438">
            <v>215</v>
          </cell>
          <cell r="G438">
            <v>705</v>
          </cell>
          <cell r="H438">
            <v>3136.87</v>
          </cell>
          <cell r="I438">
            <v>2282.02</v>
          </cell>
          <cell r="J438">
            <v>90392</v>
          </cell>
          <cell r="K438" t="str">
            <v>MP</v>
          </cell>
        </row>
        <row r="439">
          <cell r="A439">
            <v>991300</v>
          </cell>
          <cell r="C439">
            <v>269</v>
          </cell>
          <cell r="D439">
            <v>161</v>
          </cell>
          <cell r="E439">
            <v>558</v>
          </cell>
          <cell r="F439">
            <v>850</v>
          </cell>
          <cell r="G439">
            <v>4020</v>
          </cell>
          <cell r="H439">
            <v>5859.72</v>
          </cell>
          <cell r="I439">
            <v>28807.279999999999</v>
          </cell>
          <cell r="J439">
            <v>92172</v>
          </cell>
          <cell r="K439" t="str">
            <v>MP</v>
          </cell>
        </row>
        <row r="440">
          <cell r="A440">
            <v>991303</v>
          </cell>
          <cell r="C440">
            <v>31595</v>
          </cell>
          <cell r="D440">
            <v>363</v>
          </cell>
          <cell r="E440">
            <v>472</v>
          </cell>
          <cell r="F440">
            <v>2293</v>
          </cell>
          <cell r="G440">
            <v>10868</v>
          </cell>
          <cell r="H440">
            <v>45594.33</v>
          </cell>
          <cell r="I440">
            <v>53471.03</v>
          </cell>
          <cell r="J440">
            <v>91996</v>
          </cell>
          <cell r="K440" t="str">
            <v>MP</v>
          </cell>
        </row>
        <row r="441">
          <cell r="A441">
            <v>991304</v>
          </cell>
          <cell r="C441">
            <v>1034</v>
          </cell>
          <cell r="D441">
            <v>268</v>
          </cell>
          <cell r="E441">
            <v>472</v>
          </cell>
          <cell r="F441">
            <v>1259</v>
          </cell>
          <cell r="G441">
            <v>7852</v>
          </cell>
          <cell r="H441">
            <v>10887.99</v>
          </cell>
          <cell r="I441">
            <v>40865.360000000001</v>
          </cell>
          <cell r="J441">
            <v>92272</v>
          </cell>
          <cell r="K441" t="str">
            <v>MP</v>
          </cell>
        </row>
        <row r="442">
          <cell r="A442">
            <v>991306</v>
          </cell>
          <cell r="C442">
            <v>178</v>
          </cell>
          <cell r="D442">
            <v>73</v>
          </cell>
          <cell r="E442">
            <v>558</v>
          </cell>
          <cell r="F442">
            <v>525</v>
          </cell>
          <cell r="G442">
            <v>1677</v>
          </cell>
          <cell r="H442">
            <v>3013.76</v>
          </cell>
          <cell r="I442">
            <v>12680.64</v>
          </cell>
          <cell r="J442">
            <v>91874</v>
          </cell>
          <cell r="K442" t="str">
            <v>MP</v>
          </cell>
        </row>
        <row r="443">
          <cell r="A443">
            <v>991308</v>
          </cell>
          <cell r="C443">
            <v>355</v>
          </cell>
          <cell r="D443">
            <v>30</v>
          </cell>
          <cell r="E443">
            <v>472</v>
          </cell>
          <cell r="F443">
            <v>230</v>
          </cell>
          <cell r="G443">
            <v>613</v>
          </cell>
          <cell r="H443">
            <v>1703.67</v>
          </cell>
          <cell r="I443">
            <v>3977.29</v>
          </cell>
          <cell r="J443">
            <v>90558</v>
          </cell>
          <cell r="K443" t="str">
            <v>MP</v>
          </cell>
        </row>
        <row r="444">
          <cell r="A444">
            <v>991309</v>
          </cell>
          <cell r="C444">
            <v>1192</v>
          </cell>
          <cell r="D444">
            <v>415</v>
          </cell>
          <cell r="E444">
            <v>457</v>
          </cell>
          <cell r="F444">
            <v>1775</v>
          </cell>
          <cell r="G444">
            <v>12827</v>
          </cell>
          <cell r="H444">
            <v>16667.95</v>
          </cell>
          <cell r="I444">
            <v>70172.98</v>
          </cell>
          <cell r="J444">
            <v>92386</v>
          </cell>
          <cell r="K444" t="str">
            <v>MP</v>
          </cell>
        </row>
        <row r="445">
          <cell r="A445">
            <v>991310</v>
          </cell>
          <cell r="C445">
            <v>289</v>
          </cell>
          <cell r="D445">
            <v>4</v>
          </cell>
          <cell r="E445">
            <v>444</v>
          </cell>
          <cell r="F445">
            <v>147</v>
          </cell>
          <cell r="G445">
            <v>128</v>
          </cell>
          <cell r="H445">
            <v>1014.43</v>
          </cell>
          <cell r="I445">
            <v>417.22</v>
          </cell>
          <cell r="J445">
            <v>91304</v>
          </cell>
          <cell r="K445" t="str">
            <v>MP</v>
          </cell>
        </row>
        <row r="446">
          <cell r="A446">
            <v>991311</v>
          </cell>
          <cell r="C446">
            <v>1213</v>
          </cell>
          <cell r="D446">
            <v>60</v>
          </cell>
          <cell r="E446">
            <v>457</v>
          </cell>
          <cell r="F446">
            <v>476</v>
          </cell>
          <cell r="G446">
            <v>1794</v>
          </cell>
          <cell r="H446">
            <v>4001.85</v>
          </cell>
          <cell r="I446">
            <v>9704.06</v>
          </cell>
          <cell r="J446">
            <v>91553</v>
          </cell>
          <cell r="K446" t="str">
            <v>MP</v>
          </cell>
        </row>
        <row r="447">
          <cell r="A447">
            <v>991312</v>
          </cell>
          <cell r="C447">
            <v>181</v>
          </cell>
          <cell r="D447">
            <v>4</v>
          </cell>
          <cell r="E447">
            <v>451</v>
          </cell>
          <cell r="F447">
            <v>169</v>
          </cell>
          <cell r="G447">
            <v>314</v>
          </cell>
          <cell r="H447">
            <v>1121.3</v>
          </cell>
          <cell r="I447">
            <v>1610.54</v>
          </cell>
          <cell r="J447">
            <v>91178</v>
          </cell>
          <cell r="K447" t="str">
            <v>MP</v>
          </cell>
        </row>
        <row r="448">
          <cell r="A448">
            <v>991313</v>
          </cell>
          <cell r="C448">
            <v>157</v>
          </cell>
          <cell r="D448">
            <v>4</v>
          </cell>
          <cell r="E448">
            <v>555</v>
          </cell>
          <cell r="F448">
            <v>164</v>
          </cell>
          <cell r="G448">
            <v>204</v>
          </cell>
          <cell r="H448">
            <v>1086.19</v>
          </cell>
          <cell r="I448">
            <v>1419.88</v>
          </cell>
          <cell r="J448">
            <v>90097</v>
          </cell>
          <cell r="K448" t="str">
            <v>MP</v>
          </cell>
        </row>
        <row r="449">
          <cell r="A449">
            <v>991314</v>
          </cell>
          <cell r="C449">
            <v>229</v>
          </cell>
          <cell r="D449">
            <v>247</v>
          </cell>
          <cell r="E449">
            <v>557</v>
          </cell>
          <cell r="F449">
            <v>1117</v>
          </cell>
          <cell r="G449">
            <v>7270</v>
          </cell>
          <cell r="H449">
            <v>9422.41</v>
          </cell>
          <cell r="I449">
            <v>41087.72</v>
          </cell>
          <cell r="J449">
            <v>92293</v>
          </cell>
          <cell r="K449" t="str">
            <v>MP</v>
          </cell>
        </row>
        <row r="450">
          <cell r="A450">
            <v>991315</v>
          </cell>
          <cell r="C450">
            <v>148</v>
          </cell>
          <cell r="D450">
            <v>6</v>
          </cell>
          <cell r="E450">
            <v>444</v>
          </cell>
          <cell r="F450">
            <v>179</v>
          </cell>
          <cell r="G450">
            <v>404</v>
          </cell>
          <cell r="H450">
            <v>1183.6300000000001</v>
          </cell>
          <cell r="I450">
            <v>2133.5100000000002</v>
          </cell>
          <cell r="J450">
            <v>90392</v>
          </cell>
          <cell r="K450" t="str">
            <v>MP</v>
          </cell>
        </row>
        <row r="451">
          <cell r="A451">
            <v>991319</v>
          </cell>
          <cell r="C451">
            <v>517</v>
          </cell>
          <cell r="D451">
            <v>9</v>
          </cell>
          <cell r="E451">
            <v>457</v>
          </cell>
          <cell r="F451">
            <v>179</v>
          </cell>
          <cell r="G451">
            <v>296</v>
          </cell>
          <cell r="H451">
            <v>1460.34</v>
          </cell>
          <cell r="I451">
            <v>193.38</v>
          </cell>
          <cell r="J451">
            <v>90086</v>
          </cell>
          <cell r="K451" t="str">
            <v>MP</v>
          </cell>
        </row>
        <row r="452">
          <cell r="A452">
            <v>991320</v>
          </cell>
          <cell r="C452">
            <v>9013</v>
          </cell>
          <cell r="D452">
            <v>224</v>
          </cell>
          <cell r="E452">
            <v>457</v>
          </cell>
          <cell r="F452">
            <v>1831</v>
          </cell>
          <cell r="G452">
            <v>8991</v>
          </cell>
          <cell r="H452">
            <v>20519.2</v>
          </cell>
          <cell r="I452">
            <v>60717.39</v>
          </cell>
          <cell r="J452">
            <v>92315</v>
          </cell>
          <cell r="K452" t="str">
            <v>MP</v>
          </cell>
        </row>
        <row r="453">
          <cell r="A453">
            <v>991321</v>
          </cell>
          <cell r="C453">
            <v>240</v>
          </cell>
          <cell r="D453">
            <v>8</v>
          </cell>
          <cell r="E453">
            <v>450</v>
          </cell>
          <cell r="F453">
            <v>179</v>
          </cell>
          <cell r="G453">
            <v>380</v>
          </cell>
          <cell r="H453">
            <v>1260.51</v>
          </cell>
          <cell r="I453">
            <v>2075.0500000000002</v>
          </cell>
          <cell r="J453">
            <v>92091</v>
          </cell>
          <cell r="K453" t="str">
            <v>MP</v>
          </cell>
        </row>
        <row r="454">
          <cell r="A454">
            <v>991322</v>
          </cell>
          <cell r="C454">
            <v>219</v>
          </cell>
          <cell r="D454">
            <v>11</v>
          </cell>
          <cell r="E454">
            <v>457</v>
          </cell>
          <cell r="F454">
            <v>173</v>
          </cell>
          <cell r="G454">
            <v>349</v>
          </cell>
          <cell r="H454">
            <v>1210.19</v>
          </cell>
          <cell r="I454">
            <v>1631.71</v>
          </cell>
          <cell r="J454">
            <v>92285</v>
          </cell>
          <cell r="K454" t="str">
            <v>MP</v>
          </cell>
        </row>
        <row r="455">
          <cell r="A455">
            <v>991323</v>
          </cell>
          <cell r="C455">
            <v>934</v>
          </cell>
          <cell r="D455">
            <v>60</v>
          </cell>
          <cell r="E455">
            <v>450</v>
          </cell>
          <cell r="F455">
            <v>678</v>
          </cell>
          <cell r="G455">
            <v>2814</v>
          </cell>
          <cell r="H455">
            <v>4938.84</v>
          </cell>
          <cell r="I455">
            <v>19188.66</v>
          </cell>
          <cell r="J455">
            <v>92284</v>
          </cell>
          <cell r="K455" t="str">
            <v>MP</v>
          </cell>
        </row>
        <row r="456">
          <cell r="A456">
            <v>991325</v>
          </cell>
          <cell r="C456">
            <v>632</v>
          </cell>
          <cell r="D456">
            <v>36</v>
          </cell>
          <cell r="E456">
            <v>457</v>
          </cell>
          <cell r="F456">
            <v>509</v>
          </cell>
          <cell r="G456">
            <v>1355</v>
          </cell>
          <cell r="H456">
            <v>2991.06</v>
          </cell>
          <cell r="I456">
            <v>10789.81</v>
          </cell>
          <cell r="J456">
            <v>92001</v>
          </cell>
          <cell r="K456" t="str">
            <v>MP</v>
          </cell>
        </row>
        <row r="457">
          <cell r="A457">
            <v>991326</v>
          </cell>
          <cell r="C457">
            <v>7414</v>
          </cell>
          <cell r="D457">
            <v>42</v>
          </cell>
          <cell r="E457">
            <v>444</v>
          </cell>
          <cell r="F457">
            <v>719</v>
          </cell>
          <cell r="G457">
            <v>2472</v>
          </cell>
          <cell r="H457">
            <v>11092.89</v>
          </cell>
          <cell r="I457">
            <v>13736.43</v>
          </cell>
          <cell r="J457">
            <v>92000</v>
          </cell>
          <cell r="K457" t="str">
            <v>MP</v>
          </cell>
        </row>
        <row r="458">
          <cell r="A458">
            <v>991327</v>
          </cell>
          <cell r="C458">
            <v>1125</v>
          </cell>
          <cell r="D458">
            <v>8</v>
          </cell>
          <cell r="E458">
            <v>555</v>
          </cell>
          <cell r="F458">
            <v>187</v>
          </cell>
          <cell r="G458">
            <v>465</v>
          </cell>
          <cell r="H458">
            <v>2341.7600000000002</v>
          </cell>
          <cell r="I458">
            <v>1425.55</v>
          </cell>
          <cell r="J458">
            <v>92373</v>
          </cell>
          <cell r="K458" t="str">
            <v>MP</v>
          </cell>
        </row>
        <row r="459">
          <cell r="A459">
            <v>991328</v>
          </cell>
          <cell r="C459">
            <v>523</v>
          </cell>
          <cell r="D459">
            <v>16</v>
          </cell>
          <cell r="E459">
            <v>450</v>
          </cell>
          <cell r="F459">
            <v>193</v>
          </cell>
          <cell r="G459">
            <v>521</v>
          </cell>
          <cell r="H459">
            <v>1705.7</v>
          </cell>
          <cell r="I459">
            <v>2349.87</v>
          </cell>
          <cell r="J459">
            <v>92285</v>
          </cell>
          <cell r="K459" t="str">
            <v>MP</v>
          </cell>
        </row>
        <row r="460">
          <cell r="A460">
            <v>991329</v>
          </cell>
          <cell r="C460">
            <v>10702</v>
          </cell>
          <cell r="D460">
            <v>34</v>
          </cell>
          <cell r="E460">
            <v>457</v>
          </cell>
          <cell r="F460">
            <v>737</v>
          </cell>
          <cell r="G460">
            <v>2565</v>
          </cell>
          <cell r="H460">
            <v>14496.56</v>
          </cell>
          <cell r="I460">
            <v>11368.07</v>
          </cell>
          <cell r="J460">
            <v>92233</v>
          </cell>
          <cell r="K460" t="str">
            <v>MP</v>
          </cell>
        </row>
        <row r="461">
          <cell r="A461">
            <v>991330</v>
          </cell>
          <cell r="C461">
            <v>63562</v>
          </cell>
          <cell r="D461">
            <v>241</v>
          </cell>
          <cell r="E461">
            <v>552</v>
          </cell>
          <cell r="F461">
            <v>3381</v>
          </cell>
          <cell r="G461">
            <v>16669</v>
          </cell>
          <cell r="H461">
            <v>84408.48</v>
          </cell>
          <cell r="I461">
            <v>84154.43</v>
          </cell>
          <cell r="J461">
            <v>92315</v>
          </cell>
          <cell r="K461" t="str">
            <v>MP</v>
          </cell>
        </row>
        <row r="462">
          <cell r="A462">
            <v>991331</v>
          </cell>
          <cell r="C462">
            <v>1179</v>
          </cell>
          <cell r="D462">
            <v>44</v>
          </cell>
          <cell r="E462">
            <v>450</v>
          </cell>
          <cell r="F462">
            <v>326</v>
          </cell>
          <cell r="G462">
            <v>1365</v>
          </cell>
          <cell r="H462">
            <v>3366.31</v>
          </cell>
          <cell r="I462">
            <v>6553.68</v>
          </cell>
          <cell r="J462">
            <v>92251</v>
          </cell>
          <cell r="K462" t="str">
            <v>MP</v>
          </cell>
        </row>
        <row r="463">
          <cell r="A463">
            <v>991332</v>
          </cell>
          <cell r="C463">
            <v>218</v>
          </cell>
          <cell r="D463">
            <v>29</v>
          </cell>
          <cell r="E463">
            <v>457</v>
          </cell>
          <cell r="F463">
            <v>425</v>
          </cell>
          <cell r="G463">
            <v>1314</v>
          </cell>
          <cell r="H463">
            <v>2445.48</v>
          </cell>
          <cell r="I463">
            <v>10227.84</v>
          </cell>
          <cell r="J463">
            <v>90379</v>
          </cell>
          <cell r="K463" t="str">
            <v>MP</v>
          </cell>
        </row>
        <row r="464">
          <cell r="A464">
            <v>991333</v>
          </cell>
          <cell r="C464">
            <v>339</v>
          </cell>
          <cell r="D464">
            <v>3</v>
          </cell>
          <cell r="E464">
            <v>444</v>
          </cell>
          <cell r="F464">
            <v>145</v>
          </cell>
          <cell r="G464">
            <v>117</v>
          </cell>
          <cell r="H464">
            <v>1050.96</v>
          </cell>
          <cell r="I464">
            <v>313.83999999999997</v>
          </cell>
          <cell r="J464">
            <v>91262</v>
          </cell>
          <cell r="K464" t="str">
            <v>MP</v>
          </cell>
        </row>
        <row r="465">
          <cell r="A465">
            <v>991334</v>
          </cell>
          <cell r="C465">
            <v>400</v>
          </cell>
          <cell r="D465">
            <v>5</v>
          </cell>
          <cell r="E465">
            <v>444</v>
          </cell>
          <cell r="F465">
            <v>159</v>
          </cell>
          <cell r="G465">
            <v>233</v>
          </cell>
          <cell r="H465">
            <v>1243.2</v>
          </cell>
          <cell r="I465">
            <v>941.51</v>
          </cell>
          <cell r="J465">
            <v>91262</v>
          </cell>
          <cell r="K465" t="str">
            <v>MP</v>
          </cell>
        </row>
        <row r="466">
          <cell r="A466">
            <v>991335</v>
          </cell>
          <cell r="C466">
            <v>199</v>
          </cell>
          <cell r="D466">
            <v>2</v>
          </cell>
          <cell r="E466">
            <v>450</v>
          </cell>
          <cell r="F466">
            <v>150</v>
          </cell>
          <cell r="G466">
            <v>107</v>
          </cell>
          <cell r="H466">
            <v>911.36</v>
          </cell>
          <cell r="I466">
            <v>708.32</v>
          </cell>
          <cell r="J466">
            <v>90219</v>
          </cell>
          <cell r="K466" t="str">
            <v>MP</v>
          </cell>
        </row>
        <row r="467">
          <cell r="A467">
            <v>991336</v>
          </cell>
          <cell r="C467">
            <v>180</v>
          </cell>
          <cell r="D467">
            <v>2</v>
          </cell>
          <cell r="E467">
            <v>444</v>
          </cell>
          <cell r="F467">
            <v>152</v>
          </cell>
          <cell r="G467">
            <v>129</v>
          </cell>
          <cell r="H467">
            <v>910.17</v>
          </cell>
          <cell r="I467">
            <v>865.01</v>
          </cell>
          <cell r="J467">
            <v>91919</v>
          </cell>
          <cell r="K467" t="str">
            <v>MP</v>
          </cell>
        </row>
        <row r="468">
          <cell r="A468">
            <v>991337</v>
          </cell>
          <cell r="C468">
            <v>203</v>
          </cell>
          <cell r="D468">
            <v>22</v>
          </cell>
          <cell r="E468">
            <v>555</v>
          </cell>
          <cell r="F468">
            <v>326</v>
          </cell>
          <cell r="G468">
            <v>1291</v>
          </cell>
          <cell r="H468">
            <v>2399.4499999999998</v>
          </cell>
          <cell r="I468">
            <v>7519.59</v>
          </cell>
          <cell r="J468">
            <v>90379</v>
          </cell>
          <cell r="K468" t="str">
            <v>MP</v>
          </cell>
        </row>
        <row r="469">
          <cell r="A469">
            <v>991338</v>
          </cell>
          <cell r="C469">
            <v>180</v>
          </cell>
          <cell r="D469">
            <v>9</v>
          </cell>
          <cell r="E469">
            <v>444</v>
          </cell>
          <cell r="F469">
            <v>203</v>
          </cell>
          <cell r="G469">
            <v>441</v>
          </cell>
          <cell r="H469">
            <v>1279.04</v>
          </cell>
          <cell r="I469">
            <v>3409.28</v>
          </cell>
          <cell r="J469">
            <v>90468</v>
          </cell>
          <cell r="K469" t="str">
            <v>MP</v>
          </cell>
        </row>
        <row r="470">
          <cell r="A470">
            <v>991340</v>
          </cell>
          <cell r="C470">
            <v>181</v>
          </cell>
          <cell r="D470">
            <v>72</v>
          </cell>
          <cell r="E470">
            <v>557</v>
          </cell>
          <cell r="F470">
            <v>769</v>
          </cell>
          <cell r="G470">
            <v>3197</v>
          </cell>
          <cell r="H470">
            <v>4778.41</v>
          </cell>
          <cell r="I470">
            <v>25876.44</v>
          </cell>
          <cell r="J470">
            <v>91670</v>
          </cell>
          <cell r="K470" t="str">
            <v>MP</v>
          </cell>
        </row>
        <row r="471">
          <cell r="A471">
            <v>991341</v>
          </cell>
          <cell r="C471">
            <v>159</v>
          </cell>
          <cell r="D471">
            <v>6</v>
          </cell>
          <cell r="E471">
            <v>450</v>
          </cell>
          <cell r="F471">
            <v>155</v>
          </cell>
          <cell r="G471">
            <v>147</v>
          </cell>
          <cell r="H471">
            <v>920.41</v>
          </cell>
          <cell r="I471">
            <v>1007.87</v>
          </cell>
          <cell r="J471">
            <v>90097</v>
          </cell>
          <cell r="K471" t="str">
            <v>MP</v>
          </cell>
        </row>
        <row r="472">
          <cell r="A472">
            <v>991343</v>
          </cell>
          <cell r="C472">
            <v>690</v>
          </cell>
          <cell r="D472">
            <v>88</v>
          </cell>
          <cell r="E472">
            <v>481</v>
          </cell>
          <cell r="F472">
            <v>581</v>
          </cell>
          <cell r="G472">
            <v>3033</v>
          </cell>
          <cell r="H472">
            <v>4875.3900000000003</v>
          </cell>
          <cell r="I472">
            <v>14745.45</v>
          </cell>
          <cell r="J472">
            <v>92088</v>
          </cell>
          <cell r="K472" t="str">
            <v>MP</v>
          </cell>
        </row>
        <row r="473">
          <cell r="A473">
            <v>991345</v>
          </cell>
          <cell r="C473">
            <v>1858</v>
          </cell>
          <cell r="D473">
            <v>91</v>
          </cell>
          <cell r="E473">
            <v>563</v>
          </cell>
          <cell r="F473">
            <v>630</v>
          </cell>
          <cell r="G473">
            <v>3163</v>
          </cell>
          <cell r="H473">
            <v>6307.24</v>
          </cell>
          <cell r="I473">
            <v>16938.78</v>
          </cell>
          <cell r="J473">
            <v>92003</v>
          </cell>
          <cell r="K473" t="str">
            <v>MP</v>
          </cell>
        </row>
        <row r="474">
          <cell r="A474">
            <v>991346</v>
          </cell>
          <cell r="C474">
            <v>483</v>
          </cell>
          <cell r="D474">
            <v>22</v>
          </cell>
          <cell r="E474">
            <v>451</v>
          </cell>
          <cell r="F474">
            <v>224</v>
          </cell>
          <cell r="G474">
            <v>784</v>
          </cell>
          <cell r="H474">
            <v>1967.27</v>
          </cell>
          <cell r="I474">
            <v>3922.05</v>
          </cell>
          <cell r="J474">
            <v>91975</v>
          </cell>
          <cell r="K474" t="str">
            <v>MP</v>
          </cell>
        </row>
        <row r="475">
          <cell r="A475">
            <v>991347</v>
          </cell>
          <cell r="C475">
            <v>370</v>
          </cell>
          <cell r="D475">
            <v>18</v>
          </cell>
          <cell r="E475">
            <v>450</v>
          </cell>
          <cell r="F475">
            <v>208</v>
          </cell>
          <cell r="G475">
            <v>642</v>
          </cell>
          <cell r="H475">
            <v>1690.68</v>
          </cell>
          <cell r="I475">
            <v>3387.97</v>
          </cell>
          <cell r="J475">
            <v>92090</v>
          </cell>
          <cell r="K475" t="str">
            <v>MP</v>
          </cell>
        </row>
        <row r="476">
          <cell r="A476">
            <v>991348</v>
          </cell>
          <cell r="C476">
            <v>297</v>
          </cell>
          <cell r="D476">
            <v>3</v>
          </cell>
          <cell r="E476">
            <v>450</v>
          </cell>
          <cell r="F476">
            <v>146</v>
          </cell>
          <cell r="G476">
            <v>110</v>
          </cell>
          <cell r="H476">
            <v>1010.07</v>
          </cell>
          <cell r="I476">
            <v>394.16</v>
          </cell>
          <cell r="J476">
            <v>92350</v>
          </cell>
          <cell r="K476" t="str">
            <v>MP</v>
          </cell>
        </row>
        <row r="477">
          <cell r="A477">
            <v>991349</v>
          </cell>
          <cell r="C477">
            <v>808</v>
          </cell>
          <cell r="D477">
            <v>45</v>
          </cell>
          <cell r="E477">
            <v>451</v>
          </cell>
          <cell r="F477">
            <v>598</v>
          </cell>
          <cell r="G477">
            <v>2888</v>
          </cell>
          <cell r="H477">
            <v>4792.4799999999996</v>
          </cell>
          <cell r="I477">
            <v>15736.87</v>
          </cell>
          <cell r="J477">
            <v>91934</v>
          </cell>
          <cell r="K477" t="str">
            <v>MP</v>
          </cell>
        </row>
        <row r="478">
          <cell r="A478">
            <v>991350</v>
          </cell>
          <cell r="C478">
            <v>175</v>
          </cell>
          <cell r="D478">
            <v>37</v>
          </cell>
          <cell r="E478">
            <v>444</v>
          </cell>
          <cell r="F478">
            <v>523</v>
          </cell>
          <cell r="G478">
            <v>2257</v>
          </cell>
          <cell r="H478">
            <v>3438.66</v>
          </cell>
          <cell r="I478">
            <v>13424.04</v>
          </cell>
          <cell r="J478">
            <v>90685</v>
          </cell>
          <cell r="K478" t="str">
            <v>MP</v>
          </cell>
        </row>
        <row r="479">
          <cell r="A479">
            <v>991351</v>
          </cell>
          <cell r="C479">
            <v>207</v>
          </cell>
          <cell r="D479">
            <v>0</v>
          </cell>
          <cell r="E479">
            <v>451</v>
          </cell>
          <cell r="F479">
            <v>140</v>
          </cell>
          <cell r="G479">
            <v>68</v>
          </cell>
          <cell r="H479">
            <v>868.17</v>
          </cell>
          <cell r="I479">
            <v>184.34</v>
          </cell>
          <cell r="J479">
            <v>91799</v>
          </cell>
          <cell r="K479" t="str">
            <v>MP</v>
          </cell>
        </row>
        <row r="480">
          <cell r="A480">
            <v>991352</v>
          </cell>
          <cell r="C480">
            <v>148</v>
          </cell>
          <cell r="D480">
            <v>215</v>
          </cell>
          <cell r="E480">
            <v>555</v>
          </cell>
          <cell r="F480">
            <v>1044</v>
          </cell>
          <cell r="G480">
            <v>4907</v>
          </cell>
          <cell r="H480">
            <v>6871.6</v>
          </cell>
          <cell r="I480">
            <v>40576</v>
          </cell>
          <cell r="J480">
            <v>92370</v>
          </cell>
          <cell r="K480" t="str">
            <v>MP</v>
          </cell>
        </row>
        <row r="481">
          <cell r="A481">
            <v>991355</v>
          </cell>
          <cell r="C481">
            <v>185</v>
          </cell>
          <cell r="D481">
            <v>1</v>
          </cell>
          <cell r="E481">
            <v>457</v>
          </cell>
          <cell r="F481">
            <v>147</v>
          </cell>
          <cell r="G481">
            <v>94</v>
          </cell>
          <cell r="H481">
            <v>886.19</v>
          </cell>
          <cell r="I481">
            <v>553.62</v>
          </cell>
          <cell r="J481">
            <v>90236</v>
          </cell>
          <cell r="K481" t="str">
            <v>MP</v>
          </cell>
        </row>
        <row r="482">
          <cell r="A482">
            <v>991356</v>
          </cell>
          <cell r="C482">
            <v>517</v>
          </cell>
          <cell r="D482">
            <v>17</v>
          </cell>
          <cell r="E482">
            <v>451</v>
          </cell>
          <cell r="F482">
            <v>270</v>
          </cell>
          <cell r="G482">
            <v>1242</v>
          </cell>
          <cell r="H482">
            <v>2500.11</v>
          </cell>
          <cell r="I482">
            <v>6191.04</v>
          </cell>
          <cell r="J482">
            <v>90506</v>
          </cell>
          <cell r="K482" t="str">
            <v>MP</v>
          </cell>
        </row>
        <row r="483">
          <cell r="A483">
            <v>991358</v>
          </cell>
          <cell r="C483">
            <v>287</v>
          </cell>
          <cell r="D483">
            <v>0</v>
          </cell>
          <cell r="E483">
            <v>555</v>
          </cell>
          <cell r="F483">
            <v>139</v>
          </cell>
          <cell r="G483">
            <v>59</v>
          </cell>
          <cell r="H483">
            <v>1041.76</v>
          </cell>
          <cell r="I483">
            <v>28.14</v>
          </cell>
          <cell r="J483">
            <v>91250</v>
          </cell>
          <cell r="K483" t="str">
            <v>MP</v>
          </cell>
        </row>
        <row r="484">
          <cell r="A484">
            <v>991359</v>
          </cell>
          <cell r="C484">
            <v>294</v>
          </cell>
          <cell r="D484">
            <v>18</v>
          </cell>
          <cell r="E484">
            <v>450</v>
          </cell>
          <cell r="F484">
            <v>198</v>
          </cell>
          <cell r="G484">
            <v>565</v>
          </cell>
          <cell r="H484">
            <v>1528.55</v>
          </cell>
          <cell r="I484">
            <v>3063.05</v>
          </cell>
          <cell r="J484">
            <v>92199</v>
          </cell>
          <cell r="K484" t="str">
            <v>MP</v>
          </cell>
        </row>
        <row r="485">
          <cell r="A485">
            <v>991360</v>
          </cell>
          <cell r="C485">
            <v>287</v>
          </cell>
          <cell r="D485">
            <v>144</v>
          </cell>
          <cell r="E485">
            <v>555</v>
          </cell>
          <cell r="F485">
            <v>788</v>
          </cell>
          <cell r="G485">
            <v>3311</v>
          </cell>
          <cell r="H485">
            <v>5087.0600000000004</v>
          </cell>
          <cell r="I485">
            <v>27145.34</v>
          </cell>
          <cell r="J485">
            <v>92343</v>
          </cell>
          <cell r="K485" t="str">
            <v>MP</v>
          </cell>
        </row>
        <row r="486">
          <cell r="A486">
            <v>991361</v>
          </cell>
          <cell r="C486">
            <v>2480</v>
          </cell>
          <cell r="D486">
            <v>475</v>
          </cell>
          <cell r="E486">
            <v>555</v>
          </cell>
          <cell r="F486">
            <v>2016</v>
          </cell>
          <cell r="G486">
            <v>11610</v>
          </cell>
          <cell r="H486">
            <v>17138.48</v>
          </cell>
          <cell r="I486">
            <v>99456.39</v>
          </cell>
          <cell r="J486">
            <v>92076</v>
          </cell>
          <cell r="K486" t="str">
            <v>MP</v>
          </cell>
        </row>
        <row r="487">
          <cell r="A487">
            <v>991362</v>
          </cell>
          <cell r="C487">
            <v>185</v>
          </cell>
          <cell r="D487">
            <v>39</v>
          </cell>
          <cell r="E487">
            <v>451</v>
          </cell>
          <cell r="F487">
            <v>535</v>
          </cell>
          <cell r="G487">
            <v>1739</v>
          </cell>
          <cell r="H487">
            <v>2951.19</v>
          </cell>
          <cell r="I487">
            <v>13379.9</v>
          </cell>
          <cell r="J487">
            <v>91147</v>
          </cell>
          <cell r="K487" t="str">
            <v>MP</v>
          </cell>
        </row>
        <row r="488">
          <cell r="A488">
            <v>991363</v>
          </cell>
          <cell r="C488">
            <v>3876</v>
          </cell>
          <cell r="D488">
            <v>1287</v>
          </cell>
          <cell r="E488">
            <v>457</v>
          </cell>
          <cell r="F488">
            <v>2598</v>
          </cell>
          <cell r="G488">
            <v>29282</v>
          </cell>
          <cell r="H488">
            <v>37502.720000000001</v>
          </cell>
          <cell r="I488">
            <v>212533.72</v>
          </cell>
          <cell r="J488">
            <v>90503</v>
          </cell>
          <cell r="K488" t="str">
            <v>MP</v>
          </cell>
        </row>
        <row r="489">
          <cell r="A489">
            <v>991364</v>
          </cell>
          <cell r="C489">
            <v>565</v>
          </cell>
          <cell r="D489">
            <v>31</v>
          </cell>
          <cell r="E489">
            <v>457</v>
          </cell>
          <cell r="F489">
            <v>444</v>
          </cell>
          <cell r="G489">
            <v>1783</v>
          </cell>
          <cell r="H489">
            <v>3282.75</v>
          </cell>
          <cell r="I489">
            <v>10275.01</v>
          </cell>
          <cell r="J489">
            <v>93008</v>
          </cell>
          <cell r="K489" t="str">
            <v>MP</v>
          </cell>
        </row>
        <row r="490">
          <cell r="A490">
            <v>991365</v>
          </cell>
          <cell r="C490">
            <v>308</v>
          </cell>
          <cell r="D490">
            <v>11</v>
          </cell>
          <cell r="E490">
            <v>478</v>
          </cell>
          <cell r="F490">
            <v>174</v>
          </cell>
          <cell r="G490">
            <v>357</v>
          </cell>
          <cell r="H490">
            <v>1329.43</v>
          </cell>
          <cell r="I490">
            <v>1640.72</v>
          </cell>
          <cell r="J490">
            <v>92336</v>
          </cell>
          <cell r="K490" t="str">
            <v>MP</v>
          </cell>
        </row>
        <row r="491">
          <cell r="A491">
            <v>991366</v>
          </cell>
          <cell r="C491">
            <v>2399</v>
          </cell>
          <cell r="D491">
            <v>46</v>
          </cell>
          <cell r="E491">
            <v>457</v>
          </cell>
          <cell r="F491">
            <v>578</v>
          </cell>
          <cell r="G491">
            <v>1720</v>
          </cell>
          <cell r="H491">
            <v>5202.2</v>
          </cell>
          <cell r="I491">
            <v>12699.76</v>
          </cell>
          <cell r="J491">
            <v>92253</v>
          </cell>
          <cell r="K491" t="str">
            <v>MP</v>
          </cell>
        </row>
        <row r="492">
          <cell r="A492">
            <v>991367</v>
          </cell>
          <cell r="C492">
            <v>104</v>
          </cell>
          <cell r="D492">
            <v>7</v>
          </cell>
          <cell r="E492">
            <v>557</v>
          </cell>
          <cell r="F492">
            <v>186</v>
          </cell>
          <cell r="G492">
            <v>336</v>
          </cell>
          <cell r="H492">
            <v>1191.8699999999999</v>
          </cell>
          <cell r="I492">
            <v>1894.16</v>
          </cell>
          <cell r="J492">
            <v>92166</v>
          </cell>
          <cell r="K492" t="str">
            <v>MP</v>
          </cell>
        </row>
        <row r="493">
          <cell r="A493">
            <v>991371</v>
          </cell>
          <cell r="C493">
            <v>111</v>
          </cell>
          <cell r="D493">
            <v>5</v>
          </cell>
          <cell r="E493">
            <v>444</v>
          </cell>
          <cell r="F493">
            <v>168</v>
          </cell>
          <cell r="G493">
            <v>296</v>
          </cell>
          <cell r="H493">
            <v>1025.6099999999999</v>
          </cell>
          <cell r="I493">
            <v>1625.28</v>
          </cell>
          <cell r="J493">
            <v>91262</v>
          </cell>
          <cell r="K493" t="str">
            <v>MP</v>
          </cell>
        </row>
        <row r="494">
          <cell r="A494">
            <v>991372</v>
          </cell>
          <cell r="C494">
            <v>214</v>
          </cell>
          <cell r="D494">
            <v>9</v>
          </cell>
          <cell r="E494">
            <v>555</v>
          </cell>
          <cell r="F494">
            <v>166</v>
          </cell>
          <cell r="G494">
            <v>329</v>
          </cell>
          <cell r="H494">
            <v>1275.78</v>
          </cell>
          <cell r="I494">
            <v>1654.57</v>
          </cell>
          <cell r="J494">
            <v>91162</v>
          </cell>
          <cell r="K494" t="str">
            <v>MP</v>
          </cell>
        </row>
        <row r="495">
          <cell r="A495">
            <v>991374</v>
          </cell>
          <cell r="C495">
            <v>17535</v>
          </cell>
          <cell r="D495">
            <v>389</v>
          </cell>
          <cell r="E495">
            <v>451</v>
          </cell>
          <cell r="F495">
            <v>2985</v>
          </cell>
          <cell r="G495">
            <v>14554</v>
          </cell>
          <cell r="H495">
            <v>35916.57</v>
          </cell>
          <cell r="I495">
            <v>104486.34</v>
          </cell>
          <cell r="J495">
            <v>91996</v>
          </cell>
          <cell r="K495" t="str">
            <v>MP</v>
          </cell>
        </row>
        <row r="496">
          <cell r="A496">
            <v>991375</v>
          </cell>
          <cell r="C496">
            <v>17563</v>
          </cell>
          <cell r="D496">
            <v>303</v>
          </cell>
          <cell r="E496">
            <v>557</v>
          </cell>
          <cell r="F496">
            <v>1760</v>
          </cell>
          <cell r="G496">
            <v>8025</v>
          </cell>
          <cell r="H496">
            <v>28211.45</v>
          </cell>
          <cell r="I496">
            <v>50149.03</v>
          </cell>
          <cell r="J496">
            <v>91996</v>
          </cell>
          <cell r="K496" t="str">
            <v>MP</v>
          </cell>
        </row>
        <row r="497">
          <cell r="A497">
            <v>991376</v>
          </cell>
          <cell r="C497">
            <v>8812</v>
          </cell>
          <cell r="D497">
            <v>93</v>
          </cell>
          <cell r="E497">
            <v>447</v>
          </cell>
          <cell r="F497">
            <v>797</v>
          </cell>
          <cell r="G497">
            <v>2886</v>
          </cell>
          <cell r="H497">
            <v>13037.46</v>
          </cell>
          <cell r="I497">
            <v>15472.48</v>
          </cell>
          <cell r="J497">
            <v>91996</v>
          </cell>
          <cell r="K497" t="str">
            <v>MP</v>
          </cell>
        </row>
        <row r="498">
          <cell r="A498">
            <v>991377</v>
          </cell>
          <cell r="C498">
            <v>8880</v>
          </cell>
          <cell r="D498">
            <v>107</v>
          </cell>
          <cell r="E498">
            <v>444</v>
          </cell>
          <cell r="F498">
            <v>1007</v>
          </cell>
          <cell r="G498">
            <v>4007</v>
          </cell>
          <cell r="H498">
            <v>14447.06</v>
          </cell>
          <cell r="I498">
            <v>25074.51</v>
          </cell>
          <cell r="J498">
            <v>91996</v>
          </cell>
          <cell r="K498" t="str">
            <v>MP</v>
          </cell>
        </row>
        <row r="499">
          <cell r="A499">
            <v>991378</v>
          </cell>
          <cell r="C499">
            <v>16987</v>
          </cell>
          <cell r="D499">
            <v>374</v>
          </cell>
          <cell r="E499">
            <v>557</v>
          </cell>
          <cell r="F499">
            <v>1630</v>
          </cell>
          <cell r="G499">
            <v>7300</v>
          </cell>
          <cell r="H499">
            <v>26850.69</v>
          </cell>
          <cell r="I499">
            <v>44487</v>
          </cell>
          <cell r="J499">
            <v>91996</v>
          </cell>
          <cell r="K499" t="str">
            <v>MP</v>
          </cell>
        </row>
        <row r="500">
          <cell r="A500">
            <v>991379</v>
          </cell>
          <cell r="C500">
            <v>4426</v>
          </cell>
          <cell r="D500">
            <v>54</v>
          </cell>
          <cell r="E500">
            <v>450</v>
          </cell>
          <cell r="F500">
            <v>640</v>
          </cell>
          <cell r="G500">
            <v>2050</v>
          </cell>
          <cell r="H500">
            <v>7623.28</v>
          </cell>
          <cell r="I500">
            <v>12991.17</v>
          </cell>
          <cell r="J500">
            <v>92304</v>
          </cell>
          <cell r="K500" t="str">
            <v>MP</v>
          </cell>
        </row>
        <row r="501">
          <cell r="A501">
            <v>991380</v>
          </cell>
          <cell r="C501">
            <v>166</v>
          </cell>
          <cell r="D501">
            <v>16</v>
          </cell>
          <cell r="E501">
            <v>555</v>
          </cell>
          <cell r="F501">
            <v>249</v>
          </cell>
          <cell r="G501">
            <v>991</v>
          </cell>
          <cell r="H501">
            <v>1979.35</v>
          </cell>
          <cell r="I501">
            <v>5717.98</v>
          </cell>
          <cell r="J501">
            <v>91978</v>
          </cell>
          <cell r="K501" t="str">
            <v>MP</v>
          </cell>
        </row>
        <row r="502">
          <cell r="A502">
            <v>991381</v>
          </cell>
          <cell r="C502">
            <v>207</v>
          </cell>
          <cell r="D502">
            <v>1</v>
          </cell>
          <cell r="E502">
            <v>450</v>
          </cell>
          <cell r="F502">
            <v>149</v>
          </cell>
          <cell r="G502">
            <v>106</v>
          </cell>
          <cell r="H502">
            <v>915.56</v>
          </cell>
          <cell r="I502">
            <v>618.04999999999995</v>
          </cell>
          <cell r="J502">
            <v>92233</v>
          </cell>
          <cell r="K502" t="str">
            <v>MP</v>
          </cell>
        </row>
        <row r="503">
          <cell r="A503">
            <v>991382</v>
          </cell>
          <cell r="C503">
            <v>148</v>
          </cell>
          <cell r="D503">
            <v>201</v>
          </cell>
          <cell r="E503">
            <v>444</v>
          </cell>
          <cell r="F503">
            <v>1679</v>
          </cell>
          <cell r="G503">
            <v>12018</v>
          </cell>
          <cell r="H503">
            <v>14491.86</v>
          </cell>
          <cell r="I503">
            <v>71400.800000000003</v>
          </cell>
          <cell r="J503">
            <v>91980</v>
          </cell>
          <cell r="K503" t="str">
            <v>MP</v>
          </cell>
        </row>
        <row r="504">
          <cell r="A504">
            <v>991383</v>
          </cell>
          <cell r="C504">
            <v>171</v>
          </cell>
          <cell r="D504">
            <v>4</v>
          </cell>
          <cell r="E504">
            <v>457</v>
          </cell>
          <cell r="F504">
            <v>170</v>
          </cell>
          <cell r="G504">
            <v>239</v>
          </cell>
          <cell r="H504">
            <v>1043.51</v>
          </cell>
          <cell r="I504">
            <v>1692.27</v>
          </cell>
          <cell r="J504">
            <v>91974</v>
          </cell>
          <cell r="K504" t="str">
            <v>MP</v>
          </cell>
        </row>
        <row r="505">
          <cell r="A505">
            <v>991386</v>
          </cell>
          <cell r="C505">
            <v>204</v>
          </cell>
          <cell r="D505">
            <v>34</v>
          </cell>
          <cell r="E505">
            <v>557</v>
          </cell>
          <cell r="F505">
            <v>265</v>
          </cell>
          <cell r="G505">
            <v>814</v>
          </cell>
          <cell r="H505">
            <v>1877.48</v>
          </cell>
          <cell r="I505">
            <v>6306.6</v>
          </cell>
          <cell r="J505">
            <v>90463</v>
          </cell>
          <cell r="K505" t="str">
            <v>MP</v>
          </cell>
        </row>
        <row r="506">
          <cell r="A506">
            <v>991387</v>
          </cell>
          <cell r="C506">
            <v>792</v>
          </cell>
          <cell r="D506">
            <v>14</v>
          </cell>
          <cell r="E506">
            <v>450</v>
          </cell>
          <cell r="F506">
            <v>203</v>
          </cell>
          <cell r="G506">
            <v>605</v>
          </cell>
          <cell r="H506">
            <v>2067.77</v>
          </cell>
          <cell r="I506">
            <v>2614.5</v>
          </cell>
          <cell r="J506">
            <v>91262</v>
          </cell>
          <cell r="K506" t="str">
            <v>MP</v>
          </cell>
        </row>
        <row r="507">
          <cell r="A507">
            <v>991388</v>
          </cell>
          <cell r="C507">
            <v>236</v>
          </cell>
          <cell r="D507">
            <v>7</v>
          </cell>
          <cell r="E507">
            <v>557</v>
          </cell>
          <cell r="F507">
            <v>163</v>
          </cell>
          <cell r="G507">
            <v>183</v>
          </cell>
          <cell r="H507">
            <v>1148.8800000000001</v>
          </cell>
          <cell r="I507">
            <v>1336.79</v>
          </cell>
          <cell r="J507">
            <v>92334</v>
          </cell>
          <cell r="K507" t="str">
            <v>MP</v>
          </cell>
        </row>
        <row r="508">
          <cell r="A508">
            <v>991389</v>
          </cell>
          <cell r="C508">
            <v>180</v>
          </cell>
          <cell r="D508">
            <v>26</v>
          </cell>
          <cell r="E508">
            <v>444</v>
          </cell>
          <cell r="F508">
            <v>377</v>
          </cell>
          <cell r="G508">
            <v>1164</v>
          </cell>
          <cell r="H508">
            <v>2192.71</v>
          </cell>
          <cell r="I508">
            <v>9202.59</v>
          </cell>
          <cell r="J508">
            <v>90496</v>
          </cell>
          <cell r="K508" t="str">
            <v>MP</v>
          </cell>
        </row>
        <row r="509">
          <cell r="A509">
            <v>991391</v>
          </cell>
          <cell r="C509">
            <v>209</v>
          </cell>
          <cell r="D509">
            <v>32</v>
          </cell>
          <cell r="E509">
            <v>457</v>
          </cell>
          <cell r="F509">
            <v>474</v>
          </cell>
          <cell r="G509">
            <v>1471</v>
          </cell>
          <cell r="H509">
            <v>2645.95</v>
          </cell>
          <cell r="I509">
            <v>11330.86</v>
          </cell>
          <cell r="J509">
            <v>91982</v>
          </cell>
          <cell r="K509" t="str">
            <v>MP</v>
          </cell>
        </row>
        <row r="510">
          <cell r="A510">
            <v>991393</v>
          </cell>
          <cell r="C510">
            <v>2824</v>
          </cell>
          <cell r="D510">
            <v>355</v>
          </cell>
          <cell r="E510">
            <v>552</v>
          </cell>
          <cell r="F510">
            <v>1572</v>
          </cell>
          <cell r="G510">
            <v>8779</v>
          </cell>
          <cell r="H510">
            <v>14086.17</v>
          </cell>
          <cell r="I510">
            <v>63108.959999999999</v>
          </cell>
          <cell r="J510">
            <v>92347</v>
          </cell>
          <cell r="K510" t="str">
            <v>MP</v>
          </cell>
        </row>
        <row r="511">
          <cell r="A511">
            <v>991394</v>
          </cell>
          <cell r="C511">
            <v>289</v>
          </cell>
          <cell r="D511">
            <v>31</v>
          </cell>
          <cell r="E511">
            <v>555</v>
          </cell>
          <cell r="F511">
            <v>248</v>
          </cell>
          <cell r="G511">
            <v>1036</v>
          </cell>
          <cell r="H511">
            <v>2162.61</v>
          </cell>
          <cell r="I511">
            <v>5446.25</v>
          </cell>
          <cell r="J511">
            <v>91163</v>
          </cell>
          <cell r="K511" t="str">
            <v>MP</v>
          </cell>
        </row>
        <row r="512">
          <cell r="A512">
            <v>991395</v>
          </cell>
          <cell r="C512">
            <v>474</v>
          </cell>
          <cell r="D512">
            <v>36</v>
          </cell>
          <cell r="E512">
            <v>444</v>
          </cell>
          <cell r="F512">
            <v>292</v>
          </cell>
          <cell r="G512">
            <v>1152</v>
          </cell>
          <cell r="H512">
            <v>2400.64</v>
          </cell>
          <cell r="I512">
            <v>6813.92</v>
          </cell>
          <cell r="J512">
            <v>92093</v>
          </cell>
          <cell r="K512" t="str">
            <v>MP</v>
          </cell>
        </row>
        <row r="513">
          <cell r="A513">
            <v>991396</v>
          </cell>
          <cell r="C513">
            <v>253</v>
          </cell>
          <cell r="D513">
            <v>8</v>
          </cell>
          <cell r="E513">
            <v>457</v>
          </cell>
          <cell r="F513">
            <v>167</v>
          </cell>
          <cell r="G513">
            <v>301</v>
          </cell>
          <cell r="H513">
            <v>1188.4000000000001</v>
          </cell>
          <cell r="I513">
            <v>1387.41</v>
          </cell>
          <cell r="J513">
            <v>92309</v>
          </cell>
          <cell r="K513" t="str">
            <v>MP</v>
          </cell>
        </row>
        <row r="514">
          <cell r="A514">
            <v>991397</v>
          </cell>
          <cell r="C514">
            <v>73</v>
          </cell>
          <cell r="D514">
            <v>0</v>
          </cell>
          <cell r="E514">
            <v>450</v>
          </cell>
          <cell r="F514">
            <v>135</v>
          </cell>
          <cell r="G514">
            <v>78</v>
          </cell>
          <cell r="H514">
            <v>737.22</v>
          </cell>
          <cell r="I514">
            <v>390.02</v>
          </cell>
          <cell r="J514">
            <v>92350</v>
          </cell>
          <cell r="K514" t="str">
            <v>MP</v>
          </cell>
        </row>
        <row r="515">
          <cell r="A515">
            <v>991399</v>
          </cell>
          <cell r="C515">
            <v>1192</v>
          </cell>
          <cell r="D515">
            <v>23</v>
          </cell>
          <cell r="E515">
            <v>457</v>
          </cell>
          <cell r="F515">
            <v>386</v>
          </cell>
          <cell r="G515">
            <v>1618</v>
          </cell>
          <cell r="H515">
            <v>3678.41</v>
          </cell>
          <cell r="I515">
            <v>7715.46</v>
          </cell>
          <cell r="J515">
            <v>92303</v>
          </cell>
          <cell r="K515" t="str">
            <v>MP</v>
          </cell>
        </row>
        <row r="516">
          <cell r="A516">
            <v>991401</v>
          </cell>
          <cell r="C516">
            <v>265</v>
          </cell>
          <cell r="D516">
            <v>8</v>
          </cell>
          <cell r="E516">
            <v>457</v>
          </cell>
          <cell r="F516">
            <v>167</v>
          </cell>
          <cell r="G516">
            <v>303</v>
          </cell>
          <cell r="H516">
            <v>1202.3499999999999</v>
          </cell>
          <cell r="I516">
            <v>1398.9</v>
          </cell>
          <cell r="J516">
            <v>92285</v>
          </cell>
          <cell r="K516" t="str">
            <v>MP</v>
          </cell>
        </row>
        <row r="517">
          <cell r="A517">
            <v>991402</v>
          </cell>
          <cell r="C517">
            <v>169</v>
          </cell>
          <cell r="D517">
            <v>46</v>
          </cell>
          <cell r="E517">
            <v>557</v>
          </cell>
          <cell r="F517">
            <v>353</v>
          </cell>
          <cell r="G517">
            <v>1089</v>
          </cell>
          <cell r="H517">
            <v>2217.44</v>
          </cell>
          <cell r="I517">
            <v>8256.0300000000007</v>
          </cell>
          <cell r="J517">
            <v>91841</v>
          </cell>
          <cell r="K517" t="str">
            <v>MP</v>
          </cell>
        </row>
        <row r="518">
          <cell r="A518">
            <v>991403</v>
          </cell>
          <cell r="C518">
            <v>164</v>
          </cell>
          <cell r="D518">
            <v>15</v>
          </cell>
          <cell r="E518">
            <v>557</v>
          </cell>
          <cell r="F518">
            <v>192</v>
          </cell>
          <cell r="G518">
            <v>403</v>
          </cell>
          <cell r="H518">
            <v>1333.65</v>
          </cell>
          <cell r="I518">
            <v>2717.28</v>
          </cell>
          <cell r="J518">
            <v>92282</v>
          </cell>
          <cell r="K518" t="str">
            <v>MP</v>
          </cell>
        </row>
        <row r="519">
          <cell r="A519">
            <v>991404</v>
          </cell>
          <cell r="C519">
            <v>2824</v>
          </cell>
          <cell r="D519">
            <v>50</v>
          </cell>
          <cell r="E519">
            <v>457</v>
          </cell>
          <cell r="F519">
            <v>670</v>
          </cell>
          <cell r="G519">
            <v>2208</v>
          </cell>
          <cell r="H519">
            <v>6210.11</v>
          </cell>
          <cell r="I519">
            <v>16832.66</v>
          </cell>
          <cell r="J519">
            <v>92316</v>
          </cell>
          <cell r="K519" t="str">
            <v>MP</v>
          </cell>
        </row>
        <row r="520">
          <cell r="A520">
            <v>991405</v>
          </cell>
          <cell r="C520">
            <v>6596</v>
          </cell>
          <cell r="D520">
            <v>45</v>
          </cell>
          <cell r="E520">
            <v>457</v>
          </cell>
          <cell r="F520">
            <v>570</v>
          </cell>
          <cell r="G520">
            <v>2936</v>
          </cell>
          <cell r="H520">
            <v>10606.81</v>
          </cell>
          <cell r="I520">
            <v>7719.12</v>
          </cell>
          <cell r="J520">
            <v>92315</v>
          </cell>
          <cell r="K520" t="str">
            <v>MP</v>
          </cell>
        </row>
        <row r="521">
          <cell r="A521">
            <v>991406</v>
          </cell>
          <cell r="C521">
            <v>17575</v>
          </cell>
          <cell r="D521">
            <v>228</v>
          </cell>
          <cell r="E521">
            <v>552</v>
          </cell>
          <cell r="F521">
            <v>1485</v>
          </cell>
          <cell r="G521">
            <v>7178</v>
          </cell>
          <cell r="H521">
            <v>27020.54</v>
          </cell>
          <cell r="I521">
            <v>41281.550000000003</v>
          </cell>
          <cell r="J521">
            <v>92287</v>
          </cell>
          <cell r="K521" t="str">
            <v>MP</v>
          </cell>
        </row>
        <row r="522">
          <cell r="A522">
            <v>991408</v>
          </cell>
          <cell r="C522">
            <v>706</v>
          </cell>
          <cell r="D522">
            <v>30</v>
          </cell>
          <cell r="E522">
            <v>457</v>
          </cell>
          <cell r="F522">
            <v>261</v>
          </cell>
          <cell r="G522">
            <v>685</v>
          </cell>
          <cell r="H522">
            <v>2141.36</v>
          </cell>
          <cell r="I522">
            <v>5253.41</v>
          </cell>
          <cell r="J522">
            <v>92251</v>
          </cell>
          <cell r="K522" t="str">
            <v>MP</v>
          </cell>
        </row>
        <row r="523">
          <cell r="A523">
            <v>991410</v>
          </cell>
          <cell r="C523">
            <v>224</v>
          </cell>
          <cell r="D523">
            <v>83</v>
          </cell>
          <cell r="E523">
            <v>557</v>
          </cell>
          <cell r="F523">
            <v>568</v>
          </cell>
          <cell r="G523">
            <v>2640</v>
          </cell>
          <cell r="H523">
            <v>4074.64</v>
          </cell>
          <cell r="I523">
            <v>14533.66</v>
          </cell>
          <cell r="J523">
            <v>91337</v>
          </cell>
          <cell r="K523" t="str">
            <v>MP</v>
          </cell>
        </row>
        <row r="524">
          <cell r="A524">
            <v>991411</v>
          </cell>
          <cell r="C524">
            <v>216</v>
          </cell>
          <cell r="D524">
            <v>6</v>
          </cell>
          <cell r="E524">
            <v>444</v>
          </cell>
          <cell r="F524">
            <v>160</v>
          </cell>
          <cell r="G524">
            <v>265</v>
          </cell>
          <cell r="H524">
            <v>1093.06</v>
          </cell>
          <cell r="I524">
            <v>1121.29</v>
          </cell>
          <cell r="J524">
            <v>90071</v>
          </cell>
          <cell r="K524" t="str">
            <v>MP</v>
          </cell>
        </row>
        <row r="525">
          <cell r="A525">
            <v>991413</v>
          </cell>
          <cell r="C525">
            <v>404</v>
          </cell>
          <cell r="D525">
            <v>111</v>
          </cell>
          <cell r="E525">
            <v>457</v>
          </cell>
          <cell r="F525">
            <v>669</v>
          </cell>
          <cell r="G525">
            <v>2391</v>
          </cell>
          <cell r="H525">
            <v>4034.42</v>
          </cell>
          <cell r="I525">
            <v>18583.91</v>
          </cell>
          <cell r="J525">
            <v>92109</v>
          </cell>
          <cell r="K525" t="str">
            <v>MP</v>
          </cell>
        </row>
        <row r="526">
          <cell r="A526">
            <v>991414</v>
          </cell>
          <cell r="C526">
            <v>223</v>
          </cell>
          <cell r="D526">
            <v>80</v>
          </cell>
          <cell r="E526">
            <v>457</v>
          </cell>
          <cell r="F526">
            <v>550</v>
          </cell>
          <cell r="G526">
            <v>1833</v>
          </cell>
          <cell r="H526">
            <v>3145.3</v>
          </cell>
          <cell r="I526">
            <v>13313.71</v>
          </cell>
          <cell r="J526">
            <v>90605</v>
          </cell>
          <cell r="K526" t="str">
            <v>MP</v>
          </cell>
        </row>
        <row r="527">
          <cell r="A527">
            <v>991415</v>
          </cell>
          <cell r="C527">
            <v>180</v>
          </cell>
          <cell r="D527">
            <v>2</v>
          </cell>
          <cell r="E527">
            <v>457</v>
          </cell>
          <cell r="F527">
            <v>140</v>
          </cell>
          <cell r="G527">
            <v>72</v>
          </cell>
          <cell r="H527">
            <v>853.84</v>
          </cell>
          <cell r="I527">
            <v>207.34</v>
          </cell>
          <cell r="J527">
            <v>91462</v>
          </cell>
          <cell r="K527" t="str">
            <v>MP</v>
          </cell>
        </row>
        <row r="528">
          <cell r="A528">
            <v>991416</v>
          </cell>
          <cell r="C528">
            <v>177</v>
          </cell>
          <cell r="D528">
            <v>3</v>
          </cell>
          <cell r="E528">
            <v>444</v>
          </cell>
          <cell r="F528">
            <v>148</v>
          </cell>
          <cell r="G528">
            <v>99</v>
          </cell>
          <cell r="H528">
            <v>873.05</v>
          </cell>
          <cell r="I528">
            <v>565.28</v>
          </cell>
          <cell r="J528">
            <v>90086</v>
          </cell>
          <cell r="K528" t="str">
            <v>MP</v>
          </cell>
        </row>
        <row r="529">
          <cell r="A529">
            <v>991417</v>
          </cell>
          <cell r="C529">
            <v>152</v>
          </cell>
          <cell r="D529">
            <v>1</v>
          </cell>
          <cell r="E529">
            <v>557</v>
          </cell>
          <cell r="F529">
            <v>145</v>
          </cell>
          <cell r="G529">
            <v>36</v>
          </cell>
          <cell r="H529">
            <v>893.76</v>
          </cell>
          <cell r="I529">
            <v>500.74</v>
          </cell>
          <cell r="J529">
            <v>91323</v>
          </cell>
          <cell r="K529" t="str">
            <v>MP</v>
          </cell>
        </row>
        <row r="530">
          <cell r="A530">
            <v>991418</v>
          </cell>
          <cell r="C530">
            <v>567</v>
          </cell>
          <cell r="D530">
            <v>233</v>
          </cell>
          <cell r="E530">
            <v>552</v>
          </cell>
          <cell r="F530">
            <v>1108</v>
          </cell>
          <cell r="G530">
            <v>6268</v>
          </cell>
          <cell r="H530">
            <v>8730.94</v>
          </cell>
          <cell r="I530">
            <v>43690.36</v>
          </cell>
          <cell r="J530">
            <v>90570</v>
          </cell>
          <cell r="K530" t="str">
            <v>MP</v>
          </cell>
        </row>
        <row r="531">
          <cell r="A531">
            <v>991420</v>
          </cell>
          <cell r="C531">
            <v>289</v>
          </cell>
          <cell r="D531">
            <v>0</v>
          </cell>
          <cell r="E531">
            <v>444</v>
          </cell>
          <cell r="F531">
            <v>141</v>
          </cell>
          <cell r="G531">
            <v>83</v>
          </cell>
          <cell r="H531">
            <v>960.38</v>
          </cell>
          <cell r="I531">
            <v>159.29</v>
          </cell>
          <cell r="J531">
            <v>91913</v>
          </cell>
          <cell r="K531" t="str">
            <v>MP</v>
          </cell>
        </row>
        <row r="532">
          <cell r="A532">
            <v>991422</v>
          </cell>
          <cell r="C532">
            <v>424</v>
          </cell>
          <cell r="D532">
            <v>0</v>
          </cell>
          <cell r="E532">
            <v>444</v>
          </cell>
          <cell r="F532">
            <v>144</v>
          </cell>
          <cell r="G532">
            <v>102</v>
          </cell>
          <cell r="H532">
            <v>1116.54</v>
          </cell>
          <cell r="I532">
            <v>151.19999999999999</v>
          </cell>
          <cell r="J532">
            <v>91553</v>
          </cell>
          <cell r="K532" t="str">
            <v>MP</v>
          </cell>
        </row>
        <row r="533">
          <cell r="A533">
            <v>991423</v>
          </cell>
          <cell r="C533">
            <v>214</v>
          </cell>
          <cell r="D533">
            <v>18</v>
          </cell>
          <cell r="E533">
            <v>558</v>
          </cell>
          <cell r="F533">
            <v>265</v>
          </cell>
          <cell r="G533">
            <v>1103</v>
          </cell>
          <cell r="H533">
            <v>2160.69</v>
          </cell>
          <cell r="I533">
            <v>5973.02</v>
          </cell>
          <cell r="J533">
            <v>90710</v>
          </cell>
          <cell r="K533" t="str">
            <v>MP</v>
          </cell>
        </row>
        <row r="534">
          <cell r="A534">
            <v>991424</v>
          </cell>
          <cell r="C534">
            <v>718</v>
          </cell>
          <cell r="D534">
            <v>72</v>
          </cell>
          <cell r="E534">
            <v>555</v>
          </cell>
          <cell r="F534">
            <v>535</v>
          </cell>
          <cell r="G534">
            <v>2610</v>
          </cell>
          <cell r="H534">
            <v>4492.34</v>
          </cell>
          <cell r="I534">
            <v>12457.75</v>
          </cell>
          <cell r="J534">
            <v>92105</v>
          </cell>
          <cell r="K534" t="str">
            <v>MP</v>
          </cell>
        </row>
        <row r="535">
          <cell r="A535">
            <v>991425</v>
          </cell>
          <cell r="C535">
            <v>152</v>
          </cell>
          <cell r="D535">
            <v>10</v>
          </cell>
          <cell r="E535">
            <v>457</v>
          </cell>
          <cell r="F535">
            <v>171</v>
          </cell>
          <cell r="G535">
            <v>335</v>
          </cell>
          <cell r="H535">
            <v>1127.55</v>
          </cell>
          <cell r="I535">
            <v>1674.46</v>
          </cell>
          <cell r="J535">
            <v>92028</v>
          </cell>
          <cell r="K535" t="str">
            <v>MP</v>
          </cell>
        </row>
        <row r="536">
          <cell r="A536">
            <v>991426</v>
          </cell>
          <cell r="C536">
            <v>3314</v>
          </cell>
          <cell r="D536">
            <v>492</v>
          </cell>
          <cell r="E536">
            <v>457</v>
          </cell>
          <cell r="F536">
            <v>2050</v>
          </cell>
          <cell r="G536">
            <v>15150</v>
          </cell>
          <cell r="H536">
            <v>21465.040000000001</v>
          </cell>
          <cell r="I536">
            <v>83786.820000000007</v>
          </cell>
          <cell r="J536">
            <v>90376</v>
          </cell>
          <cell r="K536" t="str">
            <v>MP</v>
          </cell>
        </row>
        <row r="537">
          <cell r="A537">
            <v>991429</v>
          </cell>
          <cell r="C537">
            <v>120</v>
          </cell>
          <cell r="D537">
            <v>25</v>
          </cell>
          <cell r="E537">
            <v>555</v>
          </cell>
          <cell r="F537">
            <v>364</v>
          </cell>
          <cell r="G537">
            <v>1123</v>
          </cell>
          <cell r="H537">
            <v>2188.19</v>
          </cell>
          <cell r="I537">
            <v>8479.92</v>
          </cell>
          <cell r="J537">
            <v>90061</v>
          </cell>
          <cell r="K537" t="str">
            <v>MP</v>
          </cell>
        </row>
        <row r="538">
          <cell r="A538">
            <v>991430</v>
          </cell>
          <cell r="C538">
            <v>429</v>
          </cell>
          <cell r="D538">
            <v>117</v>
          </cell>
          <cell r="E538">
            <v>450</v>
          </cell>
          <cell r="F538">
            <v>1086</v>
          </cell>
          <cell r="G538">
            <v>5169</v>
          </cell>
          <cell r="H538">
            <v>7253.93</v>
          </cell>
          <cell r="I538">
            <v>41920.449999999997</v>
          </cell>
          <cell r="J538">
            <v>90061</v>
          </cell>
          <cell r="K538" t="str">
            <v>MP</v>
          </cell>
        </row>
        <row r="539">
          <cell r="A539">
            <v>991432</v>
          </cell>
          <cell r="C539">
            <v>1796</v>
          </cell>
          <cell r="D539">
            <v>92</v>
          </cell>
          <cell r="E539">
            <v>150</v>
          </cell>
          <cell r="F539">
            <v>369</v>
          </cell>
          <cell r="G539">
            <v>3182</v>
          </cell>
          <cell r="H539">
            <v>5591.87</v>
          </cell>
          <cell r="I539">
            <v>15997.04</v>
          </cell>
          <cell r="J539">
            <v>92003</v>
          </cell>
          <cell r="K539" t="str">
            <v>MP</v>
          </cell>
        </row>
        <row r="540">
          <cell r="A540">
            <v>991434</v>
          </cell>
          <cell r="C540">
            <v>197</v>
          </cell>
          <cell r="D540">
            <v>10</v>
          </cell>
          <cell r="E540">
            <v>450</v>
          </cell>
          <cell r="F540">
            <v>174</v>
          </cell>
          <cell r="G540">
            <v>266</v>
          </cell>
          <cell r="H540">
            <v>1100.1500000000001</v>
          </cell>
          <cell r="I540">
            <v>1948.23</v>
          </cell>
          <cell r="J540">
            <v>92360</v>
          </cell>
          <cell r="K540" t="str">
            <v>MP</v>
          </cell>
        </row>
        <row r="541">
          <cell r="A541">
            <v>991435</v>
          </cell>
          <cell r="C541">
            <v>421</v>
          </cell>
          <cell r="D541">
            <v>433</v>
          </cell>
          <cell r="E541">
            <v>451</v>
          </cell>
          <cell r="F541">
            <v>1838</v>
          </cell>
          <cell r="G541">
            <v>9844</v>
          </cell>
          <cell r="H541">
            <v>12988.67</v>
          </cell>
          <cell r="I541">
            <v>73553.63</v>
          </cell>
          <cell r="J541">
            <v>90061</v>
          </cell>
          <cell r="K541" t="str">
            <v>MP</v>
          </cell>
        </row>
        <row r="542">
          <cell r="A542">
            <v>991437</v>
          </cell>
          <cell r="C542">
            <v>209</v>
          </cell>
          <cell r="D542">
            <v>6</v>
          </cell>
          <cell r="E542">
            <v>450</v>
          </cell>
          <cell r="F542">
            <v>155</v>
          </cell>
          <cell r="G542">
            <v>194</v>
          </cell>
          <cell r="H542">
            <v>1014.63</v>
          </cell>
          <cell r="I542">
            <v>845.14</v>
          </cell>
          <cell r="J542">
            <v>90338</v>
          </cell>
          <cell r="K542" t="str">
            <v>MP</v>
          </cell>
        </row>
        <row r="543">
          <cell r="A543">
            <v>991439</v>
          </cell>
          <cell r="C543">
            <v>235</v>
          </cell>
          <cell r="D543">
            <v>3</v>
          </cell>
          <cell r="E543">
            <v>451</v>
          </cell>
          <cell r="F543">
            <v>145</v>
          </cell>
          <cell r="G543">
            <v>114</v>
          </cell>
          <cell r="H543">
            <v>951.33</v>
          </cell>
          <cell r="I543">
            <v>420.23</v>
          </cell>
          <cell r="J543">
            <v>90322</v>
          </cell>
          <cell r="K543" t="str">
            <v>MP</v>
          </cell>
        </row>
        <row r="544">
          <cell r="A544">
            <v>991440</v>
          </cell>
          <cell r="C544">
            <v>194</v>
          </cell>
          <cell r="D544">
            <v>12</v>
          </cell>
          <cell r="E544">
            <v>555</v>
          </cell>
          <cell r="F544">
            <v>217</v>
          </cell>
          <cell r="G544">
            <v>534</v>
          </cell>
          <cell r="H544">
            <v>1513.73</v>
          </cell>
          <cell r="I544">
            <v>3887.13</v>
          </cell>
          <cell r="J544">
            <v>91974</v>
          </cell>
          <cell r="K544" t="str">
            <v>MP</v>
          </cell>
        </row>
        <row r="545">
          <cell r="A545">
            <v>991441</v>
          </cell>
          <cell r="C545">
            <v>150</v>
          </cell>
          <cell r="D545">
            <v>4</v>
          </cell>
          <cell r="E545">
            <v>451</v>
          </cell>
          <cell r="F545">
            <v>165</v>
          </cell>
          <cell r="G545">
            <v>278</v>
          </cell>
          <cell r="H545">
            <v>1050.52</v>
          </cell>
          <cell r="I545">
            <v>1371.68</v>
          </cell>
          <cell r="J545">
            <v>92235</v>
          </cell>
          <cell r="K545" t="str">
            <v>MP</v>
          </cell>
        </row>
        <row r="546">
          <cell r="A546">
            <v>991445</v>
          </cell>
          <cell r="C546">
            <v>180</v>
          </cell>
          <cell r="D546">
            <v>56</v>
          </cell>
          <cell r="E546">
            <v>555</v>
          </cell>
          <cell r="F546">
            <v>652</v>
          </cell>
          <cell r="G546">
            <v>2468</v>
          </cell>
          <cell r="H546">
            <v>3913.75</v>
          </cell>
          <cell r="I546">
            <v>18737.96</v>
          </cell>
          <cell r="J546">
            <v>90496</v>
          </cell>
          <cell r="K546" t="str">
            <v>MP</v>
          </cell>
        </row>
        <row r="547">
          <cell r="A547">
            <v>991446</v>
          </cell>
          <cell r="C547">
            <v>183</v>
          </cell>
          <cell r="D547">
            <v>3</v>
          </cell>
          <cell r="E547">
            <v>450</v>
          </cell>
          <cell r="F547">
            <v>162</v>
          </cell>
          <cell r="G547">
            <v>192</v>
          </cell>
          <cell r="H547">
            <v>993.35</v>
          </cell>
          <cell r="I547">
            <v>1255.8399999999999</v>
          </cell>
          <cell r="J547">
            <v>90121</v>
          </cell>
          <cell r="K547" t="str">
            <v>MP</v>
          </cell>
        </row>
        <row r="548">
          <cell r="A548">
            <v>991447</v>
          </cell>
          <cell r="C548">
            <v>180</v>
          </cell>
          <cell r="D548">
            <v>9</v>
          </cell>
          <cell r="E548">
            <v>444</v>
          </cell>
          <cell r="F548">
            <v>196</v>
          </cell>
          <cell r="G548">
            <v>398</v>
          </cell>
          <cell r="H548">
            <v>1229.05</v>
          </cell>
          <cell r="I548">
            <v>2861.53</v>
          </cell>
          <cell r="J548">
            <v>90236</v>
          </cell>
          <cell r="K548" t="str">
            <v>MP</v>
          </cell>
        </row>
        <row r="549">
          <cell r="A549">
            <v>991449</v>
          </cell>
          <cell r="C549">
            <v>129</v>
          </cell>
          <cell r="D549">
            <v>19</v>
          </cell>
          <cell r="E549">
            <v>557</v>
          </cell>
          <cell r="F549">
            <v>203</v>
          </cell>
          <cell r="G549">
            <v>409</v>
          </cell>
          <cell r="H549">
            <v>1319.41</v>
          </cell>
          <cell r="I549">
            <v>3229.31</v>
          </cell>
          <cell r="J549">
            <v>92107</v>
          </cell>
          <cell r="K549" t="str">
            <v>MP</v>
          </cell>
        </row>
        <row r="550">
          <cell r="A550">
            <v>991451</v>
          </cell>
          <cell r="C550">
            <v>982</v>
          </cell>
          <cell r="D550">
            <v>216</v>
          </cell>
          <cell r="E550">
            <v>555</v>
          </cell>
          <cell r="F550">
            <v>1067</v>
          </cell>
          <cell r="G550">
            <v>10454</v>
          </cell>
          <cell r="H550">
            <v>13275.28</v>
          </cell>
          <cell r="I550">
            <v>36788.1</v>
          </cell>
          <cell r="J550">
            <v>91117</v>
          </cell>
          <cell r="K550" t="str">
            <v>MP</v>
          </cell>
        </row>
        <row r="551">
          <cell r="A551">
            <v>991453</v>
          </cell>
          <cell r="C551">
            <v>192</v>
          </cell>
          <cell r="D551">
            <v>0</v>
          </cell>
          <cell r="E551">
            <v>555</v>
          </cell>
          <cell r="F551">
            <v>143</v>
          </cell>
          <cell r="G551">
            <v>94</v>
          </cell>
          <cell r="H551">
            <v>986.65</v>
          </cell>
          <cell r="I551">
            <v>344.15</v>
          </cell>
          <cell r="J551">
            <v>92096</v>
          </cell>
          <cell r="K551" t="str">
            <v>MP</v>
          </cell>
        </row>
        <row r="552">
          <cell r="A552">
            <v>991455</v>
          </cell>
          <cell r="C552">
            <v>508</v>
          </cell>
          <cell r="D552">
            <v>28</v>
          </cell>
          <cell r="E552">
            <v>444</v>
          </cell>
          <cell r="F552">
            <v>425</v>
          </cell>
          <cell r="G552">
            <v>1128</v>
          </cell>
          <cell r="H552">
            <v>2535.5500000000002</v>
          </cell>
          <cell r="I552">
            <v>9886.26</v>
          </cell>
          <cell r="J552">
            <v>92001</v>
          </cell>
          <cell r="K552" t="str">
            <v>MP</v>
          </cell>
        </row>
        <row r="553">
          <cell r="A553">
            <v>991456</v>
          </cell>
          <cell r="C553">
            <v>168</v>
          </cell>
          <cell r="D553">
            <v>64</v>
          </cell>
          <cell r="E553">
            <v>555</v>
          </cell>
          <cell r="F553">
            <v>711</v>
          </cell>
          <cell r="G553">
            <v>2832</v>
          </cell>
          <cell r="H553">
            <v>4331.82</v>
          </cell>
          <cell r="I553">
            <v>16614.72</v>
          </cell>
          <cell r="J553">
            <v>91750</v>
          </cell>
          <cell r="K553" t="str">
            <v>MP</v>
          </cell>
        </row>
        <row r="554">
          <cell r="A554">
            <v>991457</v>
          </cell>
          <cell r="C554">
            <v>206</v>
          </cell>
          <cell r="D554">
            <v>0</v>
          </cell>
          <cell r="E554">
            <v>450</v>
          </cell>
          <cell r="F554">
            <v>137</v>
          </cell>
          <cell r="G554">
            <v>47</v>
          </cell>
          <cell r="H554">
            <v>843.34</v>
          </cell>
          <cell r="I554">
            <v>47.94</v>
          </cell>
          <cell r="J554">
            <v>91343</v>
          </cell>
          <cell r="K554" t="str">
            <v>MP</v>
          </cell>
        </row>
        <row r="555">
          <cell r="A555">
            <v>991458</v>
          </cell>
          <cell r="C555">
            <v>524</v>
          </cell>
          <cell r="D555">
            <v>29</v>
          </cell>
          <cell r="E555">
            <v>450</v>
          </cell>
          <cell r="F555">
            <v>248</v>
          </cell>
          <cell r="G555">
            <v>155</v>
          </cell>
          <cell r="H555">
            <v>1407.75</v>
          </cell>
          <cell r="I555">
            <v>5194.37</v>
          </cell>
          <cell r="J555">
            <v>90086</v>
          </cell>
          <cell r="K555" t="str">
            <v>MP</v>
          </cell>
        </row>
        <row r="556">
          <cell r="A556">
            <v>991459</v>
          </cell>
          <cell r="C556">
            <v>233</v>
          </cell>
          <cell r="D556">
            <v>48</v>
          </cell>
          <cell r="E556">
            <v>451</v>
          </cell>
          <cell r="F556">
            <v>605</v>
          </cell>
          <cell r="G556">
            <v>3261</v>
          </cell>
          <cell r="H556">
            <v>4600.8100000000004</v>
          </cell>
          <cell r="I556">
            <v>16484.310000000001</v>
          </cell>
          <cell r="J556">
            <v>91681</v>
          </cell>
          <cell r="K556" t="str">
            <v>MP</v>
          </cell>
        </row>
        <row r="557">
          <cell r="A557">
            <v>991460</v>
          </cell>
          <cell r="C557">
            <v>206</v>
          </cell>
          <cell r="D557">
            <v>32</v>
          </cell>
          <cell r="E557">
            <v>472</v>
          </cell>
          <cell r="F557">
            <v>456</v>
          </cell>
          <cell r="G557">
            <v>1917</v>
          </cell>
          <cell r="H557">
            <v>3085.99</v>
          </cell>
          <cell r="I557">
            <v>9443</v>
          </cell>
          <cell r="J557">
            <v>91358</v>
          </cell>
          <cell r="K557" t="str">
            <v>MP</v>
          </cell>
        </row>
        <row r="558">
          <cell r="A558">
            <v>991464</v>
          </cell>
          <cell r="C558">
            <v>371</v>
          </cell>
          <cell r="D558">
            <v>24</v>
          </cell>
          <cell r="E558">
            <v>555</v>
          </cell>
          <cell r="F558">
            <v>222</v>
          </cell>
          <cell r="G558">
            <v>726</v>
          </cell>
          <cell r="H558">
            <v>1900.85</v>
          </cell>
          <cell r="I558">
            <v>3872.62</v>
          </cell>
          <cell r="J558">
            <v>91395</v>
          </cell>
          <cell r="K558" t="str">
            <v>MP</v>
          </cell>
        </row>
        <row r="559">
          <cell r="A559">
            <v>991466</v>
          </cell>
          <cell r="C559">
            <v>1539</v>
          </cell>
          <cell r="D559">
            <v>50</v>
          </cell>
          <cell r="E559">
            <v>450</v>
          </cell>
          <cell r="F559">
            <v>443</v>
          </cell>
          <cell r="G559">
            <v>2062</v>
          </cell>
          <cell r="H559">
            <v>4547.32</v>
          </cell>
          <cell r="I559">
            <v>8599.86</v>
          </cell>
          <cell r="J559">
            <v>92020</v>
          </cell>
          <cell r="K559" t="str">
            <v>MP</v>
          </cell>
        </row>
        <row r="560">
          <cell r="A560">
            <v>991468</v>
          </cell>
          <cell r="C560">
            <v>160</v>
          </cell>
          <cell r="D560">
            <v>1</v>
          </cell>
          <cell r="E560">
            <v>450</v>
          </cell>
          <cell r="F560">
            <v>142</v>
          </cell>
          <cell r="G560">
            <v>85</v>
          </cell>
          <cell r="H560">
            <v>840.22</v>
          </cell>
          <cell r="I560">
            <v>292.20999999999998</v>
          </cell>
          <cell r="J560">
            <v>91177</v>
          </cell>
          <cell r="K560" t="str">
            <v>MP</v>
          </cell>
        </row>
        <row r="561">
          <cell r="A561">
            <v>991469</v>
          </cell>
          <cell r="C561">
            <v>199</v>
          </cell>
          <cell r="D561">
            <v>21</v>
          </cell>
          <cell r="E561">
            <v>552</v>
          </cell>
          <cell r="F561">
            <v>215</v>
          </cell>
          <cell r="G561">
            <v>705</v>
          </cell>
          <cell r="H561">
            <v>1694.93</v>
          </cell>
          <cell r="I561">
            <v>3736.25</v>
          </cell>
          <cell r="J561">
            <v>92174</v>
          </cell>
          <cell r="K561" t="str">
            <v>MP</v>
          </cell>
        </row>
        <row r="562">
          <cell r="A562">
            <v>991470</v>
          </cell>
          <cell r="C562">
            <v>190</v>
          </cell>
          <cell r="D562">
            <v>8</v>
          </cell>
          <cell r="E562">
            <v>557</v>
          </cell>
          <cell r="F562">
            <v>167</v>
          </cell>
          <cell r="G562">
            <v>302</v>
          </cell>
          <cell r="H562">
            <v>1227.3</v>
          </cell>
          <cell r="I562">
            <v>1478.1</v>
          </cell>
          <cell r="J562">
            <v>91567</v>
          </cell>
          <cell r="K562" t="str">
            <v>MP</v>
          </cell>
        </row>
        <row r="563">
          <cell r="A563">
            <v>991471</v>
          </cell>
          <cell r="C563">
            <v>319</v>
          </cell>
          <cell r="D563">
            <v>156</v>
          </cell>
          <cell r="E563">
            <v>557</v>
          </cell>
          <cell r="F563">
            <v>817</v>
          </cell>
          <cell r="G563">
            <v>4577</v>
          </cell>
          <cell r="H563">
            <v>6428.23</v>
          </cell>
          <cell r="I563">
            <v>85783.1</v>
          </cell>
          <cell r="J563">
            <v>91692</v>
          </cell>
          <cell r="K563" t="str">
            <v>MP</v>
          </cell>
        </row>
        <row r="564">
          <cell r="A564">
            <v>991472</v>
          </cell>
          <cell r="C564">
            <v>1066</v>
          </cell>
          <cell r="D564">
            <v>35</v>
          </cell>
          <cell r="E564">
            <v>451</v>
          </cell>
          <cell r="F564">
            <v>259</v>
          </cell>
          <cell r="G564">
            <v>1078</v>
          </cell>
          <cell r="H564">
            <v>2891.41</v>
          </cell>
          <cell r="I564">
            <v>4888.6899999999996</v>
          </cell>
          <cell r="J564">
            <v>92046</v>
          </cell>
          <cell r="K564" t="str">
            <v>MP</v>
          </cell>
        </row>
        <row r="565">
          <cell r="A565">
            <v>991473</v>
          </cell>
          <cell r="C565">
            <v>311</v>
          </cell>
          <cell r="D565">
            <v>100</v>
          </cell>
          <cell r="E565">
            <v>552</v>
          </cell>
          <cell r="F565">
            <v>971</v>
          </cell>
          <cell r="G565">
            <v>4551</v>
          </cell>
          <cell r="H565">
            <v>6487.72</v>
          </cell>
          <cell r="I565">
            <v>36283.26</v>
          </cell>
          <cell r="J565">
            <v>92249</v>
          </cell>
          <cell r="K565" t="str">
            <v>MP</v>
          </cell>
        </row>
        <row r="566">
          <cell r="A566">
            <v>991474</v>
          </cell>
          <cell r="C566">
            <v>314</v>
          </cell>
          <cell r="D566">
            <v>4</v>
          </cell>
          <cell r="E566">
            <v>444</v>
          </cell>
          <cell r="F566">
            <v>170</v>
          </cell>
          <cell r="G566">
            <v>324</v>
          </cell>
          <cell r="H566">
            <v>1258.83</v>
          </cell>
          <cell r="I566">
            <v>1495.05</v>
          </cell>
          <cell r="J566">
            <v>91591</v>
          </cell>
          <cell r="K566" t="str">
            <v>MP</v>
          </cell>
        </row>
        <row r="567">
          <cell r="A567">
            <v>991477</v>
          </cell>
          <cell r="C567">
            <v>194</v>
          </cell>
          <cell r="D567">
            <v>6</v>
          </cell>
          <cell r="E567">
            <v>444</v>
          </cell>
          <cell r="F567">
            <v>183</v>
          </cell>
          <cell r="G567">
            <v>318</v>
          </cell>
          <cell r="H567">
            <v>1147.4000000000001</v>
          </cell>
          <cell r="I567">
            <v>2424.46</v>
          </cell>
          <cell r="J567">
            <v>91750</v>
          </cell>
          <cell r="K567" t="str">
            <v>MP</v>
          </cell>
        </row>
        <row r="568">
          <cell r="A568">
            <v>991478</v>
          </cell>
          <cell r="C568">
            <v>430</v>
          </cell>
          <cell r="D568">
            <v>54</v>
          </cell>
          <cell r="E568">
            <v>444</v>
          </cell>
          <cell r="F568">
            <v>419</v>
          </cell>
          <cell r="G568">
            <v>1761</v>
          </cell>
          <cell r="H568">
            <v>3110.71</v>
          </cell>
          <cell r="I568">
            <v>9619.99</v>
          </cell>
          <cell r="J568">
            <v>91673</v>
          </cell>
          <cell r="K568" t="str">
            <v>mp</v>
          </cell>
        </row>
        <row r="569">
          <cell r="A569">
            <v>991479</v>
          </cell>
          <cell r="C569">
            <v>175</v>
          </cell>
          <cell r="D569">
            <v>13</v>
          </cell>
          <cell r="E569">
            <v>444</v>
          </cell>
          <cell r="F569">
            <v>228</v>
          </cell>
          <cell r="G569">
            <v>599</v>
          </cell>
          <cell r="H569">
            <v>1461.44</v>
          </cell>
          <cell r="I569">
            <v>4709.07</v>
          </cell>
          <cell r="J569">
            <v>90061</v>
          </cell>
          <cell r="K569" t="str">
            <v>MP</v>
          </cell>
        </row>
        <row r="570">
          <cell r="A570">
            <v>991481</v>
          </cell>
          <cell r="C570">
            <v>194</v>
          </cell>
          <cell r="D570">
            <v>7</v>
          </cell>
          <cell r="E570">
            <v>555</v>
          </cell>
          <cell r="F570">
            <v>188</v>
          </cell>
          <cell r="G570">
            <v>352</v>
          </cell>
          <cell r="H570">
            <v>1298.26</v>
          </cell>
          <cell r="I570">
            <v>2705.88</v>
          </cell>
          <cell r="J570">
            <v>91750</v>
          </cell>
          <cell r="K570" t="str">
            <v>MP</v>
          </cell>
        </row>
        <row r="571">
          <cell r="A571">
            <v>991482</v>
          </cell>
          <cell r="C571">
            <v>192</v>
          </cell>
          <cell r="D571">
            <v>13</v>
          </cell>
          <cell r="E571">
            <v>457</v>
          </cell>
          <cell r="F571">
            <v>235</v>
          </cell>
          <cell r="G571">
            <v>641</v>
          </cell>
          <cell r="H571">
            <v>1540.04</v>
          </cell>
          <cell r="I571">
            <v>4574.8500000000004</v>
          </cell>
          <cell r="J571">
            <v>91814</v>
          </cell>
          <cell r="K571" t="str">
            <v>MP</v>
          </cell>
        </row>
        <row r="572">
          <cell r="A572">
            <v>991483</v>
          </cell>
          <cell r="C572">
            <v>152</v>
          </cell>
          <cell r="D572">
            <v>1</v>
          </cell>
          <cell r="E572">
            <v>457</v>
          </cell>
          <cell r="F572">
            <v>147</v>
          </cell>
          <cell r="G572">
            <v>97</v>
          </cell>
          <cell r="H572">
            <v>856.71</v>
          </cell>
          <cell r="I572">
            <v>568.12</v>
          </cell>
          <cell r="J572">
            <v>90242</v>
          </cell>
          <cell r="K572" t="str">
            <v>MP</v>
          </cell>
        </row>
        <row r="573">
          <cell r="A573">
            <v>991486</v>
          </cell>
          <cell r="C573">
            <v>2013</v>
          </cell>
          <cell r="D573">
            <v>26</v>
          </cell>
          <cell r="E573">
            <v>555</v>
          </cell>
          <cell r="F573">
            <v>469</v>
          </cell>
          <cell r="G573">
            <v>1972</v>
          </cell>
          <cell r="H573">
            <v>5037.8</v>
          </cell>
          <cell r="I573">
            <v>9604.58</v>
          </cell>
          <cell r="J573">
            <v>92303</v>
          </cell>
          <cell r="K573" t="str">
            <v>MP</v>
          </cell>
        </row>
        <row r="574">
          <cell r="A574">
            <v>991488</v>
          </cell>
          <cell r="C574">
            <v>180</v>
          </cell>
          <cell r="D574">
            <v>13</v>
          </cell>
          <cell r="E574">
            <v>451</v>
          </cell>
          <cell r="F574">
            <v>182</v>
          </cell>
          <cell r="G574">
            <v>377</v>
          </cell>
          <cell r="H574">
            <v>1205.94</v>
          </cell>
          <cell r="I574">
            <v>2184.59</v>
          </cell>
          <cell r="J574">
            <v>92300</v>
          </cell>
          <cell r="K574" t="str">
            <v>MP</v>
          </cell>
        </row>
        <row r="575">
          <cell r="A575">
            <v>991490</v>
          </cell>
          <cell r="C575">
            <v>212</v>
          </cell>
          <cell r="D575">
            <v>29</v>
          </cell>
          <cell r="E575">
            <v>444</v>
          </cell>
          <cell r="F575">
            <v>413</v>
          </cell>
          <cell r="G575">
            <v>1278</v>
          </cell>
          <cell r="H575">
            <v>2378.41</v>
          </cell>
          <cell r="I575">
            <v>9146.8799999999992</v>
          </cell>
          <cell r="J575">
            <v>90379</v>
          </cell>
          <cell r="K575" t="str">
            <v>MP</v>
          </cell>
        </row>
        <row r="576">
          <cell r="A576">
            <v>991493</v>
          </cell>
          <cell r="C576">
            <v>1479</v>
          </cell>
          <cell r="D576">
            <v>67</v>
          </cell>
          <cell r="E576">
            <v>444</v>
          </cell>
          <cell r="F576">
            <v>493</v>
          </cell>
          <cell r="G576">
            <v>2298</v>
          </cell>
          <cell r="H576">
            <v>4784.33</v>
          </cell>
          <cell r="I576">
            <v>10116.51</v>
          </cell>
          <cell r="J576">
            <v>90487</v>
          </cell>
          <cell r="K576" t="str">
            <v>MP</v>
          </cell>
        </row>
        <row r="577">
          <cell r="A577">
            <v>991494</v>
          </cell>
          <cell r="C577">
            <v>203</v>
          </cell>
          <cell r="D577">
            <v>2</v>
          </cell>
          <cell r="E577">
            <v>555</v>
          </cell>
          <cell r="F577">
            <v>155</v>
          </cell>
          <cell r="G577">
            <v>146</v>
          </cell>
          <cell r="H577">
            <v>1064.3699999999999</v>
          </cell>
          <cell r="I577">
            <v>867.05</v>
          </cell>
          <cell r="J577">
            <v>90061</v>
          </cell>
          <cell r="K577" t="str">
            <v>MP</v>
          </cell>
        </row>
        <row r="578">
          <cell r="A578">
            <v>991495</v>
          </cell>
          <cell r="C578">
            <v>175</v>
          </cell>
          <cell r="D578">
            <v>14</v>
          </cell>
          <cell r="E578">
            <v>444</v>
          </cell>
          <cell r="F578">
            <v>231</v>
          </cell>
          <cell r="G578">
            <v>397</v>
          </cell>
          <cell r="H578">
            <v>1264.07</v>
          </cell>
          <cell r="I578">
            <v>4354.3</v>
          </cell>
          <cell r="J578">
            <v>90629</v>
          </cell>
          <cell r="K578" t="str">
            <v>MP</v>
          </cell>
        </row>
        <row r="579">
          <cell r="A579">
            <v>991498</v>
          </cell>
          <cell r="C579">
            <v>291</v>
          </cell>
          <cell r="D579">
            <v>251</v>
          </cell>
          <cell r="E579">
            <v>444</v>
          </cell>
          <cell r="F579">
            <v>2030</v>
          </cell>
          <cell r="G579">
            <v>11044</v>
          </cell>
          <cell r="H579">
            <v>14063.02</v>
          </cell>
          <cell r="I579">
            <v>80606.880000000005</v>
          </cell>
          <cell r="J579">
            <v>90248</v>
          </cell>
          <cell r="K579" t="str">
            <v>MP</v>
          </cell>
        </row>
        <row r="580">
          <cell r="A580">
            <v>991499</v>
          </cell>
          <cell r="C580">
            <v>380</v>
          </cell>
          <cell r="D580">
            <v>10</v>
          </cell>
          <cell r="E580">
            <v>557</v>
          </cell>
          <cell r="F580">
            <v>218</v>
          </cell>
          <cell r="G580">
            <v>727</v>
          </cell>
          <cell r="H580">
            <v>1894.83</v>
          </cell>
          <cell r="I580">
            <v>3683.8</v>
          </cell>
          <cell r="J580">
            <v>90732</v>
          </cell>
          <cell r="K580" t="str">
            <v>MP</v>
          </cell>
        </row>
        <row r="581">
          <cell r="A581">
            <v>991500</v>
          </cell>
          <cell r="C581">
            <v>1583</v>
          </cell>
          <cell r="D581">
            <v>46</v>
          </cell>
          <cell r="E581">
            <v>555</v>
          </cell>
          <cell r="F581">
            <v>342</v>
          </cell>
          <cell r="G581">
            <v>1283</v>
          </cell>
          <cell r="H581">
            <v>3811.82</v>
          </cell>
          <cell r="I581">
            <v>6097.92</v>
          </cell>
          <cell r="J581">
            <v>92371</v>
          </cell>
          <cell r="K581" t="str">
            <v>MP</v>
          </cell>
        </row>
        <row r="582">
          <cell r="A582">
            <v>991501</v>
          </cell>
          <cell r="C582">
            <v>833</v>
          </cell>
          <cell r="D582">
            <v>9</v>
          </cell>
          <cell r="E582">
            <v>555</v>
          </cell>
          <cell r="F582">
            <v>186</v>
          </cell>
          <cell r="G582">
            <v>457</v>
          </cell>
          <cell r="H582">
            <v>2041.77</v>
          </cell>
          <cell r="I582">
            <v>1612.14</v>
          </cell>
          <cell r="J582">
            <v>92221</v>
          </cell>
          <cell r="K582" t="str">
            <v>MP</v>
          </cell>
        </row>
        <row r="583">
          <cell r="A583">
            <v>991502</v>
          </cell>
          <cell r="C583">
            <v>157</v>
          </cell>
          <cell r="D583">
            <v>3</v>
          </cell>
          <cell r="E583">
            <v>555</v>
          </cell>
          <cell r="F583">
            <v>159</v>
          </cell>
          <cell r="G583">
            <v>171</v>
          </cell>
          <cell r="H583">
            <v>1047.19</v>
          </cell>
          <cell r="I583">
            <v>1093.81</v>
          </cell>
          <cell r="J583">
            <v>90097</v>
          </cell>
          <cell r="K583" t="str">
            <v>MP</v>
          </cell>
        </row>
        <row r="584">
          <cell r="A584">
            <v>991503</v>
          </cell>
          <cell r="C584">
            <v>203</v>
          </cell>
          <cell r="D584">
            <v>31</v>
          </cell>
          <cell r="E584">
            <v>444</v>
          </cell>
          <cell r="F584">
            <v>461</v>
          </cell>
          <cell r="G584">
            <v>1430</v>
          </cell>
          <cell r="H584">
            <v>2572.5300000000002</v>
          </cell>
          <cell r="I584">
            <v>10271.18</v>
          </cell>
          <cell r="J584">
            <v>91982</v>
          </cell>
          <cell r="K584" t="str">
            <v>MP</v>
          </cell>
        </row>
        <row r="585">
          <cell r="A585">
            <v>991506</v>
          </cell>
          <cell r="C585">
            <v>1372</v>
          </cell>
          <cell r="D585">
            <v>27</v>
          </cell>
          <cell r="E585">
            <v>444</v>
          </cell>
          <cell r="F585">
            <v>264</v>
          </cell>
          <cell r="G585">
            <v>1101</v>
          </cell>
          <cell r="H585">
            <v>3210.54</v>
          </cell>
          <cell r="I585">
            <v>5082.1400000000003</v>
          </cell>
          <cell r="J585">
            <v>91262</v>
          </cell>
          <cell r="K585" t="str">
            <v>MP</v>
          </cell>
        </row>
        <row r="586">
          <cell r="A586">
            <v>991507</v>
          </cell>
          <cell r="C586">
            <v>813</v>
          </cell>
          <cell r="D586">
            <v>63</v>
          </cell>
          <cell r="E586">
            <v>450</v>
          </cell>
          <cell r="F586">
            <v>463</v>
          </cell>
          <cell r="G586">
            <v>1947</v>
          </cell>
          <cell r="H586">
            <v>3738.49</v>
          </cell>
          <cell r="I586">
            <v>10282.700000000001</v>
          </cell>
          <cell r="J586">
            <v>92294</v>
          </cell>
          <cell r="K586" t="str">
            <v>MP</v>
          </cell>
        </row>
        <row r="587">
          <cell r="A587">
            <v>991508</v>
          </cell>
          <cell r="C587">
            <v>274</v>
          </cell>
          <cell r="D587">
            <v>3</v>
          </cell>
          <cell r="E587">
            <v>450</v>
          </cell>
          <cell r="F587">
            <v>146</v>
          </cell>
          <cell r="G587">
            <v>76</v>
          </cell>
          <cell r="H587">
            <v>952.43</v>
          </cell>
          <cell r="I587">
            <v>392.31</v>
          </cell>
          <cell r="J587">
            <v>92302</v>
          </cell>
          <cell r="K587" t="str">
            <v>MP</v>
          </cell>
        </row>
        <row r="588">
          <cell r="A588">
            <v>991510</v>
          </cell>
          <cell r="C588">
            <v>1099</v>
          </cell>
          <cell r="D588">
            <v>5</v>
          </cell>
          <cell r="E588">
            <v>450</v>
          </cell>
          <cell r="F588">
            <v>194</v>
          </cell>
          <cell r="G588">
            <v>332</v>
          </cell>
          <cell r="H588">
            <v>2082.39</v>
          </cell>
          <cell r="I588">
            <v>1888.95</v>
          </cell>
          <cell r="J588">
            <v>92000</v>
          </cell>
          <cell r="K588" t="str">
            <v>MP</v>
          </cell>
        </row>
        <row r="589">
          <cell r="A589">
            <v>991511</v>
          </cell>
          <cell r="C589">
            <v>1670</v>
          </cell>
          <cell r="D589">
            <v>46</v>
          </cell>
          <cell r="E589">
            <v>451</v>
          </cell>
          <cell r="F589">
            <v>579</v>
          </cell>
          <cell r="G589">
            <v>2728</v>
          </cell>
          <cell r="H589">
            <v>5476.18</v>
          </cell>
          <cell r="I589">
            <v>14540.29</v>
          </cell>
          <cell r="J589">
            <v>91990</v>
          </cell>
          <cell r="K589" t="str">
            <v>MP</v>
          </cell>
        </row>
        <row r="590">
          <cell r="A590">
            <v>991512</v>
          </cell>
          <cell r="C590">
            <v>66</v>
          </cell>
          <cell r="D590">
            <v>19</v>
          </cell>
          <cell r="E590">
            <v>444</v>
          </cell>
          <cell r="F590">
            <v>204</v>
          </cell>
          <cell r="G590">
            <v>611</v>
          </cell>
          <cell r="H590">
            <v>1345.96</v>
          </cell>
          <cell r="I590">
            <v>3619.24</v>
          </cell>
          <cell r="J590">
            <v>90131</v>
          </cell>
          <cell r="K590" t="str">
            <v>MP</v>
          </cell>
        </row>
        <row r="591">
          <cell r="A591">
            <v>991513</v>
          </cell>
          <cell r="C591">
            <v>1199</v>
          </cell>
          <cell r="D591">
            <v>30</v>
          </cell>
          <cell r="E591">
            <v>451</v>
          </cell>
          <cell r="F591">
            <v>486</v>
          </cell>
          <cell r="G591">
            <v>2264</v>
          </cell>
          <cell r="H591">
            <v>4433.7</v>
          </cell>
          <cell r="I591">
            <v>10813.81</v>
          </cell>
          <cell r="J591">
            <v>90487</v>
          </cell>
          <cell r="K591" t="str">
            <v>MP</v>
          </cell>
        </row>
        <row r="592">
          <cell r="A592">
            <v>991514</v>
          </cell>
          <cell r="C592">
            <v>892</v>
          </cell>
          <cell r="D592">
            <v>8</v>
          </cell>
          <cell r="E592">
            <v>444</v>
          </cell>
          <cell r="F592">
            <v>209</v>
          </cell>
          <cell r="G592">
            <v>650</v>
          </cell>
          <cell r="H592">
            <v>2204.6999999999998</v>
          </cell>
          <cell r="I592">
            <v>2712.62</v>
          </cell>
          <cell r="J592">
            <v>91990</v>
          </cell>
          <cell r="K592" t="str">
            <v>MP</v>
          </cell>
        </row>
        <row r="593">
          <cell r="A593">
            <v>991515</v>
          </cell>
          <cell r="C593">
            <v>172</v>
          </cell>
          <cell r="D593">
            <v>5</v>
          </cell>
          <cell r="E593">
            <v>555</v>
          </cell>
          <cell r="F593">
            <v>173</v>
          </cell>
          <cell r="G593">
            <v>350</v>
          </cell>
          <cell r="H593">
            <v>1257.51</v>
          </cell>
          <cell r="I593">
            <v>1794.06</v>
          </cell>
          <cell r="J593">
            <v>92306</v>
          </cell>
          <cell r="K593" t="str">
            <v>MP</v>
          </cell>
        </row>
        <row r="594">
          <cell r="A594">
            <v>991517</v>
          </cell>
          <cell r="C594">
            <v>120</v>
          </cell>
          <cell r="D594">
            <v>44</v>
          </cell>
          <cell r="E594">
            <v>557</v>
          </cell>
          <cell r="F594">
            <v>573</v>
          </cell>
          <cell r="G594">
            <v>1975</v>
          </cell>
          <cell r="H594">
            <v>3272.7</v>
          </cell>
          <cell r="I594">
            <v>14522.33</v>
          </cell>
          <cell r="J594">
            <v>91979</v>
          </cell>
          <cell r="K594" t="str">
            <v>MP</v>
          </cell>
        </row>
        <row r="595">
          <cell r="A595">
            <v>991544</v>
          </cell>
          <cell r="C595">
            <v>776</v>
          </cell>
          <cell r="D595">
            <v>11</v>
          </cell>
          <cell r="E595">
            <v>557</v>
          </cell>
          <cell r="F595">
            <v>191</v>
          </cell>
          <cell r="G595">
            <v>505</v>
          </cell>
          <cell r="H595">
            <v>2044.08</v>
          </cell>
          <cell r="I595">
            <v>1961.78</v>
          </cell>
          <cell r="J595">
            <v>91550</v>
          </cell>
          <cell r="K595" t="str">
            <v>MP</v>
          </cell>
        </row>
        <row r="596">
          <cell r="A596">
            <v>991545</v>
          </cell>
          <cell r="C596">
            <v>970</v>
          </cell>
          <cell r="D596">
            <v>40</v>
          </cell>
          <cell r="E596">
            <v>558</v>
          </cell>
          <cell r="F596">
            <v>341</v>
          </cell>
          <cell r="G596">
            <v>1426</v>
          </cell>
          <cell r="H596">
            <v>3337.45</v>
          </cell>
          <cell r="I596">
            <v>6644.53</v>
          </cell>
          <cell r="J596">
            <v>91975</v>
          </cell>
          <cell r="K596" t="str">
            <v>MP</v>
          </cell>
        </row>
        <row r="597">
          <cell r="A597">
            <v>991546</v>
          </cell>
          <cell r="C597">
            <v>181</v>
          </cell>
          <cell r="D597">
            <v>26</v>
          </cell>
          <cell r="E597">
            <v>558</v>
          </cell>
          <cell r="F597">
            <v>389</v>
          </cell>
          <cell r="G597">
            <v>1201</v>
          </cell>
          <cell r="H597">
            <v>2357.73</v>
          </cell>
          <cell r="I597">
            <v>8383.9500000000007</v>
          </cell>
          <cell r="J597">
            <v>91358</v>
          </cell>
          <cell r="K597" t="str">
            <v>MP</v>
          </cell>
        </row>
        <row r="598">
          <cell r="A598">
            <v>991547</v>
          </cell>
          <cell r="C598">
            <v>157</v>
          </cell>
          <cell r="D598">
            <v>72</v>
          </cell>
          <cell r="E598">
            <v>555</v>
          </cell>
          <cell r="F598">
            <v>522</v>
          </cell>
          <cell r="G598">
            <v>1660</v>
          </cell>
          <cell r="H598">
            <v>2967.87</v>
          </cell>
          <cell r="I598">
            <v>11700.27</v>
          </cell>
          <cell r="J598">
            <v>90097</v>
          </cell>
          <cell r="K598" t="str">
            <v>MP</v>
          </cell>
        </row>
        <row r="599">
          <cell r="A599">
            <v>991548</v>
          </cell>
          <cell r="C599">
            <v>557</v>
          </cell>
          <cell r="D599">
            <v>65</v>
          </cell>
          <cell r="E599">
            <v>555</v>
          </cell>
          <cell r="F599">
            <v>729</v>
          </cell>
          <cell r="G599">
            <v>1706</v>
          </cell>
          <cell r="H599">
            <v>3614.42</v>
          </cell>
          <cell r="I599">
            <v>20524.84</v>
          </cell>
          <cell r="J599">
            <v>90061</v>
          </cell>
          <cell r="K599" t="str">
            <v>MP</v>
          </cell>
        </row>
        <row r="600">
          <cell r="A600">
            <v>991549</v>
          </cell>
          <cell r="C600">
            <v>148</v>
          </cell>
          <cell r="D600">
            <v>97</v>
          </cell>
          <cell r="E600">
            <v>557</v>
          </cell>
          <cell r="F600">
            <v>611</v>
          </cell>
          <cell r="G600">
            <v>2245</v>
          </cell>
          <cell r="H600">
            <v>3661.92</v>
          </cell>
          <cell r="I600">
            <v>15825.17</v>
          </cell>
          <cell r="J600">
            <v>92370</v>
          </cell>
          <cell r="K600" t="str">
            <v>MP</v>
          </cell>
        </row>
        <row r="601">
          <cell r="A601">
            <v>991550</v>
          </cell>
          <cell r="C601">
            <v>148</v>
          </cell>
          <cell r="D601">
            <v>28</v>
          </cell>
          <cell r="E601">
            <v>557</v>
          </cell>
          <cell r="F601">
            <v>238</v>
          </cell>
          <cell r="G601">
            <v>660</v>
          </cell>
          <cell r="H601">
            <v>1632.9</v>
          </cell>
          <cell r="I601">
            <v>4545.96</v>
          </cell>
          <cell r="J601">
            <v>90349</v>
          </cell>
          <cell r="K601" t="str">
            <v>MP</v>
          </cell>
        </row>
        <row r="602">
          <cell r="A602">
            <v>991553</v>
          </cell>
          <cell r="C602">
            <v>209</v>
          </cell>
          <cell r="D602">
            <v>62</v>
          </cell>
          <cell r="E602">
            <v>444</v>
          </cell>
          <cell r="F602">
            <v>692</v>
          </cell>
          <cell r="G602">
            <v>4005</v>
          </cell>
          <cell r="H602">
            <v>5413.8</v>
          </cell>
          <cell r="I602">
            <v>19238.37</v>
          </cell>
          <cell r="J602">
            <v>91349</v>
          </cell>
          <cell r="K602" t="str">
            <v>MP</v>
          </cell>
        </row>
        <row r="603">
          <cell r="A603">
            <v>991554</v>
          </cell>
          <cell r="C603">
            <v>148</v>
          </cell>
          <cell r="D603">
            <v>20</v>
          </cell>
          <cell r="E603">
            <v>557</v>
          </cell>
          <cell r="F603">
            <v>209</v>
          </cell>
          <cell r="G603">
            <v>484</v>
          </cell>
          <cell r="H603">
            <v>1421.55</v>
          </cell>
          <cell r="I603">
            <v>3298.25</v>
          </cell>
          <cell r="J603">
            <v>90971</v>
          </cell>
          <cell r="K603" t="str">
            <v>MP</v>
          </cell>
        </row>
        <row r="604">
          <cell r="A604">
            <v>991556</v>
          </cell>
          <cell r="C604">
            <v>92</v>
          </cell>
          <cell r="D604">
            <v>33</v>
          </cell>
          <cell r="E604">
            <v>444</v>
          </cell>
          <cell r="F604">
            <v>247</v>
          </cell>
          <cell r="G604">
            <v>615</v>
          </cell>
          <cell r="H604">
            <v>1433.45</v>
          </cell>
          <cell r="I604">
            <v>5321.16</v>
          </cell>
          <cell r="J604">
            <v>92253</v>
          </cell>
          <cell r="K604" t="str">
            <v>MP</v>
          </cell>
        </row>
        <row r="605">
          <cell r="A605">
            <v>991558</v>
          </cell>
          <cell r="C605">
            <v>3433</v>
          </cell>
          <cell r="D605">
            <v>69</v>
          </cell>
          <cell r="E605">
            <v>444</v>
          </cell>
          <cell r="F605">
            <v>586</v>
          </cell>
          <cell r="G605">
            <v>2793</v>
          </cell>
          <cell r="H605">
            <v>7328.45</v>
          </cell>
          <cell r="I605">
            <v>12056.08</v>
          </cell>
          <cell r="J605">
            <v>91144</v>
          </cell>
          <cell r="K605" t="str">
            <v>MP</v>
          </cell>
        </row>
        <row r="606">
          <cell r="A606">
            <v>991561</v>
          </cell>
          <cell r="C606">
            <v>178</v>
          </cell>
          <cell r="D606">
            <v>23</v>
          </cell>
          <cell r="E606">
            <v>450</v>
          </cell>
          <cell r="F606">
            <v>341</v>
          </cell>
          <cell r="G606">
            <v>1052</v>
          </cell>
          <cell r="H606">
            <v>2046.73</v>
          </cell>
          <cell r="I606">
            <v>7744.36</v>
          </cell>
          <cell r="J606">
            <v>91147</v>
          </cell>
          <cell r="K606" t="str">
            <v>MP</v>
          </cell>
        </row>
        <row r="607">
          <cell r="A607">
            <v>991563</v>
          </cell>
          <cell r="C607">
            <v>214</v>
          </cell>
          <cell r="D607">
            <v>12</v>
          </cell>
          <cell r="E607">
            <v>555</v>
          </cell>
          <cell r="F607">
            <v>186</v>
          </cell>
          <cell r="G607">
            <v>338</v>
          </cell>
          <cell r="H607">
            <v>1308.01</v>
          </cell>
          <cell r="I607">
            <v>2225.9</v>
          </cell>
          <cell r="J607">
            <v>90503</v>
          </cell>
          <cell r="K607" t="str">
            <v>MP</v>
          </cell>
        </row>
        <row r="608">
          <cell r="A608">
            <v>991564</v>
          </cell>
          <cell r="C608">
            <v>262</v>
          </cell>
          <cell r="D608">
            <v>9</v>
          </cell>
          <cell r="E608">
            <v>555</v>
          </cell>
          <cell r="F608">
            <v>173</v>
          </cell>
          <cell r="G608">
            <v>347</v>
          </cell>
          <cell r="H608">
            <v>1348.06</v>
          </cell>
          <cell r="I608">
            <v>1576.58</v>
          </cell>
          <cell r="J608">
            <v>90070</v>
          </cell>
          <cell r="K608" t="str">
            <v>MP</v>
          </cell>
        </row>
        <row r="609">
          <cell r="A609">
            <v>991565</v>
          </cell>
          <cell r="C609">
            <v>184</v>
          </cell>
          <cell r="D609">
            <v>5</v>
          </cell>
          <cell r="E609">
            <v>450</v>
          </cell>
          <cell r="F609">
            <v>28</v>
          </cell>
          <cell r="G609">
            <v>135</v>
          </cell>
          <cell r="H609">
            <v>804.58</v>
          </cell>
          <cell r="I609">
            <v>786.06</v>
          </cell>
          <cell r="J609">
            <v>92375</v>
          </cell>
          <cell r="K609" t="str">
            <v>MP</v>
          </cell>
        </row>
        <row r="610">
          <cell r="A610">
            <v>991567</v>
          </cell>
          <cell r="C610">
            <v>181</v>
          </cell>
          <cell r="D610">
            <v>9</v>
          </cell>
          <cell r="E610">
            <v>558</v>
          </cell>
          <cell r="F610">
            <v>206</v>
          </cell>
          <cell r="G610">
            <v>99</v>
          </cell>
          <cell r="H610">
            <v>1055.26</v>
          </cell>
          <cell r="I610">
            <v>3112.12</v>
          </cell>
          <cell r="J610">
            <v>90121</v>
          </cell>
          <cell r="K610" t="str">
            <v>MP</v>
          </cell>
        </row>
        <row r="611">
          <cell r="A611">
            <v>991568</v>
          </cell>
          <cell r="C611">
            <v>148</v>
          </cell>
          <cell r="D611">
            <v>11</v>
          </cell>
          <cell r="E611">
            <v>558</v>
          </cell>
          <cell r="F611">
            <v>216</v>
          </cell>
          <cell r="G611">
            <v>524</v>
          </cell>
          <cell r="H611">
            <v>1459.8</v>
          </cell>
          <cell r="I611">
            <v>3615.92</v>
          </cell>
          <cell r="J611">
            <v>91319</v>
          </cell>
          <cell r="K611" t="str">
            <v>MP</v>
          </cell>
        </row>
        <row r="612">
          <cell r="A612">
            <v>991569</v>
          </cell>
          <cell r="C612">
            <v>180</v>
          </cell>
          <cell r="D612">
            <v>39</v>
          </cell>
          <cell r="E612">
            <v>555</v>
          </cell>
          <cell r="F612">
            <v>538</v>
          </cell>
          <cell r="G612">
            <v>1757</v>
          </cell>
          <cell r="H612">
            <v>3071.16</v>
          </cell>
          <cell r="I612">
            <v>12510.14</v>
          </cell>
          <cell r="J612">
            <v>93023</v>
          </cell>
          <cell r="K612" t="str">
            <v>MP</v>
          </cell>
        </row>
        <row r="613">
          <cell r="A613">
            <v>991573</v>
          </cell>
          <cell r="C613">
            <v>5603</v>
          </cell>
          <cell r="D613">
            <v>11</v>
          </cell>
          <cell r="E613">
            <v>557</v>
          </cell>
          <cell r="F613">
            <v>340</v>
          </cell>
          <cell r="G613">
            <v>1574</v>
          </cell>
          <cell r="H613">
            <v>8088.4</v>
          </cell>
          <cell r="I613">
            <v>1886.94</v>
          </cell>
          <cell r="J613">
            <v>91066</v>
          </cell>
          <cell r="K613" t="str">
            <v>MP</v>
          </cell>
        </row>
        <row r="614">
          <cell r="A614">
            <v>991574</v>
          </cell>
          <cell r="C614">
            <v>868</v>
          </cell>
          <cell r="D614">
            <v>19</v>
          </cell>
          <cell r="E614">
            <v>557</v>
          </cell>
          <cell r="F614">
            <v>224</v>
          </cell>
          <cell r="G614">
            <v>859</v>
          </cell>
          <cell r="H614">
            <v>2529.5</v>
          </cell>
          <cell r="I614">
            <v>3211.12</v>
          </cell>
          <cell r="J614">
            <v>92020</v>
          </cell>
          <cell r="K614" t="str">
            <v>MP</v>
          </cell>
        </row>
        <row r="615">
          <cell r="A615">
            <v>991575</v>
          </cell>
          <cell r="C615">
            <v>861</v>
          </cell>
          <cell r="D615">
            <v>93</v>
          </cell>
          <cell r="E615">
            <v>557</v>
          </cell>
          <cell r="F615">
            <v>624</v>
          </cell>
          <cell r="G615">
            <v>3111</v>
          </cell>
          <cell r="H615">
            <v>5249.39</v>
          </cell>
          <cell r="I615">
            <v>15695.01</v>
          </cell>
          <cell r="J615">
            <v>91437</v>
          </cell>
          <cell r="K615" t="str">
            <v>MP</v>
          </cell>
        </row>
        <row r="616">
          <cell r="A616">
            <v>991576</v>
          </cell>
          <cell r="C616">
            <v>292</v>
          </cell>
          <cell r="D616">
            <v>40</v>
          </cell>
          <cell r="E616">
            <v>557</v>
          </cell>
          <cell r="F616">
            <v>311</v>
          </cell>
          <cell r="G616">
            <v>1436</v>
          </cell>
          <cell r="H616">
            <v>2639.31</v>
          </cell>
          <cell r="I616">
            <v>6574.4</v>
          </cell>
          <cell r="J616">
            <v>91351</v>
          </cell>
          <cell r="K616" t="str">
            <v>MP</v>
          </cell>
        </row>
        <row r="617">
          <cell r="A617">
            <v>991577</v>
          </cell>
          <cell r="C617">
            <v>1858</v>
          </cell>
          <cell r="D617">
            <v>58</v>
          </cell>
          <cell r="E617">
            <v>552</v>
          </cell>
          <cell r="F617">
            <v>508</v>
          </cell>
          <cell r="G617">
            <v>2115</v>
          </cell>
          <cell r="H617">
            <v>5093.16</v>
          </cell>
          <cell r="I617">
            <v>9747.4699999999993</v>
          </cell>
          <cell r="J617">
            <v>91553</v>
          </cell>
          <cell r="K617" t="str">
            <v>MP</v>
          </cell>
        </row>
        <row r="618">
          <cell r="A618">
            <v>991579</v>
          </cell>
          <cell r="C618">
            <v>306</v>
          </cell>
          <cell r="D618">
            <v>18</v>
          </cell>
          <cell r="E618">
            <v>557</v>
          </cell>
          <cell r="F618">
            <v>206</v>
          </cell>
          <cell r="G618">
            <v>625</v>
          </cell>
          <cell r="H618">
            <v>1714.82</v>
          </cell>
          <cell r="I618">
            <v>2997.93</v>
          </cell>
          <cell r="J618">
            <v>91988</v>
          </cell>
          <cell r="K618" t="str">
            <v>MP</v>
          </cell>
        </row>
        <row r="619">
          <cell r="A619">
            <v>991580</v>
          </cell>
          <cell r="C619">
            <v>287</v>
          </cell>
          <cell r="D619">
            <v>6</v>
          </cell>
          <cell r="E619">
            <v>555</v>
          </cell>
          <cell r="F619">
            <v>161</v>
          </cell>
          <cell r="G619">
            <v>278</v>
          </cell>
          <cell r="H619">
            <v>1289.49</v>
          </cell>
          <cell r="I619">
            <v>1055.53</v>
          </cell>
          <cell r="J619">
            <v>93025</v>
          </cell>
          <cell r="K619" t="str">
            <v>MP</v>
          </cell>
        </row>
        <row r="620">
          <cell r="A620">
            <v>991582</v>
          </cell>
          <cell r="C620">
            <v>200</v>
          </cell>
          <cell r="D620">
            <v>17</v>
          </cell>
          <cell r="E620">
            <v>555</v>
          </cell>
          <cell r="F620">
            <v>256</v>
          </cell>
          <cell r="G620">
            <v>1053</v>
          </cell>
          <cell r="H620">
            <v>2083.4299999999998</v>
          </cell>
          <cell r="I620">
            <v>5405.1</v>
          </cell>
          <cell r="J620">
            <v>90402</v>
          </cell>
          <cell r="K620" t="str">
            <v>MP</v>
          </cell>
        </row>
        <row r="621">
          <cell r="A621">
            <v>991583</v>
          </cell>
          <cell r="C621">
            <v>150</v>
          </cell>
          <cell r="D621">
            <v>48</v>
          </cell>
          <cell r="E621">
            <v>555</v>
          </cell>
          <cell r="F621">
            <v>364</v>
          </cell>
          <cell r="G621">
            <v>1125</v>
          </cell>
          <cell r="H621">
            <v>2245.5</v>
          </cell>
          <cell r="I621">
            <v>8117</v>
          </cell>
          <cell r="J621">
            <v>91227</v>
          </cell>
          <cell r="K621" t="str">
            <v>MP</v>
          </cell>
        </row>
        <row r="622">
          <cell r="A622">
            <v>991584</v>
          </cell>
          <cell r="C622">
            <v>384</v>
          </cell>
          <cell r="D622">
            <v>51</v>
          </cell>
          <cell r="E622">
            <v>557</v>
          </cell>
          <cell r="F622">
            <v>400</v>
          </cell>
          <cell r="G622">
            <v>1679</v>
          </cell>
          <cell r="H622">
            <v>3074.28</v>
          </cell>
          <cell r="I622">
            <v>8624.5</v>
          </cell>
          <cell r="J622">
            <v>90338</v>
          </cell>
          <cell r="K622" t="str">
            <v>MP</v>
          </cell>
        </row>
        <row r="623">
          <cell r="A623">
            <v>991585</v>
          </cell>
          <cell r="C623">
            <v>213</v>
          </cell>
          <cell r="D623">
            <v>42</v>
          </cell>
          <cell r="E623">
            <v>558</v>
          </cell>
          <cell r="F623">
            <v>563</v>
          </cell>
          <cell r="G623">
            <v>1912</v>
          </cell>
          <cell r="H623">
            <v>3291.06</v>
          </cell>
          <cell r="I623">
            <v>13716.72</v>
          </cell>
          <cell r="J623">
            <v>90379</v>
          </cell>
          <cell r="K623" t="str">
            <v>MP</v>
          </cell>
        </row>
        <row r="624">
          <cell r="A624">
            <v>991586</v>
          </cell>
          <cell r="C624">
            <v>707</v>
          </cell>
          <cell r="D624">
            <v>66</v>
          </cell>
          <cell r="E624">
            <v>557</v>
          </cell>
          <cell r="F624">
            <v>513</v>
          </cell>
          <cell r="G624">
            <v>1488</v>
          </cell>
          <cell r="H624">
            <v>3333.01</v>
          </cell>
          <cell r="I624">
            <v>825.98</v>
          </cell>
          <cell r="J624">
            <v>92076</v>
          </cell>
          <cell r="K624" t="str">
            <v>MP</v>
          </cell>
        </row>
        <row r="625">
          <cell r="A625">
            <v>991587</v>
          </cell>
          <cell r="C625">
            <v>218</v>
          </cell>
          <cell r="D625">
            <v>89</v>
          </cell>
          <cell r="E625">
            <v>444</v>
          </cell>
          <cell r="F625">
            <v>571</v>
          </cell>
          <cell r="G625">
            <v>1964</v>
          </cell>
          <cell r="H625">
            <v>3289.35</v>
          </cell>
          <cell r="I625">
            <v>14002.5</v>
          </cell>
          <cell r="J625">
            <v>90686</v>
          </cell>
          <cell r="K625" t="str">
            <v>MP</v>
          </cell>
        </row>
        <row r="626">
          <cell r="A626">
            <v>991592</v>
          </cell>
          <cell r="C626">
            <v>1611</v>
          </cell>
          <cell r="D626">
            <v>82</v>
          </cell>
          <cell r="E626">
            <v>557</v>
          </cell>
          <cell r="F626">
            <v>594</v>
          </cell>
          <cell r="G626">
            <v>1805</v>
          </cell>
          <cell r="H626">
            <v>4652.51</v>
          </cell>
          <cell r="I626">
            <v>13900.9</v>
          </cell>
          <cell r="J626">
            <v>92316</v>
          </cell>
          <cell r="K626" t="str">
            <v>MP</v>
          </cell>
        </row>
        <row r="627">
          <cell r="A627">
            <v>991593</v>
          </cell>
          <cell r="C627">
            <v>273</v>
          </cell>
          <cell r="D627">
            <v>56</v>
          </cell>
          <cell r="E627">
            <v>543</v>
          </cell>
          <cell r="F627">
            <v>420</v>
          </cell>
          <cell r="G627">
            <v>1765</v>
          </cell>
          <cell r="H627">
            <v>3059.8</v>
          </cell>
          <cell r="I627">
            <v>9895.91</v>
          </cell>
          <cell r="J627">
            <v>90342</v>
          </cell>
          <cell r="K627" t="str">
            <v>MP</v>
          </cell>
        </row>
        <row r="628">
          <cell r="A628">
            <v>991594</v>
          </cell>
          <cell r="C628">
            <v>152</v>
          </cell>
          <cell r="D628">
            <v>3</v>
          </cell>
          <cell r="E628">
            <v>555</v>
          </cell>
          <cell r="F628">
            <v>146</v>
          </cell>
          <cell r="G628">
            <v>122</v>
          </cell>
          <cell r="H628">
            <v>979.93</v>
          </cell>
          <cell r="I628">
            <v>522.70000000000005</v>
          </cell>
          <cell r="J628">
            <v>90342</v>
          </cell>
          <cell r="K628" t="str">
            <v>MP</v>
          </cell>
        </row>
        <row r="629">
          <cell r="A629">
            <v>991596</v>
          </cell>
          <cell r="C629">
            <v>2931</v>
          </cell>
          <cell r="D629">
            <v>50</v>
          </cell>
          <cell r="E629">
            <v>450</v>
          </cell>
          <cell r="F629">
            <v>369</v>
          </cell>
          <cell r="G629">
            <v>1715</v>
          </cell>
          <cell r="H629">
            <v>5517.78</v>
          </cell>
          <cell r="I629">
            <v>5440.98</v>
          </cell>
          <cell r="J629">
            <v>91375</v>
          </cell>
          <cell r="K629" t="str">
            <v>MP</v>
          </cell>
        </row>
        <row r="630">
          <cell r="A630">
            <v>991599</v>
          </cell>
          <cell r="C630">
            <v>33777</v>
          </cell>
          <cell r="D630">
            <v>6515</v>
          </cell>
          <cell r="E630">
            <v>543</v>
          </cell>
          <cell r="F630">
            <v>24729</v>
          </cell>
          <cell r="G630">
            <v>167006</v>
          </cell>
          <cell r="H630">
            <v>232571.98</v>
          </cell>
          <cell r="I630">
            <v>1089372.78</v>
          </cell>
          <cell r="J630">
            <v>92003</v>
          </cell>
          <cell r="K630" t="str">
            <v>MP</v>
          </cell>
        </row>
        <row r="631">
          <cell r="A631">
            <v>991600</v>
          </cell>
          <cell r="C631">
            <v>480</v>
          </cell>
          <cell r="D631">
            <v>26</v>
          </cell>
          <cell r="E631">
            <v>557</v>
          </cell>
          <cell r="F631">
            <v>241</v>
          </cell>
          <cell r="G631">
            <v>727</v>
          </cell>
          <cell r="H631">
            <v>2033.66</v>
          </cell>
          <cell r="I631">
            <v>4380.43</v>
          </cell>
          <cell r="J631">
            <v>90118</v>
          </cell>
          <cell r="K631" t="str">
            <v>MP</v>
          </cell>
        </row>
        <row r="632">
          <cell r="A632">
            <v>991603</v>
          </cell>
          <cell r="C632">
            <v>256</v>
          </cell>
          <cell r="D632">
            <v>23</v>
          </cell>
          <cell r="E632">
            <v>555</v>
          </cell>
          <cell r="F632">
            <v>343</v>
          </cell>
          <cell r="G632">
            <v>1059</v>
          </cell>
          <cell r="H632">
            <v>2239.59</v>
          </cell>
          <cell r="I632">
            <v>7501.33</v>
          </cell>
          <cell r="J632">
            <v>90083</v>
          </cell>
          <cell r="K632" t="str">
            <v>MP</v>
          </cell>
        </row>
        <row r="633">
          <cell r="A633">
            <v>991606</v>
          </cell>
          <cell r="C633">
            <v>178</v>
          </cell>
          <cell r="D633">
            <v>72</v>
          </cell>
          <cell r="E633">
            <v>557</v>
          </cell>
          <cell r="F633">
            <v>525</v>
          </cell>
          <cell r="G633">
            <v>1675</v>
          </cell>
          <cell r="H633">
            <v>3009.66</v>
          </cell>
          <cell r="I633">
            <v>12005.28</v>
          </cell>
          <cell r="J633">
            <v>91874</v>
          </cell>
          <cell r="K633" t="str">
            <v>MP</v>
          </cell>
        </row>
        <row r="634">
          <cell r="A634">
            <v>991607</v>
          </cell>
          <cell r="C634">
            <v>1878</v>
          </cell>
          <cell r="D634">
            <v>34</v>
          </cell>
          <cell r="E634">
            <v>557</v>
          </cell>
          <cell r="F634">
            <v>258</v>
          </cell>
          <cell r="G634">
            <v>1431</v>
          </cell>
          <cell r="H634">
            <v>4161.46</v>
          </cell>
          <cell r="I634">
            <v>5762.53</v>
          </cell>
          <cell r="J634">
            <v>91144</v>
          </cell>
          <cell r="K634" t="str">
            <v>MP</v>
          </cell>
        </row>
        <row r="635">
          <cell r="A635">
            <v>991608</v>
          </cell>
          <cell r="C635">
            <v>185</v>
          </cell>
          <cell r="D635">
            <v>124</v>
          </cell>
          <cell r="E635">
            <v>450</v>
          </cell>
          <cell r="F635">
            <v>708</v>
          </cell>
          <cell r="G635">
            <v>3767</v>
          </cell>
          <cell r="H635">
            <v>5236.96</v>
          </cell>
          <cell r="I635">
            <v>19859.23</v>
          </cell>
          <cell r="J635">
            <v>90593</v>
          </cell>
          <cell r="K635" t="str">
            <v>MP</v>
          </cell>
        </row>
        <row r="636">
          <cell r="A636">
            <v>991609</v>
          </cell>
          <cell r="C636">
            <v>111</v>
          </cell>
          <cell r="D636">
            <v>4</v>
          </cell>
          <cell r="E636">
            <v>555</v>
          </cell>
          <cell r="F636">
            <v>149</v>
          </cell>
          <cell r="G636">
            <v>137</v>
          </cell>
          <cell r="H636">
            <v>957.39</v>
          </cell>
          <cell r="I636">
            <v>671.84</v>
          </cell>
          <cell r="J636">
            <v>90131</v>
          </cell>
          <cell r="K636" t="str">
            <v>MP</v>
          </cell>
        </row>
        <row r="637">
          <cell r="A637">
            <v>991610</v>
          </cell>
          <cell r="C637">
            <v>200</v>
          </cell>
          <cell r="D637">
            <v>12</v>
          </cell>
          <cell r="E637">
            <v>555</v>
          </cell>
          <cell r="F637">
            <v>176</v>
          </cell>
          <cell r="G637">
            <v>374</v>
          </cell>
          <cell r="H637">
            <v>1319.35</v>
          </cell>
          <cell r="I637">
            <v>1805.82</v>
          </cell>
          <cell r="J637">
            <v>92174</v>
          </cell>
          <cell r="K637" t="str">
            <v>MP</v>
          </cell>
        </row>
        <row r="638">
          <cell r="A638">
            <v>991612</v>
          </cell>
          <cell r="C638">
            <v>194</v>
          </cell>
          <cell r="D638">
            <v>59</v>
          </cell>
          <cell r="E638">
            <v>555</v>
          </cell>
          <cell r="F638">
            <v>492</v>
          </cell>
          <cell r="G638">
            <v>1858</v>
          </cell>
          <cell r="H638">
            <v>3160.27</v>
          </cell>
          <cell r="I638">
            <v>10140.950000000001</v>
          </cell>
          <cell r="J638">
            <v>91984</v>
          </cell>
          <cell r="K638" t="str">
            <v>MP</v>
          </cell>
        </row>
        <row r="639">
          <cell r="A639">
            <v>991625</v>
          </cell>
          <cell r="C639">
            <v>209</v>
          </cell>
          <cell r="D639">
            <v>47</v>
          </cell>
          <cell r="E639">
            <v>555</v>
          </cell>
          <cell r="F639">
            <v>595</v>
          </cell>
          <cell r="G639">
            <v>2113</v>
          </cell>
          <cell r="H639">
            <v>3522.29</v>
          </cell>
          <cell r="I639">
            <v>15268.42</v>
          </cell>
          <cell r="J639">
            <v>90061</v>
          </cell>
          <cell r="K639" t="str">
            <v>MP</v>
          </cell>
        </row>
        <row r="640">
          <cell r="A640">
            <v>991626</v>
          </cell>
          <cell r="C640">
            <v>827</v>
          </cell>
          <cell r="D640">
            <v>11</v>
          </cell>
          <cell r="E640">
            <v>555</v>
          </cell>
          <cell r="F640">
            <v>193</v>
          </cell>
          <cell r="G640">
            <v>530</v>
          </cell>
          <cell r="H640">
            <v>2118.4299999999998</v>
          </cell>
          <cell r="I640">
            <v>1924.84</v>
          </cell>
          <cell r="J640">
            <v>91163</v>
          </cell>
          <cell r="K640" t="str">
            <v>MP</v>
          </cell>
        </row>
        <row r="641">
          <cell r="A641">
            <v>991627</v>
          </cell>
          <cell r="C641">
            <v>292</v>
          </cell>
          <cell r="D641">
            <v>10</v>
          </cell>
          <cell r="E641">
            <v>557</v>
          </cell>
          <cell r="F641">
            <v>175</v>
          </cell>
          <cell r="G641">
            <v>365</v>
          </cell>
          <cell r="H641">
            <v>1401.95</v>
          </cell>
          <cell r="I641">
            <v>1627.15</v>
          </cell>
          <cell r="J641">
            <v>92333</v>
          </cell>
          <cell r="K641" t="str">
            <v>MP</v>
          </cell>
        </row>
        <row r="642">
          <cell r="A642">
            <v>991628</v>
          </cell>
          <cell r="C642">
            <v>753</v>
          </cell>
          <cell r="D642">
            <v>180</v>
          </cell>
          <cell r="E642">
            <v>444</v>
          </cell>
          <cell r="F642">
            <v>923</v>
          </cell>
          <cell r="G642">
            <v>6231</v>
          </cell>
          <cell r="H642">
            <v>8533.7099999999991</v>
          </cell>
          <cell r="I642">
            <v>29128.87</v>
          </cell>
          <cell r="J642">
            <v>92088</v>
          </cell>
          <cell r="K642" t="str">
            <v>MP</v>
          </cell>
        </row>
        <row r="643">
          <cell r="A643">
            <v>991629</v>
          </cell>
          <cell r="C643">
            <v>973</v>
          </cell>
          <cell r="D643">
            <v>543</v>
          </cell>
          <cell r="E643">
            <v>558</v>
          </cell>
          <cell r="F643">
            <v>2202</v>
          </cell>
          <cell r="G643">
            <v>13012</v>
          </cell>
          <cell r="H643">
            <v>17290.03</v>
          </cell>
          <cell r="I643">
            <v>85956.61</v>
          </cell>
          <cell r="J643">
            <v>92386</v>
          </cell>
          <cell r="K643" t="str">
            <v>MP</v>
          </cell>
        </row>
        <row r="644">
          <cell r="A644">
            <v>991630</v>
          </cell>
          <cell r="C644">
            <v>298</v>
          </cell>
          <cell r="D644">
            <v>21</v>
          </cell>
          <cell r="E644">
            <v>555</v>
          </cell>
          <cell r="F644">
            <v>217</v>
          </cell>
          <cell r="G644">
            <v>723</v>
          </cell>
          <cell r="H644">
            <v>1817.07</v>
          </cell>
          <cell r="I644">
            <v>3515.38</v>
          </cell>
          <cell r="J644">
            <v>90257</v>
          </cell>
          <cell r="K644" t="str">
            <v>MP</v>
          </cell>
        </row>
        <row r="645">
          <cell r="A645">
            <v>991631</v>
          </cell>
          <cell r="C645">
            <v>924</v>
          </cell>
          <cell r="D645">
            <v>89</v>
          </cell>
          <cell r="E645">
            <v>558</v>
          </cell>
          <cell r="F645">
            <v>581</v>
          </cell>
          <cell r="G645">
            <v>2744</v>
          </cell>
          <cell r="H645">
            <v>4897.5600000000004</v>
          </cell>
          <cell r="I645">
            <v>13748.9</v>
          </cell>
          <cell r="J645">
            <v>90721</v>
          </cell>
          <cell r="K645" t="str">
            <v>MP</v>
          </cell>
        </row>
        <row r="646">
          <cell r="A646">
            <v>991633</v>
          </cell>
          <cell r="C646">
            <v>297</v>
          </cell>
          <cell r="D646">
            <v>53</v>
          </cell>
          <cell r="E646">
            <v>558</v>
          </cell>
          <cell r="F646">
            <v>638</v>
          </cell>
          <cell r="G646">
            <v>2377</v>
          </cell>
          <cell r="H646">
            <v>3925.37</v>
          </cell>
          <cell r="I646">
            <v>16646.8</v>
          </cell>
          <cell r="J646">
            <v>91750</v>
          </cell>
          <cell r="K646" t="str">
            <v>MP</v>
          </cell>
        </row>
        <row r="647">
          <cell r="A647">
            <v>991635</v>
          </cell>
          <cell r="C647">
            <v>544</v>
          </cell>
          <cell r="D647">
            <v>12</v>
          </cell>
          <cell r="E647">
            <v>555</v>
          </cell>
          <cell r="F647">
            <v>229</v>
          </cell>
          <cell r="G647">
            <v>910</v>
          </cell>
          <cell r="H647">
            <v>2252.4</v>
          </cell>
          <cell r="I647">
            <v>4020.43</v>
          </cell>
          <cell r="J647">
            <v>92281</v>
          </cell>
          <cell r="K647" t="str">
            <v>MP</v>
          </cell>
        </row>
        <row r="648">
          <cell r="A648">
            <v>991636</v>
          </cell>
          <cell r="C648">
            <v>257</v>
          </cell>
          <cell r="D648">
            <v>11</v>
          </cell>
          <cell r="E648">
            <v>444</v>
          </cell>
          <cell r="F648">
            <v>172</v>
          </cell>
          <cell r="G648">
            <v>352</v>
          </cell>
          <cell r="H648">
            <v>1238.51</v>
          </cell>
          <cell r="I648">
            <v>1922.87</v>
          </cell>
          <cell r="J648">
            <v>92252</v>
          </cell>
          <cell r="K648" t="str">
            <v>MP</v>
          </cell>
        </row>
        <row r="649">
          <cell r="A649">
            <v>991638</v>
          </cell>
          <cell r="C649">
            <v>175</v>
          </cell>
          <cell r="D649">
            <v>16</v>
          </cell>
          <cell r="E649">
            <v>555</v>
          </cell>
          <cell r="F649">
            <v>250</v>
          </cell>
          <cell r="G649">
            <v>158</v>
          </cell>
          <cell r="H649">
            <v>1156.6099999999999</v>
          </cell>
          <cell r="I649">
            <v>5229.5</v>
          </cell>
          <cell r="J649">
            <v>90061</v>
          </cell>
          <cell r="K649" t="str">
            <v>MP</v>
          </cell>
        </row>
        <row r="650">
          <cell r="A650">
            <v>991639</v>
          </cell>
          <cell r="C650">
            <v>175</v>
          </cell>
          <cell r="D650">
            <v>7</v>
          </cell>
          <cell r="E650">
            <v>555</v>
          </cell>
          <cell r="F650">
            <v>189</v>
          </cell>
          <cell r="G650">
            <v>77</v>
          </cell>
          <cell r="H650">
            <v>1006.09</v>
          </cell>
          <cell r="I650">
            <v>2457.75</v>
          </cell>
          <cell r="J650">
            <v>90061</v>
          </cell>
          <cell r="K650" t="str">
            <v>MP</v>
          </cell>
        </row>
        <row r="651">
          <cell r="A651">
            <v>991640</v>
          </cell>
          <cell r="C651">
            <v>322</v>
          </cell>
          <cell r="D651">
            <v>58</v>
          </cell>
          <cell r="E651">
            <v>555</v>
          </cell>
          <cell r="F651">
            <v>674</v>
          </cell>
          <cell r="G651">
            <v>2603</v>
          </cell>
          <cell r="H651">
            <v>4213.78</v>
          </cell>
          <cell r="I651">
            <v>18328.25</v>
          </cell>
          <cell r="J651">
            <v>91750</v>
          </cell>
          <cell r="K651" t="str">
            <v>MP</v>
          </cell>
        </row>
        <row r="652">
          <cell r="A652">
            <v>991641</v>
          </cell>
          <cell r="C652">
            <v>194</v>
          </cell>
          <cell r="D652">
            <v>0</v>
          </cell>
          <cell r="E652">
            <v>555</v>
          </cell>
          <cell r="F652">
            <v>137</v>
          </cell>
          <cell r="G652">
            <v>42</v>
          </cell>
          <cell r="H652">
            <v>929.47</v>
          </cell>
          <cell r="I652">
            <v>28.88</v>
          </cell>
          <cell r="J652">
            <v>92249</v>
          </cell>
          <cell r="K652" t="str">
            <v>MP</v>
          </cell>
        </row>
        <row r="653">
          <cell r="A653">
            <v>991642</v>
          </cell>
          <cell r="C653">
            <v>171</v>
          </cell>
          <cell r="D653">
            <v>18</v>
          </cell>
          <cell r="E653">
            <v>558</v>
          </cell>
          <cell r="F653">
            <v>203</v>
          </cell>
          <cell r="G653">
            <v>569</v>
          </cell>
          <cell r="H653">
            <v>1521.12</v>
          </cell>
          <cell r="I653">
            <v>3179.47</v>
          </cell>
          <cell r="J653">
            <v>92287</v>
          </cell>
          <cell r="K653" t="str">
            <v>MP</v>
          </cell>
        </row>
        <row r="654">
          <cell r="A654">
            <v>991648</v>
          </cell>
          <cell r="C654">
            <v>8926</v>
          </cell>
          <cell r="D654">
            <v>161</v>
          </cell>
          <cell r="E654">
            <v>558</v>
          </cell>
          <cell r="F654">
            <v>846</v>
          </cell>
          <cell r="G654">
            <v>3150</v>
          </cell>
          <cell r="H654">
            <v>13643.91</v>
          </cell>
          <cell r="I654">
            <v>18386.64</v>
          </cell>
          <cell r="J654">
            <v>91996</v>
          </cell>
          <cell r="K654" t="str">
            <v>MP</v>
          </cell>
        </row>
        <row r="655">
          <cell r="A655">
            <v>991651</v>
          </cell>
          <cell r="C655">
            <v>732</v>
          </cell>
          <cell r="D655">
            <v>14</v>
          </cell>
          <cell r="E655">
            <v>555</v>
          </cell>
          <cell r="F655">
            <v>200</v>
          </cell>
          <cell r="G655">
            <v>574</v>
          </cell>
          <cell r="H655">
            <v>2076.3200000000002</v>
          </cell>
          <cell r="I655">
            <v>2355.65</v>
          </cell>
          <cell r="J655">
            <v>93034</v>
          </cell>
          <cell r="K655" t="str">
            <v>MP</v>
          </cell>
        </row>
        <row r="656">
          <cell r="A656">
            <v>991653</v>
          </cell>
          <cell r="C656">
            <v>500</v>
          </cell>
          <cell r="D656">
            <v>54</v>
          </cell>
          <cell r="E656">
            <v>555</v>
          </cell>
          <cell r="F656">
            <v>416</v>
          </cell>
          <cell r="G656">
            <v>1931</v>
          </cell>
          <cell r="H656">
            <v>3458.55</v>
          </cell>
          <cell r="I656">
            <v>8853.2900000000009</v>
          </cell>
          <cell r="J656">
            <v>92088</v>
          </cell>
          <cell r="K656" t="str">
            <v>MP</v>
          </cell>
        </row>
        <row r="657">
          <cell r="A657">
            <v>991658</v>
          </cell>
          <cell r="C657">
            <v>296</v>
          </cell>
          <cell r="D657">
            <v>27</v>
          </cell>
          <cell r="E657">
            <v>555</v>
          </cell>
          <cell r="F657">
            <v>231</v>
          </cell>
          <cell r="G657">
            <v>838</v>
          </cell>
          <cell r="H657">
            <v>1948.7</v>
          </cell>
          <cell r="I657">
            <v>4177.68</v>
          </cell>
          <cell r="J657">
            <v>90424</v>
          </cell>
          <cell r="K657" t="str">
            <v>MP</v>
          </cell>
        </row>
        <row r="658">
          <cell r="A658">
            <v>991660</v>
          </cell>
          <cell r="C658">
            <v>501</v>
          </cell>
          <cell r="D658">
            <v>15</v>
          </cell>
          <cell r="E658">
            <v>150</v>
          </cell>
          <cell r="F658">
            <v>349</v>
          </cell>
          <cell r="G658">
            <v>475</v>
          </cell>
          <cell r="H658">
            <v>1492.11</v>
          </cell>
          <cell r="I658">
            <v>1994.62</v>
          </cell>
          <cell r="J658">
            <v>90131</v>
          </cell>
          <cell r="K658" t="str">
            <v>MP</v>
          </cell>
        </row>
        <row r="659">
          <cell r="A659">
            <v>991661</v>
          </cell>
          <cell r="C659">
            <v>203</v>
          </cell>
          <cell r="D659">
            <v>1</v>
          </cell>
          <cell r="E659">
            <v>555</v>
          </cell>
          <cell r="F659">
            <v>139</v>
          </cell>
          <cell r="G659">
            <v>64</v>
          </cell>
          <cell r="H659">
            <v>963.44</v>
          </cell>
          <cell r="I659">
            <v>133.35</v>
          </cell>
          <cell r="J659">
            <v>90402</v>
          </cell>
          <cell r="K659" t="str">
            <v>MP</v>
          </cell>
        </row>
        <row r="660">
          <cell r="A660">
            <v>991673</v>
          </cell>
          <cell r="C660">
            <v>225</v>
          </cell>
          <cell r="D660">
            <v>216</v>
          </cell>
          <cell r="E660">
            <v>450</v>
          </cell>
          <cell r="F660">
            <v>1045</v>
          </cell>
          <cell r="G660">
            <v>1052</v>
          </cell>
          <cell r="H660">
            <v>2990.86</v>
          </cell>
          <cell r="I660">
            <v>35158.32</v>
          </cell>
          <cell r="J660">
            <v>92240</v>
          </cell>
          <cell r="K660" t="str">
            <v>MP</v>
          </cell>
        </row>
        <row r="661">
          <cell r="A661">
            <v>991682</v>
          </cell>
          <cell r="C661">
            <v>259</v>
          </cell>
          <cell r="D661">
            <v>7</v>
          </cell>
          <cell r="E661">
            <v>555</v>
          </cell>
          <cell r="F661">
            <v>191</v>
          </cell>
          <cell r="G661">
            <v>498</v>
          </cell>
          <cell r="H661">
            <v>1511.54</v>
          </cell>
          <cell r="I661">
            <v>2388.4299999999998</v>
          </cell>
          <cell r="J661">
            <v>91468</v>
          </cell>
          <cell r="K661" t="str">
            <v>MP</v>
          </cell>
        </row>
        <row r="662">
          <cell r="A662">
            <v>991694</v>
          </cell>
          <cell r="C662">
            <v>276</v>
          </cell>
          <cell r="D662">
            <v>34</v>
          </cell>
          <cell r="E662">
            <v>532</v>
          </cell>
          <cell r="F662">
            <v>257</v>
          </cell>
          <cell r="G662">
            <v>1070</v>
          </cell>
          <cell r="H662">
            <v>2171.41</v>
          </cell>
          <cell r="I662">
            <v>5640.58</v>
          </cell>
          <cell r="J662">
            <v>92375</v>
          </cell>
          <cell r="K662" t="str">
            <v>MP</v>
          </cell>
        </row>
        <row r="663">
          <cell r="A663">
            <v>991704</v>
          </cell>
          <cell r="C663">
            <v>218</v>
          </cell>
          <cell r="D663">
            <v>48</v>
          </cell>
          <cell r="E663">
            <v>555</v>
          </cell>
          <cell r="F663">
            <v>369</v>
          </cell>
          <cell r="G663">
            <v>1383</v>
          </cell>
          <cell r="H663">
            <v>2575.52</v>
          </cell>
          <cell r="I663">
            <v>8096.68</v>
          </cell>
          <cell r="J663">
            <v>92278</v>
          </cell>
          <cell r="K663" t="str">
            <v>MP</v>
          </cell>
        </row>
        <row r="664">
          <cell r="A664">
            <v>991711</v>
          </cell>
          <cell r="C664">
            <v>309</v>
          </cell>
          <cell r="D664">
            <v>50</v>
          </cell>
          <cell r="E664">
            <v>558</v>
          </cell>
          <cell r="F664">
            <v>385</v>
          </cell>
          <cell r="G664">
            <v>1021</v>
          </cell>
          <cell r="H664">
            <v>2326</v>
          </cell>
          <cell r="I664">
            <v>8227.39</v>
          </cell>
          <cell r="J664">
            <v>92282</v>
          </cell>
          <cell r="K664" t="str">
            <v>MP</v>
          </cell>
        </row>
        <row r="665">
          <cell r="A665">
            <v>991712</v>
          </cell>
          <cell r="C665">
            <v>204</v>
          </cell>
          <cell r="D665">
            <v>4</v>
          </cell>
          <cell r="E665">
            <v>555</v>
          </cell>
          <cell r="F665">
            <v>167</v>
          </cell>
          <cell r="G665">
            <v>141</v>
          </cell>
          <cell r="H665">
            <v>1073.18</v>
          </cell>
          <cell r="I665">
            <v>1369.38</v>
          </cell>
          <cell r="J665">
            <v>92274</v>
          </cell>
          <cell r="K665" t="str">
            <v>MP</v>
          </cell>
        </row>
        <row r="666">
          <cell r="A666">
            <v>991719</v>
          </cell>
          <cell r="C666">
            <v>1712</v>
          </cell>
          <cell r="D666">
            <v>37</v>
          </cell>
          <cell r="E666">
            <v>532</v>
          </cell>
          <cell r="F666">
            <v>274</v>
          </cell>
          <cell r="G666">
            <v>1264</v>
          </cell>
          <cell r="H666">
            <v>3821.5</v>
          </cell>
          <cell r="I666">
            <v>4583.78</v>
          </cell>
          <cell r="J666">
            <v>91064</v>
          </cell>
          <cell r="K666" t="str">
            <v>MP</v>
          </cell>
        </row>
        <row r="667">
          <cell r="A667">
            <v>991723</v>
          </cell>
          <cell r="C667">
            <v>3522</v>
          </cell>
          <cell r="D667">
            <v>69</v>
          </cell>
          <cell r="E667">
            <v>532</v>
          </cell>
          <cell r="F667">
            <v>586</v>
          </cell>
          <cell r="G667">
            <v>2645</v>
          </cell>
          <cell r="H667">
            <v>7356.65</v>
          </cell>
          <cell r="I667">
            <v>11943.62</v>
          </cell>
          <cell r="J667">
            <v>92093</v>
          </cell>
          <cell r="K667" t="str">
            <v>MP</v>
          </cell>
        </row>
        <row r="668">
          <cell r="A668">
            <v>991731</v>
          </cell>
          <cell r="C668">
            <v>752</v>
          </cell>
          <cell r="D668">
            <v>43</v>
          </cell>
          <cell r="E668">
            <v>555</v>
          </cell>
          <cell r="F668">
            <v>320</v>
          </cell>
          <cell r="G668">
            <v>1339</v>
          </cell>
          <cell r="H668">
            <v>3011.51</v>
          </cell>
          <cell r="I668">
            <v>6254.54</v>
          </cell>
          <cell r="J668">
            <v>92285</v>
          </cell>
          <cell r="K668" t="str">
            <v>MP</v>
          </cell>
        </row>
        <row r="669">
          <cell r="A669">
            <v>991740</v>
          </cell>
          <cell r="C669">
            <v>217</v>
          </cell>
          <cell r="D669">
            <v>91</v>
          </cell>
          <cell r="E669">
            <v>555</v>
          </cell>
          <cell r="F669">
            <v>595</v>
          </cell>
          <cell r="G669">
            <v>2112</v>
          </cell>
          <cell r="H669">
            <v>3572.97</v>
          </cell>
          <cell r="I669">
            <v>14920.89</v>
          </cell>
          <cell r="J669">
            <v>90686</v>
          </cell>
          <cell r="K669" t="str">
            <v>MP</v>
          </cell>
        </row>
        <row r="670">
          <cell r="A670">
            <v>991812</v>
          </cell>
          <cell r="C670">
            <v>675</v>
          </cell>
          <cell r="D670">
            <v>70</v>
          </cell>
          <cell r="E670">
            <v>532</v>
          </cell>
          <cell r="F670">
            <v>512</v>
          </cell>
          <cell r="G670">
            <v>2165</v>
          </cell>
          <cell r="H670">
            <v>3955.96</v>
          </cell>
          <cell r="I670">
            <v>11056.8</v>
          </cell>
          <cell r="J670">
            <v>92090</v>
          </cell>
          <cell r="K670" t="str">
            <v>MP</v>
          </cell>
        </row>
        <row r="671">
          <cell r="A671" t="str">
            <v/>
          </cell>
        </row>
        <row r="672">
          <cell r="H672">
            <v>0</v>
          </cell>
        </row>
        <row r="673">
          <cell r="A673" t="str">
            <v>TOTAIS</v>
          </cell>
          <cell r="C673">
            <v>1156314</v>
          </cell>
          <cell r="D673">
            <v>135101</v>
          </cell>
          <cell r="E673">
            <v>324434</v>
          </cell>
          <cell r="F673">
            <v>663148</v>
          </cell>
          <cell r="G673">
            <v>3053792</v>
          </cell>
          <cell r="H673">
            <v>5332546.7800000086</v>
          </cell>
          <cell r="I673">
            <v>20122971.570000019</v>
          </cell>
        </row>
        <row r="676">
          <cell r="A676" t="str">
            <v>ATIVO FIXO - LOCAL 91</v>
          </cell>
        </row>
        <row r="677">
          <cell r="A677" t="str">
            <v>PROC</v>
          </cell>
          <cell r="B677" t="str">
            <v>NF</v>
          </cell>
          <cell r="C677" t="str">
            <v>FRETE</v>
          </cell>
          <cell r="D677" t="str">
            <v>SEG</v>
          </cell>
          <cell r="E677" t="str">
            <v>COM</v>
          </cell>
          <cell r="F677" t="str">
            <v>ALF</v>
          </cell>
          <cell r="G677" t="str">
            <v>IMP</v>
          </cell>
          <cell r="H677" t="str">
            <v>TOTAL</v>
          </cell>
          <cell r="I677" t="str">
            <v>FOB</v>
          </cell>
          <cell r="J677" t="str">
            <v>FORN</v>
          </cell>
          <cell r="K677" t="str">
            <v>TIPO</v>
          </cell>
          <cell r="L677" t="str">
            <v>ICMS</v>
          </cell>
          <cell r="N677" t="str">
            <v>IPI</v>
          </cell>
        </row>
        <row r="678">
          <cell r="A678">
            <v>990630</v>
          </cell>
          <cell r="C678">
            <v>259</v>
          </cell>
          <cell r="D678">
            <v>0</v>
          </cell>
          <cell r="E678">
            <v>486</v>
          </cell>
          <cell r="F678">
            <v>303</v>
          </cell>
          <cell r="G678">
            <v>290</v>
          </cell>
          <cell r="H678">
            <v>1340.19</v>
          </cell>
          <cell r="I678">
            <v>1038.73</v>
          </cell>
          <cell r="J678">
            <v>92346</v>
          </cell>
          <cell r="K678" t="str">
            <v>AF</v>
          </cell>
          <cell r="L678">
            <v>0</v>
          </cell>
          <cell r="N678">
            <v>0</v>
          </cell>
        </row>
        <row r="679">
          <cell r="A679" t="str">
            <v/>
          </cell>
          <cell r="H679">
            <v>0</v>
          </cell>
        </row>
        <row r="680">
          <cell r="H680">
            <v>0</v>
          </cell>
        </row>
        <row r="681">
          <cell r="A681" t="str">
            <v>TOTAIS</v>
          </cell>
          <cell r="C681">
            <v>259</v>
          </cell>
          <cell r="D681">
            <v>0</v>
          </cell>
          <cell r="E681">
            <v>486</v>
          </cell>
          <cell r="F681">
            <v>303</v>
          </cell>
          <cell r="G681">
            <v>290</v>
          </cell>
          <cell r="H681">
            <v>1340.19</v>
          </cell>
          <cell r="I681">
            <v>1038.73</v>
          </cell>
          <cell r="L681">
            <v>0</v>
          </cell>
          <cell r="N681">
            <v>0</v>
          </cell>
        </row>
        <row r="684">
          <cell r="A684" t="str">
            <v>MATERIAL DE CONSUMO - LOCAL 91</v>
          </cell>
        </row>
        <row r="685">
          <cell r="A685" t="str">
            <v>PROC</v>
          </cell>
          <cell r="B685" t="str">
            <v>NF</v>
          </cell>
          <cell r="C685" t="str">
            <v>FRETE</v>
          </cell>
          <cell r="D685" t="str">
            <v>SEG</v>
          </cell>
          <cell r="E685" t="str">
            <v>COM</v>
          </cell>
          <cell r="F685" t="str">
            <v>ALF</v>
          </cell>
          <cell r="G685" t="str">
            <v>IMP</v>
          </cell>
          <cell r="H685" t="str">
            <v>TOTAL</v>
          </cell>
          <cell r="I685" t="str">
            <v>FOB</v>
          </cell>
          <cell r="J685" t="str">
            <v>FORN</v>
          </cell>
          <cell r="K685" t="str">
            <v>TIPO</v>
          </cell>
          <cell r="L685" t="str">
            <v>DESP</v>
          </cell>
          <cell r="M685" t="str">
            <v>CC</v>
          </cell>
          <cell r="N685" t="str">
            <v>IPI</v>
          </cell>
          <cell r="O685" t="str">
            <v>ICMS</v>
          </cell>
        </row>
        <row r="686">
          <cell r="A686">
            <v>984662</v>
          </cell>
          <cell r="C686">
            <v>151</v>
          </cell>
          <cell r="D686">
            <v>3</v>
          </cell>
          <cell r="E686">
            <v>290</v>
          </cell>
          <cell r="F686">
            <v>144</v>
          </cell>
          <cell r="G686">
            <v>103</v>
          </cell>
          <cell r="H686">
            <v>868.76</v>
          </cell>
          <cell r="I686">
            <v>385.71</v>
          </cell>
          <cell r="J686">
            <v>91330</v>
          </cell>
          <cell r="K686" t="str">
            <v>MC</v>
          </cell>
          <cell r="L686">
            <v>85</v>
          </cell>
          <cell r="M686">
            <v>312200</v>
          </cell>
          <cell r="N686">
            <v>51</v>
          </cell>
          <cell r="O686">
            <v>125</v>
          </cell>
        </row>
        <row r="687">
          <cell r="A687">
            <v>990591</v>
          </cell>
          <cell r="C687">
            <v>102</v>
          </cell>
          <cell r="D687">
            <v>6</v>
          </cell>
          <cell r="E687">
            <v>504</v>
          </cell>
          <cell r="F687">
            <v>157</v>
          </cell>
          <cell r="G687">
            <v>213</v>
          </cell>
          <cell r="H687">
            <v>1351.29</v>
          </cell>
          <cell r="I687">
            <v>979.8</v>
          </cell>
          <cell r="J687">
            <v>91953</v>
          </cell>
          <cell r="K687" t="str">
            <v>MC</v>
          </cell>
          <cell r="L687">
            <v>85</v>
          </cell>
          <cell r="M687">
            <v>312200</v>
          </cell>
          <cell r="N687">
            <v>106</v>
          </cell>
          <cell r="O687">
            <v>259</v>
          </cell>
        </row>
        <row r="688">
          <cell r="A688">
            <v>990895</v>
          </cell>
          <cell r="C688">
            <v>516</v>
          </cell>
          <cell r="D688">
            <v>16</v>
          </cell>
          <cell r="E688">
            <v>504</v>
          </cell>
          <cell r="F688">
            <v>192</v>
          </cell>
          <cell r="G688">
            <v>505</v>
          </cell>
          <cell r="H688">
            <v>2603.48</v>
          </cell>
          <cell r="I688">
            <v>1790.38</v>
          </cell>
          <cell r="J688">
            <v>91062</v>
          </cell>
          <cell r="K688" t="str">
            <v>MC</v>
          </cell>
          <cell r="L688">
            <v>24</v>
          </cell>
          <cell r="M688">
            <v>315350</v>
          </cell>
          <cell r="N688">
            <v>253</v>
          </cell>
          <cell r="O688">
            <v>614</v>
          </cell>
        </row>
        <row r="689">
          <cell r="A689">
            <v>990907</v>
          </cell>
          <cell r="C689">
            <v>1050</v>
          </cell>
          <cell r="D689">
            <v>199</v>
          </cell>
          <cell r="E689">
            <v>464</v>
          </cell>
          <cell r="F689">
            <v>1719</v>
          </cell>
          <cell r="G689">
            <v>8607</v>
          </cell>
          <cell r="H689">
            <v>29292.95</v>
          </cell>
          <cell r="I689">
            <v>61319.89</v>
          </cell>
          <cell r="J689">
            <v>92419</v>
          </cell>
          <cell r="K689" t="str">
            <v>MC</v>
          </cell>
          <cell r="L689">
            <v>24</v>
          </cell>
          <cell r="M689">
            <v>390005</v>
          </cell>
          <cell r="N689">
            <v>7370</v>
          </cell>
          <cell r="O689">
            <v>9881</v>
          </cell>
        </row>
        <row r="690">
          <cell r="A690">
            <v>991078</v>
          </cell>
          <cell r="C690">
            <v>246</v>
          </cell>
          <cell r="D690">
            <v>10</v>
          </cell>
          <cell r="E690">
            <v>472</v>
          </cell>
          <cell r="F690">
            <v>204</v>
          </cell>
          <cell r="G690">
            <v>615</v>
          </cell>
          <cell r="H690">
            <v>2607.6</v>
          </cell>
          <cell r="I690">
            <v>2854.94</v>
          </cell>
          <cell r="J690">
            <v>91330</v>
          </cell>
          <cell r="K690" t="str">
            <v>MC</v>
          </cell>
          <cell r="L690">
            <v>85</v>
          </cell>
          <cell r="M690">
            <v>312200</v>
          </cell>
          <cell r="N690">
            <v>308</v>
          </cell>
          <cell r="O690">
            <v>749</v>
          </cell>
        </row>
        <row r="691">
          <cell r="A691">
            <v>991084</v>
          </cell>
          <cell r="C691">
            <v>57.73</v>
          </cell>
          <cell r="D691">
            <v>1.24</v>
          </cell>
          <cell r="E691">
            <v>114</v>
          </cell>
          <cell r="F691">
            <v>42.61</v>
          </cell>
          <cell r="G691">
            <v>89.99</v>
          </cell>
          <cell r="H691">
            <v>453.42</v>
          </cell>
          <cell r="I691">
            <v>385.21</v>
          </cell>
          <cell r="J691">
            <v>91915</v>
          </cell>
          <cell r="K691" t="str">
            <v>MC</v>
          </cell>
          <cell r="L691">
            <v>89</v>
          </cell>
          <cell r="M691">
            <v>301300</v>
          </cell>
          <cell r="N691">
            <v>50.29</v>
          </cell>
          <cell r="O691">
            <v>103.56</v>
          </cell>
        </row>
        <row r="692">
          <cell r="A692">
            <v>991084</v>
          </cell>
          <cell r="C692">
            <v>175.33</v>
          </cell>
          <cell r="D692">
            <v>3.76</v>
          </cell>
          <cell r="E692">
            <v>343.88</v>
          </cell>
          <cell r="F692">
            <v>131.41999999999999</v>
          </cell>
          <cell r="G692">
            <v>255.38</v>
          </cell>
          <cell r="H692">
            <v>1377.06</v>
          </cell>
          <cell r="I692">
            <v>1169.92</v>
          </cell>
          <cell r="J692">
            <v>91915</v>
          </cell>
          <cell r="K692" t="str">
            <v>MC</v>
          </cell>
          <cell r="L692">
            <v>85</v>
          </cell>
          <cell r="M692">
            <v>312200</v>
          </cell>
          <cell r="N692">
            <v>152.75</v>
          </cell>
          <cell r="O692">
            <v>314.54000000000002</v>
          </cell>
        </row>
        <row r="693">
          <cell r="A693">
            <v>991132</v>
          </cell>
          <cell r="C693">
            <v>372</v>
          </cell>
          <cell r="D693">
            <v>9</v>
          </cell>
          <cell r="E693">
            <v>519</v>
          </cell>
          <cell r="F693">
            <v>166</v>
          </cell>
          <cell r="G693">
            <v>288</v>
          </cell>
          <cell r="H693">
            <v>1851.75</v>
          </cell>
          <cell r="I693">
            <v>1721.09</v>
          </cell>
          <cell r="J693">
            <v>92385</v>
          </cell>
          <cell r="K693" t="str">
            <v>MC</v>
          </cell>
          <cell r="L693">
            <v>24</v>
          </cell>
          <cell r="M693">
            <v>390012</v>
          </cell>
          <cell r="N693">
            <v>144</v>
          </cell>
          <cell r="O693">
            <v>351</v>
          </cell>
        </row>
        <row r="694">
          <cell r="A694">
            <v>991193</v>
          </cell>
          <cell r="C694">
            <v>158</v>
          </cell>
          <cell r="D694">
            <v>2</v>
          </cell>
          <cell r="E694">
            <v>447</v>
          </cell>
          <cell r="F694">
            <v>155</v>
          </cell>
          <cell r="G694">
            <v>199</v>
          </cell>
          <cell r="H694">
            <v>1313.06</v>
          </cell>
          <cell r="I694">
            <v>920.25</v>
          </cell>
          <cell r="J694">
            <v>91491</v>
          </cell>
          <cell r="K694" t="str">
            <v>MC</v>
          </cell>
          <cell r="L694">
            <v>85</v>
          </cell>
          <cell r="M694">
            <v>312200</v>
          </cell>
          <cell r="N694">
            <v>118</v>
          </cell>
          <cell r="O694">
            <v>231</v>
          </cell>
        </row>
        <row r="695">
          <cell r="A695">
            <v>991316</v>
          </cell>
          <cell r="C695">
            <v>149</v>
          </cell>
          <cell r="D695">
            <v>37</v>
          </cell>
          <cell r="E695">
            <v>447</v>
          </cell>
          <cell r="F695">
            <v>283</v>
          </cell>
          <cell r="G695">
            <v>1155</v>
          </cell>
          <cell r="H695">
            <v>4065.54</v>
          </cell>
          <cell r="I695">
            <v>6470.76</v>
          </cell>
          <cell r="J695">
            <v>91330</v>
          </cell>
          <cell r="K695" t="str">
            <v>MC</v>
          </cell>
          <cell r="L695">
            <v>85</v>
          </cell>
          <cell r="M695">
            <v>312200</v>
          </cell>
          <cell r="N695">
            <v>710</v>
          </cell>
          <cell r="O695">
            <v>1282</v>
          </cell>
        </row>
        <row r="696">
          <cell r="A696">
            <v>991454</v>
          </cell>
          <cell r="C696">
            <v>346</v>
          </cell>
          <cell r="D696">
            <v>37</v>
          </cell>
          <cell r="E696">
            <v>444</v>
          </cell>
          <cell r="F696">
            <v>274</v>
          </cell>
          <cell r="G696">
            <v>721</v>
          </cell>
          <cell r="H696">
            <v>4228.1899999999996</v>
          </cell>
          <cell r="I696">
            <v>5882.29</v>
          </cell>
          <cell r="J696">
            <v>92243</v>
          </cell>
          <cell r="K696" t="str">
            <v>MC</v>
          </cell>
          <cell r="L696">
            <v>25</v>
          </cell>
          <cell r="M696">
            <v>308301</v>
          </cell>
          <cell r="N696">
            <v>1010</v>
          </cell>
          <cell r="O696">
            <v>1393</v>
          </cell>
        </row>
        <row r="697">
          <cell r="A697" t="str">
            <v/>
          </cell>
          <cell r="H697">
            <v>0</v>
          </cell>
        </row>
        <row r="698">
          <cell r="H698">
            <v>0</v>
          </cell>
        </row>
        <row r="699">
          <cell r="A699" t="str">
            <v>TOTAIS</v>
          </cell>
          <cell r="C699">
            <v>3323.06</v>
          </cell>
          <cell r="D699">
            <v>324</v>
          </cell>
          <cell r="E699">
            <v>4548.88</v>
          </cell>
          <cell r="F699">
            <v>3468.03</v>
          </cell>
          <cell r="G699">
            <v>12751.369999999999</v>
          </cell>
          <cell r="H699">
            <v>50013.1</v>
          </cell>
          <cell r="I699">
            <v>83880.239999999991</v>
          </cell>
        </row>
        <row r="702">
          <cell r="H702">
            <v>20207890.540000014</v>
          </cell>
          <cell r="I702">
            <v>5383900.0700000087</v>
          </cell>
        </row>
        <row r="703">
          <cell r="G703" t="str">
            <v>PROC</v>
          </cell>
          <cell r="H703" t="str">
            <v>FOB</v>
          </cell>
          <cell r="I703" t="str">
            <v>DESP</v>
          </cell>
        </row>
        <row r="704">
          <cell r="G704">
            <v>982871</v>
          </cell>
          <cell r="H704">
            <v>1335.48</v>
          </cell>
          <cell r="I704">
            <v>1022.6</v>
          </cell>
        </row>
        <row r="705">
          <cell r="G705">
            <v>984662</v>
          </cell>
          <cell r="H705">
            <v>385.71</v>
          </cell>
          <cell r="I705">
            <v>868.76</v>
          </cell>
        </row>
        <row r="706">
          <cell r="G706">
            <v>984685</v>
          </cell>
          <cell r="H706">
            <v>899.76</v>
          </cell>
          <cell r="I706">
            <v>1830.23</v>
          </cell>
        </row>
        <row r="707">
          <cell r="G707">
            <v>985033</v>
          </cell>
          <cell r="H707">
            <v>22617.31</v>
          </cell>
          <cell r="I707">
            <v>3984.97</v>
          </cell>
        </row>
        <row r="708">
          <cell r="G708">
            <v>985068</v>
          </cell>
          <cell r="H708">
            <v>1291742.49</v>
          </cell>
          <cell r="I708">
            <v>193946.32</v>
          </cell>
        </row>
        <row r="709">
          <cell r="G709">
            <v>985098</v>
          </cell>
          <cell r="H709">
            <v>4695.6000000000004</v>
          </cell>
          <cell r="I709">
            <v>2505.5700000000002</v>
          </cell>
        </row>
        <row r="710">
          <cell r="G710">
            <v>985192</v>
          </cell>
          <cell r="H710">
            <v>32486.79</v>
          </cell>
          <cell r="I710">
            <v>6743.21</v>
          </cell>
        </row>
        <row r="711">
          <cell r="G711">
            <v>985247</v>
          </cell>
          <cell r="H711">
            <v>22419.53</v>
          </cell>
          <cell r="I711">
            <v>13309.75</v>
          </cell>
        </row>
        <row r="712">
          <cell r="G712">
            <v>985282</v>
          </cell>
          <cell r="H712">
            <v>136481.92000000001</v>
          </cell>
          <cell r="I712">
            <v>61739.01</v>
          </cell>
        </row>
        <row r="713">
          <cell r="G713">
            <v>985288</v>
          </cell>
          <cell r="H713">
            <v>8210</v>
          </cell>
          <cell r="I713">
            <v>3358.18</v>
          </cell>
        </row>
        <row r="714">
          <cell r="G714">
            <v>990095</v>
          </cell>
          <cell r="H714">
            <v>237470.78</v>
          </cell>
          <cell r="I714">
            <v>105237.28</v>
          </cell>
        </row>
        <row r="715">
          <cell r="G715">
            <v>990115</v>
          </cell>
          <cell r="H715">
            <v>75650</v>
          </cell>
          <cell r="I715">
            <v>31365</v>
          </cell>
        </row>
        <row r="716">
          <cell r="G716">
            <v>990175</v>
          </cell>
          <cell r="H716">
            <v>635976.14</v>
          </cell>
          <cell r="I716">
            <v>90561.96</v>
          </cell>
        </row>
        <row r="717">
          <cell r="G717">
            <v>990199</v>
          </cell>
          <cell r="H717">
            <v>381378.12</v>
          </cell>
          <cell r="I717">
            <v>87870.67</v>
          </cell>
        </row>
        <row r="718">
          <cell r="G718">
            <v>990219</v>
          </cell>
          <cell r="H718">
            <v>109747.99</v>
          </cell>
          <cell r="I718">
            <v>48601.77</v>
          </cell>
        </row>
        <row r="719">
          <cell r="G719">
            <v>990225</v>
          </cell>
          <cell r="H719">
            <v>23258.880000000001</v>
          </cell>
          <cell r="I719">
            <v>8316.44</v>
          </cell>
        </row>
        <row r="720">
          <cell r="G720">
            <v>990285</v>
          </cell>
          <cell r="H720">
            <v>5284.96</v>
          </cell>
          <cell r="I720">
            <v>4992.13</v>
          </cell>
        </row>
        <row r="721">
          <cell r="G721">
            <v>990307</v>
          </cell>
          <cell r="H721">
            <v>99110.03</v>
          </cell>
          <cell r="I721">
            <v>13430.42</v>
          </cell>
        </row>
        <row r="722">
          <cell r="G722">
            <v>990336</v>
          </cell>
          <cell r="H722">
            <v>36191.26</v>
          </cell>
          <cell r="I722">
            <v>7938.51</v>
          </cell>
        </row>
        <row r="723">
          <cell r="G723">
            <v>990393</v>
          </cell>
          <cell r="H723">
            <v>2198.85</v>
          </cell>
          <cell r="I723">
            <v>1306.1500000000001</v>
          </cell>
        </row>
        <row r="724">
          <cell r="G724">
            <v>990435</v>
          </cell>
          <cell r="H724">
            <v>19356.98</v>
          </cell>
          <cell r="I724">
            <v>7422.35</v>
          </cell>
        </row>
        <row r="725">
          <cell r="G725">
            <v>990443</v>
          </cell>
          <cell r="H725">
            <v>102718.97</v>
          </cell>
          <cell r="I725">
            <v>24641.07</v>
          </cell>
        </row>
        <row r="726">
          <cell r="G726">
            <v>990462</v>
          </cell>
          <cell r="H726">
            <v>7287.19</v>
          </cell>
          <cell r="I726">
            <v>5564.38</v>
          </cell>
        </row>
        <row r="727">
          <cell r="G727">
            <v>990463</v>
          </cell>
          <cell r="H727">
            <v>3290.9</v>
          </cell>
          <cell r="I727">
            <v>2909.27</v>
          </cell>
        </row>
        <row r="728">
          <cell r="G728">
            <v>990467</v>
          </cell>
          <cell r="H728">
            <v>52374.53</v>
          </cell>
          <cell r="I728">
            <v>11196.03</v>
          </cell>
        </row>
        <row r="729">
          <cell r="G729">
            <v>990483</v>
          </cell>
          <cell r="H729">
            <v>46832.08</v>
          </cell>
          <cell r="I729">
            <v>28338.83</v>
          </cell>
        </row>
        <row r="730">
          <cell r="G730">
            <v>990496</v>
          </cell>
          <cell r="H730">
            <v>2685.14</v>
          </cell>
          <cell r="I730">
            <v>1829.06</v>
          </cell>
        </row>
        <row r="731">
          <cell r="G731">
            <v>990497</v>
          </cell>
          <cell r="H731">
            <v>24126.799999999999</v>
          </cell>
          <cell r="I731">
            <v>5861.97</v>
          </cell>
        </row>
        <row r="732">
          <cell r="G732">
            <v>990501</v>
          </cell>
          <cell r="H732">
            <v>3260.82</v>
          </cell>
          <cell r="I732">
            <v>1634.76</v>
          </cell>
        </row>
        <row r="733">
          <cell r="G733">
            <v>990502</v>
          </cell>
          <cell r="H733">
            <v>314.89999999999998</v>
          </cell>
          <cell r="I733">
            <v>780.56</v>
          </cell>
        </row>
        <row r="734">
          <cell r="G734">
            <v>990522</v>
          </cell>
          <cell r="H734">
            <v>4873.5</v>
          </cell>
          <cell r="I734">
            <v>7255.11</v>
          </cell>
        </row>
        <row r="735">
          <cell r="G735">
            <v>990526</v>
          </cell>
          <cell r="H735">
            <v>571263.36</v>
          </cell>
          <cell r="I735">
            <v>135626.04999999999</v>
          </cell>
        </row>
        <row r="736">
          <cell r="G736">
            <v>990527</v>
          </cell>
          <cell r="H736">
            <v>50736.56</v>
          </cell>
          <cell r="I736">
            <v>21945.07</v>
          </cell>
        </row>
        <row r="737">
          <cell r="G737">
            <v>990550</v>
          </cell>
          <cell r="H737">
            <v>46925</v>
          </cell>
          <cell r="I737">
            <v>14676.78</v>
          </cell>
        </row>
        <row r="738">
          <cell r="G738">
            <v>990553</v>
          </cell>
          <cell r="H738">
            <v>2045.62</v>
          </cell>
          <cell r="I738">
            <v>1297.8499999999999</v>
          </cell>
        </row>
        <row r="739">
          <cell r="G739">
            <v>990555</v>
          </cell>
          <cell r="H739">
            <v>30537.54</v>
          </cell>
          <cell r="I739">
            <v>7395.81</v>
          </cell>
        </row>
        <row r="740">
          <cell r="G740">
            <v>990557</v>
          </cell>
          <cell r="H740">
            <v>14465.8</v>
          </cell>
          <cell r="I740">
            <v>4327.71</v>
          </cell>
        </row>
        <row r="741">
          <cell r="G741">
            <v>990566</v>
          </cell>
          <cell r="H741">
            <v>36509.49</v>
          </cell>
          <cell r="I741">
            <v>32311.37</v>
          </cell>
        </row>
        <row r="742">
          <cell r="G742">
            <v>990571</v>
          </cell>
          <cell r="H742">
            <v>10988.16</v>
          </cell>
          <cell r="I742">
            <v>3768.2</v>
          </cell>
        </row>
        <row r="743">
          <cell r="G743">
            <v>990572</v>
          </cell>
          <cell r="H743">
            <v>129822.71</v>
          </cell>
          <cell r="I743">
            <v>26551.61</v>
          </cell>
        </row>
        <row r="744">
          <cell r="G744">
            <v>990581</v>
          </cell>
          <cell r="H744">
            <v>22418.1</v>
          </cell>
          <cell r="I744">
            <v>7842.05</v>
          </cell>
        </row>
        <row r="745">
          <cell r="G745">
            <v>990586</v>
          </cell>
          <cell r="H745">
            <v>2117.2600000000002</v>
          </cell>
          <cell r="I745">
            <v>1474.38</v>
          </cell>
        </row>
        <row r="746">
          <cell r="G746">
            <v>990588</v>
          </cell>
          <cell r="H746">
            <v>339.95</v>
          </cell>
          <cell r="I746">
            <v>929.93</v>
          </cell>
        </row>
        <row r="747">
          <cell r="G747">
            <v>990589</v>
          </cell>
          <cell r="H747">
            <v>23862.46</v>
          </cell>
          <cell r="I747">
            <v>5866.63</v>
          </cell>
        </row>
        <row r="748">
          <cell r="G748">
            <v>990591</v>
          </cell>
          <cell r="H748">
            <v>979.8</v>
          </cell>
          <cell r="I748">
            <v>1351.29</v>
          </cell>
        </row>
        <row r="749">
          <cell r="G749">
            <v>990596</v>
          </cell>
          <cell r="H749">
            <v>54736.01</v>
          </cell>
          <cell r="I749">
            <v>17621.759999999998</v>
          </cell>
        </row>
        <row r="750">
          <cell r="G750">
            <v>990600</v>
          </cell>
          <cell r="H750">
            <v>29210.22</v>
          </cell>
          <cell r="I750">
            <v>7049.42</v>
          </cell>
        </row>
        <row r="751">
          <cell r="G751">
            <v>990605</v>
          </cell>
          <cell r="H751">
            <v>119274.8</v>
          </cell>
          <cell r="I751">
            <v>10932.02</v>
          </cell>
        </row>
        <row r="752">
          <cell r="G752">
            <v>990608</v>
          </cell>
          <cell r="H752">
            <v>22072.13</v>
          </cell>
          <cell r="I752">
            <v>7052.02</v>
          </cell>
        </row>
        <row r="753">
          <cell r="G753">
            <v>990615</v>
          </cell>
          <cell r="H753">
            <v>4941.71</v>
          </cell>
          <cell r="I753">
            <v>2252.21</v>
          </cell>
        </row>
        <row r="754">
          <cell r="G754">
            <v>990618</v>
          </cell>
          <cell r="H754">
            <v>28193.02</v>
          </cell>
          <cell r="I754">
            <v>5884.25</v>
          </cell>
        </row>
        <row r="755">
          <cell r="G755">
            <v>990619</v>
          </cell>
          <cell r="H755">
            <v>4532.6400000000003</v>
          </cell>
          <cell r="I755">
            <v>1634.83</v>
          </cell>
        </row>
        <row r="756">
          <cell r="G756">
            <v>990623</v>
          </cell>
          <cell r="H756">
            <v>193.5</v>
          </cell>
          <cell r="I756">
            <v>930.16</v>
          </cell>
        </row>
        <row r="757">
          <cell r="G757">
            <v>990624</v>
          </cell>
          <cell r="H757">
            <v>2716.33</v>
          </cell>
          <cell r="I757">
            <v>1285.72</v>
          </cell>
        </row>
        <row r="758">
          <cell r="G758">
            <v>990625</v>
          </cell>
          <cell r="H758">
            <v>730.84</v>
          </cell>
          <cell r="I758">
            <v>1107.21</v>
          </cell>
        </row>
        <row r="759">
          <cell r="G759">
            <v>990626</v>
          </cell>
          <cell r="H759">
            <v>38950</v>
          </cell>
          <cell r="I759">
            <v>14694.25</v>
          </cell>
        </row>
        <row r="760">
          <cell r="G760">
            <v>990628</v>
          </cell>
          <cell r="H760">
            <v>2195.5</v>
          </cell>
          <cell r="I760">
            <v>1200.04</v>
          </cell>
        </row>
        <row r="761">
          <cell r="G761">
            <v>990629</v>
          </cell>
          <cell r="H761">
            <v>2891.82</v>
          </cell>
          <cell r="I761">
            <v>1200.05</v>
          </cell>
        </row>
        <row r="762">
          <cell r="G762">
            <v>990630</v>
          </cell>
          <cell r="H762">
            <v>1038.73</v>
          </cell>
          <cell r="I762">
            <v>1340.19</v>
          </cell>
        </row>
        <row r="763">
          <cell r="G763">
            <v>990640</v>
          </cell>
          <cell r="H763">
            <v>14580.54</v>
          </cell>
          <cell r="I763">
            <v>3831.53</v>
          </cell>
        </row>
        <row r="764">
          <cell r="G764">
            <v>990641</v>
          </cell>
          <cell r="H764">
            <v>4771.28</v>
          </cell>
          <cell r="I764">
            <v>2264.5</v>
          </cell>
        </row>
        <row r="765">
          <cell r="G765">
            <v>990643</v>
          </cell>
          <cell r="H765">
            <v>26765.200000000001</v>
          </cell>
          <cell r="I765">
            <v>5972.15</v>
          </cell>
        </row>
        <row r="766">
          <cell r="G766">
            <v>990648</v>
          </cell>
          <cell r="H766">
            <v>14384.99</v>
          </cell>
          <cell r="I766">
            <v>4656.28</v>
          </cell>
        </row>
        <row r="767">
          <cell r="G767">
            <v>990660</v>
          </cell>
          <cell r="H767">
            <v>1684940.4</v>
          </cell>
          <cell r="I767">
            <v>4256.54</v>
          </cell>
        </row>
        <row r="768">
          <cell r="G768">
            <v>990663</v>
          </cell>
          <cell r="H768">
            <v>30670.19</v>
          </cell>
          <cell r="I768">
            <v>4900.3599999999997</v>
          </cell>
        </row>
        <row r="769">
          <cell r="G769">
            <v>990678</v>
          </cell>
          <cell r="H769">
            <v>35428.85</v>
          </cell>
          <cell r="I769">
            <v>7478.48</v>
          </cell>
        </row>
        <row r="770">
          <cell r="G770">
            <v>990679</v>
          </cell>
          <cell r="H770">
            <v>56381.68</v>
          </cell>
          <cell r="I770">
            <v>7682.56</v>
          </cell>
        </row>
        <row r="771">
          <cell r="G771">
            <v>990681</v>
          </cell>
          <cell r="H771">
            <v>429.84</v>
          </cell>
          <cell r="I771">
            <v>1030.29</v>
          </cell>
        </row>
        <row r="772">
          <cell r="G772">
            <v>990682</v>
          </cell>
          <cell r="H772">
            <v>19883.48</v>
          </cell>
          <cell r="I772">
            <v>4137.57</v>
          </cell>
        </row>
        <row r="773">
          <cell r="G773">
            <v>990685</v>
          </cell>
          <cell r="H773">
            <v>44950</v>
          </cell>
          <cell r="I773">
            <v>15901.23</v>
          </cell>
        </row>
        <row r="774">
          <cell r="G774">
            <v>990690</v>
          </cell>
          <cell r="H774">
            <v>21992.33</v>
          </cell>
          <cell r="I774">
            <v>8197.34</v>
          </cell>
        </row>
        <row r="775">
          <cell r="G775">
            <v>990694</v>
          </cell>
          <cell r="H775">
            <v>304383.59000000003</v>
          </cell>
          <cell r="I775">
            <v>135130.16</v>
          </cell>
        </row>
        <row r="776">
          <cell r="G776">
            <v>990700</v>
          </cell>
          <cell r="H776">
            <v>3150.88</v>
          </cell>
          <cell r="I776">
            <v>1741.74</v>
          </cell>
        </row>
        <row r="777">
          <cell r="G777">
            <v>990702</v>
          </cell>
          <cell r="H777">
            <v>981.9</v>
          </cell>
          <cell r="I777">
            <v>1012.08</v>
          </cell>
        </row>
        <row r="778">
          <cell r="G778">
            <v>990705</v>
          </cell>
          <cell r="H778">
            <v>5178.24</v>
          </cell>
          <cell r="I778">
            <v>2367.5700000000002</v>
          </cell>
        </row>
        <row r="779">
          <cell r="G779">
            <v>990706</v>
          </cell>
          <cell r="H779">
            <v>64323.45</v>
          </cell>
          <cell r="I779">
            <v>14280.15</v>
          </cell>
        </row>
        <row r="780">
          <cell r="G780">
            <v>990707</v>
          </cell>
          <cell r="H780">
            <v>72684.149999999994</v>
          </cell>
          <cell r="I780">
            <v>14779.35</v>
          </cell>
        </row>
        <row r="781">
          <cell r="G781">
            <v>990708</v>
          </cell>
          <cell r="H781">
            <v>4603.96</v>
          </cell>
          <cell r="I781">
            <v>2114.4299999999998</v>
          </cell>
        </row>
        <row r="782">
          <cell r="G782">
            <v>990712</v>
          </cell>
          <cell r="H782">
            <v>28893.79</v>
          </cell>
          <cell r="I782">
            <v>6721.21</v>
          </cell>
        </row>
        <row r="783">
          <cell r="G783">
            <v>990714</v>
          </cell>
          <cell r="H783">
            <v>377.58</v>
          </cell>
          <cell r="I783">
            <v>846.76</v>
          </cell>
        </row>
        <row r="784">
          <cell r="G784">
            <v>990715</v>
          </cell>
          <cell r="H784">
            <v>2892.98</v>
          </cell>
          <cell r="I784">
            <v>1580.59</v>
          </cell>
        </row>
        <row r="785">
          <cell r="G785">
            <v>990716</v>
          </cell>
          <cell r="H785">
            <v>46316.480000000003</v>
          </cell>
          <cell r="I785">
            <v>14415.56</v>
          </cell>
        </row>
        <row r="786">
          <cell r="G786">
            <v>990720</v>
          </cell>
          <cell r="H786">
            <v>194883.28</v>
          </cell>
          <cell r="I786">
            <v>54367.24</v>
          </cell>
        </row>
        <row r="787">
          <cell r="G787">
            <v>990722</v>
          </cell>
          <cell r="H787">
            <v>20955.689999999999</v>
          </cell>
          <cell r="I787">
            <v>5323.08</v>
          </cell>
        </row>
        <row r="788">
          <cell r="G788">
            <v>990728</v>
          </cell>
          <cell r="H788">
            <v>47130.53</v>
          </cell>
          <cell r="I788">
            <v>12694.57</v>
          </cell>
        </row>
        <row r="789">
          <cell r="G789">
            <v>990729</v>
          </cell>
          <cell r="H789">
            <v>18079.03</v>
          </cell>
          <cell r="I789">
            <v>6179.91</v>
          </cell>
        </row>
        <row r="790">
          <cell r="G790">
            <v>990738</v>
          </cell>
          <cell r="H790">
            <v>1769.84</v>
          </cell>
          <cell r="I790">
            <v>1379.48</v>
          </cell>
        </row>
        <row r="791">
          <cell r="G791">
            <v>990739</v>
          </cell>
          <cell r="H791">
            <v>71870.350000000006</v>
          </cell>
          <cell r="I791">
            <v>21293.89</v>
          </cell>
        </row>
        <row r="792">
          <cell r="G792">
            <v>990743</v>
          </cell>
          <cell r="H792">
            <v>63823.5</v>
          </cell>
          <cell r="I792">
            <v>20418.349999999999</v>
          </cell>
        </row>
        <row r="793">
          <cell r="G793">
            <v>990746</v>
          </cell>
          <cell r="H793">
            <v>77190.87</v>
          </cell>
          <cell r="I793">
            <v>17430.509999999998</v>
          </cell>
        </row>
        <row r="794">
          <cell r="G794">
            <v>990751</v>
          </cell>
          <cell r="H794">
            <v>99347.49</v>
          </cell>
          <cell r="I794">
            <v>27535.119999999999</v>
          </cell>
        </row>
        <row r="795">
          <cell r="G795">
            <v>990754</v>
          </cell>
          <cell r="H795">
            <v>28914.37</v>
          </cell>
          <cell r="I795">
            <v>7093.53</v>
          </cell>
        </row>
        <row r="796">
          <cell r="G796">
            <v>990760</v>
          </cell>
          <cell r="H796">
            <v>2819.53</v>
          </cell>
          <cell r="I796">
            <v>1529</v>
          </cell>
        </row>
        <row r="797">
          <cell r="G797">
            <v>990762</v>
          </cell>
          <cell r="H797">
            <v>33449.19</v>
          </cell>
          <cell r="I797">
            <v>25131.15</v>
          </cell>
        </row>
        <row r="798">
          <cell r="G798">
            <v>990765</v>
          </cell>
          <cell r="H798">
            <v>3089.83</v>
          </cell>
          <cell r="I798">
            <v>1166.6099999999999</v>
          </cell>
        </row>
        <row r="799">
          <cell r="G799">
            <v>990766</v>
          </cell>
          <cell r="H799">
            <v>2974.8</v>
          </cell>
          <cell r="I799">
            <v>1524.4</v>
          </cell>
        </row>
        <row r="800">
          <cell r="G800">
            <v>990768</v>
          </cell>
          <cell r="H800">
            <v>5972.05</v>
          </cell>
          <cell r="I800">
            <v>1846.6</v>
          </cell>
        </row>
        <row r="801">
          <cell r="G801">
            <v>990769</v>
          </cell>
          <cell r="H801">
            <v>1728.14</v>
          </cell>
          <cell r="I801">
            <v>1697.76</v>
          </cell>
        </row>
        <row r="802">
          <cell r="G802">
            <v>990771</v>
          </cell>
          <cell r="H802">
            <v>26578.35</v>
          </cell>
          <cell r="I802">
            <v>8655.4500000000007</v>
          </cell>
        </row>
        <row r="803">
          <cell r="G803">
            <v>990773</v>
          </cell>
          <cell r="H803">
            <v>3346.32</v>
          </cell>
          <cell r="I803">
            <v>2706.64</v>
          </cell>
        </row>
        <row r="804">
          <cell r="G804">
            <v>990774</v>
          </cell>
          <cell r="H804">
            <v>544245.17000000004</v>
          </cell>
          <cell r="I804">
            <v>189729.91</v>
          </cell>
        </row>
        <row r="805">
          <cell r="G805">
            <v>990778</v>
          </cell>
          <cell r="H805">
            <v>1379.6</v>
          </cell>
          <cell r="I805">
            <v>1091.2</v>
          </cell>
        </row>
        <row r="806">
          <cell r="G806">
            <v>990779</v>
          </cell>
          <cell r="H806">
            <v>1777.93</v>
          </cell>
          <cell r="I806">
            <v>1340.14</v>
          </cell>
        </row>
        <row r="807">
          <cell r="G807">
            <v>990780</v>
          </cell>
          <cell r="H807">
            <v>10180.5</v>
          </cell>
          <cell r="I807">
            <v>12222.73</v>
          </cell>
        </row>
        <row r="808">
          <cell r="G808">
            <v>990784</v>
          </cell>
          <cell r="H808">
            <v>10420.07</v>
          </cell>
          <cell r="I808">
            <v>4292.83</v>
          </cell>
        </row>
        <row r="809">
          <cell r="G809">
            <v>990786</v>
          </cell>
          <cell r="H809">
            <v>30595.32</v>
          </cell>
          <cell r="I809">
            <v>6269.16</v>
          </cell>
        </row>
        <row r="810">
          <cell r="G810">
            <v>990791</v>
          </cell>
          <cell r="H810">
            <v>100.98</v>
          </cell>
          <cell r="I810">
            <v>1136.75</v>
          </cell>
        </row>
        <row r="811">
          <cell r="G811">
            <v>990792</v>
          </cell>
          <cell r="H811">
            <v>53327.61</v>
          </cell>
          <cell r="I811">
            <v>11747.34</v>
          </cell>
        </row>
        <row r="812">
          <cell r="G812">
            <v>990793</v>
          </cell>
          <cell r="H812">
            <v>77819.83</v>
          </cell>
          <cell r="I812">
            <v>26769.42</v>
          </cell>
        </row>
        <row r="813">
          <cell r="G813">
            <v>990794</v>
          </cell>
          <cell r="H813">
            <v>389829.46</v>
          </cell>
          <cell r="I813">
            <v>34842.730000000003</v>
          </cell>
        </row>
        <row r="814">
          <cell r="G814">
            <v>990795</v>
          </cell>
          <cell r="H814">
            <v>11365.44</v>
          </cell>
          <cell r="I814">
            <v>4446.1899999999996</v>
          </cell>
        </row>
        <row r="815">
          <cell r="G815">
            <v>990797</v>
          </cell>
          <cell r="H815">
            <v>2960.45</v>
          </cell>
          <cell r="I815">
            <v>1668.06</v>
          </cell>
        </row>
        <row r="816">
          <cell r="G816">
            <v>990799</v>
          </cell>
          <cell r="H816">
            <v>444067.2</v>
          </cell>
          <cell r="I816">
            <v>79039.789999999994</v>
          </cell>
        </row>
        <row r="817">
          <cell r="G817">
            <v>990803</v>
          </cell>
          <cell r="H817">
            <v>45350</v>
          </cell>
          <cell r="I817">
            <v>12316.85</v>
          </cell>
        </row>
        <row r="818">
          <cell r="G818">
            <v>990804</v>
          </cell>
          <cell r="H818">
            <v>20861</v>
          </cell>
          <cell r="I818">
            <v>5159.6000000000004</v>
          </cell>
        </row>
        <row r="819">
          <cell r="G819">
            <v>990806</v>
          </cell>
          <cell r="H819">
            <v>34743.550000000003</v>
          </cell>
          <cell r="I819">
            <v>7342.29</v>
          </cell>
        </row>
        <row r="820">
          <cell r="G820">
            <v>990813</v>
          </cell>
          <cell r="H820">
            <v>280789.65000000002</v>
          </cell>
          <cell r="I820">
            <v>61150.03</v>
          </cell>
        </row>
        <row r="821">
          <cell r="G821">
            <v>990816</v>
          </cell>
          <cell r="H821">
            <v>124223.3</v>
          </cell>
          <cell r="I821">
            <v>35331.39</v>
          </cell>
        </row>
        <row r="822">
          <cell r="G822">
            <v>990818</v>
          </cell>
          <cell r="H822">
            <v>21332.639999999999</v>
          </cell>
          <cell r="I822">
            <v>6703.37</v>
          </cell>
        </row>
        <row r="823">
          <cell r="G823">
            <v>990820</v>
          </cell>
          <cell r="H823">
            <v>25941.97</v>
          </cell>
          <cell r="I823">
            <v>9310.58</v>
          </cell>
        </row>
        <row r="824">
          <cell r="G824">
            <v>990821</v>
          </cell>
          <cell r="H824">
            <v>41536.230000000003</v>
          </cell>
          <cell r="I824">
            <v>19176.349999999999</v>
          </cell>
        </row>
        <row r="825">
          <cell r="G825">
            <v>990829</v>
          </cell>
          <cell r="H825">
            <v>66421.58</v>
          </cell>
          <cell r="I825">
            <v>8607.39</v>
          </cell>
        </row>
        <row r="826">
          <cell r="G826">
            <v>990830</v>
          </cell>
          <cell r="H826">
            <v>3966.4</v>
          </cell>
          <cell r="I826">
            <v>2091.14</v>
          </cell>
        </row>
        <row r="827">
          <cell r="G827">
            <v>990831</v>
          </cell>
          <cell r="H827">
            <v>289.31</v>
          </cell>
          <cell r="I827">
            <v>941.72</v>
          </cell>
        </row>
        <row r="828">
          <cell r="G828">
            <v>990833</v>
          </cell>
          <cell r="H828">
            <v>27018.89</v>
          </cell>
          <cell r="I828">
            <v>7594.22</v>
          </cell>
        </row>
        <row r="829">
          <cell r="G829">
            <v>990837</v>
          </cell>
          <cell r="H829">
            <v>1974.44</v>
          </cell>
          <cell r="I829">
            <v>1846.13</v>
          </cell>
        </row>
        <row r="830">
          <cell r="G830">
            <v>990840</v>
          </cell>
          <cell r="H830">
            <v>12081.24</v>
          </cell>
          <cell r="I830">
            <v>4406.13</v>
          </cell>
        </row>
        <row r="831">
          <cell r="G831">
            <v>990841</v>
          </cell>
          <cell r="H831">
            <v>412.5</v>
          </cell>
          <cell r="I831">
            <v>1044.72</v>
          </cell>
        </row>
        <row r="832">
          <cell r="G832">
            <v>990851</v>
          </cell>
          <cell r="H832">
            <v>45629.27</v>
          </cell>
          <cell r="I832">
            <v>10414.030000000001</v>
          </cell>
        </row>
        <row r="833">
          <cell r="G833">
            <v>990853</v>
          </cell>
          <cell r="H833">
            <v>3480.23</v>
          </cell>
          <cell r="I833">
            <v>1350.79</v>
          </cell>
        </row>
        <row r="834">
          <cell r="G834">
            <v>990859</v>
          </cell>
          <cell r="H834">
            <v>3681.41</v>
          </cell>
          <cell r="I834">
            <v>838.68</v>
          </cell>
        </row>
        <row r="835">
          <cell r="G835">
            <v>990861</v>
          </cell>
          <cell r="H835">
            <v>1396.36</v>
          </cell>
          <cell r="I835">
            <v>1147.1199999999999</v>
          </cell>
        </row>
        <row r="836">
          <cell r="G836">
            <v>990862</v>
          </cell>
          <cell r="H836">
            <v>87205.18</v>
          </cell>
          <cell r="I836">
            <v>22494.51</v>
          </cell>
        </row>
        <row r="837">
          <cell r="G837">
            <v>990864</v>
          </cell>
          <cell r="H837">
            <v>5969.95</v>
          </cell>
          <cell r="I837">
            <v>1734.17</v>
          </cell>
        </row>
        <row r="838">
          <cell r="G838">
            <v>990865</v>
          </cell>
          <cell r="H838">
            <v>23862.35</v>
          </cell>
          <cell r="I838">
            <v>5446.77</v>
          </cell>
        </row>
        <row r="839">
          <cell r="G839">
            <v>990869</v>
          </cell>
          <cell r="H839">
            <v>21099.53</v>
          </cell>
          <cell r="I839">
            <v>4749.13</v>
          </cell>
        </row>
        <row r="840">
          <cell r="G840">
            <v>990872</v>
          </cell>
          <cell r="H840">
            <v>969.83</v>
          </cell>
          <cell r="I840">
            <v>1155.02</v>
          </cell>
        </row>
        <row r="841">
          <cell r="G841">
            <v>990875</v>
          </cell>
          <cell r="H841">
            <v>40287.980000000003</v>
          </cell>
          <cell r="I841">
            <v>8176.87</v>
          </cell>
        </row>
        <row r="842">
          <cell r="G842">
            <v>990876</v>
          </cell>
          <cell r="H842">
            <v>1553.39</v>
          </cell>
          <cell r="I842">
            <v>1084.68</v>
          </cell>
        </row>
        <row r="843">
          <cell r="G843">
            <v>990879</v>
          </cell>
          <cell r="H843">
            <v>2270.3000000000002</v>
          </cell>
          <cell r="I843">
            <v>1260.8399999999999</v>
          </cell>
        </row>
        <row r="844">
          <cell r="G844">
            <v>990881</v>
          </cell>
          <cell r="H844">
            <v>48332.5</v>
          </cell>
          <cell r="I844">
            <v>13635.53</v>
          </cell>
        </row>
        <row r="845">
          <cell r="G845">
            <v>990882</v>
          </cell>
          <cell r="H845">
            <v>148741.32999999999</v>
          </cell>
          <cell r="I845">
            <v>13903.99</v>
          </cell>
        </row>
        <row r="846">
          <cell r="G846">
            <v>990884</v>
          </cell>
          <cell r="H846">
            <v>19536</v>
          </cell>
          <cell r="I846">
            <v>6323.81</v>
          </cell>
        </row>
        <row r="847">
          <cell r="G847">
            <v>990886</v>
          </cell>
          <cell r="H847">
            <v>860.8</v>
          </cell>
          <cell r="I847">
            <v>1029.8499999999999</v>
          </cell>
        </row>
        <row r="848">
          <cell r="G848">
            <v>990888</v>
          </cell>
          <cell r="H848">
            <v>143246.25</v>
          </cell>
          <cell r="I848">
            <v>27060.6</v>
          </cell>
        </row>
        <row r="849">
          <cell r="G849">
            <v>990892</v>
          </cell>
          <cell r="H849">
            <v>27515.279999999999</v>
          </cell>
          <cell r="I849">
            <v>28452.080000000002</v>
          </cell>
        </row>
        <row r="850">
          <cell r="G850">
            <v>990894</v>
          </cell>
          <cell r="H850">
            <v>127847.72</v>
          </cell>
          <cell r="I850">
            <v>67325.55</v>
          </cell>
        </row>
        <row r="851">
          <cell r="G851">
            <v>990895</v>
          </cell>
          <cell r="H851">
            <v>1790.38</v>
          </cell>
          <cell r="I851">
            <v>2603.48</v>
          </cell>
        </row>
        <row r="852">
          <cell r="G852">
            <v>990896</v>
          </cell>
          <cell r="H852">
            <v>123254.64</v>
          </cell>
          <cell r="I852">
            <v>48553.86</v>
          </cell>
        </row>
        <row r="853">
          <cell r="G853">
            <v>990897</v>
          </cell>
          <cell r="H853">
            <v>4612.21</v>
          </cell>
          <cell r="I853">
            <v>1989.59</v>
          </cell>
        </row>
        <row r="854">
          <cell r="G854">
            <v>990898</v>
          </cell>
          <cell r="H854">
            <v>49416.57</v>
          </cell>
          <cell r="I854">
            <v>12360.13</v>
          </cell>
        </row>
        <row r="855">
          <cell r="G855">
            <v>990899</v>
          </cell>
          <cell r="H855">
            <v>5427.49</v>
          </cell>
          <cell r="I855">
            <v>4562.1400000000003</v>
          </cell>
        </row>
        <row r="856">
          <cell r="G856">
            <v>990900</v>
          </cell>
          <cell r="H856">
            <v>19216.13</v>
          </cell>
          <cell r="I856">
            <v>6217.73</v>
          </cell>
        </row>
        <row r="857">
          <cell r="G857">
            <v>990905</v>
          </cell>
          <cell r="H857">
            <v>29687.78</v>
          </cell>
          <cell r="I857">
            <v>19443.63</v>
          </cell>
        </row>
        <row r="858">
          <cell r="G858">
            <v>990907</v>
          </cell>
          <cell r="H858">
            <v>61319.89</v>
          </cell>
          <cell r="I858">
            <v>29292.95</v>
          </cell>
        </row>
        <row r="859">
          <cell r="G859">
            <v>990908</v>
          </cell>
          <cell r="H859">
            <v>1423.75</v>
          </cell>
          <cell r="I859">
            <v>1237.33</v>
          </cell>
        </row>
        <row r="860">
          <cell r="G860">
            <v>990909</v>
          </cell>
          <cell r="H860">
            <v>1071.54</v>
          </cell>
          <cell r="I860">
            <v>1179.05</v>
          </cell>
        </row>
        <row r="861">
          <cell r="G861">
            <v>990910</v>
          </cell>
          <cell r="H861">
            <v>1228.03</v>
          </cell>
          <cell r="I861">
            <v>1145.27</v>
          </cell>
        </row>
        <row r="862">
          <cell r="G862">
            <v>990913</v>
          </cell>
          <cell r="H862">
            <v>116</v>
          </cell>
          <cell r="I862">
            <v>903.07</v>
          </cell>
        </row>
        <row r="863">
          <cell r="G863">
            <v>990914</v>
          </cell>
          <cell r="H863">
            <v>18.16</v>
          </cell>
          <cell r="I863">
            <v>924.77</v>
          </cell>
        </row>
        <row r="864">
          <cell r="G864">
            <v>990915</v>
          </cell>
          <cell r="H864">
            <v>278.39999999999998</v>
          </cell>
          <cell r="I864">
            <v>979.03</v>
          </cell>
        </row>
        <row r="865">
          <cell r="G865">
            <v>990921</v>
          </cell>
          <cell r="H865">
            <v>12152.98</v>
          </cell>
          <cell r="I865">
            <v>3264.8</v>
          </cell>
        </row>
        <row r="866">
          <cell r="G866">
            <v>990923</v>
          </cell>
          <cell r="H866">
            <v>1928.72</v>
          </cell>
          <cell r="I866">
            <v>1686.63</v>
          </cell>
        </row>
        <row r="867">
          <cell r="G867">
            <v>990925</v>
          </cell>
          <cell r="H867">
            <v>14963.74</v>
          </cell>
          <cell r="I867">
            <v>4456.92</v>
          </cell>
        </row>
        <row r="868">
          <cell r="G868">
            <v>990926</v>
          </cell>
          <cell r="H868">
            <v>1411.31</v>
          </cell>
          <cell r="I868">
            <v>1122.29</v>
          </cell>
        </row>
        <row r="869">
          <cell r="G869">
            <v>990927</v>
          </cell>
          <cell r="H869">
            <v>23605.59</v>
          </cell>
          <cell r="I869">
            <v>5567.14</v>
          </cell>
        </row>
        <row r="870">
          <cell r="G870">
            <v>990929</v>
          </cell>
          <cell r="H870">
            <v>114.1</v>
          </cell>
          <cell r="I870">
            <v>882.73</v>
          </cell>
        </row>
        <row r="871">
          <cell r="G871">
            <v>990930</v>
          </cell>
          <cell r="H871">
            <v>15075.99</v>
          </cell>
          <cell r="I871">
            <v>7122.61</v>
          </cell>
        </row>
        <row r="872">
          <cell r="G872">
            <v>990931</v>
          </cell>
          <cell r="H872">
            <v>14820.38</v>
          </cell>
          <cell r="I872">
            <v>5197.83</v>
          </cell>
        </row>
        <row r="873">
          <cell r="G873">
            <v>990934</v>
          </cell>
          <cell r="H873">
            <v>33274.17</v>
          </cell>
          <cell r="I873">
            <v>16208.47</v>
          </cell>
        </row>
        <row r="874">
          <cell r="G874">
            <v>990936</v>
          </cell>
          <cell r="H874">
            <v>347712.98</v>
          </cell>
          <cell r="I874">
            <v>81303.97</v>
          </cell>
        </row>
        <row r="875">
          <cell r="G875">
            <v>990938</v>
          </cell>
          <cell r="H875">
            <v>6470.53</v>
          </cell>
          <cell r="I875">
            <v>2213.15</v>
          </cell>
        </row>
        <row r="876">
          <cell r="G876">
            <v>990940</v>
          </cell>
          <cell r="H876">
            <v>22743.599999999999</v>
          </cell>
          <cell r="I876">
            <v>1077.17</v>
          </cell>
        </row>
        <row r="877">
          <cell r="G877">
            <v>990941</v>
          </cell>
          <cell r="H877">
            <v>12756.9</v>
          </cell>
          <cell r="I877">
            <v>4662.8900000000003</v>
          </cell>
        </row>
        <row r="878">
          <cell r="G878">
            <v>990942</v>
          </cell>
          <cell r="H878">
            <v>17997.55</v>
          </cell>
          <cell r="I878">
            <v>4398.08</v>
          </cell>
        </row>
        <row r="879">
          <cell r="G879">
            <v>990943</v>
          </cell>
          <cell r="H879">
            <v>3278.87</v>
          </cell>
          <cell r="I879">
            <v>1413</v>
          </cell>
        </row>
        <row r="880">
          <cell r="G880">
            <v>990946</v>
          </cell>
          <cell r="H880">
            <v>11656.1</v>
          </cell>
          <cell r="I880">
            <v>4335.38</v>
          </cell>
        </row>
        <row r="881">
          <cell r="G881">
            <v>990948</v>
          </cell>
          <cell r="H881">
            <v>122530.06</v>
          </cell>
          <cell r="I881">
            <v>26555.040000000001</v>
          </cell>
        </row>
        <row r="882">
          <cell r="G882">
            <v>990949</v>
          </cell>
          <cell r="H882">
            <v>343.44</v>
          </cell>
          <cell r="I882">
            <v>972.56</v>
          </cell>
        </row>
        <row r="883">
          <cell r="G883">
            <v>990950</v>
          </cell>
          <cell r="H883">
            <v>113.57</v>
          </cell>
          <cell r="I883">
            <v>917.48</v>
          </cell>
        </row>
        <row r="884">
          <cell r="G884">
            <v>990951</v>
          </cell>
          <cell r="H884">
            <v>573.91999999999996</v>
          </cell>
          <cell r="I884">
            <v>1449.01</v>
          </cell>
        </row>
        <row r="885">
          <cell r="G885">
            <v>990954</v>
          </cell>
          <cell r="H885">
            <v>10481.01</v>
          </cell>
          <cell r="I885">
            <v>2967.59</v>
          </cell>
        </row>
        <row r="886">
          <cell r="G886">
            <v>990955</v>
          </cell>
          <cell r="H886">
            <v>10694.2</v>
          </cell>
          <cell r="I886">
            <v>3227.2</v>
          </cell>
        </row>
        <row r="887">
          <cell r="G887">
            <v>990957</v>
          </cell>
          <cell r="H887">
            <v>14232.59</v>
          </cell>
          <cell r="I887">
            <v>4315.99</v>
          </cell>
        </row>
        <row r="888">
          <cell r="G888">
            <v>990958</v>
          </cell>
          <cell r="H888">
            <v>113464.6</v>
          </cell>
          <cell r="I888">
            <v>34046.17</v>
          </cell>
        </row>
        <row r="889">
          <cell r="G889">
            <v>990959</v>
          </cell>
          <cell r="H889">
            <v>14214.75</v>
          </cell>
          <cell r="I889">
            <v>3545.51</v>
          </cell>
        </row>
        <row r="890">
          <cell r="G890">
            <v>990960</v>
          </cell>
          <cell r="H890">
            <v>846.37</v>
          </cell>
          <cell r="I890">
            <v>1478.64</v>
          </cell>
        </row>
        <row r="891">
          <cell r="G891">
            <v>990961</v>
          </cell>
          <cell r="H891">
            <v>5531.73</v>
          </cell>
          <cell r="I891">
            <v>1882.89</v>
          </cell>
        </row>
        <row r="892">
          <cell r="G892">
            <v>990965</v>
          </cell>
          <cell r="H892">
            <v>128151.46</v>
          </cell>
          <cell r="I892">
            <v>32799.72</v>
          </cell>
        </row>
        <row r="893">
          <cell r="G893">
            <v>990967</v>
          </cell>
          <cell r="H893">
            <v>1698.12</v>
          </cell>
          <cell r="I893">
            <v>1063.3699999999999</v>
          </cell>
        </row>
        <row r="894">
          <cell r="G894">
            <v>990968</v>
          </cell>
          <cell r="H894">
            <v>11034.01</v>
          </cell>
          <cell r="I894">
            <v>38119.14</v>
          </cell>
        </row>
        <row r="895">
          <cell r="G895">
            <v>990969</v>
          </cell>
          <cell r="H895">
            <v>4076.7</v>
          </cell>
          <cell r="I895">
            <v>967.43</v>
          </cell>
        </row>
        <row r="896">
          <cell r="G896">
            <v>990971</v>
          </cell>
          <cell r="H896">
            <v>2363.7800000000002</v>
          </cell>
          <cell r="I896">
            <v>1001</v>
          </cell>
        </row>
        <row r="897">
          <cell r="G897">
            <v>990972</v>
          </cell>
          <cell r="H897">
            <v>11490.23</v>
          </cell>
          <cell r="I897">
            <v>3131.55</v>
          </cell>
        </row>
        <row r="898">
          <cell r="G898">
            <v>990973</v>
          </cell>
          <cell r="H898">
            <v>3365.27</v>
          </cell>
          <cell r="I898">
            <v>1892.94</v>
          </cell>
        </row>
        <row r="899">
          <cell r="G899">
            <v>990977</v>
          </cell>
          <cell r="H899">
            <v>263.44</v>
          </cell>
          <cell r="I899">
            <v>965.42</v>
          </cell>
        </row>
        <row r="900">
          <cell r="G900">
            <v>990978</v>
          </cell>
          <cell r="H900">
            <v>4548.72</v>
          </cell>
          <cell r="I900">
            <v>1758.65</v>
          </cell>
        </row>
        <row r="901">
          <cell r="G901">
            <v>990981</v>
          </cell>
          <cell r="H901">
            <v>6437.89</v>
          </cell>
          <cell r="I901">
            <v>2094.21</v>
          </cell>
        </row>
        <row r="902">
          <cell r="G902">
            <v>990985</v>
          </cell>
          <cell r="H902">
            <v>1077.83</v>
          </cell>
          <cell r="I902">
            <v>1696.6</v>
          </cell>
        </row>
        <row r="903">
          <cell r="G903">
            <v>990986</v>
          </cell>
          <cell r="H903">
            <v>8058.71</v>
          </cell>
          <cell r="I903">
            <v>3167.69</v>
          </cell>
        </row>
        <row r="904">
          <cell r="G904">
            <v>990987</v>
          </cell>
          <cell r="H904">
            <v>7065.1</v>
          </cell>
          <cell r="I904">
            <v>3344.59</v>
          </cell>
        </row>
        <row r="905">
          <cell r="G905">
            <v>990988</v>
          </cell>
          <cell r="H905">
            <v>54379.26</v>
          </cell>
          <cell r="I905">
            <v>14637.44</v>
          </cell>
        </row>
        <row r="906">
          <cell r="G906">
            <v>990989</v>
          </cell>
          <cell r="H906">
            <v>15262.96</v>
          </cell>
          <cell r="I906">
            <v>3737.34</v>
          </cell>
        </row>
        <row r="907">
          <cell r="G907">
            <v>990992</v>
          </cell>
          <cell r="H907">
            <v>3986.64</v>
          </cell>
          <cell r="I907">
            <v>1647.02</v>
          </cell>
        </row>
        <row r="908">
          <cell r="G908">
            <v>990993</v>
          </cell>
          <cell r="H908">
            <v>40771.94</v>
          </cell>
          <cell r="I908">
            <v>7768.22</v>
          </cell>
        </row>
        <row r="909">
          <cell r="G909">
            <v>990994</v>
          </cell>
          <cell r="H909">
            <v>2520.7600000000002</v>
          </cell>
          <cell r="I909">
            <v>1475.55</v>
          </cell>
        </row>
        <row r="910">
          <cell r="G910">
            <v>990995</v>
          </cell>
          <cell r="H910">
            <v>212.27</v>
          </cell>
          <cell r="I910">
            <v>969.18</v>
          </cell>
        </row>
        <row r="911">
          <cell r="G911">
            <v>990996</v>
          </cell>
          <cell r="H911">
            <v>14.24</v>
          </cell>
          <cell r="I911">
            <v>921.34</v>
          </cell>
        </row>
        <row r="912">
          <cell r="G912">
            <v>990997</v>
          </cell>
          <cell r="H912">
            <v>39333.33</v>
          </cell>
          <cell r="I912">
            <v>7251.86</v>
          </cell>
        </row>
        <row r="913">
          <cell r="G913">
            <v>990998</v>
          </cell>
          <cell r="H913">
            <v>797.33</v>
          </cell>
          <cell r="I913">
            <v>1048.83</v>
          </cell>
        </row>
        <row r="914">
          <cell r="G914">
            <v>991001</v>
          </cell>
          <cell r="H914">
            <v>5626.86</v>
          </cell>
          <cell r="I914">
            <v>2287.62</v>
          </cell>
        </row>
        <row r="915">
          <cell r="G915">
            <v>991002</v>
          </cell>
          <cell r="H915">
            <v>38283.32</v>
          </cell>
          <cell r="I915">
            <v>11895.67</v>
          </cell>
        </row>
        <row r="916">
          <cell r="G916">
            <v>991003</v>
          </cell>
          <cell r="H916">
            <v>498.65</v>
          </cell>
          <cell r="I916">
            <v>959.64</v>
          </cell>
        </row>
        <row r="917">
          <cell r="G917">
            <v>991004</v>
          </cell>
          <cell r="H917">
            <v>60469.66</v>
          </cell>
          <cell r="I917">
            <v>11754.08</v>
          </cell>
        </row>
        <row r="918">
          <cell r="G918">
            <v>991005</v>
          </cell>
          <cell r="H918">
            <v>5063.26</v>
          </cell>
          <cell r="I918">
            <v>2036.66</v>
          </cell>
        </row>
        <row r="919">
          <cell r="G919">
            <v>991006</v>
          </cell>
          <cell r="H919">
            <v>690.44</v>
          </cell>
          <cell r="I919">
            <v>1058.79</v>
          </cell>
        </row>
        <row r="920">
          <cell r="G920">
            <v>991008</v>
          </cell>
          <cell r="H920">
            <v>5356.92</v>
          </cell>
          <cell r="I920">
            <v>1832.4</v>
          </cell>
        </row>
        <row r="921">
          <cell r="G921">
            <v>991009</v>
          </cell>
          <cell r="H921">
            <v>208.75</v>
          </cell>
          <cell r="I921">
            <v>948.76</v>
          </cell>
        </row>
        <row r="922">
          <cell r="G922">
            <v>991010</v>
          </cell>
          <cell r="H922">
            <v>692.67</v>
          </cell>
          <cell r="I922">
            <v>1047.23</v>
          </cell>
        </row>
        <row r="923">
          <cell r="G923">
            <v>991012</v>
          </cell>
          <cell r="H923">
            <v>1706.93</v>
          </cell>
          <cell r="I923">
            <v>1509.88</v>
          </cell>
        </row>
        <row r="924">
          <cell r="G924">
            <v>991013</v>
          </cell>
          <cell r="H924">
            <v>17396.82</v>
          </cell>
          <cell r="I924">
            <v>5688.52</v>
          </cell>
        </row>
        <row r="925">
          <cell r="G925">
            <v>991014</v>
          </cell>
          <cell r="H925">
            <v>517.83000000000004</v>
          </cell>
          <cell r="I925">
            <v>1001.19</v>
          </cell>
        </row>
        <row r="926">
          <cell r="G926">
            <v>991016</v>
          </cell>
          <cell r="H926">
            <v>197789.8</v>
          </cell>
          <cell r="I926">
            <v>34331.67</v>
          </cell>
        </row>
        <row r="927">
          <cell r="G927">
            <v>991018</v>
          </cell>
          <cell r="H927">
            <v>8702.52</v>
          </cell>
          <cell r="I927">
            <v>3034.46</v>
          </cell>
        </row>
        <row r="928">
          <cell r="G928">
            <v>991020</v>
          </cell>
          <cell r="H928">
            <v>17261.099999999999</v>
          </cell>
          <cell r="I928">
            <v>5488.83</v>
          </cell>
        </row>
        <row r="929">
          <cell r="G929">
            <v>991021</v>
          </cell>
          <cell r="H929">
            <v>24104.17</v>
          </cell>
          <cell r="I929">
            <v>4834.2700000000004</v>
          </cell>
        </row>
        <row r="930">
          <cell r="G930">
            <v>991022</v>
          </cell>
          <cell r="H930">
            <v>11149.71</v>
          </cell>
          <cell r="I930">
            <v>2748.36</v>
          </cell>
        </row>
        <row r="931">
          <cell r="G931">
            <v>991023</v>
          </cell>
          <cell r="H931">
            <v>10337.48</v>
          </cell>
          <cell r="I931">
            <v>2917.49</v>
          </cell>
        </row>
        <row r="932">
          <cell r="G932">
            <v>991024</v>
          </cell>
          <cell r="H932">
            <v>15590.61</v>
          </cell>
          <cell r="I932">
            <v>5097.3900000000003</v>
          </cell>
        </row>
        <row r="933">
          <cell r="G933">
            <v>991025</v>
          </cell>
          <cell r="H933">
            <v>75461.399999999994</v>
          </cell>
          <cell r="I933">
            <v>13143.02</v>
          </cell>
        </row>
        <row r="934">
          <cell r="G934">
            <v>991029</v>
          </cell>
          <cell r="H934">
            <v>10105.42</v>
          </cell>
          <cell r="I934">
            <v>2633.61</v>
          </cell>
        </row>
        <row r="935">
          <cell r="G935">
            <v>991030</v>
          </cell>
          <cell r="H935">
            <v>14848.38</v>
          </cell>
          <cell r="I935">
            <v>3348.64</v>
          </cell>
        </row>
        <row r="936">
          <cell r="G936">
            <v>991031</v>
          </cell>
          <cell r="H936">
            <v>3433.52</v>
          </cell>
          <cell r="I936">
            <v>1502.34</v>
          </cell>
        </row>
        <row r="937">
          <cell r="G937">
            <v>991032</v>
          </cell>
          <cell r="H937">
            <v>10149.530000000001</v>
          </cell>
          <cell r="I937">
            <v>2682.83</v>
          </cell>
        </row>
        <row r="938">
          <cell r="G938">
            <v>991033</v>
          </cell>
          <cell r="H938">
            <v>863.06</v>
          </cell>
          <cell r="I938">
            <v>1051.6300000000001</v>
          </cell>
        </row>
        <row r="939">
          <cell r="G939">
            <v>991034</v>
          </cell>
          <cell r="H939">
            <v>195.63</v>
          </cell>
          <cell r="I939">
            <v>901.62</v>
          </cell>
        </row>
        <row r="940">
          <cell r="G940">
            <v>991035</v>
          </cell>
          <cell r="H940">
            <v>7810.17</v>
          </cell>
          <cell r="I940">
            <v>2741.66</v>
          </cell>
        </row>
        <row r="941">
          <cell r="G941">
            <v>991037</v>
          </cell>
          <cell r="H941">
            <v>21594.3</v>
          </cell>
          <cell r="I941">
            <v>7932.29</v>
          </cell>
        </row>
        <row r="942">
          <cell r="G942">
            <v>991038</v>
          </cell>
          <cell r="H942">
            <v>1447.53</v>
          </cell>
          <cell r="I942">
            <v>1210.08</v>
          </cell>
        </row>
        <row r="943">
          <cell r="G943">
            <v>991039</v>
          </cell>
          <cell r="H943">
            <v>12281.94</v>
          </cell>
          <cell r="I943">
            <v>3109.45</v>
          </cell>
        </row>
        <row r="944">
          <cell r="G944">
            <v>991040</v>
          </cell>
          <cell r="H944">
            <v>69045.5</v>
          </cell>
          <cell r="I944">
            <v>12299.5</v>
          </cell>
        </row>
        <row r="945">
          <cell r="G945">
            <v>991042</v>
          </cell>
          <cell r="H945">
            <v>3151.42</v>
          </cell>
          <cell r="I945">
            <v>1631.53</v>
          </cell>
        </row>
        <row r="946">
          <cell r="G946">
            <v>991043</v>
          </cell>
          <cell r="H946">
            <v>12669.07</v>
          </cell>
          <cell r="I946">
            <v>5008.24</v>
          </cell>
        </row>
        <row r="947">
          <cell r="G947">
            <v>991045</v>
          </cell>
          <cell r="H947">
            <v>10048.86</v>
          </cell>
          <cell r="I947">
            <v>2983.93</v>
          </cell>
        </row>
        <row r="948">
          <cell r="G948">
            <v>991046</v>
          </cell>
          <cell r="H948">
            <v>2922.44</v>
          </cell>
          <cell r="I948">
            <v>1398.49</v>
          </cell>
        </row>
        <row r="949">
          <cell r="G949">
            <v>991047</v>
          </cell>
          <cell r="H949">
            <v>4272.59</v>
          </cell>
          <cell r="I949">
            <v>1643.21</v>
          </cell>
        </row>
        <row r="950">
          <cell r="G950">
            <v>991048</v>
          </cell>
          <cell r="H950">
            <v>226.68</v>
          </cell>
          <cell r="I950">
            <v>893.93</v>
          </cell>
        </row>
        <row r="951">
          <cell r="G951">
            <v>991049</v>
          </cell>
          <cell r="H951">
            <v>6544.26</v>
          </cell>
          <cell r="I951">
            <v>1937.94</v>
          </cell>
        </row>
        <row r="952">
          <cell r="G952">
            <v>991050</v>
          </cell>
          <cell r="H952">
            <v>17725.41</v>
          </cell>
          <cell r="I952">
            <v>4994.71</v>
          </cell>
        </row>
        <row r="953">
          <cell r="G953">
            <v>991053</v>
          </cell>
          <cell r="H953">
            <v>604.14</v>
          </cell>
          <cell r="I953">
            <v>911.11</v>
          </cell>
        </row>
        <row r="954">
          <cell r="G954">
            <v>991054</v>
          </cell>
          <cell r="H954">
            <v>224.39</v>
          </cell>
          <cell r="I954">
            <v>873.72</v>
          </cell>
        </row>
        <row r="955">
          <cell r="G955">
            <v>991056</v>
          </cell>
          <cell r="H955">
            <v>14060.81</v>
          </cell>
          <cell r="I955">
            <v>4374.13</v>
          </cell>
        </row>
        <row r="956">
          <cell r="G956">
            <v>991057</v>
          </cell>
          <cell r="H956">
            <v>6761.56</v>
          </cell>
          <cell r="I956">
            <v>2098.39</v>
          </cell>
        </row>
        <row r="957">
          <cell r="G957">
            <v>991058</v>
          </cell>
          <cell r="H957">
            <v>1917.9</v>
          </cell>
          <cell r="I957">
            <v>1162.6600000000001</v>
          </cell>
        </row>
        <row r="958">
          <cell r="G958">
            <v>991059</v>
          </cell>
          <cell r="H958">
            <v>575.37</v>
          </cell>
          <cell r="I958">
            <v>930.72</v>
          </cell>
        </row>
        <row r="959">
          <cell r="G959">
            <v>991060</v>
          </cell>
          <cell r="H959">
            <v>7767.5</v>
          </cell>
          <cell r="I959">
            <v>2351.1999999999998</v>
          </cell>
        </row>
        <row r="960">
          <cell r="G960">
            <v>991061</v>
          </cell>
          <cell r="H960">
            <v>397.01</v>
          </cell>
          <cell r="I960">
            <v>968.82</v>
          </cell>
        </row>
        <row r="961">
          <cell r="G961">
            <v>991062</v>
          </cell>
          <cell r="H961">
            <v>17347.41</v>
          </cell>
          <cell r="I961">
            <v>2062.25</v>
          </cell>
        </row>
        <row r="962">
          <cell r="G962">
            <v>991064</v>
          </cell>
          <cell r="H962">
            <v>68703.97</v>
          </cell>
          <cell r="I962">
            <v>11733.13</v>
          </cell>
        </row>
        <row r="963">
          <cell r="G963">
            <v>991065</v>
          </cell>
          <cell r="H963">
            <v>7601.6</v>
          </cell>
          <cell r="I963">
            <v>2245.0100000000002</v>
          </cell>
        </row>
        <row r="964">
          <cell r="G964">
            <v>991068</v>
          </cell>
          <cell r="H964">
            <v>16220.48</v>
          </cell>
          <cell r="I964">
            <v>4314.92</v>
          </cell>
        </row>
        <row r="965">
          <cell r="G965">
            <v>991069</v>
          </cell>
          <cell r="H965">
            <v>30230.17</v>
          </cell>
          <cell r="I965">
            <v>12573.13</v>
          </cell>
        </row>
        <row r="966">
          <cell r="G966">
            <v>991072</v>
          </cell>
          <cell r="H966">
            <v>3538.63</v>
          </cell>
          <cell r="I966">
            <v>1347.02</v>
          </cell>
        </row>
        <row r="967">
          <cell r="G967">
            <v>991073</v>
          </cell>
          <cell r="H967">
            <v>21112.68</v>
          </cell>
          <cell r="I967">
            <v>5728.81</v>
          </cell>
        </row>
        <row r="968">
          <cell r="G968">
            <v>991075</v>
          </cell>
          <cell r="H968">
            <v>1956.26</v>
          </cell>
          <cell r="I968">
            <v>1420.98</v>
          </cell>
        </row>
        <row r="969">
          <cell r="G969">
            <v>991077</v>
          </cell>
          <cell r="H969">
            <v>8490.6</v>
          </cell>
          <cell r="I969">
            <v>3237.86</v>
          </cell>
        </row>
        <row r="970">
          <cell r="G970">
            <v>991078</v>
          </cell>
          <cell r="H970">
            <v>2854.94</v>
          </cell>
          <cell r="I970">
            <v>2607.6</v>
          </cell>
        </row>
        <row r="971">
          <cell r="G971">
            <v>991080</v>
          </cell>
          <cell r="H971">
            <v>3154.95</v>
          </cell>
          <cell r="I971">
            <v>1536.5</v>
          </cell>
        </row>
        <row r="972">
          <cell r="G972">
            <v>991081</v>
          </cell>
          <cell r="H972">
            <v>235.96</v>
          </cell>
          <cell r="I972">
            <v>969.96</v>
          </cell>
        </row>
        <row r="973">
          <cell r="G973">
            <v>991082</v>
          </cell>
          <cell r="H973">
            <v>22995.62</v>
          </cell>
          <cell r="I973">
            <v>5296.4</v>
          </cell>
        </row>
        <row r="974">
          <cell r="G974">
            <v>991083</v>
          </cell>
          <cell r="H974">
            <v>4624.05</v>
          </cell>
          <cell r="I974">
            <v>1508.24</v>
          </cell>
        </row>
        <row r="975">
          <cell r="G975">
            <v>991084</v>
          </cell>
          <cell r="H975">
            <v>1169.92</v>
          </cell>
          <cell r="I975">
            <v>1377.06</v>
          </cell>
        </row>
        <row r="976">
          <cell r="G976">
            <v>991084</v>
          </cell>
          <cell r="H976">
            <v>385.21</v>
          </cell>
          <cell r="I976">
            <v>453.42</v>
          </cell>
        </row>
        <row r="977">
          <cell r="G977">
            <v>991085</v>
          </cell>
          <cell r="H977">
            <v>4165.07</v>
          </cell>
          <cell r="I977">
            <v>1562.4</v>
          </cell>
        </row>
        <row r="978">
          <cell r="G978">
            <v>991087</v>
          </cell>
          <cell r="H978">
            <v>12385.88</v>
          </cell>
          <cell r="I978">
            <v>8299.7199999999993</v>
          </cell>
        </row>
        <row r="979">
          <cell r="G979">
            <v>991088</v>
          </cell>
          <cell r="H979">
            <v>412.75</v>
          </cell>
          <cell r="I979">
            <v>1135.49</v>
          </cell>
        </row>
        <row r="980">
          <cell r="G980">
            <v>991089</v>
          </cell>
          <cell r="H980">
            <v>10681.36</v>
          </cell>
          <cell r="I980">
            <v>3713</v>
          </cell>
        </row>
        <row r="981">
          <cell r="G981">
            <v>991092</v>
          </cell>
          <cell r="H981">
            <v>21223.040000000001</v>
          </cell>
          <cell r="I981">
            <v>6112.56</v>
          </cell>
        </row>
        <row r="982">
          <cell r="G982">
            <v>991093</v>
          </cell>
          <cell r="H982">
            <v>2226.39</v>
          </cell>
          <cell r="I982">
            <v>1448.97</v>
          </cell>
        </row>
        <row r="983">
          <cell r="G983">
            <v>991094</v>
          </cell>
          <cell r="H983">
            <v>43005.54</v>
          </cell>
          <cell r="I983">
            <v>10902.69</v>
          </cell>
        </row>
        <row r="984">
          <cell r="G984">
            <v>991095</v>
          </cell>
          <cell r="H984">
            <v>26504.06</v>
          </cell>
          <cell r="I984">
            <v>5424.3</v>
          </cell>
        </row>
        <row r="985">
          <cell r="G985">
            <v>991096</v>
          </cell>
          <cell r="H985">
            <v>6682.35</v>
          </cell>
          <cell r="I985">
            <v>1994.26</v>
          </cell>
        </row>
        <row r="986">
          <cell r="G986">
            <v>991098</v>
          </cell>
          <cell r="H986">
            <v>16518.88</v>
          </cell>
          <cell r="I986">
            <v>3884</v>
          </cell>
        </row>
        <row r="987">
          <cell r="G987">
            <v>991101</v>
          </cell>
          <cell r="H987">
            <v>93658.72</v>
          </cell>
          <cell r="I987">
            <v>17736.97</v>
          </cell>
        </row>
        <row r="988">
          <cell r="G988">
            <v>991104</v>
          </cell>
          <cell r="H988">
            <v>8512.1299999999992</v>
          </cell>
          <cell r="I988">
            <v>5024.84</v>
          </cell>
        </row>
        <row r="989">
          <cell r="G989">
            <v>991106</v>
          </cell>
          <cell r="H989">
            <v>12438.25</v>
          </cell>
          <cell r="I989">
            <v>5971.38</v>
          </cell>
        </row>
        <row r="990">
          <cell r="G990">
            <v>991108</v>
          </cell>
          <cell r="H990">
            <v>921.9</v>
          </cell>
          <cell r="I990">
            <v>1132.1400000000001</v>
          </cell>
        </row>
        <row r="991">
          <cell r="G991">
            <v>991109</v>
          </cell>
          <cell r="H991">
            <v>8263.64</v>
          </cell>
          <cell r="I991">
            <v>6085.07</v>
          </cell>
        </row>
        <row r="992">
          <cell r="G992">
            <v>991110</v>
          </cell>
          <cell r="H992">
            <v>115.34</v>
          </cell>
          <cell r="I992">
            <v>1257.76</v>
          </cell>
        </row>
        <row r="993">
          <cell r="G993">
            <v>991111</v>
          </cell>
          <cell r="H993">
            <v>27282.57</v>
          </cell>
          <cell r="I993">
            <v>11671.86</v>
          </cell>
        </row>
        <row r="994">
          <cell r="G994">
            <v>991112</v>
          </cell>
          <cell r="H994">
            <v>64071.27</v>
          </cell>
          <cell r="I994">
            <v>14371.94</v>
          </cell>
        </row>
        <row r="995">
          <cell r="G995">
            <v>991113</v>
          </cell>
          <cell r="H995">
            <v>23455.27</v>
          </cell>
          <cell r="I995">
            <v>9553.8799999999992</v>
          </cell>
        </row>
        <row r="996">
          <cell r="G996">
            <v>991114</v>
          </cell>
          <cell r="H996">
            <v>13544.14</v>
          </cell>
          <cell r="I996">
            <v>3465.66</v>
          </cell>
        </row>
        <row r="997">
          <cell r="G997">
            <v>991115</v>
          </cell>
          <cell r="H997">
            <v>646.16</v>
          </cell>
          <cell r="I997">
            <v>1018.05</v>
          </cell>
        </row>
        <row r="998">
          <cell r="G998">
            <v>991116</v>
          </cell>
          <cell r="H998">
            <v>2391.4</v>
          </cell>
          <cell r="I998">
            <v>1253.68</v>
          </cell>
        </row>
        <row r="999">
          <cell r="G999">
            <v>991117</v>
          </cell>
          <cell r="H999">
            <v>927.75</v>
          </cell>
          <cell r="I999">
            <v>991.36</v>
          </cell>
        </row>
        <row r="1000">
          <cell r="G1000">
            <v>991119</v>
          </cell>
          <cell r="H1000">
            <v>4643.08</v>
          </cell>
          <cell r="I1000">
            <v>1648.6</v>
          </cell>
        </row>
        <row r="1001">
          <cell r="G1001">
            <v>991120</v>
          </cell>
          <cell r="H1001">
            <v>679.96</v>
          </cell>
          <cell r="I1001">
            <v>975.05</v>
          </cell>
        </row>
        <row r="1002">
          <cell r="G1002">
            <v>991121</v>
          </cell>
          <cell r="H1002">
            <v>397.61</v>
          </cell>
          <cell r="I1002">
            <v>923.16</v>
          </cell>
        </row>
        <row r="1003">
          <cell r="G1003">
            <v>991122</v>
          </cell>
          <cell r="H1003">
            <v>27659.52</v>
          </cell>
          <cell r="I1003">
            <v>5306.46</v>
          </cell>
        </row>
        <row r="1004">
          <cell r="G1004">
            <v>991123</v>
          </cell>
          <cell r="H1004">
            <v>487.14</v>
          </cell>
          <cell r="I1004">
            <v>987.65</v>
          </cell>
        </row>
        <row r="1005">
          <cell r="G1005">
            <v>991124</v>
          </cell>
          <cell r="H1005">
            <v>144.06</v>
          </cell>
          <cell r="I1005">
            <v>923.18</v>
          </cell>
        </row>
        <row r="1006">
          <cell r="G1006">
            <v>991125</v>
          </cell>
          <cell r="H1006">
            <v>3307.62</v>
          </cell>
          <cell r="I1006">
            <v>1547.2</v>
          </cell>
        </row>
        <row r="1007">
          <cell r="G1007">
            <v>991127</v>
          </cell>
          <cell r="H1007">
            <v>12562.04</v>
          </cell>
          <cell r="I1007">
            <v>3800.52</v>
          </cell>
        </row>
        <row r="1008">
          <cell r="G1008">
            <v>991128</v>
          </cell>
          <cell r="H1008">
            <v>5772</v>
          </cell>
          <cell r="I1008">
            <v>1909.61</v>
          </cell>
        </row>
        <row r="1009">
          <cell r="G1009">
            <v>991129</v>
          </cell>
          <cell r="H1009">
            <v>46675.44</v>
          </cell>
          <cell r="I1009">
            <v>8379.93</v>
          </cell>
        </row>
        <row r="1010">
          <cell r="G1010">
            <v>991130</v>
          </cell>
          <cell r="H1010">
            <v>9844.1</v>
          </cell>
          <cell r="I1010">
            <v>2782.26</v>
          </cell>
        </row>
        <row r="1011">
          <cell r="G1011">
            <v>991132</v>
          </cell>
          <cell r="H1011">
            <v>1721.09</v>
          </cell>
          <cell r="I1011">
            <v>1851.75</v>
          </cell>
        </row>
        <row r="1012">
          <cell r="G1012">
            <v>991133</v>
          </cell>
          <cell r="H1012">
            <v>4125.53</v>
          </cell>
          <cell r="I1012">
            <v>1277.26</v>
          </cell>
        </row>
        <row r="1013">
          <cell r="G1013">
            <v>991134</v>
          </cell>
          <cell r="H1013">
            <v>6000.02</v>
          </cell>
          <cell r="I1013">
            <v>2905.15</v>
          </cell>
        </row>
        <row r="1014">
          <cell r="G1014">
            <v>991135</v>
          </cell>
          <cell r="H1014">
            <v>46385.64</v>
          </cell>
          <cell r="I1014">
            <v>21454.97</v>
          </cell>
        </row>
        <row r="1015">
          <cell r="G1015">
            <v>991136</v>
          </cell>
          <cell r="H1015">
            <v>70605.05</v>
          </cell>
          <cell r="I1015">
            <v>17452.8</v>
          </cell>
        </row>
        <row r="1016">
          <cell r="G1016">
            <v>991137</v>
          </cell>
          <cell r="H1016">
            <v>16645.63</v>
          </cell>
          <cell r="I1016">
            <v>10102.26</v>
          </cell>
        </row>
        <row r="1017">
          <cell r="G1017">
            <v>991138</v>
          </cell>
          <cell r="H1017">
            <v>241.56</v>
          </cell>
          <cell r="I1017">
            <v>905.05</v>
          </cell>
        </row>
        <row r="1018">
          <cell r="G1018">
            <v>991139</v>
          </cell>
          <cell r="H1018">
            <v>217.18</v>
          </cell>
          <cell r="I1018">
            <v>900.43</v>
          </cell>
        </row>
        <row r="1019">
          <cell r="G1019">
            <v>991140</v>
          </cell>
          <cell r="H1019">
            <v>57911.040000000001</v>
          </cell>
          <cell r="I1019">
            <v>31806.6</v>
          </cell>
        </row>
        <row r="1020">
          <cell r="G1020">
            <v>991141</v>
          </cell>
          <cell r="H1020">
            <v>5342.23</v>
          </cell>
          <cell r="I1020">
            <v>11380.33</v>
          </cell>
        </row>
        <row r="1021">
          <cell r="G1021">
            <v>991142</v>
          </cell>
          <cell r="H1021">
            <v>18753.13</v>
          </cell>
          <cell r="I1021">
            <v>25822.65</v>
          </cell>
        </row>
        <row r="1022">
          <cell r="G1022">
            <v>991143</v>
          </cell>
          <cell r="H1022">
            <v>9911.33</v>
          </cell>
          <cell r="I1022">
            <v>3248.43</v>
          </cell>
        </row>
        <row r="1023">
          <cell r="G1023">
            <v>991145</v>
          </cell>
          <cell r="H1023">
            <v>8127.87</v>
          </cell>
          <cell r="I1023">
            <v>3324.41</v>
          </cell>
        </row>
        <row r="1024">
          <cell r="G1024">
            <v>991147</v>
          </cell>
          <cell r="H1024">
            <v>2868.98</v>
          </cell>
          <cell r="I1024">
            <v>2332.0500000000002</v>
          </cell>
        </row>
        <row r="1025">
          <cell r="G1025">
            <v>991148</v>
          </cell>
          <cell r="H1025">
            <v>4292.26</v>
          </cell>
          <cell r="I1025">
            <v>2045.89</v>
          </cell>
        </row>
        <row r="1026">
          <cell r="G1026">
            <v>991149</v>
          </cell>
          <cell r="H1026">
            <v>29822.54</v>
          </cell>
          <cell r="I1026">
            <v>13210.01</v>
          </cell>
        </row>
        <row r="1027">
          <cell r="G1027">
            <v>991151</v>
          </cell>
          <cell r="H1027">
            <v>7172.95</v>
          </cell>
          <cell r="I1027">
            <v>2873.35</v>
          </cell>
        </row>
        <row r="1028">
          <cell r="G1028">
            <v>991152</v>
          </cell>
          <cell r="H1028">
            <v>12427.99</v>
          </cell>
          <cell r="I1028">
            <v>3130.96</v>
          </cell>
        </row>
        <row r="1029">
          <cell r="G1029">
            <v>991153</v>
          </cell>
          <cell r="H1029">
            <v>11029.7</v>
          </cell>
          <cell r="I1029">
            <v>4207.93</v>
          </cell>
        </row>
        <row r="1030">
          <cell r="G1030">
            <v>991154</v>
          </cell>
          <cell r="H1030">
            <v>25117.43</v>
          </cell>
          <cell r="I1030">
            <v>10699.31</v>
          </cell>
        </row>
        <row r="1031">
          <cell r="G1031">
            <v>991155</v>
          </cell>
          <cell r="H1031">
            <v>1415.1</v>
          </cell>
          <cell r="I1031">
            <v>1203.98</v>
          </cell>
        </row>
        <row r="1032">
          <cell r="G1032">
            <v>991156</v>
          </cell>
          <cell r="H1032">
            <v>9433.06</v>
          </cell>
          <cell r="I1032">
            <v>27363.94</v>
          </cell>
        </row>
        <row r="1033">
          <cell r="G1033">
            <v>991157</v>
          </cell>
          <cell r="H1033">
            <v>12308.18</v>
          </cell>
          <cell r="I1033">
            <v>10377.200000000001</v>
          </cell>
        </row>
        <row r="1034">
          <cell r="G1034">
            <v>991158</v>
          </cell>
          <cell r="H1034">
            <v>7251.89</v>
          </cell>
          <cell r="I1034">
            <v>2124.31</v>
          </cell>
        </row>
        <row r="1035">
          <cell r="G1035">
            <v>991159</v>
          </cell>
          <cell r="H1035">
            <v>1214.98</v>
          </cell>
          <cell r="I1035">
            <v>1461.12</v>
          </cell>
        </row>
        <row r="1036">
          <cell r="G1036">
            <v>991160</v>
          </cell>
          <cell r="H1036">
            <v>12191.87</v>
          </cell>
          <cell r="I1036">
            <v>11950.82</v>
          </cell>
        </row>
        <row r="1037">
          <cell r="G1037">
            <v>991161</v>
          </cell>
          <cell r="H1037">
            <v>5868.77</v>
          </cell>
          <cell r="I1037">
            <v>3379.71</v>
          </cell>
        </row>
        <row r="1038">
          <cell r="G1038">
            <v>991162</v>
          </cell>
          <cell r="H1038">
            <v>24404.69</v>
          </cell>
          <cell r="I1038">
            <v>7288.95</v>
          </cell>
        </row>
        <row r="1039">
          <cell r="G1039">
            <v>991163</v>
          </cell>
          <cell r="H1039">
            <v>1581.78</v>
          </cell>
          <cell r="I1039">
            <v>1292.04</v>
          </cell>
        </row>
        <row r="1040">
          <cell r="G1040">
            <v>991164</v>
          </cell>
          <cell r="H1040">
            <v>12554.3</v>
          </cell>
          <cell r="I1040">
            <v>6610.85</v>
          </cell>
        </row>
        <row r="1041">
          <cell r="G1041">
            <v>991165</v>
          </cell>
          <cell r="H1041">
            <v>3292.46</v>
          </cell>
          <cell r="I1041">
            <v>2306.91</v>
          </cell>
        </row>
        <row r="1042">
          <cell r="G1042">
            <v>991166</v>
          </cell>
          <cell r="H1042">
            <v>5713.35</v>
          </cell>
          <cell r="I1042">
            <v>6542.91</v>
          </cell>
        </row>
        <row r="1043">
          <cell r="G1043">
            <v>991168</v>
          </cell>
          <cell r="H1043">
            <v>24298.79</v>
          </cell>
          <cell r="I1043">
            <v>6750.99</v>
          </cell>
        </row>
        <row r="1044">
          <cell r="G1044">
            <v>991169</v>
          </cell>
          <cell r="H1044">
            <v>852.26</v>
          </cell>
          <cell r="I1044">
            <v>1176.0899999999999</v>
          </cell>
        </row>
        <row r="1045">
          <cell r="G1045">
            <v>991171</v>
          </cell>
          <cell r="H1045">
            <v>3774</v>
          </cell>
          <cell r="I1045">
            <v>1509.2</v>
          </cell>
        </row>
        <row r="1046">
          <cell r="G1046">
            <v>991173</v>
          </cell>
          <cell r="H1046">
            <v>2705.2</v>
          </cell>
          <cell r="I1046">
            <v>1282.47</v>
          </cell>
        </row>
        <row r="1047">
          <cell r="G1047">
            <v>991174</v>
          </cell>
          <cell r="H1047">
            <v>1576.02</v>
          </cell>
          <cell r="I1047">
            <v>1096.58</v>
          </cell>
        </row>
        <row r="1048">
          <cell r="G1048">
            <v>991175</v>
          </cell>
          <cell r="H1048">
            <v>14318.25</v>
          </cell>
          <cell r="I1048">
            <v>3318.18</v>
          </cell>
        </row>
        <row r="1049">
          <cell r="G1049">
            <v>991177</v>
          </cell>
          <cell r="H1049">
            <v>2100.04</v>
          </cell>
          <cell r="I1049">
            <v>1082.3399999999999</v>
          </cell>
        </row>
        <row r="1050">
          <cell r="G1050">
            <v>991178</v>
          </cell>
          <cell r="H1050">
            <v>70850.559999999998</v>
          </cell>
          <cell r="I1050">
            <v>19848.79</v>
          </cell>
        </row>
        <row r="1051">
          <cell r="G1051">
            <v>991179</v>
          </cell>
          <cell r="H1051">
            <v>10967.67</v>
          </cell>
          <cell r="I1051">
            <v>3793.31</v>
          </cell>
        </row>
        <row r="1052">
          <cell r="G1052">
            <v>991181</v>
          </cell>
          <cell r="H1052">
            <v>32706.59</v>
          </cell>
          <cell r="I1052">
            <v>9781.77</v>
          </cell>
        </row>
        <row r="1053">
          <cell r="G1053">
            <v>991182</v>
          </cell>
          <cell r="H1053">
            <v>7268.95</v>
          </cell>
          <cell r="I1053">
            <v>3026.18</v>
          </cell>
        </row>
        <row r="1054">
          <cell r="G1054">
            <v>991186</v>
          </cell>
          <cell r="H1054">
            <v>7391.92</v>
          </cell>
          <cell r="I1054">
            <v>2362.87</v>
          </cell>
        </row>
        <row r="1055">
          <cell r="G1055">
            <v>991187</v>
          </cell>
          <cell r="H1055">
            <v>3207.7</v>
          </cell>
          <cell r="I1055">
            <v>1336.66</v>
          </cell>
        </row>
        <row r="1056">
          <cell r="G1056">
            <v>991188</v>
          </cell>
          <cell r="H1056">
            <v>16153.54</v>
          </cell>
          <cell r="I1056">
            <v>4406.8999999999996</v>
          </cell>
        </row>
        <row r="1057">
          <cell r="G1057">
            <v>991189</v>
          </cell>
          <cell r="H1057">
            <v>566.64</v>
          </cell>
          <cell r="I1057">
            <v>871.89</v>
          </cell>
        </row>
        <row r="1058">
          <cell r="G1058">
            <v>991190</v>
          </cell>
          <cell r="H1058">
            <v>6273.61</v>
          </cell>
          <cell r="I1058">
            <v>3952.51</v>
          </cell>
        </row>
        <row r="1059">
          <cell r="G1059">
            <v>991191</v>
          </cell>
          <cell r="H1059">
            <v>15214.51</v>
          </cell>
          <cell r="I1059">
            <v>7081.37</v>
          </cell>
        </row>
        <row r="1060">
          <cell r="G1060">
            <v>991192</v>
          </cell>
          <cell r="H1060">
            <v>157724.26</v>
          </cell>
          <cell r="I1060">
            <v>29100.74</v>
          </cell>
        </row>
        <row r="1061">
          <cell r="G1061">
            <v>991193</v>
          </cell>
          <cell r="H1061">
            <v>920.25</v>
          </cell>
          <cell r="I1061">
            <v>1313.06</v>
          </cell>
        </row>
        <row r="1062">
          <cell r="G1062">
            <v>991194</v>
          </cell>
          <cell r="H1062">
            <v>125294.39999999999</v>
          </cell>
          <cell r="I1062">
            <v>1043.92</v>
          </cell>
        </row>
        <row r="1063">
          <cell r="G1063">
            <v>991195</v>
          </cell>
          <cell r="H1063">
            <v>1870.22</v>
          </cell>
          <cell r="I1063">
            <v>1228.7</v>
          </cell>
        </row>
        <row r="1064">
          <cell r="G1064">
            <v>991196</v>
          </cell>
          <cell r="H1064">
            <v>204.77</v>
          </cell>
          <cell r="I1064">
            <v>889.59</v>
          </cell>
        </row>
        <row r="1065">
          <cell r="G1065">
            <v>991197</v>
          </cell>
          <cell r="H1065">
            <v>2881.2</v>
          </cell>
          <cell r="I1065">
            <v>1705.36</v>
          </cell>
        </row>
        <row r="1066">
          <cell r="G1066">
            <v>991198</v>
          </cell>
          <cell r="H1066">
            <v>11716.88</v>
          </cell>
          <cell r="I1066">
            <v>3874.49</v>
          </cell>
        </row>
        <row r="1067">
          <cell r="G1067">
            <v>991199</v>
          </cell>
          <cell r="H1067">
            <v>1632.68</v>
          </cell>
          <cell r="I1067">
            <v>1305.44</v>
          </cell>
        </row>
        <row r="1068">
          <cell r="G1068">
            <v>991200</v>
          </cell>
          <cell r="H1068">
            <v>53394.81</v>
          </cell>
          <cell r="I1068">
            <v>14181.09</v>
          </cell>
        </row>
        <row r="1069">
          <cell r="G1069">
            <v>991201</v>
          </cell>
          <cell r="H1069">
            <v>82212</v>
          </cell>
          <cell r="I1069">
            <v>14601.3</v>
          </cell>
        </row>
        <row r="1070">
          <cell r="G1070">
            <v>991202</v>
          </cell>
          <cell r="H1070">
            <v>13553.16</v>
          </cell>
          <cell r="I1070">
            <v>5176.32</v>
          </cell>
        </row>
        <row r="1071">
          <cell r="G1071">
            <v>991203</v>
          </cell>
          <cell r="H1071">
            <v>431.53</v>
          </cell>
          <cell r="I1071">
            <v>924.17</v>
          </cell>
        </row>
        <row r="1072">
          <cell r="G1072">
            <v>991204</v>
          </cell>
          <cell r="H1072">
            <v>71.92</v>
          </cell>
          <cell r="I1072">
            <v>953.04</v>
          </cell>
        </row>
        <row r="1073">
          <cell r="G1073">
            <v>991205</v>
          </cell>
          <cell r="H1073">
            <v>2006.77</v>
          </cell>
          <cell r="I1073">
            <v>1256.96</v>
          </cell>
        </row>
        <row r="1074">
          <cell r="G1074">
            <v>991206</v>
          </cell>
          <cell r="H1074">
            <v>42142.66</v>
          </cell>
          <cell r="I1074">
            <v>18094.91</v>
          </cell>
        </row>
        <row r="1075">
          <cell r="G1075">
            <v>991207</v>
          </cell>
          <cell r="H1075">
            <v>985.12</v>
          </cell>
          <cell r="I1075">
            <v>1093.72</v>
          </cell>
        </row>
        <row r="1076">
          <cell r="G1076">
            <v>991208</v>
          </cell>
          <cell r="H1076">
            <v>1745.5</v>
          </cell>
          <cell r="I1076">
            <v>1188.5</v>
          </cell>
        </row>
        <row r="1077">
          <cell r="G1077">
            <v>991209</v>
          </cell>
          <cell r="H1077">
            <v>8856.32</v>
          </cell>
          <cell r="I1077">
            <v>2178.6999999999998</v>
          </cell>
        </row>
        <row r="1078">
          <cell r="G1078">
            <v>991210</v>
          </cell>
          <cell r="H1078">
            <v>9580.93</v>
          </cell>
          <cell r="I1078">
            <v>2440.81</v>
          </cell>
        </row>
        <row r="1079">
          <cell r="G1079">
            <v>991211</v>
          </cell>
          <cell r="H1079">
            <v>1859.83</v>
          </cell>
          <cell r="I1079">
            <v>1271.08</v>
          </cell>
        </row>
        <row r="1080">
          <cell r="G1080">
            <v>991212</v>
          </cell>
          <cell r="H1080">
            <v>10365.92</v>
          </cell>
          <cell r="I1080">
            <v>2637.24</v>
          </cell>
        </row>
        <row r="1081">
          <cell r="G1081">
            <v>991213</v>
          </cell>
          <cell r="H1081">
            <v>54949.440000000002</v>
          </cell>
          <cell r="I1081">
            <v>10864.99</v>
          </cell>
        </row>
        <row r="1082">
          <cell r="G1082">
            <v>991214</v>
          </cell>
          <cell r="H1082">
            <v>47701.35</v>
          </cell>
          <cell r="I1082">
            <v>10038.790000000001</v>
          </cell>
        </row>
        <row r="1083">
          <cell r="G1083">
            <v>991216</v>
          </cell>
          <cell r="H1083">
            <v>3007.92</v>
          </cell>
          <cell r="I1083">
            <v>1346.24</v>
          </cell>
        </row>
        <row r="1084">
          <cell r="G1084">
            <v>991217</v>
          </cell>
          <cell r="H1084">
            <v>1472.43</v>
          </cell>
          <cell r="I1084">
            <v>1116.07</v>
          </cell>
        </row>
        <row r="1085">
          <cell r="G1085">
            <v>991218</v>
          </cell>
          <cell r="H1085">
            <v>10222.469999999999</v>
          </cell>
          <cell r="I1085">
            <v>29628.799999999999</v>
          </cell>
        </row>
        <row r="1086">
          <cell r="G1086">
            <v>991219</v>
          </cell>
          <cell r="H1086">
            <v>2183.5</v>
          </cell>
          <cell r="I1086">
            <v>1450.86</v>
          </cell>
        </row>
        <row r="1087">
          <cell r="G1087">
            <v>991220</v>
          </cell>
          <cell r="H1087">
            <v>106980.28</v>
          </cell>
          <cell r="I1087">
            <v>23281.42</v>
          </cell>
        </row>
        <row r="1088">
          <cell r="G1088">
            <v>991221</v>
          </cell>
          <cell r="H1088">
            <v>9619.58</v>
          </cell>
          <cell r="I1088">
            <v>3309</v>
          </cell>
        </row>
        <row r="1089">
          <cell r="G1089">
            <v>991222</v>
          </cell>
          <cell r="H1089">
            <v>10130.83</v>
          </cell>
          <cell r="I1089">
            <v>2422.69</v>
          </cell>
        </row>
        <row r="1090">
          <cell r="G1090">
            <v>991223</v>
          </cell>
          <cell r="H1090">
            <v>2956.29</v>
          </cell>
          <cell r="I1090">
            <v>1584.61</v>
          </cell>
        </row>
        <row r="1091">
          <cell r="G1091">
            <v>991225</v>
          </cell>
          <cell r="H1091">
            <v>151.44999999999999</v>
          </cell>
          <cell r="I1091">
            <v>1151.47</v>
          </cell>
        </row>
        <row r="1092">
          <cell r="G1092">
            <v>991226</v>
          </cell>
          <cell r="H1092">
            <v>1771.39</v>
          </cell>
          <cell r="I1092">
            <v>4689.7299999999996</v>
          </cell>
        </row>
        <row r="1093">
          <cell r="G1093">
            <v>991227</v>
          </cell>
          <cell r="H1093">
            <v>50.88</v>
          </cell>
          <cell r="I1093">
            <v>909.14</v>
          </cell>
        </row>
        <row r="1094">
          <cell r="G1094">
            <v>991228</v>
          </cell>
          <cell r="H1094">
            <v>9971.99</v>
          </cell>
          <cell r="I1094">
            <v>2934.49</v>
          </cell>
        </row>
        <row r="1095">
          <cell r="G1095">
            <v>991229</v>
          </cell>
          <cell r="H1095">
            <v>376.4</v>
          </cell>
          <cell r="I1095">
            <v>698.68</v>
          </cell>
        </row>
        <row r="1096">
          <cell r="G1096">
            <v>991230</v>
          </cell>
          <cell r="H1096">
            <v>37.369999999999997</v>
          </cell>
          <cell r="I1096">
            <v>1112.18</v>
          </cell>
        </row>
        <row r="1097">
          <cell r="G1097">
            <v>991231</v>
          </cell>
          <cell r="H1097">
            <v>1196.67</v>
          </cell>
          <cell r="I1097">
            <v>1173.1400000000001</v>
          </cell>
        </row>
        <row r="1098">
          <cell r="G1098">
            <v>991232</v>
          </cell>
          <cell r="H1098">
            <v>7163.55</v>
          </cell>
          <cell r="I1098">
            <v>2530.04</v>
          </cell>
        </row>
        <row r="1099">
          <cell r="G1099">
            <v>991233</v>
          </cell>
          <cell r="H1099">
            <v>15181.85</v>
          </cell>
          <cell r="I1099">
            <v>3223.92</v>
          </cell>
        </row>
        <row r="1100">
          <cell r="G1100">
            <v>991234</v>
          </cell>
          <cell r="H1100">
            <v>61402.02</v>
          </cell>
          <cell r="I1100">
            <v>10455.89</v>
          </cell>
        </row>
        <row r="1101">
          <cell r="G1101">
            <v>991235</v>
          </cell>
          <cell r="H1101">
            <v>11151.33</v>
          </cell>
          <cell r="I1101">
            <v>3801.04</v>
          </cell>
        </row>
        <row r="1102">
          <cell r="G1102">
            <v>991238</v>
          </cell>
          <cell r="H1102">
            <v>2442.12</v>
          </cell>
          <cell r="I1102">
            <v>1291.49</v>
          </cell>
        </row>
        <row r="1103">
          <cell r="G1103">
            <v>991239</v>
          </cell>
          <cell r="H1103">
            <v>1358.64</v>
          </cell>
          <cell r="I1103">
            <v>964.85</v>
          </cell>
        </row>
        <row r="1104">
          <cell r="G1104">
            <v>991242</v>
          </cell>
          <cell r="H1104">
            <v>9263.4599999999991</v>
          </cell>
          <cell r="I1104">
            <v>3139.51</v>
          </cell>
        </row>
        <row r="1105">
          <cell r="G1105">
            <v>991246</v>
          </cell>
          <cell r="H1105">
            <v>15882.05</v>
          </cell>
          <cell r="I1105">
            <v>8019.52</v>
          </cell>
        </row>
        <row r="1106">
          <cell r="G1106">
            <v>991247</v>
          </cell>
          <cell r="H1106">
            <v>32533.01</v>
          </cell>
          <cell r="I1106">
            <v>8000.86</v>
          </cell>
        </row>
        <row r="1107">
          <cell r="G1107">
            <v>991248</v>
          </cell>
          <cell r="H1107">
            <v>8766.48</v>
          </cell>
          <cell r="I1107">
            <v>2846.93</v>
          </cell>
        </row>
        <row r="1108">
          <cell r="G1108">
            <v>991249</v>
          </cell>
          <cell r="H1108">
            <v>6442.18</v>
          </cell>
          <cell r="I1108">
            <v>12534.95</v>
          </cell>
        </row>
        <row r="1109">
          <cell r="G1109">
            <v>991251</v>
          </cell>
          <cell r="H1109">
            <v>25596.37</v>
          </cell>
          <cell r="I1109">
            <v>6188.45</v>
          </cell>
        </row>
        <row r="1110">
          <cell r="G1110">
            <v>991253</v>
          </cell>
          <cell r="H1110">
            <v>4553.1000000000004</v>
          </cell>
          <cell r="I1110">
            <v>3826.72</v>
          </cell>
        </row>
        <row r="1111">
          <cell r="G1111">
            <v>991254</v>
          </cell>
          <cell r="H1111">
            <v>77954.460000000006</v>
          </cell>
          <cell r="I1111">
            <v>18030.849999999999</v>
          </cell>
        </row>
        <row r="1112">
          <cell r="G1112">
            <v>991255</v>
          </cell>
          <cell r="H1112">
            <v>8041.96</v>
          </cell>
          <cell r="I1112">
            <v>3102.33</v>
          </cell>
        </row>
        <row r="1113">
          <cell r="G1113">
            <v>991256</v>
          </cell>
          <cell r="H1113">
            <v>6528.71</v>
          </cell>
          <cell r="I1113">
            <v>26448.81</v>
          </cell>
        </row>
        <row r="1114">
          <cell r="G1114">
            <v>991258</v>
          </cell>
          <cell r="H1114">
            <v>2937.62</v>
          </cell>
          <cell r="I1114">
            <v>2015.05</v>
          </cell>
        </row>
        <row r="1115">
          <cell r="G1115">
            <v>991259</v>
          </cell>
          <cell r="H1115">
            <v>1509.6</v>
          </cell>
          <cell r="I1115">
            <v>1233.78</v>
          </cell>
        </row>
        <row r="1116">
          <cell r="G1116">
            <v>991260</v>
          </cell>
          <cell r="H1116">
            <v>682.73</v>
          </cell>
          <cell r="I1116">
            <v>1109.46</v>
          </cell>
        </row>
        <row r="1117">
          <cell r="G1117">
            <v>991261</v>
          </cell>
          <cell r="H1117">
            <v>1109.19</v>
          </cell>
          <cell r="I1117">
            <v>1143.93</v>
          </cell>
        </row>
        <row r="1118">
          <cell r="G1118">
            <v>991262</v>
          </cell>
          <cell r="H1118">
            <v>464.04</v>
          </cell>
          <cell r="I1118">
            <v>1198.48</v>
          </cell>
        </row>
        <row r="1119">
          <cell r="G1119">
            <v>991263</v>
          </cell>
          <cell r="H1119">
            <v>29629.88</v>
          </cell>
          <cell r="I1119">
            <v>6017.31</v>
          </cell>
        </row>
        <row r="1120">
          <cell r="G1120">
            <v>991265</v>
          </cell>
          <cell r="H1120">
            <v>13056.73</v>
          </cell>
          <cell r="I1120">
            <v>3433.85</v>
          </cell>
        </row>
        <row r="1121">
          <cell r="G1121">
            <v>991267</v>
          </cell>
          <cell r="H1121">
            <v>631.85</v>
          </cell>
          <cell r="I1121">
            <v>1045.6199999999999</v>
          </cell>
        </row>
        <row r="1122">
          <cell r="G1122">
            <v>991268</v>
          </cell>
          <cell r="H1122">
            <v>2267.1999999999998</v>
          </cell>
          <cell r="I1122">
            <v>1549.73</v>
          </cell>
        </row>
        <row r="1123">
          <cell r="G1123">
            <v>991269</v>
          </cell>
          <cell r="H1123">
            <v>32538.6</v>
          </cell>
          <cell r="I1123">
            <v>20977.119999999999</v>
          </cell>
        </row>
        <row r="1124">
          <cell r="G1124">
            <v>991270</v>
          </cell>
          <cell r="H1124">
            <v>4782.49</v>
          </cell>
          <cell r="I1124">
            <v>1915.38</v>
          </cell>
        </row>
        <row r="1125">
          <cell r="G1125">
            <v>991271</v>
          </cell>
          <cell r="H1125">
            <v>10984.74</v>
          </cell>
          <cell r="I1125">
            <v>3225.33</v>
          </cell>
        </row>
        <row r="1126">
          <cell r="G1126">
            <v>991273</v>
          </cell>
          <cell r="H1126">
            <v>49858.32</v>
          </cell>
          <cell r="I1126">
            <v>13075.45</v>
          </cell>
        </row>
        <row r="1127">
          <cell r="G1127">
            <v>991274</v>
          </cell>
          <cell r="H1127">
            <v>12597.27</v>
          </cell>
          <cell r="I1127">
            <v>2905.8</v>
          </cell>
        </row>
        <row r="1128">
          <cell r="G1128">
            <v>991276</v>
          </cell>
          <cell r="H1128">
            <v>4717.0600000000004</v>
          </cell>
          <cell r="I1128">
            <v>1451.61</v>
          </cell>
        </row>
        <row r="1129">
          <cell r="G1129">
            <v>991277</v>
          </cell>
          <cell r="H1129">
            <v>19760.14</v>
          </cell>
          <cell r="I1129">
            <v>3878.01</v>
          </cell>
        </row>
        <row r="1130">
          <cell r="G1130">
            <v>991279</v>
          </cell>
          <cell r="H1130">
            <v>3488.69</v>
          </cell>
          <cell r="I1130">
            <v>1350.42</v>
          </cell>
        </row>
        <row r="1131">
          <cell r="G1131">
            <v>991281</v>
          </cell>
          <cell r="H1131">
            <v>3493.64</v>
          </cell>
          <cell r="I1131">
            <v>2659</v>
          </cell>
        </row>
        <row r="1132">
          <cell r="G1132">
            <v>991282</v>
          </cell>
          <cell r="H1132">
            <v>1836.33</v>
          </cell>
          <cell r="I1132">
            <v>1015.48</v>
          </cell>
        </row>
        <row r="1133">
          <cell r="G1133">
            <v>991283</v>
          </cell>
          <cell r="H1133">
            <v>5443.5</v>
          </cell>
          <cell r="I1133">
            <v>1923.63</v>
          </cell>
        </row>
        <row r="1134">
          <cell r="G1134">
            <v>991284</v>
          </cell>
          <cell r="H1134">
            <v>793.05</v>
          </cell>
          <cell r="I1134">
            <v>868.45</v>
          </cell>
        </row>
        <row r="1135">
          <cell r="G1135">
            <v>991285</v>
          </cell>
          <cell r="H1135">
            <v>60668.33</v>
          </cell>
          <cell r="I1135">
            <v>11134.57</v>
          </cell>
        </row>
        <row r="1136">
          <cell r="G1136">
            <v>991286</v>
          </cell>
          <cell r="H1136">
            <v>101543.91</v>
          </cell>
          <cell r="I1136">
            <v>27376.61</v>
          </cell>
        </row>
        <row r="1137">
          <cell r="G1137">
            <v>991287</v>
          </cell>
          <cell r="H1137">
            <v>1437.5</v>
          </cell>
          <cell r="I1137">
            <v>1027.79</v>
          </cell>
        </row>
        <row r="1138">
          <cell r="G1138">
            <v>991288</v>
          </cell>
          <cell r="H1138">
            <v>3042.6</v>
          </cell>
          <cell r="I1138">
            <v>1380.38</v>
          </cell>
        </row>
        <row r="1139">
          <cell r="G1139">
            <v>991289</v>
          </cell>
          <cell r="H1139">
            <v>9655.18</v>
          </cell>
          <cell r="I1139">
            <v>3189.46</v>
          </cell>
        </row>
        <row r="1140">
          <cell r="G1140">
            <v>991290</v>
          </cell>
          <cell r="H1140">
            <v>13991.31</v>
          </cell>
          <cell r="I1140">
            <v>3367.8</v>
          </cell>
        </row>
        <row r="1141">
          <cell r="G1141">
            <v>991291</v>
          </cell>
          <cell r="H1141">
            <v>5139.29</v>
          </cell>
          <cell r="I1141">
            <v>1643.93</v>
          </cell>
        </row>
        <row r="1142">
          <cell r="G1142">
            <v>991292</v>
          </cell>
          <cell r="H1142">
            <v>1832.68</v>
          </cell>
          <cell r="I1142">
            <v>1096.95</v>
          </cell>
        </row>
        <row r="1143">
          <cell r="G1143">
            <v>991293</v>
          </cell>
          <cell r="H1143">
            <v>2576.87</v>
          </cell>
          <cell r="I1143">
            <v>1263</v>
          </cell>
        </row>
        <row r="1144">
          <cell r="G1144">
            <v>991295</v>
          </cell>
          <cell r="H1144">
            <v>8405.4500000000007</v>
          </cell>
          <cell r="I1144">
            <v>2135.7399999999998</v>
          </cell>
        </row>
        <row r="1145">
          <cell r="G1145">
            <v>991296</v>
          </cell>
          <cell r="H1145">
            <v>17726.310000000001</v>
          </cell>
          <cell r="I1145">
            <v>4831.22</v>
          </cell>
        </row>
        <row r="1146">
          <cell r="G1146">
            <v>991297</v>
          </cell>
          <cell r="H1146">
            <v>3575.89</v>
          </cell>
          <cell r="I1146">
            <v>1337.72</v>
          </cell>
        </row>
        <row r="1147">
          <cell r="G1147">
            <v>991298</v>
          </cell>
          <cell r="H1147">
            <v>28405.79</v>
          </cell>
          <cell r="I1147">
            <v>5873.59</v>
          </cell>
        </row>
        <row r="1148">
          <cell r="G1148">
            <v>991299</v>
          </cell>
          <cell r="H1148">
            <v>2282.02</v>
          </cell>
          <cell r="I1148">
            <v>3136.87</v>
          </cell>
        </row>
        <row r="1149">
          <cell r="G1149">
            <v>991300</v>
          </cell>
          <cell r="H1149">
            <v>28807.279999999999</v>
          </cell>
          <cell r="I1149">
            <v>5859.72</v>
          </cell>
        </row>
        <row r="1150">
          <cell r="G1150">
            <v>991303</v>
          </cell>
          <cell r="H1150">
            <v>53471.03</v>
          </cell>
          <cell r="I1150">
            <v>45594.33</v>
          </cell>
        </row>
        <row r="1151">
          <cell r="G1151">
            <v>991304</v>
          </cell>
          <cell r="H1151">
            <v>40865.360000000001</v>
          </cell>
          <cell r="I1151">
            <v>10887.99</v>
          </cell>
        </row>
        <row r="1152">
          <cell r="G1152">
            <v>991306</v>
          </cell>
          <cell r="H1152">
            <v>12680.64</v>
          </cell>
          <cell r="I1152">
            <v>3013.76</v>
          </cell>
        </row>
        <row r="1153">
          <cell r="G1153">
            <v>991308</v>
          </cell>
          <cell r="H1153">
            <v>3977.29</v>
          </cell>
          <cell r="I1153">
            <v>1703.67</v>
          </cell>
        </row>
        <row r="1154">
          <cell r="G1154">
            <v>991309</v>
          </cell>
          <cell r="H1154">
            <v>70172.98</v>
          </cell>
          <cell r="I1154">
            <v>16667.95</v>
          </cell>
        </row>
        <row r="1155">
          <cell r="G1155">
            <v>991310</v>
          </cell>
          <cell r="H1155">
            <v>417.22</v>
          </cell>
          <cell r="I1155">
            <v>1014.43</v>
          </cell>
        </row>
        <row r="1156">
          <cell r="G1156">
            <v>991311</v>
          </cell>
          <cell r="H1156">
            <v>9704.06</v>
          </cell>
          <cell r="I1156">
            <v>4001.85</v>
          </cell>
        </row>
        <row r="1157">
          <cell r="G1157">
            <v>991312</v>
          </cell>
          <cell r="H1157">
            <v>1610.54</v>
          </cell>
          <cell r="I1157">
            <v>1121.3</v>
          </cell>
        </row>
        <row r="1158">
          <cell r="G1158">
            <v>991313</v>
          </cell>
          <cell r="H1158">
            <v>1419.88</v>
          </cell>
          <cell r="I1158">
            <v>1086.19</v>
          </cell>
        </row>
        <row r="1159">
          <cell r="G1159">
            <v>991314</v>
          </cell>
          <cell r="H1159">
            <v>41087.72</v>
          </cell>
          <cell r="I1159">
            <v>9422.41</v>
          </cell>
        </row>
        <row r="1160">
          <cell r="G1160">
            <v>991315</v>
          </cell>
          <cell r="H1160">
            <v>2133.5100000000002</v>
          </cell>
          <cell r="I1160">
            <v>1183.6300000000001</v>
          </cell>
        </row>
        <row r="1161">
          <cell r="G1161">
            <v>991316</v>
          </cell>
          <cell r="H1161">
            <v>6470.76</v>
          </cell>
          <cell r="I1161">
            <v>4065.54</v>
          </cell>
        </row>
        <row r="1162">
          <cell r="G1162">
            <v>991319</v>
          </cell>
          <cell r="H1162">
            <v>193.38</v>
          </cell>
          <cell r="I1162">
            <v>1460.34</v>
          </cell>
        </row>
        <row r="1163">
          <cell r="G1163">
            <v>991320</v>
          </cell>
          <cell r="H1163">
            <v>60717.39</v>
          </cell>
          <cell r="I1163">
            <v>20519.2</v>
          </cell>
        </row>
        <row r="1164">
          <cell r="G1164">
            <v>991321</v>
          </cell>
          <cell r="H1164">
            <v>2075.0500000000002</v>
          </cell>
          <cell r="I1164">
            <v>1260.51</v>
          </cell>
        </row>
        <row r="1165">
          <cell r="G1165">
            <v>991322</v>
          </cell>
          <cell r="H1165">
            <v>1631.71</v>
          </cell>
          <cell r="I1165">
            <v>1210.19</v>
          </cell>
        </row>
        <row r="1166">
          <cell r="G1166">
            <v>991323</v>
          </cell>
          <cell r="H1166">
            <v>19188.66</v>
          </cell>
          <cell r="I1166">
            <v>4938.84</v>
          </cell>
        </row>
        <row r="1167">
          <cell r="G1167">
            <v>991325</v>
          </cell>
          <cell r="H1167">
            <v>10789.81</v>
          </cell>
          <cell r="I1167">
            <v>2991.06</v>
          </cell>
        </row>
        <row r="1168">
          <cell r="G1168">
            <v>991326</v>
          </cell>
          <cell r="H1168">
            <v>13736.43</v>
          </cell>
          <cell r="I1168">
            <v>11092.89</v>
          </cell>
        </row>
        <row r="1169">
          <cell r="G1169">
            <v>991327</v>
          </cell>
          <cell r="H1169">
            <v>1425.55</v>
          </cell>
          <cell r="I1169">
            <v>2341.7600000000002</v>
          </cell>
        </row>
        <row r="1170">
          <cell r="G1170">
            <v>991328</v>
          </cell>
          <cell r="H1170">
            <v>2349.87</v>
          </cell>
          <cell r="I1170">
            <v>1705.7</v>
          </cell>
        </row>
        <row r="1171">
          <cell r="G1171">
            <v>991329</v>
          </cell>
          <cell r="H1171">
            <v>11368.07</v>
          </cell>
          <cell r="I1171">
            <v>14496.56</v>
          </cell>
        </row>
        <row r="1172">
          <cell r="G1172">
            <v>991330</v>
          </cell>
          <cell r="H1172">
            <v>84154.43</v>
          </cell>
          <cell r="I1172">
            <v>84408.48</v>
          </cell>
        </row>
        <row r="1173">
          <cell r="G1173">
            <v>991331</v>
          </cell>
          <cell r="H1173">
            <v>6553.68</v>
          </cell>
          <cell r="I1173">
            <v>3366.31</v>
          </cell>
        </row>
        <row r="1174">
          <cell r="G1174">
            <v>991332</v>
          </cell>
          <cell r="H1174">
            <v>10227.84</v>
          </cell>
          <cell r="I1174">
            <v>2445.48</v>
          </cell>
        </row>
        <row r="1175">
          <cell r="G1175">
            <v>991333</v>
          </cell>
          <cell r="H1175">
            <v>313.83999999999997</v>
          </cell>
          <cell r="I1175">
            <v>1050.96</v>
          </cell>
        </row>
        <row r="1176">
          <cell r="G1176">
            <v>991334</v>
          </cell>
          <cell r="H1176">
            <v>941.51</v>
          </cell>
          <cell r="I1176">
            <v>1243.2</v>
          </cell>
        </row>
        <row r="1177">
          <cell r="G1177">
            <v>991335</v>
          </cell>
          <cell r="H1177">
            <v>708.32</v>
          </cell>
          <cell r="I1177">
            <v>911.36</v>
          </cell>
        </row>
        <row r="1178">
          <cell r="G1178">
            <v>991336</v>
          </cell>
          <cell r="H1178">
            <v>865.01</v>
          </cell>
          <cell r="I1178">
            <v>910.17</v>
          </cell>
        </row>
        <row r="1179">
          <cell r="G1179">
            <v>991337</v>
          </cell>
          <cell r="H1179">
            <v>7519.59</v>
          </cell>
          <cell r="I1179">
            <v>2399.4499999999998</v>
          </cell>
        </row>
        <row r="1180">
          <cell r="G1180">
            <v>991338</v>
          </cell>
          <cell r="H1180">
            <v>3409.28</v>
          </cell>
          <cell r="I1180">
            <v>1279.04</v>
          </cell>
        </row>
        <row r="1181">
          <cell r="G1181">
            <v>991340</v>
          </cell>
          <cell r="H1181">
            <v>25876.44</v>
          </cell>
          <cell r="I1181">
            <v>4778.41</v>
          </cell>
        </row>
        <row r="1182">
          <cell r="G1182">
            <v>991341</v>
          </cell>
          <cell r="H1182">
            <v>1007.87</v>
          </cell>
          <cell r="I1182">
            <v>920.41</v>
          </cell>
        </row>
        <row r="1183">
          <cell r="G1183">
            <v>991343</v>
          </cell>
          <cell r="H1183">
            <v>14745.45</v>
          </cell>
          <cell r="I1183">
            <v>4875.3900000000003</v>
          </cell>
        </row>
        <row r="1184">
          <cell r="G1184">
            <v>991345</v>
          </cell>
          <cell r="H1184">
            <v>16938.78</v>
          </cell>
          <cell r="I1184">
            <v>6307.24</v>
          </cell>
        </row>
        <row r="1185">
          <cell r="G1185">
            <v>991346</v>
          </cell>
          <cell r="H1185">
            <v>3922.05</v>
          </cell>
          <cell r="I1185">
            <v>1967.27</v>
          </cell>
        </row>
        <row r="1186">
          <cell r="G1186">
            <v>991347</v>
          </cell>
          <cell r="H1186">
            <v>3387.97</v>
          </cell>
          <cell r="I1186">
            <v>1690.68</v>
          </cell>
        </row>
        <row r="1187">
          <cell r="G1187">
            <v>991348</v>
          </cell>
          <cell r="H1187">
            <v>394.16</v>
          </cell>
          <cell r="I1187">
            <v>1010.07</v>
          </cell>
        </row>
        <row r="1188">
          <cell r="G1188">
            <v>991349</v>
          </cell>
          <cell r="H1188">
            <v>15736.87</v>
          </cell>
          <cell r="I1188">
            <v>4792.4799999999996</v>
          </cell>
        </row>
        <row r="1189">
          <cell r="G1189">
            <v>991350</v>
          </cell>
          <cell r="H1189">
            <v>13424.04</v>
          </cell>
          <cell r="I1189">
            <v>3438.66</v>
          </cell>
        </row>
        <row r="1190">
          <cell r="G1190">
            <v>991351</v>
          </cell>
          <cell r="H1190">
            <v>184.34</v>
          </cell>
          <cell r="I1190">
            <v>868.17</v>
          </cell>
        </row>
        <row r="1191">
          <cell r="G1191">
            <v>991352</v>
          </cell>
          <cell r="H1191">
            <v>40576</v>
          </cell>
          <cell r="I1191">
            <v>6871.6</v>
          </cell>
        </row>
        <row r="1192">
          <cell r="G1192">
            <v>991355</v>
          </cell>
          <cell r="H1192">
            <v>553.62</v>
          </cell>
          <cell r="I1192">
            <v>886.19</v>
          </cell>
        </row>
        <row r="1193">
          <cell r="G1193">
            <v>991356</v>
          </cell>
          <cell r="H1193">
            <v>6191.04</v>
          </cell>
          <cell r="I1193">
            <v>2500.11</v>
          </cell>
        </row>
        <row r="1194">
          <cell r="G1194">
            <v>991358</v>
          </cell>
          <cell r="H1194">
            <v>28.14</v>
          </cell>
          <cell r="I1194">
            <v>1041.76</v>
          </cell>
        </row>
        <row r="1195">
          <cell r="G1195">
            <v>991359</v>
          </cell>
          <cell r="H1195">
            <v>3063.05</v>
          </cell>
          <cell r="I1195">
            <v>1528.55</v>
          </cell>
        </row>
        <row r="1196">
          <cell r="G1196">
            <v>991360</v>
          </cell>
          <cell r="H1196">
            <v>27145.34</v>
          </cell>
          <cell r="I1196">
            <v>5087.0600000000004</v>
          </cell>
        </row>
        <row r="1197">
          <cell r="G1197">
            <v>991361</v>
          </cell>
          <cell r="H1197">
            <v>99456.39</v>
          </cell>
          <cell r="I1197">
            <v>17138.48</v>
          </cell>
        </row>
        <row r="1198">
          <cell r="G1198">
            <v>991362</v>
          </cell>
          <cell r="H1198">
            <v>13379.9</v>
          </cell>
          <cell r="I1198">
            <v>2951.19</v>
          </cell>
        </row>
        <row r="1199">
          <cell r="G1199">
            <v>991363</v>
          </cell>
          <cell r="H1199">
            <v>212533.72</v>
          </cell>
          <cell r="I1199">
            <v>37502.720000000001</v>
          </cell>
        </row>
        <row r="1200">
          <cell r="G1200">
            <v>991364</v>
          </cell>
          <cell r="H1200">
            <v>10275.01</v>
          </cell>
          <cell r="I1200">
            <v>3282.75</v>
          </cell>
        </row>
        <row r="1201">
          <cell r="G1201">
            <v>991365</v>
          </cell>
          <cell r="H1201">
            <v>1640.72</v>
          </cell>
          <cell r="I1201">
            <v>1329.43</v>
          </cell>
        </row>
        <row r="1202">
          <cell r="G1202">
            <v>991366</v>
          </cell>
          <cell r="H1202">
            <v>12699.76</v>
          </cell>
          <cell r="I1202">
            <v>5202.2</v>
          </cell>
        </row>
        <row r="1203">
          <cell r="G1203">
            <v>991367</v>
          </cell>
          <cell r="H1203">
            <v>1894.16</v>
          </cell>
          <cell r="I1203">
            <v>1191.8699999999999</v>
          </cell>
        </row>
        <row r="1204">
          <cell r="G1204">
            <v>991371</v>
          </cell>
          <cell r="H1204">
            <v>1625.28</v>
          </cell>
          <cell r="I1204">
            <v>1025.6099999999999</v>
          </cell>
        </row>
        <row r="1205">
          <cell r="G1205">
            <v>991372</v>
          </cell>
          <cell r="H1205">
            <v>1654.57</v>
          </cell>
          <cell r="I1205">
            <v>1275.78</v>
          </cell>
        </row>
        <row r="1206">
          <cell r="G1206">
            <v>991374</v>
          </cell>
          <cell r="H1206">
            <v>104486.34</v>
          </cell>
          <cell r="I1206">
            <v>35916.57</v>
          </cell>
        </row>
        <row r="1207">
          <cell r="G1207">
            <v>991375</v>
          </cell>
          <cell r="H1207">
            <v>50149.03</v>
          </cell>
          <cell r="I1207">
            <v>28211.45</v>
          </cell>
        </row>
        <row r="1208">
          <cell r="G1208">
            <v>991376</v>
          </cell>
          <cell r="H1208">
            <v>15472.48</v>
          </cell>
          <cell r="I1208">
            <v>13037.46</v>
          </cell>
        </row>
        <row r="1209">
          <cell r="G1209">
            <v>991377</v>
          </cell>
          <cell r="H1209">
            <v>25074.51</v>
          </cell>
          <cell r="I1209">
            <v>14447.06</v>
          </cell>
        </row>
        <row r="1210">
          <cell r="G1210">
            <v>991378</v>
          </cell>
          <cell r="H1210">
            <v>44487</v>
          </cell>
          <cell r="I1210">
            <v>26850.69</v>
          </cell>
        </row>
        <row r="1211">
          <cell r="G1211">
            <v>991379</v>
          </cell>
          <cell r="H1211">
            <v>12991.17</v>
          </cell>
          <cell r="I1211">
            <v>7623.28</v>
          </cell>
        </row>
        <row r="1212">
          <cell r="G1212">
            <v>991380</v>
          </cell>
          <cell r="H1212">
            <v>5717.98</v>
          </cell>
          <cell r="I1212">
            <v>1979.35</v>
          </cell>
        </row>
        <row r="1213">
          <cell r="G1213">
            <v>991381</v>
          </cell>
          <cell r="H1213">
            <v>618.04999999999995</v>
          </cell>
          <cell r="I1213">
            <v>915.56</v>
          </cell>
        </row>
        <row r="1214">
          <cell r="G1214">
            <v>991382</v>
          </cell>
          <cell r="H1214">
            <v>71400.800000000003</v>
          </cell>
          <cell r="I1214">
            <v>14491.86</v>
          </cell>
        </row>
        <row r="1215">
          <cell r="G1215">
            <v>991383</v>
          </cell>
          <cell r="H1215">
            <v>1692.27</v>
          </cell>
          <cell r="I1215">
            <v>1043.51</v>
          </cell>
        </row>
        <row r="1216">
          <cell r="G1216">
            <v>991386</v>
          </cell>
          <cell r="H1216">
            <v>6306.6</v>
          </cell>
          <cell r="I1216">
            <v>1877.48</v>
          </cell>
        </row>
        <row r="1217">
          <cell r="G1217">
            <v>991387</v>
          </cell>
          <cell r="H1217">
            <v>2614.5</v>
          </cell>
          <cell r="I1217">
            <v>2067.77</v>
          </cell>
        </row>
        <row r="1218">
          <cell r="G1218">
            <v>991388</v>
          </cell>
          <cell r="H1218">
            <v>1336.79</v>
          </cell>
          <cell r="I1218">
            <v>1148.8800000000001</v>
          </cell>
        </row>
        <row r="1219">
          <cell r="G1219">
            <v>991389</v>
          </cell>
          <cell r="H1219">
            <v>9202.59</v>
          </cell>
          <cell r="I1219">
            <v>2192.71</v>
          </cell>
        </row>
        <row r="1220">
          <cell r="G1220">
            <v>991391</v>
          </cell>
          <cell r="H1220">
            <v>11330.86</v>
          </cell>
          <cell r="I1220">
            <v>2645.95</v>
          </cell>
        </row>
        <row r="1221">
          <cell r="G1221">
            <v>991393</v>
          </cell>
          <cell r="H1221">
            <v>63108.959999999999</v>
          </cell>
          <cell r="I1221">
            <v>14086.17</v>
          </cell>
        </row>
        <row r="1222">
          <cell r="G1222">
            <v>991394</v>
          </cell>
          <cell r="H1222">
            <v>5446.25</v>
          </cell>
          <cell r="I1222">
            <v>2162.61</v>
          </cell>
        </row>
        <row r="1223">
          <cell r="G1223">
            <v>991395</v>
          </cell>
          <cell r="H1223">
            <v>6813.92</v>
          </cell>
          <cell r="I1223">
            <v>2400.64</v>
          </cell>
        </row>
        <row r="1224">
          <cell r="G1224">
            <v>991396</v>
          </cell>
          <cell r="H1224">
            <v>1387.41</v>
          </cell>
          <cell r="I1224">
            <v>1188.4000000000001</v>
          </cell>
        </row>
        <row r="1225">
          <cell r="G1225">
            <v>991397</v>
          </cell>
          <cell r="H1225">
            <v>390.02</v>
          </cell>
          <cell r="I1225">
            <v>737.22</v>
          </cell>
        </row>
        <row r="1226">
          <cell r="G1226">
            <v>991399</v>
          </cell>
          <cell r="H1226">
            <v>7715.46</v>
          </cell>
          <cell r="I1226">
            <v>3678.41</v>
          </cell>
        </row>
        <row r="1227">
          <cell r="G1227">
            <v>991401</v>
          </cell>
          <cell r="H1227">
            <v>1398.9</v>
          </cell>
          <cell r="I1227">
            <v>1202.3499999999999</v>
          </cell>
        </row>
        <row r="1228">
          <cell r="G1228">
            <v>991402</v>
          </cell>
          <cell r="H1228">
            <v>8256.0300000000007</v>
          </cell>
          <cell r="I1228">
            <v>2217.44</v>
          </cell>
        </row>
        <row r="1229">
          <cell r="G1229">
            <v>991403</v>
          </cell>
          <cell r="H1229">
            <v>2717.28</v>
          </cell>
          <cell r="I1229">
            <v>1333.65</v>
          </cell>
        </row>
        <row r="1230">
          <cell r="G1230">
            <v>991404</v>
          </cell>
          <cell r="H1230">
            <v>16832.66</v>
          </cell>
          <cell r="I1230">
            <v>6210.11</v>
          </cell>
        </row>
        <row r="1231">
          <cell r="G1231">
            <v>991405</v>
          </cell>
          <cell r="H1231">
            <v>7719.12</v>
          </cell>
          <cell r="I1231">
            <v>10606.81</v>
          </cell>
        </row>
        <row r="1232">
          <cell r="G1232">
            <v>991406</v>
          </cell>
          <cell r="H1232">
            <v>41281.550000000003</v>
          </cell>
          <cell r="I1232">
            <v>27020.54</v>
          </cell>
        </row>
        <row r="1233">
          <cell r="G1233">
            <v>991408</v>
          </cell>
          <cell r="H1233">
            <v>5253.41</v>
          </cell>
          <cell r="I1233">
            <v>2141.36</v>
          </cell>
        </row>
        <row r="1234">
          <cell r="G1234">
            <v>991410</v>
          </cell>
          <cell r="H1234">
            <v>14533.66</v>
          </cell>
          <cell r="I1234">
            <v>4074.64</v>
          </cell>
        </row>
        <row r="1235">
          <cell r="G1235">
            <v>991411</v>
          </cell>
          <cell r="H1235">
            <v>1121.29</v>
          </cell>
          <cell r="I1235">
            <v>1093.06</v>
          </cell>
        </row>
        <row r="1236">
          <cell r="G1236">
            <v>991413</v>
          </cell>
          <cell r="H1236">
            <v>18583.91</v>
          </cell>
          <cell r="I1236">
            <v>4034.42</v>
          </cell>
        </row>
        <row r="1237">
          <cell r="G1237">
            <v>991414</v>
          </cell>
          <cell r="H1237">
            <v>13313.71</v>
          </cell>
          <cell r="I1237">
            <v>3145.3</v>
          </cell>
        </row>
        <row r="1238">
          <cell r="G1238">
            <v>991415</v>
          </cell>
          <cell r="H1238">
            <v>207.34</v>
          </cell>
          <cell r="I1238">
            <v>853.84</v>
          </cell>
        </row>
        <row r="1239">
          <cell r="G1239">
            <v>991416</v>
          </cell>
          <cell r="H1239">
            <v>565.28</v>
          </cell>
          <cell r="I1239">
            <v>873.05</v>
          </cell>
        </row>
        <row r="1240">
          <cell r="G1240">
            <v>991417</v>
          </cell>
          <cell r="H1240">
            <v>500.74</v>
          </cell>
          <cell r="I1240">
            <v>893.76</v>
          </cell>
        </row>
        <row r="1241">
          <cell r="G1241">
            <v>991418</v>
          </cell>
          <cell r="H1241">
            <v>43690.36</v>
          </cell>
          <cell r="I1241">
            <v>8730.94</v>
          </cell>
        </row>
        <row r="1242">
          <cell r="G1242">
            <v>991420</v>
          </cell>
          <cell r="H1242">
            <v>159.29</v>
          </cell>
          <cell r="I1242">
            <v>960.38</v>
          </cell>
        </row>
        <row r="1243">
          <cell r="G1243">
            <v>991422</v>
          </cell>
          <cell r="H1243">
            <v>151.19999999999999</v>
          </cell>
          <cell r="I1243">
            <v>1116.54</v>
          </cell>
        </row>
        <row r="1244">
          <cell r="G1244">
            <v>991423</v>
          </cell>
          <cell r="H1244">
            <v>5973.02</v>
          </cell>
          <cell r="I1244">
            <v>2160.69</v>
          </cell>
        </row>
        <row r="1245">
          <cell r="G1245">
            <v>991424</v>
          </cell>
          <cell r="H1245">
            <v>12457.75</v>
          </cell>
          <cell r="I1245">
            <v>4492.34</v>
          </cell>
        </row>
        <row r="1246">
          <cell r="G1246">
            <v>991425</v>
          </cell>
          <cell r="H1246">
            <v>1674.46</v>
          </cell>
          <cell r="I1246">
            <v>1127.55</v>
          </cell>
        </row>
        <row r="1247">
          <cell r="G1247">
            <v>991426</v>
          </cell>
          <cell r="H1247">
            <v>83786.820000000007</v>
          </cell>
          <cell r="I1247">
            <v>21465.040000000001</v>
          </cell>
        </row>
        <row r="1248">
          <cell r="G1248">
            <v>991429</v>
          </cell>
          <cell r="H1248">
            <v>8479.92</v>
          </cell>
          <cell r="I1248">
            <v>2188.19</v>
          </cell>
        </row>
        <row r="1249">
          <cell r="G1249">
            <v>991430</v>
          </cell>
          <cell r="H1249">
            <v>41920.449999999997</v>
          </cell>
          <cell r="I1249">
            <v>7253.93</v>
          </cell>
        </row>
        <row r="1250">
          <cell r="G1250">
            <v>991432</v>
          </cell>
          <cell r="H1250">
            <v>15997.04</v>
          </cell>
          <cell r="I1250">
            <v>5591.87</v>
          </cell>
        </row>
        <row r="1251">
          <cell r="G1251">
            <v>991434</v>
          </cell>
          <cell r="H1251">
            <v>1948.23</v>
          </cell>
          <cell r="I1251">
            <v>1100.1500000000001</v>
          </cell>
        </row>
        <row r="1252">
          <cell r="G1252">
            <v>991435</v>
          </cell>
          <cell r="H1252">
            <v>73553.63</v>
          </cell>
          <cell r="I1252">
            <v>12988.67</v>
          </cell>
        </row>
        <row r="1253">
          <cell r="G1253">
            <v>991437</v>
          </cell>
          <cell r="H1253">
            <v>845.14</v>
          </cell>
          <cell r="I1253">
            <v>1014.63</v>
          </cell>
        </row>
        <row r="1254">
          <cell r="G1254">
            <v>991439</v>
          </cell>
          <cell r="H1254">
            <v>420.23</v>
          </cell>
          <cell r="I1254">
            <v>951.33</v>
          </cell>
        </row>
        <row r="1255">
          <cell r="G1255">
            <v>991440</v>
          </cell>
          <cell r="H1255">
            <v>3887.13</v>
          </cell>
          <cell r="I1255">
            <v>1513.73</v>
          </cell>
        </row>
        <row r="1256">
          <cell r="G1256">
            <v>991441</v>
          </cell>
          <cell r="H1256">
            <v>1371.68</v>
          </cell>
          <cell r="I1256">
            <v>1050.52</v>
          </cell>
        </row>
        <row r="1257">
          <cell r="G1257">
            <v>991445</v>
          </cell>
          <cell r="H1257">
            <v>18737.96</v>
          </cell>
          <cell r="I1257">
            <v>3913.75</v>
          </cell>
        </row>
        <row r="1258">
          <cell r="G1258">
            <v>991446</v>
          </cell>
          <cell r="H1258">
            <v>1255.8399999999999</v>
          </cell>
          <cell r="I1258">
            <v>993.35</v>
          </cell>
        </row>
        <row r="1259">
          <cell r="G1259">
            <v>991447</v>
          </cell>
          <cell r="H1259">
            <v>2861.53</v>
          </cell>
          <cell r="I1259">
            <v>1229.05</v>
          </cell>
        </row>
        <row r="1260">
          <cell r="G1260">
            <v>991449</v>
          </cell>
          <cell r="H1260">
            <v>3229.31</v>
          </cell>
          <cell r="I1260">
            <v>1319.41</v>
          </cell>
        </row>
        <row r="1261">
          <cell r="G1261">
            <v>991451</v>
          </cell>
          <cell r="H1261">
            <v>36788.1</v>
          </cell>
          <cell r="I1261">
            <v>13275.28</v>
          </cell>
        </row>
        <row r="1262">
          <cell r="G1262">
            <v>991453</v>
          </cell>
          <cell r="H1262">
            <v>344.15</v>
          </cell>
          <cell r="I1262">
            <v>986.65</v>
          </cell>
        </row>
        <row r="1263">
          <cell r="G1263">
            <v>991454</v>
          </cell>
          <cell r="H1263">
            <v>5882.29</v>
          </cell>
          <cell r="I1263">
            <v>4228.1899999999996</v>
          </cell>
        </row>
        <row r="1264">
          <cell r="G1264">
            <v>991455</v>
          </cell>
          <cell r="H1264">
            <v>9886.26</v>
          </cell>
          <cell r="I1264">
            <v>2535.5500000000002</v>
          </cell>
        </row>
        <row r="1265">
          <cell r="G1265">
            <v>991456</v>
          </cell>
          <cell r="H1265">
            <v>16614.72</v>
          </cell>
          <cell r="I1265">
            <v>4331.82</v>
          </cell>
        </row>
        <row r="1266">
          <cell r="G1266">
            <v>991457</v>
          </cell>
          <cell r="H1266">
            <v>47.94</v>
          </cell>
          <cell r="I1266">
            <v>843.34</v>
          </cell>
        </row>
        <row r="1267">
          <cell r="G1267">
            <v>991458</v>
          </cell>
          <cell r="H1267">
            <v>5194.37</v>
          </cell>
          <cell r="I1267">
            <v>1407.75</v>
          </cell>
        </row>
        <row r="1268">
          <cell r="G1268">
            <v>991459</v>
          </cell>
          <cell r="H1268">
            <v>16484.310000000001</v>
          </cell>
          <cell r="I1268">
            <v>4600.8100000000004</v>
          </cell>
        </row>
        <row r="1269">
          <cell r="G1269">
            <v>991460</v>
          </cell>
          <cell r="H1269">
            <v>9443</v>
          </cell>
          <cell r="I1269">
            <v>3085.99</v>
          </cell>
        </row>
        <row r="1270">
          <cell r="G1270">
            <v>991464</v>
          </cell>
          <cell r="H1270">
            <v>3872.62</v>
          </cell>
          <cell r="I1270">
            <v>1900.85</v>
          </cell>
        </row>
        <row r="1271">
          <cell r="G1271">
            <v>991466</v>
          </cell>
          <cell r="H1271">
            <v>8599.86</v>
          </cell>
          <cell r="I1271">
            <v>4547.32</v>
          </cell>
        </row>
        <row r="1272">
          <cell r="G1272">
            <v>991468</v>
          </cell>
          <cell r="H1272">
            <v>292.20999999999998</v>
          </cell>
          <cell r="I1272">
            <v>840.22</v>
          </cell>
        </row>
        <row r="1273">
          <cell r="G1273">
            <v>991469</v>
          </cell>
          <cell r="H1273">
            <v>3736.25</v>
          </cell>
          <cell r="I1273">
            <v>1694.93</v>
          </cell>
        </row>
        <row r="1274">
          <cell r="G1274">
            <v>991470</v>
          </cell>
          <cell r="H1274">
            <v>1478.1</v>
          </cell>
          <cell r="I1274">
            <v>1227.3</v>
          </cell>
        </row>
        <row r="1275">
          <cell r="G1275">
            <v>991471</v>
          </cell>
          <cell r="H1275">
            <v>85783.1</v>
          </cell>
          <cell r="I1275">
            <v>6428.23</v>
          </cell>
        </row>
        <row r="1276">
          <cell r="G1276">
            <v>991472</v>
          </cell>
          <cell r="H1276">
            <v>4888.6899999999996</v>
          </cell>
          <cell r="I1276">
            <v>2891.41</v>
          </cell>
        </row>
        <row r="1277">
          <cell r="G1277">
            <v>991473</v>
          </cell>
          <cell r="H1277">
            <v>36283.26</v>
          </cell>
          <cell r="I1277">
            <v>6487.72</v>
          </cell>
        </row>
        <row r="1278">
          <cell r="G1278">
            <v>991474</v>
          </cell>
          <cell r="H1278">
            <v>1495.05</v>
          </cell>
          <cell r="I1278">
            <v>1258.83</v>
          </cell>
        </row>
        <row r="1279">
          <cell r="G1279">
            <v>991477</v>
          </cell>
          <cell r="H1279">
            <v>2424.46</v>
          </cell>
          <cell r="I1279">
            <v>1147.4000000000001</v>
          </cell>
        </row>
        <row r="1280">
          <cell r="G1280">
            <v>991478</v>
          </cell>
          <cell r="H1280">
            <v>9619.99</v>
          </cell>
          <cell r="I1280">
            <v>3110.71</v>
          </cell>
        </row>
        <row r="1281">
          <cell r="G1281">
            <v>991479</v>
          </cell>
          <cell r="H1281">
            <v>4709.07</v>
          </cell>
          <cell r="I1281">
            <v>1461.44</v>
          </cell>
        </row>
        <row r="1282">
          <cell r="G1282">
            <v>991481</v>
          </cell>
          <cell r="H1282">
            <v>2705.88</v>
          </cell>
          <cell r="I1282">
            <v>1298.26</v>
          </cell>
        </row>
        <row r="1283">
          <cell r="G1283">
            <v>991482</v>
          </cell>
          <cell r="H1283">
            <v>4574.8500000000004</v>
          </cell>
          <cell r="I1283">
            <v>1540.04</v>
          </cell>
        </row>
        <row r="1284">
          <cell r="G1284">
            <v>991483</v>
          </cell>
          <cell r="H1284">
            <v>568.12</v>
          </cell>
          <cell r="I1284">
            <v>856.71</v>
          </cell>
        </row>
        <row r="1285">
          <cell r="G1285">
            <v>991486</v>
          </cell>
          <cell r="H1285">
            <v>9604.58</v>
          </cell>
          <cell r="I1285">
            <v>5037.8</v>
          </cell>
        </row>
        <row r="1286">
          <cell r="G1286">
            <v>991488</v>
          </cell>
          <cell r="H1286">
            <v>2184.59</v>
          </cell>
          <cell r="I1286">
            <v>1205.94</v>
          </cell>
        </row>
        <row r="1287">
          <cell r="G1287">
            <v>991490</v>
          </cell>
          <cell r="H1287">
            <v>9146.8799999999992</v>
          </cell>
          <cell r="I1287">
            <v>2378.41</v>
          </cell>
        </row>
        <row r="1288">
          <cell r="G1288">
            <v>991493</v>
          </cell>
          <cell r="H1288">
            <v>10116.51</v>
          </cell>
          <cell r="I1288">
            <v>4784.33</v>
          </cell>
        </row>
        <row r="1289">
          <cell r="G1289">
            <v>991494</v>
          </cell>
          <cell r="H1289">
            <v>867.05</v>
          </cell>
          <cell r="I1289">
            <v>1064.3699999999999</v>
          </cell>
        </row>
        <row r="1290">
          <cell r="G1290">
            <v>991495</v>
          </cell>
          <cell r="H1290">
            <v>4354.3</v>
          </cell>
          <cell r="I1290">
            <v>1264.07</v>
          </cell>
        </row>
        <row r="1291">
          <cell r="G1291">
            <v>991498</v>
          </cell>
          <cell r="H1291">
            <v>80606.880000000005</v>
          </cell>
          <cell r="I1291">
            <v>14063.02</v>
          </cell>
        </row>
        <row r="1292">
          <cell r="G1292">
            <v>991499</v>
          </cell>
          <cell r="H1292">
            <v>3683.8</v>
          </cell>
          <cell r="I1292">
            <v>1894.83</v>
          </cell>
        </row>
        <row r="1293">
          <cell r="G1293">
            <v>991500</v>
          </cell>
          <cell r="H1293">
            <v>6097.92</v>
          </cell>
          <cell r="I1293">
            <v>3811.82</v>
          </cell>
        </row>
        <row r="1294">
          <cell r="G1294">
            <v>991501</v>
          </cell>
          <cell r="H1294">
            <v>1612.14</v>
          </cell>
          <cell r="I1294">
            <v>2041.77</v>
          </cell>
        </row>
        <row r="1295">
          <cell r="G1295">
            <v>991502</v>
          </cell>
          <cell r="H1295">
            <v>1093.81</v>
          </cell>
          <cell r="I1295">
            <v>1047.19</v>
          </cell>
        </row>
        <row r="1296">
          <cell r="G1296">
            <v>991503</v>
          </cell>
          <cell r="H1296">
            <v>10271.18</v>
          </cell>
          <cell r="I1296">
            <v>2572.5300000000002</v>
          </cell>
        </row>
        <row r="1297">
          <cell r="G1297">
            <v>991506</v>
          </cell>
          <cell r="H1297">
            <v>5082.1400000000003</v>
          </cell>
          <cell r="I1297">
            <v>3210.54</v>
          </cell>
        </row>
        <row r="1298">
          <cell r="G1298">
            <v>991507</v>
          </cell>
          <cell r="H1298">
            <v>10282.700000000001</v>
          </cell>
          <cell r="I1298">
            <v>3738.49</v>
          </cell>
        </row>
        <row r="1299">
          <cell r="G1299">
            <v>991508</v>
          </cell>
          <cell r="H1299">
            <v>392.31</v>
          </cell>
          <cell r="I1299">
            <v>952.43</v>
          </cell>
        </row>
        <row r="1300">
          <cell r="G1300">
            <v>991510</v>
          </cell>
          <cell r="H1300">
            <v>1888.95</v>
          </cell>
          <cell r="I1300">
            <v>2082.39</v>
          </cell>
        </row>
        <row r="1301">
          <cell r="G1301">
            <v>991511</v>
          </cell>
          <cell r="H1301">
            <v>14540.29</v>
          </cell>
          <cell r="I1301">
            <v>5476.18</v>
          </cell>
        </row>
        <row r="1302">
          <cell r="G1302">
            <v>991512</v>
          </cell>
          <cell r="H1302">
            <v>3619.24</v>
          </cell>
          <cell r="I1302">
            <v>1345.96</v>
          </cell>
        </row>
        <row r="1303">
          <cell r="G1303">
            <v>991513</v>
          </cell>
          <cell r="H1303">
            <v>10813.81</v>
          </cell>
          <cell r="I1303">
            <v>4433.7</v>
          </cell>
        </row>
        <row r="1304">
          <cell r="G1304">
            <v>991514</v>
          </cell>
          <cell r="H1304">
            <v>2712.62</v>
          </cell>
          <cell r="I1304">
            <v>2204.6999999999998</v>
          </cell>
        </row>
        <row r="1305">
          <cell r="G1305">
            <v>991515</v>
          </cell>
          <cell r="H1305">
            <v>1794.06</v>
          </cell>
          <cell r="I1305">
            <v>1257.51</v>
          </cell>
        </row>
        <row r="1306">
          <cell r="G1306">
            <v>991517</v>
          </cell>
          <cell r="H1306">
            <v>14522.33</v>
          </cell>
          <cell r="I1306">
            <v>3272.7</v>
          </cell>
        </row>
        <row r="1307">
          <cell r="G1307">
            <v>991544</v>
          </cell>
          <cell r="H1307">
            <v>1961.78</v>
          </cell>
          <cell r="I1307">
            <v>2044.08</v>
          </cell>
        </row>
        <row r="1308">
          <cell r="G1308">
            <v>991545</v>
          </cell>
          <cell r="H1308">
            <v>6644.53</v>
          </cell>
          <cell r="I1308">
            <v>3337.45</v>
          </cell>
        </row>
        <row r="1309">
          <cell r="G1309">
            <v>991546</v>
          </cell>
          <cell r="H1309">
            <v>8383.9500000000007</v>
          </cell>
          <cell r="I1309">
            <v>2357.73</v>
          </cell>
        </row>
        <row r="1310">
          <cell r="G1310">
            <v>991547</v>
          </cell>
          <cell r="H1310">
            <v>11700.27</v>
          </cell>
          <cell r="I1310">
            <v>2967.87</v>
          </cell>
        </row>
        <row r="1311">
          <cell r="G1311">
            <v>991548</v>
          </cell>
          <cell r="H1311">
            <v>20524.84</v>
          </cell>
          <cell r="I1311">
            <v>3614.42</v>
          </cell>
        </row>
        <row r="1312">
          <cell r="G1312">
            <v>991549</v>
          </cell>
          <cell r="H1312">
            <v>15825.17</v>
          </cell>
          <cell r="I1312">
            <v>3661.92</v>
          </cell>
        </row>
        <row r="1313">
          <cell r="G1313">
            <v>991550</v>
          </cell>
          <cell r="H1313">
            <v>4545.96</v>
          </cell>
          <cell r="I1313">
            <v>1632.9</v>
          </cell>
        </row>
        <row r="1314">
          <cell r="G1314">
            <v>991553</v>
          </cell>
          <cell r="H1314">
            <v>19238.37</v>
          </cell>
          <cell r="I1314">
            <v>5413.8</v>
          </cell>
        </row>
        <row r="1315">
          <cell r="G1315">
            <v>991554</v>
          </cell>
          <cell r="H1315">
            <v>3298.25</v>
          </cell>
          <cell r="I1315">
            <v>1421.55</v>
          </cell>
        </row>
        <row r="1316">
          <cell r="G1316">
            <v>991556</v>
          </cell>
          <cell r="H1316">
            <v>5321.16</v>
          </cell>
          <cell r="I1316">
            <v>1433.45</v>
          </cell>
        </row>
        <row r="1317">
          <cell r="G1317">
            <v>991558</v>
          </cell>
          <cell r="H1317">
            <v>12056.08</v>
          </cell>
          <cell r="I1317">
            <v>7328.45</v>
          </cell>
        </row>
        <row r="1318">
          <cell r="G1318">
            <v>991561</v>
          </cell>
          <cell r="H1318">
            <v>7744.36</v>
          </cell>
          <cell r="I1318">
            <v>2046.73</v>
          </cell>
        </row>
        <row r="1319">
          <cell r="G1319">
            <v>991563</v>
          </cell>
          <cell r="H1319">
            <v>2225.9</v>
          </cell>
          <cell r="I1319">
            <v>1308.01</v>
          </cell>
        </row>
        <row r="1320">
          <cell r="G1320">
            <v>991564</v>
          </cell>
          <cell r="H1320">
            <v>1576.58</v>
          </cell>
          <cell r="I1320">
            <v>1348.06</v>
          </cell>
        </row>
        <row r="1321">
          <cell r="G1321">
            <v>991565</v>
          </cell>
          <cell r="H1321">
            <v>786.06</v>
          </cell>
          <cell r="I1321">
            <v>804.58</v>
          </cell>
        </row>
        <row r="1322">
          <cell r="G1322">
            <v>991567</v>
          </cell>
          <cell r="H1322">
            <v>3112.12</v>
          </cell>
          <cell r="I1322">
            <v>1055.26</v>
          </cell>
        </row>
        <row r="1323">
          <cell r="G1323">
            <v>991568</v>
          </cell>
          <cell r="H1323">
            <v>3615.92</v>
          </cell>
          <cell r="I1323">
            <v>1459.8</v>
          </cell>
        </row>
        <row r="1324">
          <cell r="G1324">
            <v>991569</v>
          </cell>
          <cell r="H1324">
            <v>12510.14</v>
          </cell>
          <cell r="I1324">
            <v>3071.16</v>
          </cell>
        </row>
        <row r="1325">
          <cell r="G1325">
            <v>991573</v>
          </cell>
          <cell r="H1325">
            <v>1886.94</v>
          </cell>
          <cell r="I1325">
            <v>8088.4</v>
          </cell>
        </row>
        <row r="1326">
          <cell r="G1326">
            <v>991574</v>
          </cell>
          <cell r="H1326">
            <v>3211.12</v>
          </cell>
          <cell r="I1326">
            <v>2529.5</v>
          </cell>
        </row>
        <row r="1327">
          <cell r="G1327">
            <v>991575</v>
          </cell>
          <cell r="H1327">
            <v>15695.01</v>
          </cell>
          <cell r="I1327">
            <v>5249.39</v>
          </cell>
        </row>
        <row r="1328">
          <cell r="G1328">
            <v>991576</v>
          </cell>
          <cell r="H1328">
            <v>6574.4</v>
          </cell>
          <cell r="I1328">
            <v>2639.31</v>
          </cell>
        </row>
        <row r="1329">
          <cell r="G1329">
            <v>991577</v>
          </cell>
          <cell r="H1329">
            <v>9747.4699999999993</v>
          </cell>
          <cell r="I1329">
            <v>5093.16</v>
          </cell>
        </row>
        <row r="1330">
          <cell r="G1330">
            <v>991579</v>
          </cell>
          <cell r="H1330">
            <v>2997.93</v>
          </cell>
          <cell r="I1330">
            <v>1714.82</v>
          </cell>
        </row>
        <row r="1331">
          <cell r="G1331">
            <v>991580</v>
          </cell>
          <cell r="H1331">
            <v>1055.53</v>
          </cell>
          <cell r="I1331">
            <v>1289.49</v>
          </cell>
        </row>
        <row r="1332">
          <cell r="G1332">
            <v>991582</v>
          </cell>
          <cell r="H1332">
            <v>5405.1</v>
          </cell>
          <cell r="I1332">
            <v>2083.4299999999998</v>
          </cell>
        </row>
        <row r="1333">
          <cell r="G1333">
            <v>991583</v>
          </cell>
          <cell r="H1333">
            <v>8117</v>
          </cell>
          <cell r="I1333">
            <v>2245.5</v>
          </cell>
        </row>
        <row r="1334">
          <cell r="G1334">
            <v>991584</v>
          </cell>
          <cell r="H1334">
            <v>8624.5</v>
          </cell>
          <cell r="I1334">
            <v>3074.28</v>
          </cell>
        </row>
        <row r="1335">
          <cell r="G1335">
            <v>991585</v>
          </cell>
          <cell r="H1335">
            <v>13716.72</v>
          </cell>
          <cell r="I1335">
            <v>3291.06</v>
          </cell>
        </row>
        <row r="1336">
          <cell r="G1336">
            <v>991586</v>
          </cell>
          <cell r="H1336">
            <v>825.98</v>
          </cell>
          <cell r="I1336">
            <v>3333.01</v>
          </cell>
        </row>
        <row r="1337">
          <cell r="G1337">
            <v>991587</v>
          </cell>
          <cell r="H1337">
            <v>14002.5</v>
          </cell>
          <cell r="I1337">
            <v>3289.35</v>
          </cell>
        </row>
        <row r="1338">
          <cell r="G1338">
            <v>991592</v>
          </cell>
          <cell r="H1338">
            <v>13900.9</v>
          </cell>
          <cell r="I1338">
            <v>4652.51</v>
          </cell>
        </row>
        <row r="1339">
          <cell r="G1339">
            <v>991593</v>
          </cell>
          <cell r="H1339">
            <v>9895.91</v>
          </cell>
          <cell r="I1339">
            <v>3059.8</v>
          </cell>
        </row>
        <row r="1340">
          <cell r="G1340">
            <v>991594</v>
          </cell>
          <cell r="H1340">
            <v>522.70000000000005</v>
          </cell>
          <cell r="I1340">
            <v>979.93</v>
          </cell>
        </row>
        <row r="1341">
          <cell r="G1341">
            <v>991596</v>
          </cell>
          <cell r="H1341">
            <v>5440.98</v>
          </cell>
          <cell r="I1341">
            <v>5517.78</v>
          </cell>
        </row>
        <row r="1342">
          <cell r="G1342">
            <v>991599</v>
          </cell>
          <cell r="H1342">
            <v>1089372.78</v>
          </cell>
          <cell r="I1342">
            <v>232571.98</v>
          </cell>
        </row>
        <row r="1343">
          <cell r="G1343">
            <v>991600</v>
          </cell>
          <cell r="H1343">
            <v>4380.43</v>
          </cell>
          <cell r="I1343">
            <v>2033.66</v>
          </cell>
        </row>
        <row r="1344">
          <cell r="G1344">
            <v>991603</v>
          </cell>
          <cell r="H1344">
            <v>7501.33</v>
          </cell>
          <cell r="I1344">
            <v>2239.59</v>
          </cell>
        </row>
        <row r="1345">
          <cell r="G1345">
            <v>991606</v>
          </cell>
          <cell r="H1345">
            <v>12005.28</v>
          </cell>
          <cell r="I1345">
            <v>3009.66</v>
          </cell>
        </row>
        <row r="1346">
          <cell r="G1346">
            <v>991607</v>
          </cell>
          <cell r="H1346">
            <v>5762.53</v>
          </cell>
          <cell r="I1346">
            <v>4161.46</v>
          </cell>
        </row>
        <row r="1347">
          <cell r="G1347">
            <v>991608</v>
          </cell>
          <cell r="H1347">
            <v>19859.23</v>
          </cell>
          <cell r="I1347">
            <v>5236.96</v>
          </cell>
        </row>
        <row r="1348">
          <cell r="G1348">
            <v>991609</v>
          </cell>
          <cell r="H1348">
            <v>671.84</v>
          </cell>
          <cell r="I1348">
            <v>957.39</v>
          </cell>
        </row>
        <row r="1349">
          <cell r="G1349">
            <v>991610</v>
          </cell>
          <cell r="H1349">
            <v>1805.82</v>
          </cell>
          <cell r="I1349">
            <v>1319.35</v>
          </cell>
        </row>
        <row r="1350">
          <cell r="G1350">
            <v>991612</v>
          </cell>
          <cell r="H1350">
            <v>10140.950000000001</v>
          </cell>
          <cell r="I1350">
            <v>3160.27</v>
          </cell>
        </row>
        <row r="1351">
          <cell r="G1351">
            <v>991625</v>
          </cell>
          <cell r="H1351">
            <v>15268.42</v>
          </cell>
          <cell r="I1351">
            <v>3522.29</v>
          </cell>
        </row>
        <row r="1352">
          <cell r="G1352">
            <v>991626</v>
          </cell>
          <cell r="H1352">
            <v>1924.84</v>
          </cell>
          <cell r="I1352">
            <v>2118.4299999999998</v>
          </cell>
        </row>
        <row r="1353">
          <cell r="G1353">
            <v>991627</v>
          </cell>
          <cell r="H1353">
            <v>1627.15</v>
          </cell>
          <cell r="I1353">
            <v>1401.95</v>
          </cell>
        </row>
        <row r="1354">
          <cell r="G1354">
            <v>991628</v>
          </cell>
          <cell r="H1354">
            <v>29128.87</v>
          </cell>
          <cell r="I1354">
            <v>8533.7099999999991</v>
          </cell>
        </row>
        <row r="1355">
          <cell r="G1355">
            <v>991629</v>
          </cell>
          <cell r="H1355">
            <v>85956.61</v>
          </cell>
          <cell r="I1355">
            <v>17290.03</v>
          </cell>
        </row>
        <row r="1356">
          <cell r="G1356">
            <v>991630</v>
          </cell>
          <cell r="H1356">
            <v>3515.38</v>
          </cell>
          <cell r="I1356">
            <v>1817.07</v>
          </cell>
        </row>
        <row r="1357">
          <cell r="G1357">
            <v>991631</v>
          </cell>
          <cell r="H1357">
            <v>13748.9</v>
          </cell>
          <cell r="I1357">
            <v>4897.5600000000004</v>
          </cell>
        </row>
        <row r="1358">
          <cell r="G1358">
            <v>991633</v>
          </cell>
          <cell r="H1358">
            <v>16646.8</v>
          </cell>
          <cell r="I1358">
            <v>3925.37</v>
          </cell>
        </row>
        <row r="1359">
          <cell r="G1359">
            <v>991635</v>
          </cell>
          <cell r="H1359">
            <v>4020.43</v>
          </cell>
          <cell r="I1359">
            <v>2252.4</v>
          </cell>
        </row>
        <row r="1360">
          <cell r="G1360">
            <v>991636</v>
          </cell>
          <cell r="H1360">
            <v>1922.87</v>
          </cell>
          <cell r="I1360">
            <v>1238.51</v>
          </cell>
        </row>
        <row r="1361">
          <cell r="G1361">
            <v>991638</v>
          </cell>
          <cell r="H1361">
            <v>5229.5</v>
          </cell>
          <cell r="I1361">
            <v>1156.6099999999999</v>
          </cell>
        </row>
        <row r="1362">
          <cell r="G1362">
            <v>991639</v>
          </cell>
          <cell r="H1362">
            <v>2457.75</v>
          </cell>
          <cell r="I1362">
            <v>1006.09</v>
          </cell>
        </row>
        <row r="1363">
          <cell r="G1363">
            <v>991640</v>
          </cell>
          <cell r="H1363">
            <v>18328.25</v>
          </cell>
          <cell r="I1363">
            <v>4213.78</v>
          </cell>
        </row>
        <row r="1364">
          <cell r="G1364">
            <v>991641</v>
          </cell>
          <cell r="H1364">
            <v>28.88</v>
          </cell>
          <cell r="I1364">
            <v>929.47</v>
          </cell>
        </row>
        <row r="1365">
          <cell r="G1365">
            <v>991642</v>
          </cell>
          <cell r="H1365">
            <v>3179.47</v>
          </cell>
          <cell r="I1365">
            <v>1521.12</v>
          </cell>
        </row>
        <row r="1366">
          <cell r="G1366">
            <v>991648</v>
          </cell>
          <cell r="H1366">
            <v>18386.64</v>
          </cell>
          <cell r="I1366">
            <v>13643.91</v>
          </cell>
        </row>
        <row r="1367">
          <cell r="G1367">
            <v>991651</v>
          </cell>
          <cell r="H1367">
            <v>2355.65</v>
          </cell>
          <cell r="I1367">
            <v>2076.3200000000002</v>
          </cell>
        </row>
        <row r="1368">
          <cell r="G1368">
            <v>991653</v>
          </cell>
          <cell r="H1368">
            <v>8853.2900000000009</v>
          </cell>
          <cell r="I1368">
            <v>3458.55</v>
          </cell>
        </row>
        <row r="1369">
          <cell r="G1369">
            <v>991658</v>
          </cell>
          <cell r="H1369">
            <v>4177.68</v>
          </cell>
          <cell r="I1369">
            <v>1948.7</v>
          </cell>
        </row>
        <row r="1370">
          <cell r="G1370">
            <v>991660</v>
          </cell>
          <cell r="H1370">
            <v>1994.62</v>
          </cell>
          <cell r="I1370">
            <v>1492.11</v>
          </cell>
        </row>
        <row r="1371">
          <cell r="G1371">
            <v>991661</v>
          </cell>
          <cell r="H1371">
            <v>133.35</v>
          </cell>
          <cell r="I1371">
            <v>963.44</v>
          </cell>
        </row>
        <row r="1372">
          <cell r="G1372">
            <v>991673</v>
          </cell>
          <cell r="H1372">
            <v>35158.32</v>
          </cell>
          <cell r="I1372">
            <v>2990.86</v>
          </cell>
        </row>
        <row r="1373">
          <cell r="G1373">
            <v>991682</v>
          </cell>
          <cell r="H1373">
            <v>2388.4299999999998</v>
          </cell>
          <cell r="I1373">
            <v>1511.54</v>
          </cell>
        </row>
        <row r="1374">
          <cell r="G1374">
            <v>991694</v>
          </cell>
          <cell r="H1374">
            <v>5640.58</v>
          </cell>
          <cell r="I1374">
            <v>2171.41</v>
          </cell>
        </row>
        <row r="1375">
          <cell r="G1375">
            <v>991704</v>
          </cell>
          <cell r="H1375">
            <v>8096.68</v>
          </cell>
          <cell r="I1375">
            <v>2575.52</v>
          </cell>
        </row>
        <row r="1376">
          <cell r="G1376">
            <v>991711</v>
          </cell>
          <cell r="H1376">
            <v>8227.39</v>
          </cell>
          <cell r="I1376">
            <v>2326</v>
          </cell>
        </row>
        <row r="1377">
          <cell r="G1377">
            <v>991712</v>
          </cell>
          <cell r="H1377">
            <v>1369.38</v>
          </cell>
          <cell r="I1377">
            <v>1073.18</v>
          </cell>
        </row>
        <row r="1378">
          <cell r="G1378">
            <v>991719</v>
          </cell>
          <cell r="H1378">
            <v>4583.78</v>
          </cell>
          <cell r="I1378">
            <v>3821.5</v>
          </cell>
        </row>
        <row r="1379">
          <cell r="G1379">
            <v>991723</v>
          </cell>
          <cell r="H1379">
            <v>11943.62</v>
          </cell>
          <cell r="I1379">
            <v>7356.65</v>
          </cell>
        </row>
        <row r="1380">
          <cell r="G1380">
            <v>991731</v>
          </cell>
          <cell r="H1380">
            <v>6254.54</v>
          </cell>
          <cell r="I1380">
            <v>3011.51</v>
          </cell>
        </row>
        <row r="1381">
          <cell r="G1381">
            <v>991740</v>
          </cell>
          <cell r="H1381">
            <v>14920.89</v>
          </cell>
          <cell r="I1381">
            <v>3572.97</v>
          </cell>
        </row>
        <row r="1382">
          <cell r="G1382">
            <v>991812</v>
          </cell>
          <cell r="H1382">
            <v>11056.8</v>
          </cell>
          <cell r="I1382">
            <v>3955.96</v>
          </cell>
        </row>
        <row r="1383">
          <cell r="G1383" t="str">
            <v/>
          </cell>
        </row>
        <row r="2077">
          <cell r="I2077" t="str">
            <v>FORN</v>
          </cell>
        </row>
      </sheetData>
      <sheetData sheetId="3"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1095187.0299999998</v>
          </cell>
          <cell r="R3">
            <v>150434.19000000003</v>
          </cell>
          <cell r="S3">
            <v>308669.48000000208</v>
          </cell>
          <cell r="T3">
            <v>571954.2100000002</v>
          </cell>
          <cell r="U3">
            <v>2554935.0200000009</v>
          </cell>
          <cell r="V3">
            <v>21609720.139999975</v>
          </cell>
          <cell r="Y3">
            <v>76245.040000000023</v>
          </cell>
          <cell r="Z3">
            <v>11463.259999999998</v>
          </cell>
          <cell r="AA3">
            <v>3557.0099999999998</v>
          </cell>
          <cell r="AB3">
            <v>20394.260000000002</v>
          </cell>
          <cell r="AC3">
            <v>86985.279999999999</v>
          </cell>
          <cell r="AD3">
            <v>748110.91999999993</v>
          </cell>
        </row>
        <row r="4">
          <cell r="A4" t="str">
            <v/>
          </cell>
          <cell r="H4">
            <v>0</v>
          </cell>
        </row>
        <row r="5">
          <cell r="A5">
            <v>984623</v>
          </cell>
          <cell r="B5">
            <v>9109</v>
          </cell>
          <cell r="C5">
            <v>206.7</v>
          </cell>
          <cell r="D5">
            <v>38.71</v>
          </cell>
          <cell r="E5">
            <v>512.70000000000005</v>
          </cell>
          <cell r="F5">
            <v>294.94</v>
          </cell>
          <cell r="G5">
            <v>905.72</v>
          </cell>
          <cell r="H5">
            <v>1958.77</v>
          </cell>
          <cell r="I5">
            <v>6222.92</v>
          </cell>
          <cell r="J5">
            <v>90558</v>
          </cell>
          <cell r="K5" t="str">
            <v>MP</v>
          </cell>
        </row>
        <row r="6">
          <cell r="A6">
            <v>990190</v>
          </cell>
          <cell r="B6">
            <v>9427</v>
          </cell>
          <cell r="C6">
            <v>120354.4</v>
          </cell>
          <cell r="D6">
            <v>13150.4</v>
          </cell>
          <cell r="E6">
            <v>501</v>
          </cell>
          <cell r="F6">
            <v>49065.61</v>
          </cell>
          <cell r="G6">
            <v>108465.75</v>
          </cell>
          <cell r="H6">
            <v>291537.15999999997</v>
          </cell>
          <cell r="I6">
            <v>2035810.18</v>
          </cell>
          <cell r="J6">
            <v>91953</v>
          </cell>
          <cell r="K6" t="str">
            <v>MP</v>
          </cell>
        </row>
        <row r="7">
          <cell r="A7">
            <v>990308</v>
          </cell>
          <cell r="B7">
            <v>9055</v>
          </cell>
          <cell r="C7">
            <v>2101.5300000000002</v>
          </cell>
          <cell r="D7">
            <v>138.86000000000001</v>
          </cell>
          <cell r="E7">
            <v>518.85</v>
          </cell>
          <cell r="F7">
            <v>737.44</v>
          </cell>
          <cell r="G7">
            <v>4065.07</v>
          </cell>
          <cell r="H7">
            <v>7561.75</v>
          </cell>
          <cell r="I7">
            <v>19154.689999999999</v>
          </cell>
          <cell r="J7">
            <v>91177</v>
          </cell>
          <cell r="K7" t="str">
            <v>MP</v>
          </cell>
        </row>
        <row r="8">
          <cell r="A8">
            <v>990411</v>
          </cell>
          <cell r="B8">
            <v>9501</v>
          </cell>
          <cell r="C8">
            <v>15847.19</v>
          </cell>
          <cell r="D8">
            <v>8457.0300000000007</v>
          </cell>
          <cell r="E8">
            <v>513.03</v>
          </cell>
          <cell r="F8">
            <v>31583.42</v>
          </cell>
          <cell r="G8">
            <v>69615.73</v>
          </cell>
          <cell r="H8">
            <v>126016.4</v>
          </cell>
          <cell r="I8">
            <v>1368010.28</v>
          </cell>
          <cell r="J8">
            <v>91953</v>
          </cell>
          <cell r="K8" t="str">
            <v>MP</v>
          </cell>
        </row>
        <row r="9">
          <cell r="A9">
            <v>990433</v>
          </cell>
          <cell r="B9">
            <v>8982</v>
          </cell>
          <cell r="C9">
            <v>1355.48</v>
          </cell>
          <cell r="D9">
            <v>13779.96</v>
          </cell>
          <cell r="E9">
            <v>520.02</v>
          </cell>
          <cell r="F9">
            <v>12805</v>
          </cell>
          <cell r="G9">
            <v>111528.53</v>
          </cell>
          <cell r="H9">
            <v>139988.99</v>
          </cell>
          <cell r="I9">
            <v>2215426.23</v>
          </cell>
          <cell r="J9">
            <v>91250</v>
          </cell>
          <cell r="K9" t="str">
            <v>MP</v>
          </cell>
        </row>
        <row r="10">
          <cell r="A10">
            <v>990468</v>
          </cell>
          <cell r="B10">
            <v>9260</v>
          </cell>
          <cell r="C10">
            <v>3870.3</v>
          </cell>
          <cell r="D10">
            <v>643.36</v>
          </cell>
          <cell r="E10">
            <v>500.64</v>
          </cell>
          <cell r="F10">
            <v>2545.63</v>
          </cell>
          <cell r="G10">
            <v>19334.28</v>
          </cell>
          <cell r="H10">
            <v>26894.21</v>
          </cell>
          <cell r="I10">
            <v>97245.73</v>
          </cell>
          <cell r="J10">
            <v>91437</v>
          </cell>
          <cell r="K10" t="str">
            <v>MP</v>
          </cell>
        </row>
        <row r="11">
          <cell r="A11">
            <v>990470</v>
          </cell>
          <cell r="B11">
            <v>9098</v>
          </cell>
          <cell r="C11">
            <v>534.61</v>
          </cell>
          <cell r="D11">
            <v>114.71</v>
          </cell>
          <cell r="E11">
            <v>512.70000000000005</v>
          </cell>
          <cell r="F11">
            <v>685.63</v>
          </cell>
          <cell r="G11">
            <v>1718.32</v>
          </cell>
          <cell r="H11">
            <v>3565.9700000000003</v>
          </cell>
          <cell r="I11">
            <v>18442.47</v>
          </cell>
          <cell r="J11">
            <v>91227</v>
          </cell>
          <cell r="K11" t="str">
            <v>MP</v>
          </cell>
        </row>
        <row r="12">
          <cell r="A12">
            <v>990524</v>
          </cell>
          <cell r="B12">
            <v>9628</v>
          </cell>
          <cell r="C12">
            <v>161.63</v>
          </cell>
          <cell r="D12">
            <v>71.87</v>
          </cell>
          <cell r="E12">
            <v>510.42</v>
          </cell>
          <cell r="F12">
            <v>766.63</v>
          </cell>
          <cell r="G12">
            <v>3176.95</v>
          </cell>
          <cell r="H12">
            <v>4687.5</v>
          </cell>
          <cell r="I12">
            <v>22458.48</v>
          </cell>
          <cell r="J12">
            <v>92167</v>
          </cell>
          <cell r="K12" t="str">
            <v>MP</v>
          </cell>
        </row>
        <row r="13">
          <cell r="A13">
            <v>990719</v>
          </cell>
          <cell r="B13">
            <v>9375</v>
          </cell>
          <cell r="C13">
            <v>242.15</v>
          </cell>
          <cell r="D13">
            <v>0.99</v>
          </cell>
          <cell r="E13">
            <v>501</v>
          </cell>
          <cell r="F13">
            <v>141.08000000000001</v>
          </cell>
          <cell r="G13">
            <v>76.28</v>
          </cell>
          <cell r="H13">
            <v>961.5</v>
          </cell>
          <cell r="I13">
            <v>158.32</v>
          </cell>
          <cell r="J13">
            <v>90322</v>
          </cell>
          <cell r="K13" t="str">
            <v>MP</v>
          </cell>
        </row>
        <row r="14">
          <cell r="A14">
            <v>990735</v>
          </cell>
          <cell r="B14">
            <v>9571</v>
          </cell>
          <cell r="C14">
            <v>1978.94</v>
          </cell>
          <cell r="D14">
            <v>409.05</v>
          </cell>
          <cell r="E14">
            <v>501.63</v>
          </cell>
          <cell r="F14">
            <v>1663.52</v>
          </cell>
          <cell r="G14">
            <v>11885.31</v>
          </cell>
          <cell r="H14">
            <v>16438.45</v>
          </cell>
          <cell r="I14">
            <v>60166.26</v>
          </cell>
          <cell r="J14">
            <v>90570</v>
          </cell>
          <cell r="K14" t="str">
            <v>MP</v>
          </cell>
        </row>
        <row r="15">
          <cell r="A15">
            <v>990786</v>
          </cell>
          <cell r="B15">
            <v>8978</v>
          </cell>
          <cell r="C15">
            <v>148.16999999999999</v>
          </cell>
          <cell r="D15">
            <v>186.02</v>
          </cell>
          <cell r="E15">
            <v>444.5</v>
          </cell>
          <cell r="F15">
            <v>938.68</v>
          </cell>
          <cell r="G15">
            <v>4550.87</v>
          </cell>
          <cell r="H15">
            <v>6268.24</v>
          </cell>
          <cell r="I15">
            <v>30004.02</v>
          </cell>
          <cell r="J15">
            <v>91333</v>
          </cell>
          <cell r="K15" t="str">
            <v>MP</v>
          </cell>
        </row>
        <row r="16">
          <cell r="A16">
            <v>990838</v>
          </cell>
          <cell r="B16">
            <v>9574</v>
          </cell>
          <cell r="C16">
            <v>1596.37</v>
          </cell>
          <cell r="D16">
            <v>191.36</v>
          </cell>
          <cell r="E16">
            <v>501.63</v>
          </cell>
          <cell r="F16">
            <v>804</v>
          </cell>
          <cell r="G16">
            <v>5890.51</v>
          </cell>
          <cell r="H16">
            <v>8983.8700000000008</v>
          </cell>
          <cell r="I16">
            <v>29214.93</v>
          </cell>
          <cell r="J16">
            <v>90721</v>
          </cell>
          <cell r="K16" t="str">
            <v>MP</v>
          </cell>
        </row>
        <row r="17">
          <cell r="A17">
            <v>990849</v>
          </cell>
          <cell r="B17">
            <v>9110</v>
          </cell>
          <cell r="C17">
            <v>561.58000000000004</v>
          </cell>
          <cell r="D17">
            <v>767.67</v>
          </cell>
          <cell r="E17">
            <v>512.70000000000005</v>
          </cell>
          <cell r="F17">
            <v>5650.12</v>
          </cell>
          <cell r="G17">
            <v>33563.120000000003</v>
          </cell>
          <cell r="H17">
            <v>41055.19</v>
          </cell>
          <cell r="I17">
            <v>238405.5</v>
          </cell>
          <cell r="J17">
            <v>90097</v>
          </cell>
          <cell r="K17" t="str">
            <v>MP</v>
          </cell>
        </row>
        <row r="18">
          <cell r="A18">
            <v>990871</v>
          </cell>
          <cell r="B18">
            <v>9590</v>
          </cell>
          <cell r="C18">
            <v>1390.47</v>
          </cell>
          <cell r="D18">
            <v>211.2</v>
          </cell>
          <cell r="E18">
            <v>500.64</v>
          </cell>
          <cell r="F18">
            <v>1001.81</v>
          </cell>
          <cell r="G18">
            <v>6297.52</v>
          </cell>
          <cell r="H18">
            <v>9401.64</v>
          </cell>
          <cell r="I18">
            <v>31543.16</v>
          </cell>
          <cell r="J18">
            <v>93032</v>
          </cell>
          <cell r="K18" t="str">
            <v>MP</v>
          </cell>
        </row>
        <row r="19">
          <cell r="A19">
            <v>990878</v>
          </cell>
          <cell r="B19">
            <v>8983</v>
          </cell>
          <cell r="C19">
            <v>178.89</v>
          </cell>
          <cell r="D19">
            <v>378.7</v>
          </cell>
          <cell r="E19">
            <v>520.02</v>
          </cell>
          <cell r="F19">
            <v>507</v>
          </cell>
          <cell r="G19">
            <v>8654.39</v>
          </cell>
          <cell r="H19">
            <v>10239</v>
          </cell>
          <cell r="I19">
            <v>61258.36</v>
          </cell>
          <cell r="J19">
            <v>90097</v>
          </cell>
          <cell r="K19" t="str">
            <v>MP</v>
          </cell>
        </row>
        <row r="20">
          <cell r="A20">
            <v>990883</v>
          </cell>
          <cell r="B20">
            <v>9160</v>
          </cell>
          <cell r="C20">
            <v>4839.5</v>
          </cell>
          <cell r="D20">
            <v>78.2</v>
          </cell>
          <cell r="E20">
            <v>501.6</v>
          </cell>
          <cell r="F20">
            <v>649.6</v>
          </cell>
          <cell r="G20">
            <v>3323.32</v>
          </cell>
          <cell r="H20">
            <v>9392.2200000000012</v>
          </cell>
          <cell r="I20">
            <v>12573.44</v>
          </cell>
          <cell r="J20">
            <v>92046</v>
          </cell>
          <cell r="K20" t="str">
            <v>MP</v>
          </cell>
        </row>
        <row r="21">
          <cell r="A21">
            <v>990918</v>
          </cell>
          <cell r="B21">
            <v>8994</v>
          </cell>
          <cell r="C21">
            <v>870.29</v>
          </cell>
          <cell r="D21">
            <v>106.41</v>
          </cell>
          <cell r="E21">
            <v>557.88</v>
          </cell>
          <cell r="F21">
            <v>662.96</v>
          </cell>
          <cell r="G21">
            <v>3263.25</v>
          </cell>
          <cell r="H21">
            <v>5460.79</v>
          </cell>
          <cell r="I21">
            <v>17108.32</v>
          </cell>
          <cell r="J21">
            <v>93049</v>
          </cell>
          <cell r="K21" t="str">
            <v>MP</v>
          </cell>
        </row>
        <row r="22">
          <cell r="A22">
            <v>990983</v>
          </cell>
          <cell r="B22">
            <v>9206</v>
          </cell>
          <cell r="C22">
            <v>953.37</v>
          </cell>
          <cell r="D22">
            <v>154.88</v>
          </cell>
          <cell r="E22">
            <v>497.25</v>
          </cell>
          <cell r="F22">
            <v>841.35</v>
          </cell>
          <cell r="G22">
            <v>4942.57</v>
          </cell>
          <cell r="H22">
            <v>7389.42</v>
          </cell>
          <cell r="I22">
            <v>24898.55</v>
          </cell>
          <cell r="J22">
            <v>91673</v>
          </cell>
          <cell r="K22" t="str">
            <v>MP</v>
          </cell>
        </row>
        <row r="23">
          <cell r="A23">
            <v>990990</v>
          </cell>
          <cell r="B23">
            <v>9074</v>
          </cell>
          <cell r="C23">
            <v>2539.16</v>
          </cell>
          <cell r="D23">
            <v>20521.5</v>
          </cell>
          <cell r="E23">
            <v>518.85</v>
          </cell>
          <cell r="F23">
            <v>5707</v>
          </cell>
          <cell r="G23">
            <v>59169.68</v>
          </cell>
          <cell r="H23">
            <v>88456.19</v>
          </cell>
          <cell r="I23">
            <v>395081.43</v>
          </cell>
          <cell r="J23">
            <v>90570</v>
          </cell>
          <cell r="K23" t="str">
            <v>MP</v>
          </cell>
        </row>
        <row r="24">
          <cell r="A24">
            <v>990991</v>
          </cell>
          <cell r="B24">
            <v>9502</v>
          </cell>
          <cell r="C24">
            <v>7148.25</v>
          </cell>
          <cell r="D24">
            <v>1288.73</v>
          </cell>
          <cell r="E24">
            <v>513.03</v>
          </cell>
          <cell r="F24">
            <v>4508.78</v>
          </cell>
          <cell r="G24">
            <v>35911.919999999998</v>
          </cell>
          <cell r="H24">
            <v>49370.71</v>
          </cell>
          <cell r="I24">
            <v>180573.13</v>
          </cell>
          <cell r="J24">
            <v>91437</v>
          </cell>
          <cell r="K24" t="str">
            <v>MP</v>
          </cell>
        </row>
        <row r="25">
          <cell r="A25">
            <v>990999</v>
          </cell>
          <cell r="B25">
            <v>9262</v>
          </cell>
          <cell r="C25">
            <v>140.88999999999999</v>
          </cell>
          <cell r="D25">
            <v>68.95</v>
          </cell>
          <cell r="E25">
            <v>497.25</v>
          </cell>
          <cell r="F25">
            <v>745.59</v>
          </cell>
          <cell r="G25">
            <v>3046.03</v>
          </cell>
          <cell r="H25">
            <v>4498.71</v>
          </cell>
          <cell r="I25">
            <v>21547.5</v>
          </cell>
          <cell r="J25">
            <v>90097</v>
          </cell>
          <cell r="K25" t="str">
            <v>MP</v>
          </cell>
        </row>
        <row r="26">
          <cell r="A26">
            <v>991007</v>
          </cell>
          <cell r="B26">
            <v>9428</v>
          </cell>
          <cell r="C26">
            <v>3280.19</v>
          </cell>
          <cell r="D26">
            <v>101.78</v>
          </cell>
          <cell r="E26">
            <v>500.64</v>
          </cell>
          <cell r="F26">
            <v>626.52</v>
          </cell>
          <cell r="G26">
            <v>3128.42</v>
          </cell>
          <cell r="H26">
            <v>7637.55</v>
          </cell>
          <cell r="I26">
            <v>13083.39</v>
          </cell>
          <cell r="J26">
            <v>92046</v>
          </cell>
          <cell r="K26" t="str">
            <v>MP</v>
          </cell>
        </row>
        <row r="27">
          <cell r="A27">
            <v>991015</v>
          </cell>
          <cell r="B27">
            <v>9570</v>
          </cell>
          <cell r="C27">
            <v>282.17</v>
          </cell>
          <cell r="D27">
            <v>315.24</v>
          </cell>
          <cell r="E27">
            <v>501.63</v>
          </cell>
          <cell r="F27">
            <v>1407.19</v>
          </cell>
          <cell r="G27">
            <v>2558.09</v>
          </cell>
          <cell r="H27">
            <v>5064.32</v>
          </cell>
          <cell r="I27">
            <v>50564.3</v>
          </cell>
          <cell r="J27">
            <v>90061</v>
          </cell>
          <cell r="K27" t="str">
            <v>MP</v>
          </cell>
        </row>
        <row r="28">
          <cell r="A28">
            <v>991019</v>
          </cell>
          <cell r="B28">
            <v>9629</v>
          </cell>
          <cell r="C28">
            <v>251.89</v>
          </cell>
          <cell r="D28">
            <v>489.12</v>
          </cell>
          <cell r="E28">
            <v>510.42</v>
          </cell>
          <cell r="F28">
            <v>3690.55</v>
          </cell>
          <cell r="G28">
            <v>21370.22</v>
          </cell>
          <cell r="H28">
            <v>26312.2</v>
          </cell>
          <cell r="I28">
            <v>151900.99</v>
          </cell>
          <cell r="J28">
            <v>90097</v>
          </cell>
          <cell r="K28" t="str">
            <v>MP</v>
          </cell>
        </row>
        <row r="29">
          <cell r="A29">
            <v>991063</v>
          </cell>
          <cell r="B29">
            <v>9503</v>
          </cell>
          <cell r="C29">
            <v>318.51</v>
          </cell>
          <cell r="D29">
            <v>322.54000000000002</v>
          </cell>
          <cell r="E29">
            <v>513.03</v>
          </cell>
          <cell r="F29">
            <v>1441.01</v>
          </cell>
          <cell r="G29">
            <v>7373.08</v>
          </cell>
          <cell r="H29">
            <v>9968.17</v>
          </cell>
          <cell r="I29">
            <v>52021.86</v>
          </cell>
          <cell r="J29">
            <v>90061</v>
          </cell>
          <cell r="K29" t="str">
            <v>MP</v>
          </cell>
        </row>
        <row r="30">
          <cell r="A30">
            <v>991079</v>
          </cell>
          <cell r="B30">
            <v>9575</v>
          </cell>
          <cell r="C30">
            <v>2865.97</v>
          </cell>
          <cell r="D30">
            <v>459.53</v>
          </cell>
          <cell r="E30">
            <v>501.63</v>
          </cell>
          <cell r="F30">
            <v>1832.54</v>
          </cell>
          <cell r="G30">
            <v>13312.58</v>
          </cell>
          <cell r="H30">
            <v>18972.25</v>
          </cell>
          <cell r="I30">
            <v>66740.7</v>
          </cell>
          <cell r="J30">
            <v>90338</v>
          </cell>
          <cell r="K30" t="str">
            <v>MP</v>
          </cell>
        </row>
        <row r="31">
          <cell r="A31">
            <v>991086</v>
          </cell>
          <cell r="B31">
            <v>9630</v>
          </cell>
          <cell r="C31">
            <v>1297.3800000000001</v>
          </cell>
          <cell r="D31">
            <v>206.04</v>
          </cell>
          <cell r="E31">
            <v>510.42</v>
          </cell>
          <cell r="F31">
            <v>982.3</v>
          </cell>
          <cell r="G31">
            <v>6132.81</v>
          </cell>
          <cell r="H31">
            <v>9128.9500000000007</v>
          </cell>
          <cell r="I31">
            <v>30774.54</v>
          </cell>
          <cell r="J31">
            <v>91437</v>
          </cell>
          <cell r="K31" t="str">
            <v>MP</v>
          </cell>
        </row>
        <row r="32">
          <cell r="A32">
            <v>991107</v>
          </cell>
          <cell r="B32">
            <v>9099</v>
          </cell>
          <cell r="C32">
            <v>1913.06</v>
          </cell>
          <cell r="D32">
            <v>11121.01</v>
          </cell>
          <cell r="E32">
            <v>512.70000000000005</v>
          </cell>
          <cell r="F32">
            <v>5183.1899999999996</v>
          </cell>
          <cell r="G32">
            <v>26724.1</v>
          </cell>
          <cell r="H32">
            <v>45454.06</v>
          </cell>
          <cell r="I32">
            <v>215717.55</v>
          </cell>
          <cell r="J32">
            <v>90570</v>
          </cell>
          <cell r="K32" t="str">
            <v>MP</v>
          </cell>
        </row>
        <row r="33">
          <cell r="A33">
            <v>991118</v>
          </cell>
          <cell r="B33">
            <v>9077</v>
          </cell>
          <cell r="C33">
            <v>931.77</v>
          </cell>
          <cell r="D33">
            <v>116.92</v>
          </cell>
          <cell r="E33">
            <v>519.41999999999996</v>
          </cell>
          <cell r="F33">
            <v>703.94</v>
          </cell>
          <cell r="G33">
            <v>2697.13</v>
          </cell>
          <cell r="H33">
            <v>4969.18</v>
          </cell>
          <cell r="I33">
            <v>18857.82</v>
          </cell>
          <cell r="J33">
            <v>90061</v>
          </cell>
          <cell r="K33" t="str">
            <v>MP</v>
          </cell>
        </row>
        <row r="34">
          <cell r="A34">
            <v>991129</v>
          </cell>
          <cell r="B34">
            <v>8979</v>
          </cell>
          <cell r="C34">
            <v>150.27000000000001</v>
          </cell>
          <cell r="D34">
            <v>299.76</v>
          </cell>
          <cell r="E34">
            <v>450.81</v>
          </cell>
          <cell r="F34">
            <v>1043.83</v>
          </cell>
          <cell r="G34">
            <v>6451.11</v>
          </cell>
          <cell r="H34">
            <v>8395.7799999999988</v>
          </cell>
          <cell r="I34">
            <v>45645.120000000003</v>
          </cell>
          <cell r="J34">
            <v>91333</v>
          </cell>
          <cell r="K34" t="str">
            <v>MP</v>
          </cell>
        </row>
        <row r="35">
          <cell r="A35">
            <v>991150</v>
          </cell>
          <cell r="B35">
            <v>9208</v>
          </cell>
          <cell r="C35">
            <v>163.26</v>
          </cell>
          <cell r="D35">
            <v>3.85</v>
          </cell>
          <cell r="E35">
            <v>497.25</v>
          </cell>
          <cell r="F35">
            <v>162.66</v>
          </cell>
          <cell r="G35">
            <v>258.5</v>
          </cell>
          <cell r="H35">
            <v>1085.52</v>
          </cell>
          <cell r="I35">
            <v>1193.4000000000001</v>
          </cell>
          <cell r="J35">
            <v>90219</v>
          </cell>
          <cell r="K35" t="str">
            <v>MP</v>
          </cell>
        </row>
        <row r="36">
          <cell r="A36">
            <v>991167</v>
          </cell>
          <cell r="B36">
            <v>9209</v>
          </cell>
          <cell r="C36">
            <v>335.48</v>
          </cell>
          <cell r="D36">
            <v>493.27</v>
          </cell>
          <cell r="E36">
            <v>497.25</v>
          </cell>
          <cell r="F36">
            <v>3743.04</v>
          </cell>
          <cell r="G36">
            <v>21696.83</v>
          </cell>
          <cell r="H36">
            <v>26765.870000000003</v>
          </cell>
          <cell r="I36">
            <v>154147.5</v>
          </cell>
          <cell r="J36">
            <v>90097</v>
          </cell>
          <cell r="K36" t="str">
            <v>MP</v>
          </cell>
        </row>
        <row r="37">
          <cell r="A37">
            <v>991170</v>
          </cell>
          <cell r="B37">
            <v>9056</v>
          </cell>
          <cell r="C37">
            <v>44803.14</v>
          </cell>
          <cell r="D37">
            <v>4589.3900000000003</v>
          </cell>
          <cell r="E37">
            <v>519.41999999999996</v>
          </cell>
          <cell r="F37">
            <v>17608.810000000001</v>
          </cell>
          <cell r="G37">
            <v>38561.69</v>
          </cell>
          <cell r="H37">
            <v>106082.45</v>
          </cell>
          <cell r="I37">
            <v>721841.29</v>
          </cell>
          <cell r="J37">
            <v>91953</v>
          </cell>
          <cell r="K37" t="str">
            <v>MP</v>
          </cell>
        </row>
        <row r="38">
          <cell r="A38">
            <v>991172</v>
          </cell>
          <cell r="B38">
            <v>9263</v>
          </cell>
          <cell r="C38">
            <v>183.57</v>
          </cell>
          <cell r="D38">
            <v>4.54</v>
          </cell>
          <cell r="E38">
            <v>500.64</v>
          </cell>
          <cell r="F38">
            <v>168.17</v>
          </cell>
          <cell r="G38">
            <v>305.01</v>
          </cell>
          <cell r="H38">
            <v>1161.9299999999998</v>
          </cell>
          <cell r="I38">
            <v>1417.23</v>
          </cell>
          <cell r="J38">
            <v>91591</v>
          </cell>
          <cell r="K38" t="str">
            <v>MP</v>
          </cell>
        </row>
        <row r="39">
          <cell r="A39">
            <v>991176</v>
          </cell>
          <cell r="B39">
            <v>9580</v>
          </cell>
          <cell r="C39">
            <v>512.92999999999995</v>
          </cell>
          <cell r="D39">
            <v>80.260000000000005</v>
          </cell>
          <cell r="E39">
            <v>501.63</v>
          </cell>
          <cell r="F39">
            <v>833.73</v>
          </cell>
          <cell r="G39">
            <v>4878.1899999999996</v>
          </cell>
          <cell r="H39">
            <v>6806.74</v>
          </cell>
          <cell r="I39">
            <v>25081.5</v>
          </cell>
          <cell r="J39">
            <v>92263</v>
          </cell>
          <cell r="K39" t="str">
            <v>MP</v>
          </cell>
        </row>
        <row r="40">
          <cell r="A40">
            <v>991180</v>
          </cell>
          <cell r="B40">
            <v>9484</v>
          </cell>
          <cell r="C40">
            <v>167</v>
          </cell>
          <cell r="D40">
            <v>86.41</v>
          </cell>
          <cell r="E40">
            <v>501</v>
          </cell>
          <cell r="F40">
            <v>869.35</v>
          </cell>
          <cell r="G40">
            <v>3816.1</v>
          </cell>
          <cell r="H40">
            <v>5439.86</v>
          </cell>
          <cell r="I40">
            <v>27003.9</v>
          </cell>
          <cell r="J40">
            <v>91982</v>
          </cell>
          <cell r="K40" t="str">
            <v>MP</v>
          </cell>
        </row>
        <row r="41">
          <cell r="A41">
            <v>991183</v>
          </cell>
          <cell r="B41">
            <v>9500</v>
          </cell>
          <cell r="C41">
            <v>28024.639999999999</v>
          </cell>
          <cell r="D41">
            <v>1641.43</v>
          </cell>
          <cell r="E41">
            <v>501</v>
          </cell>
          <cell r="F41">
            <v>6230.63</v>
          </cell>
          <cell r="G41">
            <v>53107.37</v>
          </cell>
          <cell r="H41">
            <v>89505.07</v>
          </cell>
          <cell r="I41">
            <v>235870.8</v>
          </cell>
          <cell r="J41">
            <v>92056</v>
          </cell>
          <cell r="K41" t="str">
            <v>MP</v>
          </cell>
        </row>
        <row r="42">
          <cell r="A42">
            <v>991230</v>
          </cell>
          <cell r="B42">
            <v>8984</v>
          </cell>
          <cell r="C42">
            <v>339.93</v>
          </cell>
          <cell r="D42">
            <v>0.03</v>
          </cell>
          <cell r="E42">
            <v>557.88</v>
          </cell>
          <cell r="F42">
            <v>275</v>
          </cell>
          <cell r="G42">
            <v>71.22</v>
          </cell>
          <cell r="H42">
            <v>1244.06</v>
          </cell>
          <cell r="I42">
            <v>34.72</v>
          </cell>
          <cell r="J42">
            <v>90131</v>
          </cell>
          <cell r="K42" t="str">
            <v>MP</v>
          </cell>
        </row>
        <row r="43">
          <cell r="A43">
            <v>991236</v>
          </cell>
          <cell r="B43">
            <v>9728</v>
          </cell>
          <cell r="C43">
            <v>3769.84</v>
          </cell>
          <cell r="D43">
            <v>542.91</v>
          </cell>
          <cell r="E43">
            <v>505.53</v>
          </cell>
          <cell r="F43">
            <v>2324.5</v>
          </cell>
          <cell r="G43">
            <v>17466.919999999998</v>
          </cell>
          <cell r="H43">
            <v>24609.699999999997</v>
          </cell>
          <cell r="I43">
            <v>87618.4</v>
          </cell>
          <cell r="J43">
            <v>90442</v>
          </cell>
          <cell r="K43" t="str">
            <v>MP</v>
          </cell>
        </row>
        <row r="44">
          <cell r="A44">
            <v>991240</v>
          </cell>
          <cell r="B44">
            <v>8987</v>
          </cell>
          <cell r="C44">
            <v>6240.24</v>
          </cell>
          <cell r="D44">
            <v>149.91999999999999</v>
          </cell>
          <cell r="E44">
            <v>520.02</v>
          </cell>
          <cell r="F44">
            <v>1306.96</v>
          </cell>
          <cell r="G44">
            <v>6071.95</v>
          </cell>
          <cell r="H44">
            <v>14289.09</v>
          </cell>
          <cell r="I44">
            <v>40317.15</v>
          </cell>
          <cell r="J44">
            <v>92107</v>
          </cell>
          <cell r="K44" t="str">
            <v>MP</v>
          </cell>
        </row>
        <row r="45">
          <cell r="A45">
            <v>991241</v>
          </cell>
          <cell r="B45">
            <v>9014</v>
          </cell>
          <cell r="C45">
            <v>8575.7000000000007</v>
          </cell>
          <cell r="D45">
            <v>50.27</v>
          </cell>
          <cell r="E45">
            <v>517.53</v>
          </cell>
          <cell r="F45">
            <v>632.55999999999995</v>
          </cell>
          <cell r="G45">
            <v>2008.07</v>
          </cell>
          <cell r="H45">
            <v>11784.130000000001</v>
          </cell>
          <cell r="I45">
            <v>8107.97</v>
          </cell>
          <cell r="J45">
            <v>92287</v>
          </cell>
          <cell r="K45" t="str">
            <v>MP</v>
          </cell>
        </row>
        <row r="46">
          <cell r="A46">
            <v>991243</v>
          </cell>
          <cell r="B46">
            <v>9385</v>
          </cell>
          <cell r="C46">
            <v>137.27000000000001</v>
          </cell>
          <cell r="D46">
            <v>0.57999999999999996</v>
          </cell>
          <cell r="E46">
            <v>501</v>
          </cell>
          <cell r="F46">
            <v>137.25</v>
          </cell>
          <cell r="G46">
            <v>43.93</v>
          </cell>
          <cell r="H46">
            <v>820.03</v>
          </cell>
          <cell r="I46">
            <v>93.34</v>
          </cell>
          <cell r="J46">
            <v>93013</v>
          </cell>
          <cell r="K46" t="str">
            <v>MP</v>
          </cell>
        </row>
        <row r="47">
          <cell r="A47">
            <v>991244</v>
          </cell>
          <cell r="B47">
            <v>9386</v>
          </cell>
          <cell r="C47">
            <v>137.27000000000001</v>
          </cell>
          <cell r="D47">
            <v>4.6100000000000003</v>
          </cell>
          <cell r="E47">
            <v>501</v>
          </cell>
          <cell r="F47">
            <v>151.9</v>
          </cell>
          <cell r="G47">
            <v>151.91</v>
          </cell>
          <cell r="H47">
            <v>946.68999999999994</v>
          </cell>
          <cell r="I47">
            <v>740.32</v>
          </cell>
          <cell r="J47">
            <v>93013</v>
          </cell>
          <cell r="K47" t="str">
            <v>MP</v>
          </cell>
        </row>
        <row r="48">
          <cell r="A48">
            <v>991252</v>
          </cell>
          <cell r="B48">
            <v>9143</v>
          </cell>
          <cell r="C48">
            <v>755.69</v>
          </cell>
          <cell r="D48">
            <v>280.61</v>
          </cell>
          <cell r="E48">
            <v>511.62</v>
          </cell>
          <cell r="F48">
            <v>1396.64</v>
          </cell>
          <cell r="G48">
            <v>9497.19</v>
          </cell>
          <cell r="H48">
            <v>12441.75</v>
          </cell>
          <cell r="I48">
            <v>49655.96</v>
          </cell>
          <cell r="J48">
            <v>93025</v>
          </cell>
          <cell r="K48" t="str">
            <v>MP</v>
          </cell>
        </row>
        <row r="49">
          <cell r="A49">
            <v>991264</v>
          </cell>
          <cell r="B49">
            <v>9166</v>
          </cell>
          <cell r="C49">
            <v>156.96</v>
          </cell>
          <cell r="D49">
            <v>215.65</v>
          </cell>
          <cell r="E49">
            <v>501.6</v>
          </cell>
          <cell r="F49">
            <v>1044.3800000000001</v>
          </cell>
          <cell r="G49">
            <v>4905.2</v>
          </cell>
          <cell r="H49">
            <v>6823.79</v>
          </cell>
          <cell r="I49">
            <v>34670.22</v>
          </cell>
          <cell r="J49">
            <v>90086</v>
          </cell>
          <cell r="K49" t="str">
            <v>MP</v>
          </cell>
        </row>
        <row r="50">
          <cell r="A50">
            <v>991266</v>
          </cell>
          <cell r="B50">
            <v>9079</v>
          </cell>
          <cell r="C50">
            <v>635.70000000000005</v>
          </cell>
          <cell r="D50">
            <v>226.52</v>
          </cell>
          <cell r="E50">
            <v>519.41999999999996</v>
          </cell>
          <cell r="F50">
            <v>1095.4000000000001</v>
          </cell>
          <cell r="G50">
            <v>3478.52</v>
          </cell>
          <cell r="H50">
            <v>5955.5599999999995</v>
          </cell>
          <cell r="I50">
            <v>36442.400000000001</v>
          </cell>
          <cell r="J50">
            <v>90424</v>
          </cell>
          <cell r="K50" t="str">
            <v>MP</v>
          </cell>
        </row>
        <row r="51">
          <cell r="A51">
            <v>991275</v>
          </cell>
          <cell r="B51">
            <v>8995</v>
          </cell>
          <cell r="C51">
            <v>495.08</v>
          </cell>
          <cell r="D51">
            <v>51.2</v>
          </cell>
          <cell r="E51">
            <v>516.6</v>
          </cell>
          <cell r="F51">
            <v>628.28</v>
          </cell>
          <cell r="G51">
            <v>2316.11</v>
          </cell>
          <cell r="H51">
            <v>4007.2700000000004</v>
          </cell>
          <cell r="I51">
            <v>15997.38</v>
          </cell>
          <cell r="J51">
            <v>90061</v>
          </cell>
          <cell r="K51" t="str">
            <v>MP</v>
          </cell>
        </row>
        <row r="52">
          <cell r="A52">
            <v>991278</v>
          </cell>
          <cell r="B52">
            <v>9581</v>
          </cell>
          <cell r="C52">
            <v>1722.86</v>
          </cell>
          <cell r="D52">
            <v>267.54000000000002</v>
          </cell>
          <cell r="E52">
            <v>501.63</v>
          </cell>
          <cell r="F52">
            <v>2181.9499999999998</v>
          </cell>
          <cell r="G52">
            <v>16263.13</v>
          </cell>
          <cell r="H52">
            <v>20937.11</v>
          </cell>
          <cell r="I52">
            <v>83605</v>
          </cell>
          <cell r="J52">
            <v>92263</v>
          </cell>
          <cell r="K52" t="str">
            <v>MP</v>
          </cell>
        </row>
        <row r="53">
          <cell r="A53">
            <v>991280</v>
          </cell>
          <cell r="B53">
            <v>9111</v>
          </cell>
          <cell r="C53">
            <v>863.05</v>
          </cell>
          <cell r="D53">
            <v>237.6</v>
          </cell>
          <cell r="E53">
            <v>512.70000000000005</v>
          </cell>
          <cell r="F53">
            <v>1951.5</v>
          </cell>
          <cell r="G53">
            <v>10549.51</v>
          </cell>
          <cell r="H53">
            <v>14114.36</v>
          </cell>
          <cell r="I53">
            <v>74252.97</v>
          </cell>
          <cell r="J53">
            <v>90062</v>
          </cell>
          <cell r="K53" t="str">
            <v>MP</v>
          </cell>
        </row>
        <row r="54">
          <cell r="A54">
            <v>991305</v>
          </cell>
          <cell r="B54">
            <v>9729</v>
          </cell>
          <cell r="C54">
            <v>3607.67</v>
          </cell>
          <cell r="D54">
            <v>400.5</v>
          </cell>
          <cell r="E54">
            <v>505.53</v>
          </cell>
          <cell r="F54">
            <v>3144.72</v>
          </cell>
          <cell r="G54">
            <v>16690.099999999999</v>
          </cell>
          <cell r="H54">
            <v>24348.519999999997</v>
          </cell>
          <cell r="I54">
            <v>124377.23</v>
          </cell>
          <cell r="J54">
            <v>92107</v>
          </cell>
          <cell r="K54" t="str">
            <v>MP</v>
          </cell>
        </row>
        <row r="55">
          <cell r="A55">
            <v>991307</v>
          </cell>
          <cell r="B55">
            <v>9676</v>
          </cell>
          <cell r="C55">
            <v>178.52</v>
          </cell>
          <cell r="D55">
            <v>61.48</v>
          </cell>
          <cell r="E55">
            <v>557.88</v>
          </cell>
          <cell r="F55">
            <v>466.86</v>
          </cell>
          <cell r="G55">
            <v>1446.63</v>
          </cell>
          <cell r="H55">
            <v>2711.37</v>
          </cell>
          <cell r="I55">
            <v>10091.969999999999</v>
          </cell>
          <cell r="J55">
            <v>91841</v>
          </cell>
          <cell r="K55" t="str">
            <v>MP</v>
          </cell>
        </row>
        <row r="56">
          <cell r="A56">
            <v>991317</v>
          </cell>
          <cell r="B56">
            <v>9015</v>
          </cell>
          <cell r="C56">
            <v>241.51</v>
          </cell>
          <cell r="D56">
            <v>29.53</v>
          </cell>
          <cell r="E56">
            <v>517.53</v>
          </cell>
          <cell r="F56">
            <v>429.76</v>
          </cell>
          <cell r="G56">
            <v>1804.75</v>
          </cell>
          <cell r="H56">
            <v>3023.08</v>
          </cell>
          <cell r="I56">
            <v>9227.99</v>
          </cell>
          <cell r="J56">
            <v>91591</v>
          </cell>
          <cell r="K56" t="str">
            <v>MP</v>
          </cell>
        </row>
        <row r="57">
          <cell r="A57">
            <v>991318</v>
          </cell>
          <cell r="B57">
            <v>9057</v>
          </cell>
          <cell r="C57">
            <v>626.33000000000004</v>
          </cell>
          <cell r="D57">
            <v>116.97</v>
          </cell>
          <cell r="E57">
            <v>519.41999999999996</v>
          </cell>
          <cell r="F57">
            <v>681.82</v>
          </cell>
          <cell r="G57">
            <v>945.96</v>
          </cell>
          <cell r="H57">
            <v>2890.5</v>
          </cell>
          <cell r="I57">
            <v>18179.7</v>
          </cell>
          <cell r="J57">
            <v>90004</v>
          </cell>
          <cell r="K57" t="str">
            <v>MP</v>
          </cell>
        </row>
        <row r="58">
          <cell r="A58">
            <v>991324</v>
          </cell>
          <cell r="B58">
            <v>9129</v>
          </cell>
          <cell r="C58">
            <v>264.54000000000002</v>
          </cell>
          <cell r="D58">
            <v>19.03</v>
          </cell>
          <cell r="E58">
            <v>511.62</v>
          </cell>
          <cell r="F58">
            <v>207.5</v>
          </cell>
          <cell r="G58">
            <v>637.13</v>
          </cell>
          <cell r="H58">
            <v>1639.8200000000002</v>
          </cell>
          <cell r="I58">
            <v>3069.72</v>
          </cell>
          <cell r="J58">
            <v>92001</v>
          </cell>
          <cell r="K58" t="str">
            <v>MP</v>
          </cell>
        </row>
        <row r="59">
          <cell r="A59">
            <v>991339</v>
          </cell>
          <cell r="B59">
            <v>9504</v>
          </cell>
          <cell r="C59">
            <v>166.73</v>
          </cell>
          <cell r="D59">
            <v>70.930000000000007</v>
          </cell>
          <cell r="E59">
            <v>513.03</v>
          </cell>
          <cell r="F59">
            <v>742.17</v>
          </cell>
          <cell r="G59">
            <v>3024.75</v>
          </cell>
          <cell r="H59">
            <v>4517.6099999999997</v>
          </cell>
          <cell r="I59">
            <v>21367.7</v>
          </cell>
          <cell r="J59">
            <v>91358</v>
          </cell>
          <cell r="K59" t="str">
            <v>MP</v>
          </cell>
        </row>
        <row r="60">
          <cell r="A60">
            <v>991342</v>
          </cell>
          <cell r="B60">
            <v>9631</v>
          </cell>
          <cell r="C60">
            <v>10864.12</v>
          </cell>
          <cell r="D60">
            <v>270.91000000000003</v>
          </cell>
          <cell r="E60">
            <v>510.42</v>
          </cell>
          <cell r="F60">
            <v>1486.59</v>
          </cell>
          <cell r="G60">
            <v>9297.4500000000007</v>
          </cell>
          <cell r="H60">
            <v>22429.49</v>
          </cell>
          <cell r="I60">
            <v>43555.839999999997</v>
          </cell>
          <cell r="J60">
            <v>90403</v>
          </cell>
          <cell r="K60" t="str">
            <v>MP</v>
          </cell>
        </row>
        <row r="61">
          <cell r="A61">
            <v>991357</v>
          </cell>
          <cell r="B61">
            <v>9169</v>
          </cell>
          <cell r="C61">
            <v>157.16999999999999</v>
          </cell>
          <cell r="D61">
            <v>35.450000000000003</v>
          </cell>
          <cell r="E61">
            <v>501.6</v>
          </cell>
          <cell r="F61">
            <v>508.54</v>
          </cell>
          <cell r="G61">
            <v>1577.75</v>
          </cell>
          <cell r="H61">
            <v>2780.51</v>
          </cell>
          <cell r="I61">
            <v>11077</v>
          </cell>
          <cell r="J61">
            <v>90097</v>
          </cell>
          <cell r="K61" t="str">
            <v>MP</v>
          </cell>
        </row>
        <row r="62">
          <cell r="A62">
            <v>991369</v>
          </cell>
          <cell r="B62">
            <v>9485</v>
          </cell>
          <cell r="C62">
            <v>1433.8</v>
          </cell>
          <cell r="D62">
            <v>162.36000000000001</v>
          </cell>
          <cell r="E62">
            <v>501</v>
          </cell>
          <cell r="F62">
            <v>879.3</v>
          </cell>
          <cell r="G62">
            <v>3600.99</v>
          </cell>
          <cell r="H62">
            <v>6577.45</v>
          </cell>
          <cell r="I62">
            <v>26103.77</v>
          </cell>
          <cell r="J62">
            <v>92107</v>
          </cell>
          <cell r="K62" t="str">
            <v>MP</v>
          </cell>
        </row>
        <row r="63">
          <cell r="A63">
            <v>991370</v>
          </cell>
          <cell r="B63">
            <v>9444</v>
          </cell>
          <cell r="C63">
            <v>177.35</v>
          </cell>
          <cell r="D63">
            <v>66.099999999999994</v>
          </cell>
          <cell r="E63">
            <v>501</v>
          </cell>
          <cell r="F63">
            <v>490.87</v>
          </cell>
          <cell r="G63">
            <v>2065.75</v>
          </cell>
          <cell r="H63">
            <v>3301.07</v>
          </cell>
          <cell r="I63">
            <v>10627.62</v>
          </cell>
          <cell r="J63">
            <v>92174</v>
          </cell>
          <cell r="K63" t="str">
            <v>MP</v>
          </cell>
        </row>
        <row r="64">
          <cell r="A64">
            <v>991373</v>
          </cell>
          <cell r="B64">
            <v>9486</v>
          </cell>
          <cell r="C64">
            <v>1433.8</v>
          </cell>
          <cell r="D64">
            <v>402.87</v>
          </cell>
          <cell r="E64">
            <v>501</v>
          </cell>
          <cell r="F64">
            <v>3130.11</v>
          </cell>
          <cell r="G64">
            <v>16605.72</v>
          </cell>
          <cell r="H64">
            <v>22073.5</v>
          </cell>
          <cell r="I64">
            <v>125899.63</v>
          </cell>
          <cell r="J64">
            <v>92107</v>
          </cell>
          <cell r="K64" t="str">
            <v>MP</v>
          </cell>
        </row>
        <row r="65">
          <cell r="A65">
            <v>991384</v>
          </cell>
          <cell r="B65">
            <v>9331</v>
          </cell>
          <cell r="C65">
            <v>133.5</v>
          </cell>
          <cell r="D65">
            <v>6.84</v>
          </cell>
          <cell r="E65">
            <v>500.64</v>
          </cell>
          <cell r="F65">
            <v>183.28</v>
          </cell>
          <cell r="G65">
            <v>478.13</v>
          </cell>
          <cell r="H65">
            <v>1302.3899999999999</v>
          </cell>
          <cell r="I65">
            <v>2136.06</v>
          </cell>
          <cell r="J65">
            <v>92235</v>
          </cell>
          <cell r="K65" t="str">
            <v>MP</v>
          </cell>
        </row>
        <row r="66">
          <cell r="A66">
            <v>991390</v>
          </cell>
          <cell r="B66">
            <v>9332</v>
          </cell>
          <cell r="C66">
            <v>141.85</v>
          </cell>
          <cell r="D66">
            <v>16.22</v>
          </cell>
          <cell r="E66">
            <v>500.64</v>
          </cell>
          <cell r="F66">
            <v>249</v>
          </cell>
          <cell r="G66">
            <v>727.7</v>
          </cell>
          <cell r="H66">
            <v>1635.41</v>
          </cell>
          <cell r="I66">
            <v>5039.78</v>
          </cell>
          <cell r="J66">
            <v>90097</v>
          </cell>
          <cell r="K66" t="str">
            <v>MP</v>
          </cell>
        </row>
        <row r="67">
          <cell r="A67">
            <v>991398</v>
          </cell>
          <cell r="B67">
            <v>9431</v>
          </cell>
          <cell r="C67">
            <v>3812.41</v>
          </cell>
          <cell r="D67">
            <v>56.44</v>
          </cell>
          <cell r="E67">
            <v>500.64</v>
          </cell>
          <cell r="F67">
            <v>414.69</v>
          </cell>
          <cell r="G67">
            <v>1099.25</v>
          </cell>
          <cell r="H67">
            <v>5883.4299999999994</v>
          </cell>
          <cell r="I67">
            <v>5291.56</v>
          </cell>
          <cell r="J67">
            <v>92304</v>
          </cell>
          <cell r="K67" t="str">
            <v>MP</v>
          </cell>
        </row>
        <row r="68">
          <cell r="A68">
            <v>991400</v>
          </cell>
          <cell r="B68">
            <v>9449</v>
          </cell>
          <cell r="C68">
            <v>25562.51</v>
          </cell>
          <cell r="D68">
            <v>312.12</v>
          </cell>
          <cell r="E68">
            <v>501</v>
          </cell>
          <cell r="F68">
            <v>1970.95</v>
          </cell>
          <cell r="G68">
            <v>13341.19</v>
          </cell>
          <cell r="H68">
            <v>41687.769999999997</v>
          </cell>
          <cell r="I68">
            <v>50343.32</v>
          </cell>
          <cell r="J68">
            <v>92233</v>
          </cell>
          <cell r="K68" t="str">
            <v>MP</v>
          </cell>
        </row>
        <row r="69">
          <cell r="A69">
            <v>991407</v>
          </cell>
          <cell r="B69">
            <v>9130</v>
          </cell>
          <cell r="C69">
            <v>5340.8</v>
          </cell>
          <cell r="D69">
            <v>174.62</v>
          </cell>
          <cell r="E69">
            <v>511.62</v>
          </cell>
          <cell r="F69">
            <v>1600.31</v>
          </cell>
          <cell r="G69">
            <v>11351.57</v>
          </cell>
          <cell r="H69">
            <v>18978.919999999998</v>
          </cell>
          <cell r="I69">
            <v>54229.67</v>
          </cell>
          <cell r="J69">
            <v>92253</v>
          </cell>
          <cell r="K69" t="str">
            <v>MP</v>
          </cell>
        </row>
        <row r="70">
          <cell r="A70">
            <v>991412</v>
          </cell>
          <cell r="B70">
            <v>9210</v>
          </cell>
          <cell r="C70">
            <v>2751.14</v>
          </cell>
          <cell r="D70">
            <v>392.65</v>
          </cell>
          <cell r="E70">
            <v>497.25</v>
          </cell>
          <cell r="F70">
            <v>1747.13</v>
          </cell>
          <cell r="G70">
            <v>12591.39</v>
          </cell>
          <cell r="H70">
            <v>17979.559999999998</v>
          </cell>
          <cell r="I70">
            <v>63126.68</v>
          </cell>
          <cell r="J70">
            <v>90070</v>
          </cell>
          <cell r="K70" t="str">
            <v>MP</v>
          </cell>
        </row>
        <row r="71">
          <cell r="A71">
            <v>991419</v>
          </cell>
          <cell r="B71">
            <v>9059</v>
          </cell>
          <cell r="C71">
            <v>601.08000000000004</v>
          </cell>
          <cell r="D71">
            <v>1161.3499999999999</v>
          </cell>
          <cell r="E71">
            <v>519.41999999999996</v>
          </cell>
          <cell r="F71">
            <v>4496.0200000000004</v>
          </cell>
          <cell r="G71">
            <v>16031.93</v>
          </cell>
          <cell r="H71">
            <v>22809.800000000003</v>
          </cell>
          <cell r="I71">
            <v>186680.64</v>
          </cell>
          <cell r="J71">
            <v>91395</v>
          </cell>
          <cell r="K71" t="str">
            <v>MP</v>
          </cell>
        </row>
        <row r="72">
          <cell r="A72">
            <v>991428</v>
          </cell>
          <cell r="B72">
            <v>9061</v>
          </cell>
          <cell r="C72">
            <v>302.66000000000003</v>
          </cell>
          <cell r="D72">
            <v>54.38</v>
          </cell>
          <cell r="E72">
            <v>518.85</v>
          </cell>
          <cell r="F72">
            <v>646.41999999999996</v>
          </cell>
          <cell r="G72">
            <v>1477.83</v>
          </cell>
          <cell r="H72">
            <v>3000.14</v>
          </cell>
          <cell r="I72">
            <v>16992.68</v>
          </cell>
          <cell r="J72">
            <v>90083</v>
          </cell>
          <cell r="K72" t="str">
            <v>MP</v>
          </cell>
        </row>
        <row r="73">
          <cell r="A73">
            <v>991431</v>
          </cell>
          <cell r="B73">
            <v>8988</v>
          </cell>
          <cell r="C73">
            <v>3928.11</v>
          </cell>
          <cell r="D73">
            <v>70.95</v>
          </cell>
          <cell r="E73">
            <v>555.48</v>
          </cell>
          <cell r="F73">
            <v>602.66</v>
          </cell>
          <cell r="G73">
            <v>2926.94</v>
          </cell>
          <cell r="H73">
            <v>8084.1399999999994</v>
          </cell>
          <cell r="I73">
            <v>11405.86</v>
          </cell>
          <cell r="J73">
            <v>93016</v>
          </cell>
          <cell r="K73" t="str">
            <v>MP</v>
          </cell>
        </row>
        <row r="74">
          <cell r="A74">
            <v>991433</v>
          </cell>
          <cell r="B74">
            <v>9266</v>
          </cell>
          <cell r="C74">
            <v>175.22</v>
          </cell>
          <cell r="D74">
            <v>56.91</v>
          </cell>
          <cell r="E74">
            <v>500.64</v>
          </cell>
          <cell r="F74">
            <v>425.82</v>
          </cell>
          <cell r="G74">
            <v>1317.47</v>
          </cell>
          <cell r="H74">
            <v>2476.06</v>
          </cell>
          <cell r="I74">
            <v>9178.4</v>
          </cell>
          <cell r="J74">
            <v>91446</v>
          </cell>
          <cell r="K74" t="str">
            <v>MP</v>
          </cell>
        </row>
        <row r="75">
          <cell r="A75">
            <v>991436</v>
          </cell>
          <cell r="B75">
            <v>9505</v>
          </cell>
          <cell r="C75">
            <v>1312.9</v>
          </cell>
          <cell r="D75">
            <v>55.27</v>
          </cell>
          <cell r="E75">
            <v>513.03</v>
          </cell>
          <cell r="F75">
            <v>675.49</v>
          </cell>
          <cell r="G75">
            <v>3541.96</v>
          </cell>
          <cell r="H75">
            <v>6098.65</v>
          </cell>
          <cell r="I75">
            <v>17273.72</v>
          </cell>
          <cell r="J75">
            <v>91178</v>
          </cell>
          <cell r="K75" t="str">
            <v>MP</v>
          </cell>
        </row>
        <row r="76">
          <cell r="A76">
            <v>991438</v>
          </cell>
          <cell r="B76">
            <v>8996</v>
          </cell>
          <cell r="C76">
            <v>189.42</v>
          </cell>
          <cell r="D76">
            <v>19.46</v>
          </cell>
          <cell r="E76">
            <v>516.6</v>
          </cell>
          <cell r="F76">
            <v>287.06</v>
          </cell>
          <cell r="G76">
            <v>1132.6300000000001</v>
          </cell>
          <cell r="H76">
            <v>2145.17</v>
          </cell>
          <cell r="I76">
            <v>6083.48</v>
          </cell>
          <cell r="J76">
            <v>90379</v>
          </cell>
          <cell r="K76" t="str">
            <v>MP</v>
          </cell>
        </row>
        <row r="77">
          <cell r="A77">
            <v>991443</v>
          </cell>
          <cell r="B77">
            <v>8997</v>
          </cell>
          <cell r="C77">
            <v>498.24</v>
          </cell>
          <cell r="D77">
            <v>34.630000000000003</v>
          </cell>
          <cell r="E77">
            <v>516.6</v>
          </cell>
          <cell r="F77">
            <v>255.27</v>
          </cell>
          <cell r="G77">
            <v>1040.57</v>
          </cell>
          <cell r="H77">
            <v>2345.31</v>
          </cell>
          <cell r="I77">
            <v>4943.82</v>
          </cell>
          <cell r="J77">
            <v>90633</v>
          </cell>
          <cell r="K77" t="str">
            <v>MP</v>
          </cell>
        </row>
        <row r="78">
          <cell r="A78">
            <v>991444</v>
          </cell>
          <cell r="B78">
            <v>8985</v>
          </cell>
          <cell r="C78">
            <v>260.01</v>
          </cell>
          <cell r="D78">
            <v>1.35</v>
          </cell>
          <cell r="E78">
            <v>520.02</v>
          </cell>
          <cell r="F78">
            <v>146.34</v>
          </cell>
          <cell r="G78">
            <v>120.65</v>
          </cell>
          <cell r="H78">
            <v>1048.3700000000001</v>
          </cell>
          <cell r="I78">
            <v>372.68</v>
          </cell>
          <cell r="J78">
            <v>90322</v>
          </cell>
          <cell r="K78" t="str">
            <v>MP</v>
          </cell>
        </row>
        <row r="79">
          <cell r="A79">
            <v>991450</v>
          </cell>
          <cell r="B79">
            <v>8986</v>
          </cell>
          <cell r="C79">
            <v>948.92</v>
          </cell>
          <cell r="D79">
            <v>73.930000000000007</v>
          </cell>
          <cell r="E79">
            <v>520.02</v>
          </cell>
          <cell r="F79">
            <v>816.18</v>
          </cell>
          <cell r="G79">
            <v>3236.31</v>
          </cell>
          <cell r="H79">
            <v>5595.36</v>
          </cell>
          <cell r="I79">
            <v>23868.92</v>
          </cell>
          <cell r="J79">
            <v>92107</v>
          </cell>
          <cell r="K79" t="str">
            <v>MP</v>
          </cell>
        </row>
        <row r="80">
          <cell r="A80">
            <v>991452</v>
          </cell>
          <cell r="B80">
            <v>9235</v>
          </cell>
          <cell r="C80">
            <v>112.99</v>
          </cell>
          <cell r="D80">
            <v>14.93</v>
          </cell>
          <cell r="E80">
            <v>497.25</v>
          </cell>
          <cell r="F80">
            <v>189</v>
          </cell>
          <cell r="G80">
            <v>480.84</v>
          </cell>
          <cell r="H80">
            <v>1295.01</v>
          </cell>
          <cell r="I80">
            <v>2402.06</v>
          </cell>
          <cell r="J80">
            <v>91117</v>
          </cell>
          <cell r="K80" t="str">
            <v>MP</v>
          </cell>
        </row>
        <row r="81">
          <cell r="A81">
            <v>991461</v>
          </cell>
          <cell r="B81">
            <v>9131</v>
          </cell>
          <cell r="C81">
            <v>1220.26</v>
          </cell>
          <cell r="D81">
            <v>473.69</v>
          </cell>
          <cell r="E81">
            <v>511.62</v>
          </cell>
          <cell r="F81">
            <v>2007.68</v>
          </cell>
          <cell r="G81">
            <v>10120.540000000001</v>
          </cell>
          <cell r="H81">
            <v>14333.79</v>
          </cell>
          <cell r="I81">
            <v>76156.34</v>
          </cell>
          <cell r="J81">
            <v>92107</v>
          </cell>
          <cell r="K81" t="str">
            <v>MP</v>
          </cell>
        </row>
        <row r="82">
          <cell r="A82">
            <v>991463</v>
          </cell>
          <cell r="B82">
            <v>9291</v>
          </cell>
          <cell r="C82">
            <v>256.61</v>
          </cell>
          <cell r="D82">
            <v>6.58</v>
          </cell>
          <cell r="E82">
            <v>500.64</v>
          </cell>
          <cell r="F82">
            <v>161.47999999999999</v>
          </cell>
          <cell r="G82">
            <v>248.55</v>
          </cell>
          <cell r="H82">
            <v>1173.8599999999999</v>
          </cell>
          <cell r="I82">
            <v>1044.94</v>
          </cell>
          <cell r="J82">
            <v>92088</v>
          </cell>
          <cell r="K82" t="str">
            <v>MP</v>
          </cell>
        </row>
        <row r="83">
          <cell r="A83">
            <v>991465</v>
          </cell>
          <cell r="B83">
            <v>9213</v>
          </cell>
          <cell r="C83">
            <v>1868.37</v>
          </cell>
          <cell r="D83">
            <v>411.64</v>
          </cell>
          <cell r="E83">
            <v>497.25</v>
          </cell>
          <cell r="F83">
            <v>1795.69</v>
          </cell>
          <cell r="G83">
            <v>8895.7000000000007</v>
          </cell>
          <cell r="H83">
            <v>13468.650000000001</v>
          </cell>
          <cell r="I83">
            <v>66148.479999999996</v>
          </cell>
          <cell r="J83">
            <v>92076</v>
          </cell>
          <cell r="K83" t="str">
            <v>MP</v>
          </cell>
        </row>
        <row r="84">
          <cell r="A84">
            <v>991467</v>
          </cell>
          <cell r="B84">
            <v>9053</v>
          </cell>
          <cell r="C84">
            <v>226.47</v>
          </cell>
          <cell r="D84">
            <v>223.39</v>
          </cell>
          <cell r="E84">
            <v>519.41999999999996</v>
          </cell>
          <cell r="F84">
            <v>1836.9</v>
          </cell>
          <cell r="G84">
            <v>9836.2900000000009</v>
          </cell>
          <cell r="H84">
            <v>12642.470000000001</v>
          </cell>
          <cell r="I84">
            <v>69810.05</v>
          </cell>
          <cell r="J84">
            <v>90097</v>
          </cell>
          <cell r="K84" t="str">
            <v>MP</v>
          </cell>
        </row>
        <row r="85">
          <cell r="A85">
            <v>991472</v>
          </cell>
          <cell r="B85">
            <v>8980</v>
          </cell>
          <cell r="C85">
            <v>1066.8900000000001</v>
          </cell>
          <cell r="D85">
            <v>28.44</v>
          </cell>
          <cell r="E85">
            <v>250</v>
          </cell>
          <cell r="F85">
            <v>325</v>
          </cell>
          <cell r="G85">
            <v>1076.83</v>
          </cell>
          <cell r="H85">
            <v>2747.16</v>
          </cell>
          <cell r="I85">
            <v>4572.22</v>
          </cell>
          <cell r="J85">
            <v>93038</v>
          </cell>
          <cell r="K85" t="str">
            <v>MP</v>
          </cell>
        </row>
        <row r="86">
          <cell r="A86">
            <v>991476</v>
          </cell>
          <cell r="B86">
            <v>9632</v>
          </cell>
          <cell r="C86">
            <v>230.77</v>
          </cell>
          <cell r="D86">
            <v>451.87</v>
          </cell>
          <cell r="E86">
            <v>510.42</v>
          </cell>
          <cell r="F86">
            <v>1906.09</v>
          </cell>
          <cell r="G86">
            <v>10266.9</v>
          </cell>
          <cell r="H86">
            <v>13366.05</v>
          </cell>
          <cell r="I86">
            <v>72649.5</v>
          </cell>
          <cell r="J86">
            <v>90614</v>
          </cell>
          <cell r="K86" t="str">
            <v>MP</v>
          </cell>
        </row>
        <row r="87">
          <cell r="A87">
            <v>991480</v>
          </cell>
          <cell r="B87">
            <v>9506</v>
          </cell>
          <cell r="C87">
            <v>185.55</v>
          </cell>
          <cell r="D87">
            <v>81.709999999999994</v>
          </cell>
          <cell r="E87">
            <v>513.03</v>
          </cell>
          <cell r="F87">
            <v>836.64</v>
          </cell>
          <cell r="G87">
            <v>3612.54</v>
          </cell>
          <cell r="H87">
            <v>5229.4699999999993</v>
          </cell>
          <cell r="I87">
            <v>25536.58</v>
          </cell>
          <cell r="J87">
            <v>90061</v>
          </cell>
          <cell r="K87" t="str">
            <v>MP</v>
          </cell>
        </row>
        <row r="88">
          <cell r="A88">
            <v>991484</v>
          </cell>
          <cell r="B88">
            <v>9448</v>
          </cell>
          <cell r="C88">
            <v>15556.05</v>
          </cell>
          <cell r="D88">
            <v>106.16</v>
          </cell>
          <cell r="E88">
            <v>501</v>
          </cell>
          <cell r="F88">
            <v>1350.28</v>
          </cell>
          <cell r="G88">
            <v>5835.96</v>
          </cell>
          <cell r="H88">
            <v>23349.449999999997</v>
          </cell>
          <cell r="I88">
            <v>32970.81</v>
          </cell>
          <cell r="J88">
            <v>91996</v>
          </cell>
          <cell r="K88" t="str">
            <v>MP</v>
          </cell>
        </row>
        <row r="89">
          <cell r="A89">
            <v>991485</v>
          </cell>
          <cell r="B89">
            <v>9592</v>
          </cell>
          <cell r="C89">
            <v>15556.05</v>
          </cell>
          <cell r="D89">
            <v>168.37</v>
          </cell>
          <cell r="E89">
            <v>501</v>
          </cell>
          <cell r="F89">
            <v>1220.8900000000001</v>
          </cell>
          <cell r="G89">
            <v>5145.84</v>
          </cell>
          <cell r="H89">
            <v>22592.15</v>
          </cell>
          <cell r="I89">
            <v>27157.54</v>
          </cell>
          <cell r="J89">
            <v>91996</v>
          </cell>
          <cell r="K89" t="str">
            <v>MP</v>
          </cell>
        </row>
        <row r="90">
          <cell r="A90">
            <v>991487</v>
          </cell>
          <cell r="B90">
            <v>9591</v>
          </cell>
          <cell r="C90">
            <v>15994.63</v>
          </cell>
          <cell r="D90">
            <v>239.96</v>
          </cell>
          <cell r="E90">
            <v>501</v>
          </cell>
          <cell r="F90">
            <v>1492.12</v>
          </cell>
          <cell r="G90">
            <v>6592.42</v>
          </cell>
          <cell r="H90">
            <v>24820.129999999997</v>
          </cell>
          <cell r="I90">
            <v>38702.25</v>
          </cell>
          <cell r="J90">
            <v>92000</v>
          </cell>
          <cell r="K90" t="str">
            <v>MP</v>
          </cell>
        </row>
        <row r="91">
          <cell r="A91">
            <v>991491</v>
          </cell>
          <cell r="B91">
            <v>9292</v>
          </cell>
          <cell r="C91">
            <v>252.46</v>
          </cell>
          <cell r="D91">
            <v>2.64</v>
          </cell>
          <cell r="E91">
            <v>500.64</v>
          </cell>
          <cell r="F91">
            <v>147.13999999999999</v>
          </cell>
          <cell r="G91">
            <v>127.48</v>
          </cell>
          <cell r="H91">
            <v>1030.3599999999999</v>
          </cell>
          <cell r="I91">
            <v>415.87</v>
          </cell>
          <cell r="J91">
            <v>90257</v>
          </cell>
          <cell r="K91" t="str">
            <v>MP</v>
          </cell>
        </row>
        <row r="92">
          <cell r="A92">
            <v>991492</v>
          </cell>
          <cell r="B92">
            <v>9579</v>
          </cell>
          <cell r="C92">
            <v>214.93</v>
          </cell>
          <cell r="D92">
            <v>15.35</v>
          </cell>
          <cell r="E92">
            <v>501.63</v>
          </cell>
          <cell r="F92">
            <v>192.77</v>
          </cell>
          <cell r="G92">
            <v>543.14</v>
          </cell>
          <cell r="H92">
            <v>1467.82</v>
          </cell>
          <cell r="I92">
            <v>2468.39</v>
          </cell>
          <cell r="J92">
            <v>91462</v>
          </cell>
          <cell r="K92" t="str">
            <v>MP</v>
          </cell>
        </row>
        <row r="93">
          <cell r="A93">
            <v>991496</v>
          </cell>
          <cell r="B93">
            <v>9023</v>
          </cell>
          <cell r="C93">
            <v>489.5</v>
          </cell>
          <cell r="D93">
            <v>971.8</v>
          </cell>
          <cell r="E93">
            <v>517.53</v>
          </cell>
          <cell r="F93">
            <v>7079.47</v>
          </cell>
          <cell r="G93">
            <v>42456.85</v>
          </cell>
          <cell r="H93">
            <v>51515.149999999994</v>
          </cell>
          <cell r="I93">
            <v>301801.93</v>
          </cell>
          <cell r="J93">
            <v>90097</v>
          </cell>
          <cell r="K93" t="str">
            <v>MP</v>
          </cell>
        </row>
        <row r="94">
          <cell r="A94">
            <v>991497</v>
          </cell>
          <cell r="B94">
            <v>9267</v>
          </cell>
          <cell r="C94">
            <v>162.71</v>
          </cell>
          <cell r="D94">
            <v>2.94</v>
          </cell>
          <cell r="E94">
            <v>500.64</v>
          </cell>
          <cell r="F94">
            <v>156.43</v>
          </cell>
          <cell r="G94">
            <v>32.5</v>
          </cell>
          <cell r="H94">
            <v>855.22</v>
          </cell>
          <cell r="I94">
            <v>917.84</v>
          </cell>
          <cell r="J94">
            <v>90236</v>
          </cell>
          <cell r="K94" t="str">
            <v>MP</v>
          </cell>
        </row>
        <row r="95">
          <cell r="A95">
            <v>991505</v>
          </cell>
          <cell r="B95">
            <v>9333</v>
          </cell>
          <cell r="C95">
            <v>546.35</v>
          </cell>
          <cell r="D95">
            <v>21.61</v>
          </cell>
          <cell r="E95">
            <v>500.64</v>
          </cell>
          <cell r="F95">
            <v>223</v>
          </cell>
          <cell r="G95">
            <v>768.05</v>
          </cell>
          <cell r="H95">
            <v>2059.6499999999996</v>
          </cell>
          <cell r="I95">
            <v>3474.23</v>
          </cell>
          <cell r="J95">
            <v>90442</v>
          </cell>
          <cell r="K95" t="str">
            <v>MP</v>
          </cell>
        </row>
        <row r="96">
          <cell r="A96">
            <v>991508</v>
          </cell>
          <cell r="B96">
            <v>8981</v>
          </cell>
          <cell r="C96">
            <v>274.97000000000003</v>
          </cell>
          <cell r="D96">
            <v>3.95</v>
          </cell>
          <cell r="E96">
            <v>450.8</v>
          </cell>
          <cell r="F96">
            <v>146.33000000000001</v>
          </cell>
          <cell r="G96">
            <v>76.180000000000007</v>
          </cell>
          <cell r="H96">
            <v>952.23</v>
          </cell>
          <cell r="I96">
            <v>357.68</v>
          </cell>
          <cell r="J96">
            <v>92302</v>
          </cell>
          <cell r="K96" t="str">
            <v>MP</v>
          </cell>
        </row>
        <row r="97">
          <cell r="A97">
            <v>991516</v>
          </cell>
          <cell r="B97">
            <v>9028</v>
          </cell>
          <cell r="C97">
            <v>4157.49</v>
          </cell>
          <cell r="D97">
            <v>20.86</v>
          </cell>
          <cell r="E97">
            <v>517.53</v>
          </cell>
          <cell r="F97">
            <v>481.31</v>
          </cell>
          <cell r="G97">
            <v>1278.9100000000001</v>
          </cell>
          <cell r="H97">
            <v>6456.0999999999995</v>
          </cell>
          <cell r="I97">
            <v>6479.19</v>
          </cell>
          <cell r="J97">
            <v>91999</v>
          </cell>
          <cell r="K97" t="str">
            <v>MP</v>
          </cell>
        </row>
        <row r="98">
          <cell r="A98">
            <v>991518</v>
          </cell>
          <cell r="B98">
            <v>9507</v>
          </cell>
          <cell r="C98">
            <v>139.97</v>
          </cell>
          <cell r="D98">
            <v>67.33</v>
          </cell>
          <cell r="E98">
            <v>513.03</v>
          </cell>
          <cell r="F98">
            <v>734.05</v>
          </cell>
          <cell r="G98">
            <v>2974.23</v>
          </cell>
          <cell r="H98">
            <v>4428.6099999999997</v>
          </cell>
          <cell r="I98">
            <v>21037.21</v>
          </cell>
          <cell r="J98">
            <v>91323</v>
          </cell>
          <cell r="K98" t="str">
            <v>MP</v>
          </cell>
        </row>
        <row r="99">
          <cell r="A99">
            <v>991541</v>
          </cell>
          <cell r="B99">
            <v>9473</v>
          </cell>
          <cell r="C99">
            <v>183.93</v>
          </cell>
          <cell r="D99">
            <v>86.51</v>
          </cell>
          <cell r="E99">
            <v>501.63</v>
          </cell>
          <cell r="F99">
            <v>870.49</v>
          </cell>
          <cell r="G99">
            <v>3823.16</v>
          </cell>
          <cell r="H99">
            <v>5465.7199999999993</v>
          </cell>
          <cell r="I99">
            <v>27037.86</v>
          </cell>
          <cell r="J99">
            <v>91982</v>
          </cell>
          <cell r="K99" t="str">
            <v>MP</v>
          </cell>
        </row>
        <row r="100">
          <cell r="A100">
            <v>991543</v>
          </cell>
          <cell r="B100">
            <v>9387</v>
          </cell>
          <cell r="C100">
            <v>331.34</v>
          </cell>
          <cell r="D100">
            <v>39.65</v>
          </cell>
          <cell r="E100">
            <v>501</v>
          </cell>
          <cell r="F100">
            <v>307.18</v>
          </cell>
          <cell r="G100">
            <v>944.27</v>
          </cell>
          <cell r="H100">
            <v>2123.44</v>
          </cell>
          <cell r="I100">
            <v>6373.77</v>
          </cell>
          <cell r="J100">
            <v>93021</v>
          </cell>
          <cell r="K100" t="str">
            <v>MP</v>
          </cell>
        </row>
        <row r="101">
          <cell r="A101">
            <v>991555</v>
          </cell>
          <cell r="B101">
            <v>9140</v>
          </cell>
          <cell r="C101">
            <v>213.18</v>
          </cell>
          <cell r="D101">
            <v>421.03</v>
          </cell>
          <cell r="E101">
            <v>511.62</v>
          </cell>
          <cell r="F101">
            <v>1798.27</v>
          </cell>
          <cell r="G101">
            <v>9596.0499999999993</v>
          </cell>
          <cell r="H101">
            <v>12540.15</v>
          </cell>
          <cell r="I101">
            <v>67909.03</v>
          </cell>
          <cell r="J101">
            <v>91324</v>
          </cell>
          <cell r="K101" t="str">
            <v>MP</v>
          </cell>
        </row>
        <row r="102">
          <cell r="A102">
            <v>991557</v>
          </cell>
          <cell r="B102">
            <v>9159</v>
          </cell>
          <cell r="C102">
            <v>454.66</v>
          </cell>
          <cell r="D102">
            <v>1252.33</v>
          </cell>
          <cell r="E102">
            <v>511.62</v>
          </cell>
          <cell r="F102">
            <v>4839.18</v>
          </cell>
          <cell r="G102">
            <v>28517.24</v>
          </cell>
          <cell r="H102">
            <v>35575.03</v>
          </cell>
          <cell r="I102">
            <v>201987.58</v>
          </cell>
          <cell r="J102">
            <v>92018</v>
          </cell>
          <cell r="K102" t="str">
            <v>MP</v>
          </cell>
        </row>
        <row r="103">
          <cell r="A103">
            <v>991559</v>
          </cell>
          <cell r="B103">
            <v>9334</v>
          </cell>
          <cell r="C103">
            <v>174.09</v>
          </cell>
          <cell r="D103">
            <v>5.0199999999999996</v>
          </cell>
          <cell r="E103">
            <v>500.64</v>
          </cell>
          <cell r="F103">
            <v>171.19</v>
          </cell>
          <cell r="G103">
            <v>330.49</v>
          </cell>
          <cell r="H103">
            <v>1181.43</v>
          </cell>
          <cell r="I103">
            <v>1560.33</v>
          </cell>
          <cell r="J103">
            <v>92001</v>
          </cell>
          <cell r="K103" t="str">
            <v>MP</v>
          </cell>
        </row>
        <row r="104">
          <cell r="A104">
            <v>991560</v>
          </cell>
          <cell r="B104">
            <v>9335</v>
          </cell>
          <cell r="C104">
            <v>158.54</v>
          </cell>
          <cell r="D104">
            <v>18.27</v>
          </cell>
          <cell r="E104">
            <v>500.64</v>
          </cell>
          <cell r="F104">
            <v>269.08</v>
          </cell>
          <cell r="G104">
            <v>824.36</v>
          </cell>
          <cell r="H104">
            <v>1770.8899999999999</v>
          </cell>
          <cell r="I104">
            <v>5711.47</v>
          </cell>
          <cell r="J104">
            <v>91147</v>
          </cell>
          <cell r="K104" t="str">
            <v>MP</v>
          </cell>
        </row>
        <row r="105">
          <cell r="A105">
            <v>991562</v>
          </cell>
          <cell r="B105">
            <v>9595</v>
          </cell>
          <cell r="C105">
            <v>3752.65</v>
          </cell>
          <cell r="D105">
            <v>112.17</v>
          </cell>
          <cell r="E105">
            <v>501</v>
          </cell>
          <cell r="F105">
            <v>748.8</v>
          </cell>
          <cell r="G105">
            <v>2627.98</v>
          </cell>
          <cell r="H105">
            <v>7742.6</v>
          </cell>
          <cell r="I105">
            <v>18035</v>
          </cell>
          <cell r="J105">
            <v>92299</v>
          </cell>
          <cell r="K105" t="str">
            <v>MP</v>
          </cell>
        </row>
        <row r="106">
          <cell r="A106">
            <v>991566</v>
          </cell>
          <cell r="B106">
            <v>8998</v>
          </cell>
          <cell r="C106">
            <v>417.33</v>
          </cell>
          <cell r="D106">
            <v>180.81</v>
          </cell>
          <cell r="E106">
            <v>516.6</v>
          </cell>
          <cell r="F106">
            <v>1536.28</v>
          </cell>
          <cell r="G106">
            <v>2844.96</v>
          </cell>
          <cell r="H106">
            <v>5495.98</v>
          </cell>
          <cell r="I106">
            <v>56301.13</v>
          </cell>
          <cell r="J106">
            <v>90097</v>
          </cell>
          <cell r="K106" t="str">
            <v>MP</v>
          </cell>
        </row>
        <row r="107">
          <cell r="A107">
            <v>991570</v>
          </cell>
          <cell r="B107">
            <v>9474</v>
          </cell>
          <cell r="C107">
            <v>413.84</v>
          </cell>
          <cell r="D107">
            <v>234.34</v>
          </cell>
          <cell r="E107">
            <v>501.63</v>
          </cell>
          <cell r="F107">
            <v>1918.37</v>
          </cell>
          <cell r="G107">
            <v>10343.36</v>
          </cell>
          <cell r="H107">
            <v>13411.54</v>
          </cell>
          <cell r="I107">
            <v>73232.960000000006</v>
          </cell>
          <cell r="J107">
            <v>90062</v>
          </cell>
          <cell r="K107" t="str">
            <v>MP</v>
          </cell>
        </row>
        <row r="108">
          <cell r="A108">
            <v>991571</v>
          </cell>
          <cell r="B108">
            <v>9430</v>
          </cell>
          <cell r="C108">
            <v>162.71</v>
          </cell>
          <cell r="D108">
            <v>13.88</v>
          </cell>
          <cell r="E108">
            <v>500.64</v>
          </cell>
          <cell r="F108">
            <v>233.64</v>
          </cell>
          <cell r="G108">
            <v>632.16999999999996</v>
          </cell>
          <cell r="H108">
            <v>1543.04</v>
          </cell>
          <cell r="I108">
            <v>4338.88</v>
          </cell>
          <cell r="J108">
            <v>90496</v>
          </cell>
          <cell r="K108" t="str">
            <v>MP</v>
          </cell>
        </row>
        <row r="109">
          <cell r="A109">
            <v>991578</v>
          </cell>
          <cell r="B109">
            <v>9294</v>
          </cell>
          <cell r="C109">
            <v>256.61</v>
          </cell>
          <cell r="D109">
            <v>6.86</v>
          </cell>
          <cell r="E109">
            <v>500.64</v>
          </cell>
          <cell r="F109">
            <v>139.93</v>
          </cell>
          <cell r="G109">
            <v>66.55</v>
          </cell>
          <cell r="H109">
            <v>970.58999999999992</v>
          </cell>
          <cell r="I109">
            <v>86.78</v>
          </cell>
          <cell r="J109">
            <v>91250</v>
          </cell>
          <cell r="K109" t="str">
            <v>MP</v>
          </cell>
        </row>
        <row r="110">
          <cell r="A110">
            <v>991588</v>
          </cell>
          <cell r="B110">
            <v>8999</v>
          </cell>
          <cell r="C110">
            <v>545.46</v>
          </cell>
          <cell r="D110">
            <v>131.22</v>
          </cell>
          <cell r="E110">
            <v>516.6</v>
          </cell>
          <cell r="F110">
            <v>726.17</v>
          </cell>
          <cell r="G110">
            <v>2716.26</v>
          </cell>
          <cell r="H110">
            <v>4635.7100000000009</v>
          </cell>
          <cell r="I110">
            <v>20217.62</v>
          </cell>
          <cell r="J110">
            <v>92109</v>
          </cell>
          <cell r="K110" t="str">
            <v>MP</v>
          </cell>
        </row>
        <row r="111">
          <cell r="A111">
            <v>991589</v>
          </cell>
          <cell r="B111">
            <v>9170</v>
          </cell>
          <cell r="C111">
            <v>156.96</v>
          </cell>
          <cell r="D111">
            <v>223.6</v>
          </cell>
          <cell r="E111">
            <v>501.6</v>
          </cell>
          <cell r="F111">
            <v>1073.3499999999999</v>
          </cell>
          <cell r="G111">
            <v>5085.4399999999996</v>
          </cell>
          <cell r="H111">
            <v>7040.95</v>
          </cell>
          <cell r="I111">
            <v>35949</v>
          </cell>
          <cell r="J111">
            <v>90086</v>
          </cell>
          <cell r="K111" t="str">
            <v>MP</v>
          </cell>
        </row>
        <row r="112">
          <cell r="A112">
            <v>991590</v>
          </cell>
          <cell r="B112">
            <v>9337</v>
          </cell>
          <cell r="C112">
            <v>458.2</v>
          </cell>
          <cell r="D112">
            <v>92.37</v>
          </cell>
          <cell r="E112">
            <v>500.64</v>
          </cell>
          <cell r="F112">
            <v>614.79999999999995</v>
          </cell>
          <cell r="G112">
            <v>3029.44</v>
          </cell>
          <cell r="H112">
            <v>4695.45</v>
          </cell>
          <cell r="I112">
            <v>15393.83</v>
          </cell>
          <cell r="J112">
            <v>90424</v>
          </cell>
          <cell r="K112" t="str">
            <v>MP</v>
          </cell>
        </row>
        <row r="113">
          <cell r="A113">
            <v>991591</v>
          </cell>
          <cell r="B113">
            <v>9488</v>
          </cell>
          <cell r="C113">
            <v>211.39</v>
          </cell>
          <cell r="D113">
            <v>8.1199999999999992</v>
          </cell>
          <cell r="E113">
            <v>501</v>
          </cell>
          <cell r="F113">
            <v>166.32</v>
          </cell>
          <cell r="G113">
            <v>289.42</v>
          </cell>
          <cell r="H113">
            <v>1176.25</v>
          </cell>
          <cell r="I113">
            <v>1304.03</v>
          </cell>
          <cell r="J113">
            <v>93030</v>
          </cell>
          <cell r="K113" t="str">
            <v>MP</v>
          </cell>
        </row>
        <row r="114">
          <cell r="A114">
            <v>991595</v>
          </cell>
          <cell r="B114">
            <v>9338</v>
          </cell>
          <cell r="C114">
            <v>148.01</v>
          </cell>
          <cell r="D114">
            <v>13.15</v>
          </cell>
          <cell r="E114">
            <v>500.64</v>
          </cell>
          <cell r="F114">
            <v>228.15</v>
          </cell>
          <cell r="G114">
            <v>128.13</v>
          </cell>
          <cell r="H114">
            <v>1018.0799999999999</v>
          </cell>
          <cell r="I114">
            <v>4109.42</v>
          </cell>
          <cell r="J114">
            <v>92166</v>
          </cell>
          <cell r="K114" t="str">
            <v>MP</v>
          </cell>
        </row>
        <row r="115">
          <cell r="A115">
            <v>991597</v>
          </cell>
          <cell r="B115">
            <v>9082</v>
          </cell>
          <cell r="C115">
            <v>303</v>
          </cell>
          <cell r="D115">
            <v>108.3</v>
          </cell>
          <cell r="E115">
            <v>519.41999999999996</v>
          </cell>
          <cell r="F115">
            <v>1026.83</v>
          </cell>
          <cell r="G115">
            <v>7193.91</v>
          </cell>
          <cell r="H115">
            <v>9151.4599999999991</v>
          </cell>
          <cell r="I115">
            <v>33845.410000000003</v>
          </cell>
          <cell r="J115">
            <v>90506</v>
          </cell>
          <cell r="K115" t="str">
            <v>MP</v>
          </cell>
        </row>
        <row r="116">
          <cell r="A116">
            <v>991601</v>
          </cell>
          <cell r="B116">
            <v>9344</v>
          </cell>
          <cell r="C116">
            <v>179.4</v>
          </cell>
          <cell r="D116">
            <v>0.9</v>
          </cell>
          <cell r="E116">
            <v>500.64</v>
          </cell>
          <cell r="F116">
            <v>142.49</v>
          </cell>
          <cell r="G116">
            <v>97.44</v>
          </cell>
          <cell r="H116">
            <v>920.87000000000012</v>
          </cell>
          <cell r="I116">
            <v>283.7</v>
          </cell>
          <cell r="J116">
            <v>91681</v>
          </cell>
          <cell r="K116" t="str">
            <v>MP</v>
          </cell>
        </row>
        <row r="117">
          <cell r="A117">
            <v>991602</v>
          </cell>
          <cell r="B117">
            <v>9688</v>
          </cell>
          <cell r="C117">
            <v>377.04</v>
          </cell>
          <cell r="D117">
            <v>194.97</v>
          </cell>
          <cell r="E117">
            <v>505.53</v>
          </cell>
          <cell r="F117">
            <v>1631.31</v>
          </cell>
          <cell r="G117">
            <v>3697.53</v>
          </cell>
          <cell r="H117">
            <v>6406.38</v>
          </cell>
          <cell r="I117">
            <v>60550.7</v>
          </cell>
          <cell r="J117">
            <v>90061</v>
          </cell>
          <cell r="K117" t="str">
            <v>MP</v>
          </cell>
        </row>
        <row r="118">
          <cell r="A118">
            <v>991604</v>
          </cell>
          <cell r="B118">
            <v>9589</v>
          </cell>
          <cell r="C118">
            <v>1052.22</v>
          </cell>
          <cell r="D118">
            <v>239.16</v>
          </cell>
          <cell r="E118">
            <v>501.63</v>
          </cell>
          <cell r="F118">
            <v>1956.21</v>
          </cell>
          <cell r="G118">
            <v>15112.54</v>
          </cell>
          <cell r="H118">
            <v>18861.760000000002</v>
          </cell>
          <cell r="I118">
            <v>74271.34</v>
          </cell>
          <cell r="J118">
            <v>92224</v>
          </cell>
          <cell r="K118" t="str">
            <v>MP</v>
          </cell>
        </row>
        <row r="119">
          <cell r="A119">
            <v>991611</v>
          </cell>
          <cell r="B119">
            <v>9175</v>
          </cell>
          <cell r="C119">
            <v>1531.55</v>
          </cell>
          <cell r="D119">
            <v>162.28</v>
          </cell>
          <cell r="E119">
            <v>501.6</v>
          </cell>
          <cell r="F119">
            <v>1428.17</v>
          </cell>
          <cell r="G119">
            <v>6772.27</v>
          </cell>
          <cell r="H119">
            <v>10395.870000000001</v>
          </cell>
          <cell r="I119">
            <v>50400.77</v>
          </cell>
          <cell r="J119">
            <v>92107</v>
          </cell>
          <cell r="K119" t="str">
            <v>MP</v>
          </cell>
        </row>
        <row r="120">
          <cell r="A120">
            <v>991613</v>
          </cell>
          <cell r="B120">
            <v>9343</v>
          </cell>
          <cell r="C120">
            <v>64.03</v>
          </cell>
          <cell r="D120">
            <v>33.26</v>
          </cell>
          <cell r="E120">
            <v>500.64</v>
          </cell>
          <cell r="F120">
            <v>254.58</v>
          </cell>
          <cell r="G120">
            <v>1034.67</v>
          </cell>
          <cell r="H120">
            <v>1887.18</v>
          </cell>
          <cell r="I120">
            <v>5347.74</v>
          </cell>
          <cell r="J120">
            <v>90086</v>
          </cell>
          <cell r="K120" t="str">
            <v>MP</v>
          </cell>
        </row>
        <row r="121">
          <cell r="A121">
            <v>991614</v>
          </cell>
          <cell r="B121">
            <v>9377</v>
          </cell>
          <cell r="C121">
            <v>538.25</v>
          </cell>
          <cell r="D121">
            <v>22.71</v>
          </cell>
          <cell r="E121">
            <v>500.64</v>
          </cell>
          <cell r="F121">
            <v>226.84</v>
          </cell>
          <cell r="G121">
            <v>884.71</v>
          </cell>
          <cell r="H121">
            <v>2173.1499999999996</v>
          </cell>
          <cell r="I121">
            <v>3651.97</v>
          </cell>
          <cell r="J121">
            <v>91375</v>
          </cell>
          <cell r="K121" t="str">
            <v>MP</v>
          </cell>
        </row>
        <row r="122">
          <cell r="A122">
            <v>991615</v>
          </cell>
          <cell r="B122">
            <v>9342</v>
          </cell>
          <cell r="C122">
            <v>155.5</v>
          </cell>
          <cell r="D122">
            <v>0.08</v>
          </cell>
          <cell r="E122">
            <v>500.64</v>
          </cell>
          <cell r="F122">
            <v>135.83000000000001</v>
          </cell>
          <cell r="G122">
            <v>31.9</v>
          </cell>
          <cell r="H122">
            <v>823.95</v>
          </cell>
          <cell r="I122">
            <v>12.35</v>
          </cell>
          <cell r="J122">
            <v>93013</v>
          </cell>
          <cell r="K122" t="str">
            <v>MP</v>
          </cell>
        </row>
        <row r="123">
          <cell r="A123">
            <v>991616</v>
          </cell>
          <cell r="B123">
            <v>9176</v>
          </cell>
          <cell r="C123">
            <v>6690.07</v>
          </cell>
          <cell r="D123">
            <v>1435.75</v>
          </cell>
          <cell r="E123">
            <v>501.6</v>
          </cell>
          <cell r="F123">
            <v>1039.0999999999999</v>
          </cell>
          <cell r="G123">
            <v>6264.44</v>
          </cell>
          <cell r="H123">
            <v>15930.96</v>
          </cell>
          <cell r="I123">
            <v>27939.19</v>
          </cell>
          <cell r="J123">
            <v>92158</v>
          </cell>
          <cell r="K123" t="str">
            <v>MP</v>
          </cell>
        </row>
        <row r="124">
          <cell r="A124">
            <v>991617</v>
          </cell>
          <cell r="B124">
            <v>9341</v>
          </cell>
          <cell r="C124">
            <v>295.60000000000002</v>
          </cell>
          <cell r="D124">
            <v>4.62</v>
          </cell>
          <cell r="E124">
            <v>500.64</v>
          </cell>
          <cell r="F124">
            <v>155.51</v>
          </cell>
          <cell r="G124">
            <v>198.12</v>
          </cell>
          <cell r="H124">
            <v>1154.49</v>
          </cell>
          <cell r="I124">
            <v>742.71</v>
          </cell>
          <cell r="J124">
            <v>93006</v>
          </cell>
          <cell r="K124" t="str">
            <v>MP</v>
          </cell>
        </row>
        <row r="125">
          <cell r="A125">
            <v>991618</v>
          </cell>
          <cell r="B125">
            <v>9295</v>
          </cell>
          <cell r="C125">
            <v>706.94</v>
          </cell>
          <cell r="D125">
            <v>15.74</v>
          </cell>
          <cell r="E125">
            <v>500.64</v>
          </cell>
          <cell r="F125">
            <v>207.76</v>
          </cell>
          <cell r="G125">
            <v>639.38</v>
          </cell>
          <cell r="H125">
            <v>2070.46</v>
          </cell>
          <cell r="I125">
            <v>2642.49</v>
          </cell>
          <cell r="J125">
            <v>93006</v>
          </cell>
          <cell r="K125" t="str">
            <v>MP</v>
          </cell>
        </row>
        <row r="126">
          <cell r="A126">
            <v>991619</v>
          </cell>
          <cell r="B126">
            <v>9296</v>
          </cell>
          <cell r="C126">
            <v>510.21</v>
          </cell>
          <cell r="D126">
            <v>5.77</v>
          </cell>
          <cell r="E126">
            <v>500.64</v>
          </cell>
          <cell r="F126">
            <v>164.28</v>
          </cell>
          <cell r="G126">
            <v>243.49</v>
          </cell>
          <cell r="H126">
            <v>1424.39</v>
          </cell>
          <cell r="I126">
            <v>916.33</v>
          </cell>
          <cell r="J126">
            <v>91821</v>
          </cell>
          <cell r="K126" t="str">
            <v>MP</v>
          </cell>
        </row>
        <row r="127">
          <cell r="A127">
            <v>991620</v>
          </cell>
          <cell r="B127">
            <v>9340</v>
          </cell>
          <cell r="C127">
            <v>160.63999999999999</v>
          </cell>
          <cell r="D127">
            <v>2.72</v>
          </cell>
          <cell r="E127">
            <v>500.64</v>
          </cell>
          <cell r="F127">
            <v>154.88</v>
          </cell>
          <cell r="G127">
            <v>142.02000000000001</v>
          </cell>
          <cell r="H127">
            <v>960.9</v>
          </cell>
          <cell r="I127">
            <v>851.09</v>
          </cell>
          <cell r="J127">
            <v>91311</v>
          </cell>
          <cell r="K127" t="str">
            <v>MP</v>
          </cell>
        </row>
        <row r="128">
          <cell r="A128">
            <v>991621</v>
          </cell>
          <cell r="B128">
            <v>9598</v>
          </cell>
          <cell r="C128">
            <v>198.81</v>
          </cell>
          <cell r="D128">
            <v>16.739999999999998</v>
          </cell>
          <cell r="E128">
            <v>500.64</v>
          </cell>
          <cell r="F128">
            <v>200.35</v>
          </cell>
          <cell r="G128">
            <v>576.79999999999995</v>
          </cell>
          <cell r="H128">
            <v>1493.3400000000001</v>
          </cell>
          <cell r="I128">
            <v>2822.27</v>
          </cell>
          <cell r="J128">
            <v>91462</v>
          </cell>
          <cell r="K128" t="str">
            <v>MP</v>
          </cell>
        </row>
        <row r="129">
          <cell r="A129">
            <v>991623</v>
          </cell>
          <cell r="B129">
            <v>9475</v>
          </cell>
          <cell r="C129">
            <v>253.32</v>
          </cell>
          <cell r="D129">
            <v>655.61</v>
          </cell>
          <cell r="E129">
            <v>501.63</v>
          </cell>
          <cell r="F129">
            <v>2655.73</v>
          </cell>
          <cell r="G129">
            <v>14931.35</v>
          </cell>
          <cell r="H129">
            <v>18997.64</v>
          </cell>
          <cell r="I129">
            <v>105743.6</v>
          </cell>
          <cell r="J129">
            <v>90097</v>
          </cell>
          <cell r="K129" t="str">
            <v>MP</v>
          </cell>
        </row>
        <row r="130">
          <cell r="A130">
            <v>991624</v>
          </cell>
          <cell r="B130">
            <v>9508</v>
          </cell>
          <cell r="C130">
            <v>103.56</v>
          </cell>
          <cell r="D130">
            <v>96.89</v>
          </cell>
          <cell r="E130">
            <v>513.03</v>
          </cell>
          <cell r="F130">
            <v>611.04</v>
          </cell>
          <cell r="G130">
            <v>2997.7</v>
          </cell>
          <cell r="H130">
            <v>4322.2199999999993</v>
          </cell>
          <cell r="I130">
            <v>15576.79</v>
          </cell>
          <cell r="J130">
            <v>91953</v>
          </cell>
          <cell r="K130" t="str">
            <v>MP</v>
          </cell>
        </row>
        <row r="131">
          <cell r="A131">
            <v>991632</v>
          </cell>
          <cell r="B131">
            <v>9000</v>
          </cell>
          <cell r="C131">
            <v>201.47</v>
          </cell>
          <cell r="D131">
            <v>345.92</v>
          </cell>
          <cell r="E131">
            <v>516.6</v>
          </cell>
          <cell r="F131">
            <v>1523.7</v>
          </cell>
          <cell r="G131">
            <v>7887.63</v>
          </cell>
          <cell r="H131">
            <v>10475.32</v>
          </cell>
          <cell r="I131">
            <v>55792.800000000003</v>
          </cell>
          <cell r="J131">
            <v>91333</v>
          </cell>
          <cell r="K131" t="str">
            <v>MP</v>
          </cell>
        </row>
        <row r="132">
          <cell r="A132">
            <v>991634</v>
          </cell>
          <cell r="B132">
            <v>9388</v>
          </cell>
          <cell r="C132">
            <v>362.54</v>
          </cell>
          <cell r="D132">
            <v>25</v>
          </cell>
          <cell r="E132">
            <v>501</v>
          </cell>
          <cell r="F132">
            <v>231.48</v>
          </cell>
          <cell r="G132">
            <v>839.66</v>
          </cell>
          <cell r="H132">
            <v>1959.6799999999998</v>
          </cell>
          <cell r="I132">
            <v>4031.71</v>
          </cell>
          <cell r="J132">
            <v>92285</v>
          </cell>
          <cell r="K132" t="str">
            <v>MP</v>
          </cell>
        </row>
        <row r="133">
          <cell r="A133">
            <v>991637</v>
          </cell>
          <cell r="B133">
            <v>9381</v>
          </cell>
          <cell r="C133">
            <v>1189.3599999999999</v>
          </cell>
          <cell r="D133">
            <v>43.17</v>
          </cell>
          <cell r="E133">
            <v>500.64</v>
          </cell>
          <cell r="F133">
            <v>371.75</v>
          </cell>
          <cell r="G133">
            <v>1557.16</v>
          </cell>
          <cell r="H133">
            <v>3662.08</v>
          </cell>
          <cell r="I133">
            <v>6963.05</v>
          </cell>
          <cell r="J133">
            <v>93072</v>
          </cell>
          <cell r="K133" t="str">
            <v>MP</v>
          </cell>
        </row>
        <row r="134">
          <cell r="A134">
            <v>991643</v>
          </cell>
          <cell r="B134">
            <v>9583</v>
          </cell>
          <cell r="C134">
            <v>15556.05</v>
          </cell>
          <cell r="D134">
            <v>253.51</v>
          </cell>
          <cell r="E134">
            <v>501</v>
          </cell>
          <cell r="F134">
            <v>1181.73</v>
          </cell>
          <cell r="G134">
            <v>7816.94</v>
          </cell>
          <cell r="H134">
            <v>25309.23</v>
          </cell>
          <cell r="I134">
            <v>25332.23</v>
          </cell>
          <cell r="J134">
            <v>91996</v>
          </cell>
          <cell r="K134" t="str">
            <v>MP</v>
          </cell>
        </row>
        <row r="135">
          <cell r="A135">
            <v>991644</v>
          </cell>
          <cell r="B135">
            <v>9622</v>
          </cell>
          <cell r="C135">
            <v>6228.57</v>
          </cell>
          <cell r="D135">
            <v>132.63</v>
          </cell>
          <cell r="E135">
            <v>501.63</v>
          </cell>
          <cell r="F135">
            <v>740.33</v>
          </cell>
          <cell r="G135">
            <v>2582.8200000000002</v>
          </cell>
          <cell r="H135">
            <v>10185.98</v>
          </cell>
          <cell r="I135">
            <v>15162.27</v>
          </cell>
          <cell r="J135">
            <v>91997</v>
          </cell>
          <cell r="K135" t="str">
            <v>MP</v>
          </cell>
        </row>
        <row r="136">
          <cell r="A136">
            <v>991645</v>
          </cell>
          <cell r="B136">
            <v>9764</v>
          </cell>
          <cell r="C136">
            <v>6358.2</v>
          </cell>
          <cell r="D136">
            <v>162.44999999999999</v>
          </cell>
          <cell r="E136">
            <v>512.07000000000005</v>
          </cell>
          <cell r="F136">
            <v>847.31</v>
          </cell>
          <cell r="G136">
            <v>3153.4</v>
          </cell>
          <cell r="H136">
            <v>11033.429999999998</v>
          </cell>
          <cell r="I136">
            <v>19757.66</v>
          </cell>
          <cell r="J136">
            <v>91997</v>
          </cell>
          <cell r="K136" t="str">
            <v>MP</v>
          </cell>
        </row>
        <row r="137">
          <cell r="A137">
            <v>991646</v>
          </cell>
          <cell r="B137">
            <v>9677</v>
          </cell>
          <cell r="C137">
            <v>15773.15</v>
          </cell>
          <cell r="D137">
            <v>148.80000000000001</v>
          </cell>
          <cell r="E137">
            <v>501</v>
          </cell>
          <cell r="F137">
            <v>1654.07</v>
          </cell>
          <cell r="G137">
            <v>7456.1</v>
          </cell>
          <cell r="H137">
            <v>25533.119999999995</v>
          </cell>
          <cell r="I137">
            <v>46212.24</v>
          </cell>
          <cell r="J137">
            <v>91996</v>
          </cell>
          <cell r="K137" t="str">
            <v>MP</v>
          </cell>
        </row>
        <row r="138">
          <cell r="A138">
            <v>991647</v>
          </cell>
          <cell r="B138">
            <v>9633</v>
          </cell>
          <cell r="C138">
            <v>15848.54</v>
          </cell>
          <cell r="D138">
            <v>109.06</v>
          </cell>
          <cell r="E138">
            <v>510.42</v>
          </cell>
          <cell r="F138">
            <v>1010.85</v>
          </cell>
          <cell r="G138">
            <v>6038.4</v>
          </cell>
          <cell r="H138">
            <v>23517.269999999997</v>
          </cell>
          <cell r="I138">
            <v>17589.07</v>
          </cell>
          <cell r="J138">
            <v>91996</v>
          </cell>
          <cell r="K138" t="str">
            <v>MP</v>
          </cell>
        </row>
        <row r="139">
          <cell r="A139">
            <v>991652</v>
          </cell>
          <cell r="B139">
            <v>9297</v>
          </cell>
          <cell r="C139">
            <v>256.61</v>
          </cell>
          <cell r="D139">
            <v>13.2</v>
          </cell>
          <cell r="E139">
            <v>500.64</v>
          </cell>
          <cell r="F139">
            <v>185.9</v>
          </cell>
          <cell r="G139">
            <v>454.79</v>
          </cell>
          <cell r="H139">
            <v>1411.14</v>
          </cell>
          <cell r="I139">
            <v>2122.0300000000002</v>
          </cell>
          <cell r="J139">
            <v>91868</v>
          </cell>
          <cell r="K139" t="str">
            <v>MP</v>
          </cell>
        </row>
        <row r="140">
          <cell r="A140">
            <v>991654</v>
          </cell>
          <cell r="B140">
            <v>9626</v>
          </cell>
          <cell r="C140">
            <v>313.27</v>
          </cell>
          <cell r="D140">
            <v>104.76</v>
          </cell>
          <cell r="E140">
            <v>501</v>
          </cell>
          <cell r="F140">
            <v>632.34</v>
          </cell>
          <cell r="G140">
            <v>3177.55</v>
          </cell>
          <cell r="H140">
            <v>4728.92</v>
          </cell>
          <cell r="I140">
            <v>16305.93</v>
          </cell>
          <cell r="J140">
            <v>93020</v>
          </cell>
          <cell r="K140" t="str">
            <v>MP</v>
          </cell>
        </row>
        <row r="141">
          <cell r="A141">
            <v>991655</v>
          </cell>
          <cell r="B141">
            <v>9634</v>
          </cell>
          <cell r="C141">
            <v>192.94</v>
          </cell>
          <cell r="D141">
            <v>110.35</v>
          </cell>
          <cell r="E141">
            <v>510.42</v>
          </cell>
          <cell r="F141">
            <v>1038.76</v>
          </cell>
          <cell r="G141">
            <v>1043.6199999999999</v>
          </cell>
          <cell r="H141">
            <v>2896.09</v>
          </cell>
          <cell r="I141">
            <v>34483.980000000003</v>
          </cell>
          <cell r="J141">
            <v>90061</v>
          </cell>
          <cell r="K141" t="str">
            <v>MP</v>
          </cell>
        </row>
        <row r="142">
          <cell r="A142">
            <v>991656</v>
          </cell>
          <cell r="B142">
            <v>9011</v>
          </cell>
          <cell r="C142">
            <v>810.8</v>
          </cell>
          <cell r="D142">
            <v>94.66</v>
          </cell>
          <cell r="E142">
            <v>517.53</v>
          </cell>
          <cell r="F142">
            <v>600.6</v>
          </cell>
          <cell r="G142">
            <v>2909.56</v>
          </cell>
          <cell r="H142">
            <v>4933.1499999999996</v>
          </cell>
          <cell r="I142">
            <v>14408.04</v>
          </cell>
          <cell r="J142">
            <v>92323</v>
          </cell>
          <cell r="K142" t="str">
            <v>MP</v>
          </cell>
        </row>
        <row r="143">
          <cell r="A143">
            <v>991657</v>
          </cell>
          <cell r="B143">
            <v>9286</v>
          </cell>
          <cell r="C143">
            <v>866.1</v>
          </cell>
          <cell r="D143">
            <v>108.58</v>
          </cell>
          <cell r="E143">
            <v>501.6</v>
          </cell>
          <cell r="F143">
            <v>670.73</v>
          </cell>
          <cell r="G143">
            <v>3501.77</v>
          </cell>
          <cell r="H143">
            <v>5648.7800000000007</v>
          </cell>
          <cell r="I143">
            <v>17455.68</v>
          </cell>
          <cell r="J143">
            <v>92323</v>
          </cell>
          <cell r="K143" t="str">
            <v>MP</v>
          </cell>
        </row>
        <row r="144">
          <cell r="A144">
            <v>991659</v>
          </cell>
          <cell r="B144">
            <v>9298</v>
          </cell>
          <cell r="C144">
            <v>159.37</v>
          </cell>
          <cell r="D144">
            <v>3.44</v>
          </cell>
          <cell r="E144">
            <v>500.64</v>
          </cell>
          <cell r="F144">
            <v>159.91999999999999</v>
          </cell>
          <cell r="G144">
            <v>161.05000000000001</v>
          </cell>
          <cell r="H144">
            <v>984.42000000000007</v>
          </cell>
          <cell r="I144">
            <v>1076.04</v>
          </cell>
          <cell r="J144">
            <v>90219</v>
          </cell>
          <cell r="K144" t="str">
            <v>MP</v>
          </cell>
        </row>
        <row r="145">
          <cell r="A145">
            <v>991662</v>
          </cell>
          <cell r="B145">
            <v>9001</v>
          </cell>
          <cell r="C145">
            <v>198.03</v>
          </cell>
          <cell r="D145">
            <v>28.93</v>
          </cell>
          <cell r="E145">
            <v>516.6</v>
          </cell>
          <cell r="F145">
            <v>419.45</v>
          </cell>
          <cell r="G145">
            <v>1297.44</v>
          </cell>
          <cell r="H145">
            <v>2460.4499999999998</v>
          </cell>
          <cell r="I145">
            <v>9040.5</v>
          </cell>
          <cell r="J145">
            <v>90697</v>
          </cell>
          <cell r="K145" t="str">
            <v>MP</v>
          </cell>
        </row>
        <row r="146">
          <cell r="A146">
            <v>991663</v>
          </cell>
          <cell r="B146">
            <v>9389</v>
          </cell>
          <cell r="C146">
            <v>141.94999999999999</v>
          </cell>
          <cell r="D146">
            <v>7.77</v>
          </cell>
          <cell r="E146">
            <v>501</v>
          </cell>
          <cell r="F146">
            <v>163.62</v>
          </cell>
          <cell r="G146">
            <v>196.43</v>
          </cell>
          <cell r="H146">
            <v>1010.77</v>
          </cell>
          <cell r="I146">
            <v>1252.5</v>
          </cell>
          <cell r="J146">
            <v>90097</v>
          </cell>
          <cell r="K146" t="str">
            <v>MP</v>
          </cell>
        </row>
        <row r="147">
          <cell r="A147">
            <v>991664</v>
          </cell>
          <cell r="B147">
            <v>9062</v>
          </cell>
          <cell r="C147">
            <v>168.81</v>
          </cell>
          <cell r="D147">
            <v>9.23</v>
          </cell>
          <cell r="E147">
            <v>519.41999999999996</v>
          </cell>
          <cell r="F147">
            <v>200.92</v>
          </cell>
          <cell r="G147">
            <v>428.52</v>
          </cell>
          <cell r="H147">
            <v>1326.8999999999999</v>
          </cell>
          <cell r="I147">
            <v>2882.78</v>
          </cell>
          <cell r="J147">
            <v>93023</v>
          </cell>
          <cell r="K147" t="str">
            <v>MP</v>
          </cell>
        </row>
        <row r="148">
          <cell r="A148">
            <v>991666</v>
          </cell>
          <cell r="B148">
            <v>9339</v>
          </cell>
          <cell r="C148">
            <v>162.71</v>
          </cell>
          <cell r="D148">
            <v>6.27</v>
          </cell>
          <cell r="E148">
            <v>500.64</v>
          </cell>
          <cell r="F148">
            <v>179.95</v>
          </cell>
          <cell r="G148">
            <v>298.06</v>
          </cell>
          <cell r="H148">
            <v>1147.6299999999999</v>
          </cell>
          <cell r="I148">
            <v>1960.01</v>
          </cell>
          <cell r="J148">
            <v>90236</v>
          </cell>
          <cell r="K148" t="str">
            <v>MP</v>
          </cell>
        </row>
        <row r="149">
          <cell r="A149">
            <v>991667</v>
          </cell>
          <cell r="B149">
            <v>9214</v>
          </cell>
          <cell r="C149">
            <v>161.61000000000001</v>
          </cell>
          <cell r="D149">
            <v>2.2200000000000002</v>
          </cell>
          <cell r="E149">
            <v>497.25</v>
          </cell>
          <cell r="F149">
            <v>151.4</v>
          </cell>
          <cell r="G149">
            <v>120.4</v>
          </cell>
          <cell r="H149">
            <v>932.88</v>
          </cell>
          <cell r="I149">
            <v>696.15</v>
          </cell>
          <cell r="J149">
            <v>91919</v>
          </cell>
          <cell r="K149" t="str">
            <v>MP</v>
          </cell>
        </row>
        <row r="150">
          <cell r="A150">
            <v>991668</v>
          </cell>
          <cell r="B150">
            <v>9390</v>
          </cell>
          <cell r="C150">
            <v>119.12</v>
          </cell>
          <cell r="D150">
            <v>21.68</v>
          </cell>
          <cell r="E150">
            <v>501</v>
          </cell>
          <cell r="F150">
            <v>212.02</v>
          </cell>
          <cell r="G150">
            <v>675.33</v>
          </cell>
          <cell r="H150">
            <v>1529.15</v>
          </cell>
          <cell r="I150">
            <v>3412.8</v>
          </cell>
          <cell r="J150">
            <v>90809</v>
          </cell>
          <cell r="K150" t="str">
            <v>MP</v>
          </cell>
        </row>
        <row r="151">
          <cell r="A151">
            <v>991669</v>
          </cell>
          <cell r="B151">
            <v>9177</v>
          </cell>
          <cell r="C151">
            <v>286.08</v>
          </cell>
          <cell r="D151">
            <v>65.83</v>
          </cell>
          <cell r="E151">
            <v>501.6</v>
          </cell>
          <cell r="F151">
            <v>726.8</v>
          </cell>
          <cell r="G151">
            <v>3370.03</v>
          </cell>
          <cell r="H151">
            <v>4950.34</v>
          </cell>
          <cell r="I151">
            <v>20570.419999999998</v>
          </cell>
          <cell r="J151">
            <v>90379</v>
          </cell>
          <cell r="K151" t="str">
            <v>MP</v>
          </cell>
        </row>
        <row r="152">
          <cell r="A152">
            <v>991670</v>
          </cell>
          <cell r="B152">
            <v>9063</v>
          </cell>
          <cell r="C152">
            <v>231.83</v>
          </cell>
          <cell r="D152">
            <v>46.16</v>
          </cell>
          <cell r="E152">
            <v>519.41999999999996</v>
          </cell>
          <cell r="F152">
            <v>347.03</v>
          </cell>
          <cell r="G152">
            <v>1451.6</v>
          </cell>
          <cell r="H152">
            <v>2596.04</v>
          </cell>
          <cell r="I152">
            <v>7362.02</v>
          </cell>
          <cell r="J152">
            <v>92092</v>
          </cell>
          <cell r="K152" t="str">
            <v>MP</v>
          </cell>
        </row>
        <row r="153">
          <cell r="A153">
            <v>991672</v>
          </cell>
          <cell r="B153">
            <v>9586</v>
          </cell>
          <cell r="C153">
            <v>283.7</v>
          </cell>
          <cell r="D153">
            <v>3.65</v>
          </cell>
          <cell r="E153">
            <v>500.64</v>
          </cell>
          <cell r="F153">
            <v>164.22</v>
          </cell>
          <cell r="G153">
            <v>271.63</v>
          </cell>
          <cell r="H153">
            <v>1223.8400000000001</v>
          </cell>
          <cell r="I153">
            <v>1141.46</v>
          </cell>
          <cell r="J153">
            <v>91591</v>
          </cell>
          <cell r="K153" t="str">
            <v>MP</v>
          </cell>
        </row>
        <row r="154">
          <cell r="A154">
            <v>991674</v>
          </cell>
          <cell r="B154">
            <v>9002</v>
          </cell>
          <cell r="C154">
            <v>325.58</v>
          </cell>
          <cell r="D154">
            <v>15.91</v>
          </cell>
          <cell r="E154">
            <v>516.6</v>
          </cell>
          <cell r="F154">
            <v>197.27</v>
          </cell>
          <cell r="G154">
            <v>260.88</v>
          </cell>
          <cell r="H154">
            <v>1316.2400000000002</v>
          </cell>
          <cell r="I154">
            <v>2557.17</v>
          </cell>
          <cell r="J154">
            <v>92240</v>
          </cell>
          <cell r="K154" t="str">
            <v>MP</v>
          </cell>
        </row>
        <row r="155">
          <cell r="A155">
            <v>991675</v>
          </cell>
          <cell r="B155">
            <v>9299</v>
          </cell>
          <cell r="C155">
            <v>179.4</v>
          </cell>
          <cell r="D155">
            <v>0.33</v>
          </cell>
          <cell r="E155">
            <v>500.64</v>
          </cell>
          <cell r="F155">
            <v>138.44</v>
          </cell>
          <cell r="G155">
            <v>53.93</v>
          </cell>
          <cell r="H155">
            <v>872.7399999999999</v>
          </cell>
          <cell r="I155">
            <v>104.13</v>
          </cell>
          <cell r="J155">
            <v>90459</v>
          </cell>
          <cell r="K155" t="str">
            <v>MP</v>
          </cell>
        </row>
        <row r="156">
          <cell r="A156">
            <v>991676</v>
          </cell>
          <cell r="B156">
            <v>9022</v>
          </cell>
          <cell r="C156">
            <v>215.64</v>
          </cell>
          <cell r="D156">
            <v>51.46</v>
          </cell>
          <cell r="E156">
            <v>517.53</v>
          </cell>
          <cell r="F156">
            <v>621.67999999999995</v>
          </cell>
          <cell r="G156">
            <v>3087.53</v>
          </cell>
          <cell r="H156">
            <v>4493.84</v>
          </cell>
          <cell r="I156">
            <v>15983.05</v>
          </cell>
          <cell r="J156">
            <v>90061</v>
          </cell>
          <cell r="K156" t="str">
            <v>MP</v>
          </cell>
        </row>
        <row r="157">
          <cell r="A157">
            <v>991677</v>
          </cell>
          <cell r="B157">
            <v>9725</v>
          </cell>
          <cell r="C157">
            <v>195.25</v>
          </cell>
          <cell r="D157">
            <v>158.35</v>
          </cell>
          <cell r="E157">
            <v>509.34</v>
          </cell>
          <cell r="F157">
            <v>834.23</v>
          </cell>
          <cell r="G157">
            <v>1284.92</v>
          </cell>
          <cell r="H157">
            <v>2982.09</v>
          </cell>
          <cell r="I157">
            <v>25344.76</v>
          </cell>
          <cell r="J157">
            <v>90048</v>
          </cell>
          <cell r="K157" t="str">
            <v>MP</v>
          </cell>
        </row>
        <row r="158">
          <cell r="A158">
            <v>991678</v>
          </cell>
          <cell r="B158">
            <v>9088</v>
          </cell>
          <cell r="C158">
            <v>274.35000000000002</v>
          </cell>
          <cell r="D158">
            <v>58.05</v>
          </cell>
          <cell r="E158">
            <v>516.17999999999995</v>
          </cell>
          <cell r="F158">
            <v>677.78</v>
          </cell>
          <cell r="G158">
            <v>2624.12</v>
          </cell>
          <cell r="H158">
            <v>4150.4799999999996</v>
          </cell>
          <cell r="I158">
            <v>18410.419999999998</v>
          </cell>
          <cell r="J158">
            <v>92249</v>
          </cell>
          <cell r="K158" t="str">
            <v>MP</v>
          </cell>
        </row>
        <row r="159">
          <cell r="A159">
            <v>991679</v>
          </cell>
          <cell r="B159">
            <v>9468</v>
          </cell>
          <cell r="C159">
            <v>178.37</v>
          </cell>
          <cell r="D159">
            <v>326.97000000000003</v>
          </cell>
          <cell r="E159">
            <v>500.64</v>
          </cell>
          <cell r="F159">
            <v>1450.21</v>
          </cell>
          <cell r="G159">
            <v>2653.68</v>
          </cell>
          <cell r="H159">
            <v>5109.87</v>
          </cell>
          <cell r="I159">
            <v>52567.199999999997</v>
          </cell>
          <cell r="J159">
            <v>93005</v>
          </cell>
          <cell r="K159" t="str">
            <v>MP</v>
          </cell>
        </row>
        <row r="160">
          <cell r="A160">
            <v>991680</v>
          </cell>
          <cell r="B160">
            <v>9345</v>
          </cell>
          <cell r="C160">
            <v>136.41999999999999</v>
          </cell>
          <cell r="D160">
            <v>30.44</v>
          </cell>
          <cell r="E160">
            <v>500.64</v>
          </cell>
          <cell r="F160">
            <v>437.77</v>
          </cell>
          <cell r="G160">
            <v>1355.06</v>
          </cell>
          <cell r="H160">
            <v>2460.33</v>
          </cell>
          <cell r="I160">
            <v>9512.16</v>
          </cell>
          <cell r="J160">
            <v>90485</v>
          </cell>
          <cell r="K160" t="str">
            <v>MP</v>
          </cell>
        </row>
        <row r="161">
          <cell r="A161">
            <v>991681</v>
          </cell>
          <cell r="B161">
            <v>9181</v>
          </cell>
          <cell r="C161">
            <v>1018.58</v>
          </cell>
          <cell r="D161">
            <v>1916.91</v>
          </cell>
          <cell r="E161">
            <v>501.6</v>
          </cell>
          <cell r="F161">
            <v>13800.48</v>
          </cell>
          <cell r="G161">
            <v>40465.129999999997</v>
          </cell>
          <cell r="H161">
            <v>57702.7</v>
          </cell>
          <cell r="I161">
            <v>599035.97</v>
          </cell>
          <cell r="J161">
            <v>90097</v>
          </cell>
          <cell r="K161" t="str">
            <v>MP</v>
          </cell>
        </row>
        <row r="162">
          <cell r="A162">
            <v>991684</v>
          </cell>
          <cell r="B162">
            <v>9378</v>
          </cell>
          <cell r="C162">
            <v>133.5</v>
          </cell>
          <cell r="D162">
            <v>25.25</v>
          </cell>
          <cell r="E162">
            <v>500.64</v>
          </cell>
          <cell r="F162">
            <v>227.24</v>
          </cell>
          <cell r="G162">
            <v>592.29</v>
          </cell>
          <cell r="H162">
            <v>1478.92</v>
          </cell>
          <cell r="I162">
            <v>4071.87</v>
          </cell>
          <cell r="J162">
            <v>90349</v>
          </cell>
          <cell r="K162" t="str">
            <v>MP</v>
          </cell>
        </row>
        <row r="163">
          <cell r="A163">
            <v>991685</v>
          </cell>
          <cell r="B163">
            <v>9104</v>
          </cell>
          <cell r="C163">
            <v>249.94</v>
          </cell>
          <cell r="D163">
            <v>9.48</v>
          </cell>
          <cell r="E163">
            <v>512.70000000000005</v>
          </cell>
          <cell r="F163">
            <v>204.17</v>
          </cell>
          <cell r="G163">
            <v>448.8</v>
          </cell>
          <cell r="H163">
            <v>1425.0900000000001</v>
          </cell>
          <cell r="I163">
            <v>2946.32</v>
          </cell>
          <cell r="J163">
            <v>90061</v>
          </cell>
          <cell r="K163" t="str">
            <v>MP</v>
          </cell>
        </row>
        <row r="164">
          <cell r="A164">
            <v>991686</v>
          </cell>
          <cell r="B164">
            <v>9115</v>
          </cell>
          <cell r="C164">
            <v>457.54</v>
          </cell>
          <cell r="D164">
            <v>64</v>
          </cell>
          <cell r="E164">
            <v>512.70000000000005</v>
          </cell>
          <cell r="F164">
            <v>488.19</v>
          </cell>
          <cell r="G164">
            <v>1363.45</v>
          </cell>
          <cell r="H164">
            <v>2885.88</v>
          </cell>
          <cell r="I164">
            <v>10290.06</v>
          </cell>
          <cell r="J164">
            <v>93021</v>
          </cell>
          <cell r="K164" t="str">
            <v>MP</v>
          </cell>
        </row>
        <row r="165">
          <cell r="A165">
            <v>991687</v>
          </cell>
          <cell r="B165">
            <v>9012</v>
          </cell>
          <cell r="C165">
            <v>523.38</v>
          </cell>
          <cell r="D165">
            <v>38.85</v>
          </cell>
          <cell r="E165">
            <v>517.53</v>
          </cell>
          <cell r="F165">
            <v>311.43</v>
          </cell>
          <cell r="G165">
            <v>1299.5999999999999</v>
          </cell>
          <cell r="H165">
            <v>2690.79</v>
          </cell>
          <cell r="I165">
            <v>6277.76</v>
          </cell>
          <cell r="J165">
            <v>93006</v>
          </cell>
          <cell r="K165" t="str">
            <v>MP</v>
          </cell>
        </row>
        <row r="166">
          <cell r="A166">
            <v>991688</v>
          </cell>
          <cell r="B166">
            <v>9349</v>
          </cell>
          <cell r="C166">
            <v>175.22</v>
          </cell>
          <cell r="D166">
            <v>14.99</v>
          </cell>
          <cell r="E166">
            <v>500.64</v>
          </cell>
          <cell r="F166">
            <v>241.09</v>
          </cell>
          <cell r="G166">
            <v>436.15</v>
          </cell>
          <cell r="H166">
            <v>1368.0900000000001</v>
          </cell>
          <cell r="I166">
            <v>4655.95</v>
          </cell>
          <cell r="J166">
            <v>92233</v>
          </cell>
          <cell r="K166" t="str">
            <v>MP</v>
          </cell>
        </row>
        <row r="167">
          <cell r="A167">
            <v>991689</v>
          </cell>
          <cell r="B167">
            <v>9008</v>
          </cell>
          <cell r="C167">
            <v>137.76</v>
          </cell>
          <cell r="D167">
            <v>78.11</v>
          </cell>
          <cell r="E167">
            <v>516.6</v>
          </cell>
          <cell r="F167">
            <v>810.09</v>
          </cell>
          <cell r="G167">
            <v>3468.08</v>
          </cell>
          <cell r="H167">
            <v>5010.6399999999994</v>
          </cell>
          <cell r="I167">
            <v>24407.63</v>
          </cell>
          <cell r="J167">
            <v>92235</v>
          </cell>
          <cell r="K167" t="str">
            <v>MP</v>
          </cell>
        </row>
        <row r="168">
          <cell r="A168">
            <v>991690</v>
          </cell>
          <cell r="B168">
            <v>9024</v>
          </cell>
          <cell r="C168">
            <v>322.25</v>
          </cell>
          <cell r="D168">
            <v>40.450000000000003</v>
          </cell>
          <cell r="E168">
            <v>517.53</v>
          </cell>
          <cell r="F168">
            <v>548.67999999999995</v>
          </cell>
          <cell r="G168">
            <v>2471.13</v>
          </cell>
          <cell r="H168">
            <v>3900.04</v>
          </cell>
          <cell r="I168">
            <v>12643.26</v>
          </cell>
          <cell r="J168">
            <v>92150</v>
          </cell>
          <cell r="K168" t="str">
            <v>MP</v>
          </cell>
        </row>
        <row r="169">
          <cell r="A169">
            <v>991691</v>
          </cell>
          <cell r="B169">
            <v>9391</v>
          </cell>
          <cell r="C169">
            <v>179.53</v>
          </cell>
          <cell r="D169">
            <v>23.68</v>
          </cell>
          <cell r="E169">
            <v>501</v>
          </cell>
          <cell r="F169">
            <v>345.31</v>
          </cell>
          <cell r="G169">
            <v>1596.28</v>
          </cell>
          <cell r="H169">
            <v>2645.8</v>
          </cell>
          <cell r="I169">
            <v>7398.1</v>
          </cell>
          <cell r="J169">
            <v>91681</v>
          </cell>
          <cell r="K169" t="str">
            <v>MP</v>
          </cell>
        </row>
        <row r="170">
          <cell r="A170">
            <v>991692</v>
          </cell>
          <cell r="B170">
            <v>9064</v>
          </cell>
          <cell r="C170">
            <v>186.13</v>
          </cell>
          <cell r="D170">
            <v>2.7</v>
          </cell>
          <cell r="E170">
            <v>519.41999999999996</v>
          </cell>
          <cell r="F170">
            <v>151.1</v>
          </cell>
          <cell r="G170">
            <v>177.82</v>
          </cell>
          <cell r="H170">
            <v>1037.17</v>
          </cell>
          <cell r="I170">
            <v>657.93</v>
          </cell>
          <cell r="J170">
            <v>91681</v>
          </cell>
          <cell r="K170" t="str">
            <v>MP</v>
          </cell>
        </row>
        <row r="171">
          <cell r="A171">
            <v>991693</v>
          </cell>
          <cell r="B171">
            <v>9029</v>
          </cell>
          <cell r="C171">
            <v>47034.83</v>
          </cell>
          <cell r="D171">
            <v>5568.66</v>
          </cell>
          <cell r="E171">
            <v>516.6</v>
          </cell>
          <cell r="F171">
            <v>1507</v>
          </cell>
          <cell r="G171">
            <v>152245.17000000001</v>
          </cell>
          <cell r="H171">
            <v>206872.26</v>
          </cell>
          <cell r="I171">
            <v>895282.25</v>
          </cell>
          <cell r="J171">
            <v>92376</v>
          </cell>
          <cell r="K171" t="str">
            <v>MP</v>
          </cell>
        </row>
        <row r="172">
          <cell r="A172">
            <v>991695</v>
          </cell>
          <cell r="B172">
            <v>9085</v>
          </cell>
          <cell r="C172">
            <v>614.83000000000004</v>
          </cell>
          <cell r="D172">
            <v>344.24</v>
          </cell>
          <cell r="E172">
            <v>519.41999999999996</v>
          </cell>
          <cell r="F172">
            <v>1500.95</v>
          </cell>
          <cell r="G172">
            <v>9933.5400000000009</v>
          </cell>
          <cell r="H172">
            <v>12912.980000000001</v>
          </cell>
          <cell r="I172">
            <v>54369.73</v>
          </cell>
          <cell r="J172">
            <v>91431</v>
          </cell>
          <cell r="K172" t="str">
            <v>MP</v>
          </cell>
        </row>
        <row r="173">
          <cell r="A173">
            <v>991696</v>
          </cell>
          <cell r="B173">
            <v>9089</v>
          </cell>
          <cell r="C173">
            <v>457.16</v>
          </cell>
          <cell r="D173">
            <v>165.19</v>
          </cell>
          <cell r="E173">
            <v>516.17999999999995</v>
          </cell>
          <cell r="F173">
            <v>1421.24</v>
          </cell>
          <cell r="G173">
            <v>9839.36</v>
          </cell>
          <cell r="H173">
            <v>12399.130000000001</v>
          </cell>
          <cell r="I173">
            <v>51163.76</v>
          </cell>
          <cell r="J173">
            <v>90402</v>
          </cell>
          <cell r="K173" t="str">
            <v>MP</v>
          </cell>
        </row>
        <row r="174">
          <cell r="A174">
            <v>991697</v>
          </cell>
          <cell r="B174">
            <v>9635</v>
          </cell>
          <cell r="C174">
            <v>8014.92</v>
          </cell>
          <cell r="D174">
            <v>72.5</v>
          </cell>
          <cell r="E174">
            <v>510.42</v>
          </cell>
          <cell r="F174">
            <v>944.65</v>
          </cell>
          <cell r="G174">
            <v>6075.26</v>
          </cell>
          <cell r="H174">
            <v>15617.75</v>
          </cell>
          <cell r="I174">
            <v>22517.01</v>
          </cell>
          <cell r="J174">
            <v>92233</v>
          </cell>
          <cell r="K174" t="str">
            <v>MP</v>
          </cell>
        </row>
        <row r="175">
          <cell r="A175">
            <v>991698</v>
          </cell>
          <cell r="B175">
            <v>9270</v>
          </cell>
          <cell r="C175">
            <v>3468.88</v>
          </cell>
          <cell r="D175">
            <v>94.85</v>
          </cell>
          <cell r="E175">
            <v>500.64</v>
          </cell>
          <cell r="F175">
            <v>680.44</v>
          </cell>
          <cell r="G175">
            <v>3233.24</v>
          </cell>
          <cell r="H175">
            <v>7978.0499999999993</v>
          </cell>
          <cell r="I175">
            <v>15298.49</v>
          </cell>
          <cell r="J175">
            <v>92280</v>
          </cell>
          <cell r="K175" t="str">
            <v>MP</v>
          </cell>
        </row>
        <row r="176">
          <cell r="A176">
            <v>991699</v>
          </cell>
          <cell r="B176">
            <v>9273</v>
          </cell>
          <cell r="C176">
            <v>1189.04</v>
          </cell>
          <cell r="D176">
            <v>28.4</v>
          </cell>
          <cell r="E176">
            <v>500.64</v>
          </cell>
          <cell r="F176">
            <v>264.73</v>
          </cell>
          <cell r="G176">
            <v>802</v>
          </cell>
          <cell r="H176">
            <v>2784.81</v>
          </cell>
          <cell r="I176">
            <v>4565.84</v>
          </cell>
          <cell r="J176">
            <v>92316</v>
          </cell>
          <cell r="K176" t="str">
            <v>MP</v>
          </cell>
        </row>
        <row r="177">
          <cell r="A177">
            <v>991700</v>
          </cell>
          <cell r="B177">
            <v>9489</v>
          </cell>
          <cell r="C177">
            <v>388.66</v>
          </cell>
          <cell r="D177">
            <v>4.3600000000000003</v>
          </cell>
          <cell r="E177">
            <v>501</v>
          </cell>
          <cell r="F177">
            <v>171.33</v>
          </cell>
          <cell r="G177">
            <v>331.69</v>
          </cell>
          <cell r="H177">
            <v>1397.04</v>
          </cell>
          <cell r="I177">
            <v>1352.7</v>
          </cell>
          <cell r="J177">
            <v>92285</v>
          </cell>
          <cell r="K177" t="str">
            <v>MP</v>
          </cell>
        </row>
        <row r="178">
          <cell r="A178">
            <v>991702</v>
          </cell>
          <cell r="B178">
            <v>9392</v>
          </cell>
          <cell r="C178">
            <v>390.54</v>
          </cell>
          <cell r="D178">
            <v>46.26</v>
          </cell>
          <cell r="E178">
            <v>501</v>
          </cell>
          <cell r="F178">
            <v>374.93</v>
          </cell>
          <cell r="G178">
            <v>1157.3800000000001</v>
          </cell>
          <cell r="H178">
            <v>2470.11</v>
          </cell>
          <cell r="I178">
            <v>7827.91</v>
          </cell>
          <cell r="J178">
            <v>90558</v>
          </cell>
          <cell r="K178" t="str">
            <v>MP</v>
          </cell>
        </row>
        <row r="179">
          <cell r="A179">
            <v>991703</v>
          </cell>
          <cell r="B179">
            <v>9393</v>
          </cell>
          <cell r="C179">
            <v>969.87</v>
          </cell>
          <cell r="D179">
            <v>62.84</v>
          </cell>
          <cell r="E179">
            <v>501</v>
          </cell>
          <cell r="F179">
            <v>504.02</v>
          </cell>
          <cell r="G179">
            <v>1340.15</v>
          </cell>
          <cell r="H179">
            <v>3377.88</v>
          </cell>
          <cell r="I179">
            <v>10135.23</v>
          </cell>
          <cell r="J179">
            <v>92317</v>
          </cell>
          <cell r="K179" t="str">
            <v>MP</v>
          </cell>
        </row>
        <row r="180">
          <cell r="A180">
            <v>991706</v>
          </cell>
          <cell r="B180">
            <v>9102</v>
          </cell>
          <cell r="C180">
            <v>179.45</v>
          </cell>
          <cell r="D180">
            <v>24.06</v>
          </cell>
          <cell r="E180">
            <v>512.70000000000005</v>
          </cell>
          <cell r="F180">
            <v>350.71</v>
          </cell>
          <cell r="G180">
            <v>1390.06</v>
          </cell>
          <cell r="H180">
            <v>2456.98</v>
          </cell>
          <cell r="I180">
            <v>7519.05</v>
          </cell>
          <cell r="J180">
            <v>90379</v>
          </cell>
          <cell r="K180" t="str">
            <v>MP</v>
          </cell>
        </row>
        <row r="181">
          <cell r="A181">
            <v>991707</v>
          </cell>
          <cell r="B181">
            <v>9027</v>
          </cell>
          <cell r="C181">
            <v>163.88</v>
          </cell>
          <cell r="D181">
            <v>11.49</v>
          </cell>
          <cell r="E181">
            <v>517.53</v>
          </cell>
          <cell r="F181">
            <v>216.77</v>
          </cell>
          <cell r="G181">
            <v>715.34</v>
          </cell>
          <cell r="H181">
            <v>1625.01</v>
          </cell>
          <cell r="I181">
            <v>3589.59</v>
          </cell>
          <cell r="J181">
            <v>90685</v>
          </cell>
          <cell r="K181" t="str">
            <v>MP</v>
          </cell>
        </row>
        <row r="182">
          <cell r="A182">
            <v>991708</v>
          </cell>
          <cell r="B182">
            <v>9394</v>
          </cell>
          <cell r="C182">
            <v>242.57</v>
          </cell>
          <cell r="D182">
            <v>11.07</v>
          </cell>
          <cell r="E182">
            <v>501</v>
          </cell>
          <cell r="F182">
            <v>215.63</v>
          </cell>
          <cell r="G182">
            <v>705.79</v>
          </cell>
          <cell r="H182">
            <v>1676.06</v>
          </cell>
          <cell r="I182">
            <v>3460.24</v>
          </cell>
          <cell r="J182">
            <v>91934</v>
          </cell>
          <cell r="K182" t="str">
            <v>MP</v>
          </cell>
        </row>
        <row r="183">
          <cell r="A183">
            <v>991710</v>
          </cell>
          <cell r="B183">
            <v>9065</v>
          </cell>
          <cell r="C183">
            <v>320.31</v>
          </cell>
          <cell r="D183">
            <v>113.3</v>
          </cell>
          <cell r="E183">
            <v>519.41999999999996</v>
          </cell>
          <cell r="F183">
            <v>1055.3800000000001</v>
          </cell>
          <cell r="G183">
            <v>1776.28</v>
          </cell>
          <cell r="H183">
            <v>3784.69</v>
          </cell>
          <cell r="I183">
            <v>35092.019999999997</v>
          </cell>
          <cell r="J183">
            <v>90651</v>
          </cell>
          <cell r="K183" t="str">
            <v>MP</v>
          </cell>
        </row>
        <row r="184">
          <cell r="A184">
            <v>991713</v>
          </cell>
          <cell r="B184">
            <v>9395</v>
          </cell>
          <cell r="C184">
            <v>5028.4399999999996</v>
          </cell>
          <cell r="D184">
            <v>35.49</v>
          </cell>
          <cell r="E184">
            <v>501</v>
          </cell>
          <cell r="F184">
            <v>617.98</v>
          </cell>
          <cell r="G184">
            <v>3056.33</v>
          </cell>
          <cell r="H184">
            <v>9239.24</v>
          </cell>
          <cell r="I184">
            <v>11022</v>
          </cell>
          <cell r="J184">
            <v>92373</v>
          </cell>
          <cell r="K184" t="str">
            <v>MP</v>
          </cell>
        </row>
        <row r="185">
          <cell r="A185">
            <v>991714</v>
          </cell>
          <cell r="B185">
            <v>9442</v>
          </cell>
          <cell r="C185">
            <v>147.38</v>
          </cell>
          <cell r="D185">
            <v>16.329999999999998</v>
          </cell>
          <cell r="E185">
            <v>501</v>
          </cell>
          <cell r="F185">
            <v>194.98</v>
          </cell>
          <cell r="G185">
            <v>335.64</v>
          </cell>
          <cell r="H185">
            <v>1195.33</v>
          </cell>
          <cell r="I185">
            <v>2633.26</v>
          </cell>
          <cell r="J185">
            <v>92282</v>
          </cell>
          <cell r="K185" t="str">
            <v>MP</v>
          </cell>
        </row>
        <row r="186">
          <cell r="A186">
            <v>991715</v>
          </cell>
          <cell r="B186">
            <v>9396</v>
          </cell>
          <cell r="C186">
            <v>9371.17</v>
          </cell>
          <cell r="D186">
            <v>53.52</v>
          </cell>
          <cell r="E186">
            <v>501</v>
          </cell>
          <cell r="F186">
            <v>842.1</v>
          </cell>
          <cell r="G186">
            <v>3125.6</v>
          </cell>
          <cell r="H186">
            <v>13893.390000000001</v>
          </cell>
          <cell r="I186">
            <v>16621.98</v>
          </cell>
          <cell r="J186">
            <v>92315</v>
          </cell>
          <cell r="K186" t="str">
            <v>MP</v>
          </cell>
        </row>
        <row r="187">
          <cell r="A187">
            <v>991716</v>
          </cell>
          <cell r="B187">
            <v>9300</v>
          </cell>
          <cell r="C187">
            <v>192.25</v>
          </cell>
          <cell r="D187">
            <v>45.27</v>
          </cell>
          <cell r="E187">
            <v>500.64</v>
          </cell>
          <cell r="F187">
            <v>342.52</v>
          </cell>
          <cell r="G187">
            <v>1583.09</v>
          </cell>
          <cell r="H187">
            <v>2663.7699999999995</v>
          </cell>
          <cell r="I187">
            <v>7301</v>
          </cell>
          <cell r="J187">
            <v>91365</v>
          </cell>
          <cell r="K187" t="str">
            <v>MP</v>
          </cell>
        </row>
        <row r="188">
          <cell r="A188">
            <v>991718</v>
          </cell>
          <cell r="B188">
            <v>9161</v>
          </cell>
          <cell r="C188">
            <v>9249.99</v>
          </cell>
          <cell r="D188">
            <v>261.3</v>
          </cell>
          <cell r="E188">
            <v>501.6</v>
          </cell>
          <cell r="F188">
            <v>1381.12</v>
          </cell>
          <cell r="G188">
            <v>9000.5300000000007</v>
          </cell>
          <cell r="H188">
            <v>20394.54</v>
          </cell>
          <cell r="I188">
            <v>40491.65</v>
          </cell>
          <cell r="J188">
            <v>92336</v>
          </cell>
          <cell r="K188" t="str">
            <v>MP</v>
          </cell>
        </row>
        <row r="189">
          <cell r="A189">
            <v>991720</v>
          </cell>
          <cell r="B189">
            <v>9190</v>
          </cell>
          <cell r="C189">
            <v>749.42</v>
          </cell>
          <cell r="D189">
            <v>520.66</v>
          </cell>
          <cell r="E189">
            <v>501.6</v>
          </cell>
          <cell r="F189">
            <v>2205.02</v>
          </cell>
          <cell r="G189">
            <v>17275.3</v>
          </cell>
          <cell r="H189">
            <v>21252</v>
          </cell>
          <cell r="I189">
            <v>85350.77</v>
          </cell>
          <cell r="J189">
            <v>93020</v>
          </cell>
          <cell r="K189" t="str">
            <v>MP</v>
          </cell>
        </row>
        <row r="190">
          <cell r="A190">
            <v>991721</v>
          </cell>
          <cell r="B190">
            <v>9397</v>
          </cell>
          <cell r="C190">
            <v>256.44</v>
          </cell>
          <cell r="D190">
            <v>0.5</v>
          </cell>
          <cell r="E190">
            <v>501</v>
          </cell>
          <cell r="F190">
            <v>139.65</v>
          </cell>
          <cell r="G190">
            <v>60.82</v>
          </cell>
          <cell r="H190">
            <v>958.41000000000008</v>
          </cell>
          <cell r="I190">
            <v>80.97</v>
          </cell>
          <cell r="J190">
            <v>91553</v>
          </cell>
          <cell r="K190" t="str">
            <v>MP</v>
          </cell>
        </row>
        <row r="191">
          <cell r="A191">
            <v>991722</v>
          </cell>
          <cell r="B191">
            <v>9398</v>
          </cell>
          <cell r="C191">
            <v>256.44</v>
          </cell>
          <cell r="D191">
            <v>5.58</v>
          </cell>
          <cell r="E191">
            <v>501</v>
          </cell>
          <cell r="F191">
            <v>158.55000000000001</v>
          </cell>
          <cell r="G191">
            <v>223.77</v>
          </cell>
          <cell r="H191">
            <v>1145.3399999999999</v>
          </cell>
          <cell r="I191">
            <v>915.7</v>
          </cell>
          <cell r="J191">
            <v>92088</v>
          </cell>
          <cell r="K191" t="str">
            <v>MP</v>
          </cell>
        </row>
        <row r="192">
          <cell r="A192">
            <v>991724</v>
          </cell>
          <cell r="B192">
            <v>9446</v>
          </cell>
          <cell r="C192">
            <v>256.44</v>
          </cell>
          <cell r="D192">
            <v>3.16</v>
          </cell>
          <cell r="E192">
            <v>501</v>
          </cell>
          <cell r="F192">
            <v>149.32</v>
          </cell>
          <cell r="G192">
            <v>145.88</v>
          </cell>
          <cell r="H192">
            <v>1055.8000000000002</v>
          </cell>
          <cell r="I192">
            <v>508.26</v>
          </cell>
          <cell r="J192">
            <v>91163</v>
          </cell>
          <cell r="K192" t="str">
            <v>MP</v>
          </cell>
        </row>
        <row r="193">
          <cell r="A193">
            <v>991725</v>
          </cell>
          <cell r="B193">
            <v>9003</v>
          </cell>
          <cell r="C193">
            <v>266.36</v>
          </cell>
          <cell r="D193">
            <v>5.77</v>
          </cell>
          <cell r="E193">
            <v>516.6</v>
          </cell>
          <cell r="F193">
            <v>158.57</v>
          </cell>
          <cell r="G193">
            <v>223.95</v>
          </cell>
          <cell r="H193">
            <v>1171.25</v>
          </cell>
          <cell r="I193">
            <v>906.56</v>
          </cell>
          <cell r="J193">
            <v>90662</v>
          </cell>
          <cell r="K193" t="str">
            <v>MP</v>
          </cell>
        </row>
        <row r="194">
          <cell r="A194">
            <v>991726</v>
          </cell>
          <cell r="B194">
            <v>9276</v>
          </cell>
          <cell r="C194">
            <v>502.17</v>
          </cell>
          <cell r="D194">
            <v>63.38</v>
          </cell>
          <cell r="E194">
            <v>500.64</v>
          </cell>
          <cell r="F194">
            <v>448.16</v>
          </cell>
          <cell r="G194">
            <v>2081.6799999999998</v>
          </cell>
          <cell r="H194">
            <v>3596.0299999999997</v>
          </cell>
          <cell r="I194">
            <v>9347.17</v>
          </cell>
          <cell r="J194">
            <v>92088</v>
          </cell>
          <cell r="K194" t="str">
            <v>MP</v>
          </cell>
        </row>
        <row r="195">
          <cell r="A195">
            <v>991727</v>
          </cell>
          <cell r="B195">
            <v>9066</v>
          </cell>
          <cell r="C195">
            <v>344.88</v>
          </cell>
          <cell r="D195">
            <v>99.3</v>
          </cell>
          <cell r="E195">
            <v>519.41999999999996</v>
          </cell>
          <cell r="F195">
            <v>625.24</v>
          </cell>
          <cell r="G195">
            <v>2107.0100000000002</v>
          </cell>
          <cell r="H195">
            <v>3695.8500000000004</v>
          </cell>
          <cell r="I195">
            <v>15964.37</v>
          </cell>
          <cell r="J195">
            <v>90503</v>
          </cell>
          <cell r="K195" t="str">
            <v>MP</v>
          </cell>
        </row>
        <row r="196">
          <cell r="A196">
            <v>991728</v>
          </cell>
          <cell r="B196">
            <v>9234</v>
          </cell>
          <cell r="C196">
            <v>377.98</v>
          </cell>
          <cell r="D196">
            <v>14.11</v>
          </cell>
          <cell r="E196">
            <v>497.25</v>
          </cell>
          <cell r="F196">
            <v>191.89</v>
          </cell>
          <cell r="G196">
            <v>505.32</v>
          </cell>
          <cell r="H196">
            <v>1586.55</v>
          </cell>
          <cell r="I196">
            <v>2267.46</v>
          </cell>
          <cell r="J196">
            <v>90070</v>
          </cell>
          <cell r="K196" t="str">
            <v>MP</v>
          </cell>
        </row>
        <row r="197">
          <cell r="A197">
            <v>991730</v>
          </cell>
          <cell r="B197">
            <v>9151</v>
          </cell>
          <cell r="C197">
            <v>5725.61</v>
          </cell>
          <cell r="D197">
            <v>275.68</v>
          </cell>
          <cell r="E197">
            <v>501.6</v>
          </cell>
          <cell r="F197">
            <v>2317.41</v>
          </cell>
          <cell r="G197">
            <v>17407.05</v>
          </cell>
          <cell r="H197">
            <v>26227.35</v>
          </cell>
          <cell r="I197">
            <v>85614.76</v>
          </cell>
          <cell r="J197">
            <v>92049</v>
          </cell>
          <cell r="K197" t="str">
            <v>MP</v>
          </cell>
        </row>
        <row r="198">
          <cell r="A198">
            <v>991732</v>
          </cell>
          <cell r="B198">
            <v>9490</v>
          </cell>
          <cell r="C198">
            <v>2283.06</v>
          </cell>
          <cell r="D198">
            <v>86.01</v>
          </cell>
          <cell r="E198">
            <v>501</v>
          </cell>
          <cell r="F198">
            <v>621.47</v>
          </cell>
          <cell r="G198">
            <v>1948.89</v>
          </cell>
          <cell r="H198">
            <v>5440.43</v>
          </cell>
          <cell r="I198">
            <v>13871.69</v>
          </cell>
          <cell r="J198">
            <v>92253</v>
          </cell>
          <cell r="K198" t="str">
            <v>MP</v>
          </cell>
        </row>
        <row r="199">
          <cell r="A199">
            <v>991733</v>
          </cell>
          <cell r="B199">
            <v>9451</v>
          </cell>
          <cell r="C199">
            <v>3655.85</v>
          </cell>
          <cell r="D199">
            <v>72.13</v>
          </cell>
          <cell r="E199">
            <v>501</v>
          </cell>
          <cell r="F199">
            <v>843.91</v>
          </cell>
          <cell r="G199">
            <v>4964.2</v>
          </cell>
          <cell r="H199">
            <v>10037.09</v>
          </cell>
          <cell r="I199">
            <v>22399.38</v>
          </cell>
          <cell r="J199">
            <v>91990</v>
          </cell>
          <cell r="K199" t="str">
            <v>MP</v>
          </cell>
        </row>
        <row r="200">
          <cell r="A200">
            <v>991735</v>
          </cell>
          <cell r="B200">
            <v>9491</v>
          </cell>
          <cell r="C200">
            <v>179.53</v>
          </cell>
          <cell r="D200">
            <v>3.04</v>
          </cell>
          <cell r="E200">
            <v>501</v>
          </cell>
          <cell r="F200">
            <v>157.57</v>
          </cell>
          <cell r="G200">
            <v>238.24</v>
          </cell>
          <cell r="H200">
            <v>1079.3799999999999</v>
          </cell>
          <cell r="I200">
            <v>951.9</v>
          </cell>
          <cell r="J200">
            <v>91681</v>
          </cell>
          <cell r="K200" t="str">
            <v>MP</v>
          </cell>
        </row>
        <row r="201">
          <cell r="A201">
            <v>991736</v>
          </cell>
          <cell r="B201">
            <v>9020</v>
          </cell>
          <cell r="C201">
            <v>215.64</v>
          </cell>
          <cell r="D201">
            <v>61.79</v>
          </cell>
          <cell r="E201">
            <v>517.53</v>
          </cell>
          <cell r="F201">
            <v>462.95</v>
          </cell>
          <cell r="G201">
            <v>1434.31</v>
          </cell>
          <cell r="H201">
            <v>2692.2200000000003</v>
          </cell>
          <cell r="I201">
            <v>9967.6299999999992</v>
          </cell>
          <cell r="J201">
            <v>92172</v>
          </cell>
          <cell r="K201" t="str">
            <v>MP</v>
          </cell>
        </row>
        <row r="202">
          <cell r="A202">
            <v>991737</v>
          </cell>
          <cell r="B202">
            <v>9469</v>
          </cell>
          <cell r="C202">
            <v>238.75</v>
          </cell>
          <cell r="D202">
            <v>15.23</v>
          </cell>
          <cell r="E202">
            <v>501</v>
          </cell>
          <cell r="F202">
            <v>193</v>
          </cell>
          <cell r="G202">
            <v>514.73</v>
          </cell>
          <cell r="H202">
            <v>1462.71</v>
          </cell>
          <cell r="I202">
            <v>2455.6799999999998</v>
          </cell>
          <cell r="J202">
            <v>92174</v>
          </cell>
          <cell r="K202" t="str">
            <v>MP</v>
          </cell>
        </row>
        <row r="203">
          <cell r="A203">
            <v>991738</v>
          </cell>
          <cell r="B203">
            <v>9155</v>
          </cell>
          <cell r="C203">
            <v>249.15</v>
          </cell>
          <cell r="D203">
            <v>69.510000000000005</v>
          </cell>
          <cell r="E203">
            <v>511.62</v>
          </cell>
          <cell r="F203">
            <v>300.19</v>
          </cell>
          <cell r="G203">
            <v>1251.6300000000001</v>
          </cell>
          <cell r="H203">
            <v>2382.1000000000004</v>
          </cell>
          <cell r="I203">
            <v>6268.84</v>
          </cell>
          <cell r="J203">
            <v>90342</v>
          </cell>
          <cell r="K203" t="str">
            <v>MP</v>
          </cell>
        </row>
        <row r="204">
          <cell r="A204">
            <v>991739</v>
          </cell>
          <cell r="B204">
            <v>9690</v>
          </cell>
          <cell r="C204">
            <v>255.87</v>
          </cell>
          <cell r="D204">
            <v>67.39</v>
          </cell>
          <cell r="E204">
            <v>505.53</v>
          </cell>
          <cell r="F204">
            <v>737.09</v>
          </cell>
          <cell r="G204">
            <v>3248.96</v>
          </cell>
          <cell r="H204">
            <v>4814.84</v>
          </cell>
          <cell r="I204">
            <v>21056.47</v>
          </cell>
          <cell r="J204">
            <v>90379</v>
          </cell>
          <cell r="K204" t="str">
            <v>MP</v>
          </cell>
        </row>
        <row r="205">
          <cell r="A205">
            <v>991741</v>
          </cell>
          <cell r="B205">
            <v>9122</v>
          </cell>
          <cell r="C205">
            <v>467.84</v>
          </cell>
          <cell r="D205">
            <v>116.71</v>
          </cell>
          <cell r="E205">
            <v>512.70000000000005</v>
          </cell>
          <cell r="F205">
            <v>1089.81</v>
          </cell>
          <cell r="G205">
            <v>5187.8599999999997</v>
          </cell>
          <cell r="H205">
            <v>7374.92</v>
          </cell>
          <cell r="I205">
            <v>36470.089999999997</v>
          </cell>
          <cell r="J205">
            <v>90061</v>
          </cell>
          <cell r="K205" t="str">
            <v>MP</v>
          </cell>
        </row>
        <row r="206">
          <cell r="A206">
            <v>991742</v>
          </cell>
          <cell r="B206">
            <v>9599</v>
          </cell>
          <cell r="C206">
            <v>212.93</v>
          </cell>
          <cell r="D206">
            <v>32.9</v>
          </cell>
          <cell r="E206">
            <v>501</v>
          </cell>
          <cell r="F206">
            <v>475.47</v>
          </cell>
          <cell r="G206">
            <v>315.79000000000002</v>
          </cell>
          <cell r="H206">
            <v>1538.0900000000001</v>
          </cell>
          <cell r="I206">
            <v>10280.52</v>
          </cell>
          <cell r="J206">
            <v>90083</v>
          </cell>
          <cell r="K206" t="str">
            <v>MP</v>
          </cell>
        </row>
        <row r="207">
          <cell r="A207">
            <v>991743</v>
          </cell>
          <cell r="B207">
            <v>9600</v>
          </cell>
          <cell r="C207">
            <v>162.83000000000001</v>
          </cell>
          <cell r="D207">
            <v>1.47</v>
          </cell>
          <cell r="E207">
            <v>501</v>
          </cell>
          <cell r="F207">
            <v>146.08000000000001</v>
          </cell>
          <cell r="G207">
            <v>56.12</v>
          </cell>
          <cell r="H207">
            <v>867.5</v>
          </cell>
          <cell r="I207">
            <v>459.25</v>
          </cell>
          <cell r="J207">
            <v>90121</v>
          </cell>
          <cell r="K207" t="str">
            <v>MP</v>
          </cell>
        </row>
        <row r="208">
          <cell r="A208">
            <v>991744</v>
          </cell>
          <cell r="B208">
            <v>9509</v>
          </cell>
          <cell r="C208">
            <v>223.68</v>
          </cell>
          <cell r="D208">
            <v>262.94</v>
          </cell>
          <cell r="E208">
            <v>513.03</v>
          </cell>
          <cell r="F208">
            <v>2104.29</v>
          </cell>
          <cell r="G208">
            <v>11500.15</v>
          </cell>
          <cell r="H208">
            <v>14604.09</v>
          </cell>
          <cell r="I208">
            <v>81657.279999999999</v>
          </cell>
          <cell r="J208">
            <v>90097</v>
          </cell>
          <cell r="K208" t="str">
            <v>MP</v>
          </cell>
        </row>
        <row r="209">
          <cell r="A209">
            <v>991745</v>
          </cell>
          <cell r="B209">
            <v>9604</v>
          </cell>
          <cell r="C209">
            <v>133.6</v>
          </cell>
          <cell r="D209">
            <v>14.31</v>
          </cell>
          <cell r="E209">
            <v>501</v>
          </cell>
          <cell r="F209">
            <v>235.33</v>
          </cell>
          <cell r="G209">
            <v>642.62</v>
          </cell>
          <cell r="H209">
            <v>1526.8600000000001</v>
          </cell>
          <cell r="I209">
            <v>4442.2</v>
          </cell>
          <cell r="J209">
            <v>90349</v>
          </cell>
          <cell r="K209" t="str">
            <v>MP</v>
          </cell>
        </row>
        <row r="210">
          <cell r="A210">
            <v>991746</v>
          </cell>
          <cell r="B210">
            <v>9606</v>
          </cell>
          <cell r="C210">
            <v>175.35</v>
          </cell>
          <cell r="D210">
            <v>55.66</v>
          </cell>
          <cell r="E210">
            <v>501</v>
          </cell>
          <cell r="F210">
            <v>416.77</v>
          </cell>
          <cell r="G210">
            <v>747.96</v>
          </cell>
          <cell r="H210">
            <v>1896.74</v>
          </cell>
          <cell r="I210">
            <v>8976.25</v>
          </cell>
          <cell r="J210">
            <v>92166</v>
          </cell>
          <cell r="K210" t="str">
            <v>MP</v>
          </cell>
        </row>
        <row r="211">
          <cell r="A211">
            <v>991747</v>
          </cell>
          <cell r="B211">
            <v>9301</v>
          </cell>
          <cell r="C211">
            <v>166.88</v>
          </cell>
          <cell r="D211">
            <v>9.93</v>
          </cell>
          <cell r="E211">
            <v>500.64</v>
          </cell>
          <cell r="F211">
            <v>205.87</v>
          </cell>
          <cell r="G211">
            <v>623.35</v>
          </cell>
          <cell r="H211">
            <v>1506.67</v>
          </cell>
          <cell r="I211">
            <v>3103.97</v>
          </cell>
          <cell r="J211">
            <v>91978</v>
          </cell>
          <cell r="K211" t="str">
            <v>MP</v>
          </cell>
        </row>
        <row r="212">
          <cell r="A212">
            <v>991748</v>
          </cell>
          <cell r="B212">
            <v>9691</v>
          </cell>
          <cell r="C212">
            <v>176.94</v>
          </cell>
          <cell r="D212">
            <v>132.87</v>
          </cell>
          <cell r="E212">
            <v>505.53</v>
          </cell>
          <cell r="F212">
            <v>1197.24</v>
          </cell>
          <cell r="G212">
            <v>8784.44</v>
          </cell>
          <cell r="H212">
            <v>10797.02</v>
          </cell>
          <cell r="I212">
            <v>41520.86</v>
          </cell>
          <cell r="J212">
            <v>91981</v>
          </cell>
          <cell r="K212" t="str">
            <v>MP</v>
          </cell>
        </row>
        <row r="213">
          <cell r="A213">
            <v>991750</v>
          </cell>
          <cell r="B213">
            <v>8989</v>
          </cell>
          <cell r="C213">
            <v>2483.46</v>
          </cell>
          <cell r="D213">
            <v>63.91</v>
          </cell>
          <cell r="E213">
            <v>150</v>
          </cell>
          <cell r="F213">
            <v>550</v>
          </cell>
          <cell r="G213">
            <v>2436.29</v>
          </cell>
          <cell r="H213">
            <v>5683.66</v>
          </cell>
          <cell r="I213">
            <v>10275.209999999999</v>
          </cell>
          <cell r="J213">
            <v>92376</v>
          </cell>
          <cell r="K213" t="str">
            <v>MP</v>
          </cell>
        </row>
        <row r="214">
          <cell r="A214">
            <v>991753</v>
          </cell>
          <cell r="B214">
            <v>9215</v>
          </cell>
          <cell r="C214">
            <v>207.19</v>
          </cell>
          <cell r="D214">
            <v>51.68</v>
          </cell>
          <cell r="E214">
            <v>497.25</v>
          </cell>
          <cell r="F214">
            <v>625.26</v>
          </cell>
          <cell r="G214">
            <v>3446.01</v>
          </cell>
          <cell r="H214">
            <v>4827.3900000000003</v>
          </cell>
          <cell r="I214">
            <v>16150.68</v>
          </cell>
          <cell r="J214">
            <v>90506</v>
          </cell>
          <cell r="K214" t="str">
            <v>MP</v>
          </cell>
        </row>
        <row r="215">
          <cell r="A215">
            <v>991754</v>
          </cell>
          <cell r="B215">
            <v>9216</v>
          </cell>
          <cell r="C215">
            <v>157.46</v>
          </cell>
          <cell r="D215">
            <v>70.010000000000005</v>
          </cell>
          <cell r="E215">
            <v>497.25</v>
          </cell>
          <cell r="F215">
            <v>753.44</v>
          </cell>
          <cell r="G215">
            <v>3094.91</v>
          </cell>
          <cell r="H215">
            <v>4573.07</v>
          </cell>
          <cell r="I215">
            <v>21879</v>
          </cell>
          <cell r="J215">
            <v>92167</v>
          </cell>
          <cell r="K215" t="str">
            <v>MP</v>
          </cell>
        </row>
        <row r="216">
          <cell r="A216">
            <v>991755</v>
          </cell>
          <cell r="B216">
            <v>9087</v>
          </cell>
          <cell r="C216">
            <v>6421.98</v>
          </cell>
          <cell r="D216">
            <v>160.72999999999999</v>
          </cell>
          <cell r="E216">
            <v>519.41999999999996</v>
          </cell>
          <cell r="F216">
            <v>985.54</v>
          </cell>
          <cell r="G216">
            <v>3890.65</v>
          </cell>
          <cell r="H216">
            <v>11978.32</v>
          </cell>
          <cell r="I216">
            <v>25839.41</v>
          </cell>
          <cell r="J216">
            <v>93072</v>
          </cell>
          <cell r="K216" t="str">
            <v>MP</v>
          </cell>
        </row>
        <row r="217">
          <cell r="A217">
            <v>991757</v>
          </cell>
          <cell r="B217">
            <v>9054</v>
          </cell>
          <cell r="C217">
            <v>355.42</v>
          </cell>
          <cell r="D217">
            <v>92.23</v>
          </cell>
          <cell r="E217">
            <v>519.41999999999996</v>
          </cell>
          <cell r="F217">
            <v>914.57</v>
          </cell>
          <cell r="G217">
            <v>5560.64</v>
          </cell>
          <cell r="H217">
            <v>7442.2800000000007</v>
          </cell>
          <cell r="I217">
            <v>28820.02</v>
          </cell>
          <cell r="J217">
            <v>90061</v>
          </cell>
          <cell r="K217" t="str">
            <v>MP</v>
          </cell>
        </row>
        <row r="218">
          <cell r="A218">
            <v>991758</v>
          </cell>
          <cell r="B218">
            <v>9277</v>
          </cell>
          <cell r="C218">
            <v>158.54</v>
          </cell>
          <cell r="D218">
            <v>1.47</v>
          </cell>
          <cell r="E218">
            <v>500.64</v>
          </cell>
          <cell r="F218">
            <v>145.96</v>
          </cell>
          <cell r="G218">
            <v>86.53</v>
          </cell>
          <cell r="H218">
            <v>893.14</v>
          </cell>
          <cell r="I218">
            <v>458.09</v>
          </cell>
          <cell r="J218">
            <v>90061</v>
          </cell>
          <cell r="K218" t="str">
            <v>MP</v>
          </cell>
        </row>
        <row r="219">
          <cell r="A219">
            <v>991759</v>
          </cell>
          <cell r="B219">
            <v>9302</v>
          </cell>
          <cell r="C219">
            <v>158.54</v>
          </cell>
          <cell r="D219">
            <v>0.57999999999999996</v>
          </cell>
          <cell r="E219">
            <v>500.64</v>
          </cell>
          <cell r="F219">
            <v>139.69999999999999</v>
          </cell>
          <cell r="G219">
            <v>64.63</v>
          </cell>
          <cell r="H219">
            <v>864.09</v>
          </cell>
          <cell r="I219">
            <v>181.06</v>
          </cell>
          <cell r="J219">
            <v>91178</v>
          </cell>
          <cell r="K219" t="str">
            <v>MP</v>
          </cell>
        </row>
        <row r="220">
          <cell r="A220">
            <v>991760</v>
          </cell>
          <cell r="B220">
            <v>9710</v>
          </cell>
          <cell r="C220">
            <v>474.02</v>
          </cell>
          <cell r="D220">
            <v>122.84</v>
          </cell>
          <cell r="E220">
            <v>505.53</v>
          </cell>
          <cell r="F220">
            <v>713.87</v>
          </cell>
          <cell r="G220">
            <v>2609.2199999999998</v>
          </cell>
          <cell r="H220">
            <v>4425.4799999999996</v>
          </cell>
          <cell r="I220">
            <v>19751.060000000001</v>
          </cell>
          <cell r="J220">
            <v>91395</v>
          </cell>
          <cell r="K220" t="str">
            <v>MP</v>
          </cell>
        </row>
        <row r="221">
          <cell r="A221">
            <v>991761</v>
          </cell>
          <cell r="B221">
            <v>9154</v>
          </cell>
          <cell r="C221">
            <v>1064.55</v>
          </cell>
          <cell r="D221">
            <v>193.82</v>
          </cell>
          <cell r="E221">
            <v>511.62</v>
          </cell>
          <cell r="F221">
            <v>1018.28</v>
          </cell>
          <cell r="G221">
            <v>6436.6</v>
          </cell>
          <cell r="H221">
            <v>9224.869999999999</v>
          </cell>
          <cell r="I221">
            <v>32618.48</v>
          </cell>
          <cell r="J221">
            <v>92365</v>
          </cell>
          <cell r="K221" t="str">
            <v>MP</v>
          </cell>
        </row>
        <row r="222">
          <cell r="A222">
            <v>991762</v>
          </cell>
          <cell r="B222">
            <v>9141</v>
          </cell>
          <cell r="C222">
            <v>1101.6199999999999</v>
          </cell>
          <cell r="D222">
            <v>685.47</v>
          </cell>
          <cell r="E222">
            <v>511.62</v>
          </cell>
          <cell r="F222">
            <v>2776.04</v>
          </cell>
          <cell r="G222">
            <v>21279.91</v>
          </cell>
          <cell r="H222">
            <v>26354.66</v>
          </cell>
          <cell r="I222">
            <v>110203.03</v>
          </cell>
          <cell r="J222">
            <v>93020</v>
          </cell>
          <cell r="K222" t="str">
            <v>MP</v>
          </cell>
        </row>
        <row r="223">
          <cell r="A223">
            <v>991763</v>
          </cell>
          <cell r="B223">
            <v>9278</v>
          </cell>
          <cell r="C223">
            <v>162.71</v>
          </cell>
          <cell r="D223">
            <v>40.049999999999997</v>
          </cell>
          <cell r="E223">
            <v>500.64</v>
          </cell>
          <cell r="F223">
            <v>542.22</v>
          </cell>
          <cell r="G223">
            <v>2416.56</v>
          </cell>
          <cell r="H223">
            <v>3662.18</v>
          </cell>
          <cell r="I223">
            <v>12516</v>
          </cell>
          <cell r="J223">
            <v>91358</v>
          </cell>
          <cell r="K223" t="str">
            <v>MP</v>
          </cell>
        </row>
        <row r="224">
          <cell r="A224">
            <v>991764</v>
          </cell>
          <cell r="B224">
            <v>9261</v>
          </cell>
          <cell r="C224">
            <v>162.71</v>
          </cell>
          <cell r="D224">
            <v>3.22</v>
          </cell>
          <cell r="E224">
            <v>500.64</v>
          </cell>
          <cell r="F224">
            <v>158.41999999999999</v>
          </cell>
          <cell r="G224">
            <v>164.11</v>
          </cell>
          <cell r="H224">
            <v>989.09999999999991</v>
          </cell>
          <cell r="I224">
            <v>1006.29</v>
          </cell>
          <cell r="J224">
            <v>90697</v>
          </cell>
          <cell r="K224" t="str">
            <v>MP</v>
          </cell>
        </row>
        <row r="225">
          <cell r="A225">
            <v>991765</v>
          </cell>
          <cell r="B225">
            <v>9265</v>
          </cell>
          <cell r="C225">
            <v>186.29</v>
          </cell>
          <cell r="D225">
            <v>32.93</v>
          </cell>
          <cell r="E225">
            <v>500.64</v>
          </cell>
          <cell r="F225">
            <v>474.74</v>
          </cell>
          <cell r="G225">
            <v>1471.38</v>
          </cell>
          <cell r="H225">
            <v>2665.98</v>
          </cell>
          <cell r="I225">
            <v>10290.66</v>
          </cell>
          <cell r="J225">
            <v>91923</v>
          </cell>
          <cell r="K225" t="str">
            <v>MP</v>
          </cell>
        </row>
        <row r="226">
          <cell r="A226">
            <v>991768</v>
          </cell>
          <cell r="B226">
            <v>9607</v>
          </cell>
          <cell r="C226">
            <v>195.64</v>
          </cell>
          <cell r="D226">
            <v>4.51</v>
          </cell>
          <cell r="E226">
            <v>501</v>
          </cell>
          <cell r="F226">
            <v>152.88999999999999</v>
          </cell>
          <cell r="G226">
            <v>194.49</v>
          </cell>
          <cell r="H226">
            <v>1048.53</v>
          </cell>
          <cell r="I226">
            <v>724.78</v>
          </cell>
          <cell r="J226">
            <v>91367</v>
          </cell>
          <cell r="K226" t="str">
            <v>MP</v>
          </cell>
        </row>
        <row r="227">
          <cell r="A227">
            <v>991769</v>
          </cell>
          <cell r="B227">
            <v>9612</v>
          </cell>
          <cell r="C227">
            <v>133.6</v>
          </cell>
          <cell r="D227">
            <v>58.7</v>
          </cell>
          <cell r="E227">
            <v>501</v>
          </cell>
          <cell r="F227">
            <v>436.98</v>
          </cell>
          <cell r="G227">
            <v>1352.57</v>
          </cell>
          <cell r="H227">
            <v>2482.85</v>
          </cell>
          <cell r="I227">
            <v>9468.9</v>
          </cell>
          <cell r="J227">
            <v>90971</v>
          </cell>
          <cell r="K227" t="str">
            <v>MP</v>
          </cell>
        </row>
        <row r="228">
          <cell r="A228">
            <v>991771</v>
          </cell>
          <cell r="B228">
            <v>9303</v>
          </cell>
          <cell r="C228">
            <v>179.4</v>
          </cell>
          <cell r="D228">
            <v>0.33</v>
          </cell>
          <cell r="E228">
            <v>500.64</v>
          </cell>
          <cell r="F228">
            <v>138.5</v>
          </cell>
          <cell r="G228">
            <v>54.44</v>
          </cell>
          <cell r="H228">
            <v>873.31</v>
          </cell>
          <cell r="I228">
            <v>106.8</v>
          </cell>
          <cell r="J228">
            <v>90459</v>
          </cell>
          <cell r="K228" t="str">
            <v>MP</v>
          </cell>
        </row>
        <row r="229">
          <cell r="A229">
            <v>991772</v>
          </cell>
          <cell r="B229">
            <v>9304</v>
          </cell>
          <cell r="C229">
            <v>183.57</v>
          </cell>
          <cell r="D229">
            <v>1.84</v>
          </cell>
          <cell r="E229">
            <v>500.64</v>
          </cell>
          <cell r="F229">
            <v>149.16</v>
          </cell>
          <cell r="G229">
            <v>144.54</v>
          </cell>
          <cell r="H229">
            <v>979.74999999999989</v>
          </cell>
          <cell r="I229">
            <v>575.32000000000005</v>
          </cell>
          <cell r="J229">
            <v>91591</v>
          </cell>
          <cell r="K229" t="str">
            <v>MP</v>
          </cell>
        </row>
        <row r="230">
          <cell r="A230">
            <v>991773</v>
          </cell>
          <cell r="B230">
            <v>9609</v>
          </cell>
          <cell r="C230">
            <v>175.35</v>
          </cell>
          <cell r="D230">
            <v>17.27</v>
          </cell>
          <cell r="E230">
            <v>501</v>
          </cell>
          <cell r="F230">
            <v>257.75</v>
          </cell>
          <cell r="G230">
            <v>1173.21</v>
          </cell>
          <cell r="H230">
            <v>2124.58</v>
          </cell>
          <cell r="I230">
            <v>5394.1</v>
          </cell>
          <cell r="J230">
            <v>91681</v>
          </cell>
          <cell r="K230" t="str">
            <v>MP</v>
          </cell>
        </row>
        <row r="231">
          <cell r="A231">
            <v>991774</v>
          </cell>
          <cell r="B231">
            <v>9306</v>
          </cell>
          <cell r="C231">
            <v>179.4</v>
          </cell>
          <cell r="D231">
            <v>30.97</v>
          </cell>
          <cell r="E231">
            <v>500.64</v>
          </cell>
          <cell r="F231">
            <v>447.13</v>
          </cell>
          <cell r="G231">
            <v>2076.7800000000002</v>
          </cell>
          <cell r="H231">
            <v>3234.92</v>
          </cell>
          <cell r="I231">
            <v>9679.0400000000009</v>
          </cell>
          <cell r="J231">
            <v>91681</v>
          </cell>
          <cell r="K231" t="str">
            <v>MP</v>
          </cell>
        </row>
        <row r="232">
          <cell r="A232">
            <v>991775</v>
          </cell>
          <cell r="B232">
            <v>9307</v>
          </cell>
          <cell r="C232">
            <v>179.4</v>
          </cell>
          <cell r="D232">
            <v>7.48</v>
          </cell>
          <cell r="E232">
            <v>500.64</v>
          </cell>
          <cell r="F232">
            <v>188.82</v>
          </cell>
          <cell r="G232">
            <v>529.87</v>
          </cell>
          <cell r="H232">
            <v>1406.21</v>
          </cell>
          <cell r="I232">
            <v>2336.3200000000002</v>
          </cell>
          <cell r="J232">
            <v>91681</v>
          </cell>
          <cell r="K232" t="str">
            <v>MP</v>
          </cell>
        </row>
        <row r="233">
          <cell r="A233">
            <v>991776</v>
          </cell>
          <cell r="B233">
            <v>9615</v>
          </cell>
          <cell r="C233">
            <v>1872.97</v>
          </cell>
          <cell r="D233">
            <v>22.7</v>
          </cell>
          <cell r="E233">
            <v>501</v>
          </cell>
          <cell r="F233">
            <v>405.04</v>
          </cell>
          <cell r="G233">
            <v>1504.83</v>
          </cell>
          <cell r="H233">
            <v>4306.54</v>
          </cell>
          <cell r="I233">
            <v>7048.37</v>
          </cell>
          <cell r="J233">
            <v>92280</v>
          </cell>
          <cell r="K233" t="str">
            <v>MP</v>
          </cell>
        </row>
        <row r="234">
          <cell r="A234">
            <v>991777</v>
          </cell>
          <cell r="B234">
            <v>9192</v>
          </cell>
          <cell r="C234">
            <v>5799.21</v>
          </cell>
          <cell r="D234">
            <v>30.53</v>
          </cell>
          <cell r="E234">
            <v>501.6</v>
          </cell>
          <cell r="F234">
            <v>485.62</v>
          </cell>
          <cell r="G234">
            <v>1290.53</v>
          </cell>
          <cell r="H234">
            <v>8107.49</v>
          </cell>
          <cell r="I234">
            <v>4924.68</v>
          </cell>
          <cell r="J234">
            <v>91996</v>
          </cell>
          <cell r="K234" t="str">
            <v>MP</v>
          </cell>
        </row>
        <row r="235">
          <cell r="A235">
            <v>991778</v>
          </cell>
          <cell r="B235">
            <v>9578</v>
          </cell>
          <cell r="C235">
            <v>15575.61</v>
          </cell>
          <cell r="D235">
            <v>168.58</v>
          </cell>
          <cell r="E235">
            <v>501.63</v>
          </cell>
          <cell r="F235">
            <v>1222.1099999999999</v>
          </cell>
          <cell r="G235">
            <v>5152.3100000000004</v>
          </cell>
          <cell r="H235">
            <v>22620.240000000002</v>
          </cell>
          <cell r="I235">
            <v>27191.69</v>
          </cell>
          <cell r="J235">
            <v>91996</v>
          </cell>
          <cell r="K235" t="str">
            <v>MP</v>
          </cell>
        </row>
        <row r="236">
          <cell r="A236">
            <v>991779</v>
          </cell>
          <cell r="B236">
            <v>9584</v>
          </cell>
          <cell r="C236">
            <v>7909.03</v>
          </cell>
          <cell r="D236">
            <v>122.72</v>
          </cell>
          <cell r="E236">
            <v>501.63</v>
          </cell>
          <cell r="F236">
            <v>1294.28</v>
          </cell>
          <cell r="G236">
            <v>5537.27</v>
          </cell>
          <cell r="H236">
            <v>15364.93</v>
          </cell>
          <cell r="I236">
            <v>38112.18</v>
          </cell>
          <cell r="J236">
            <v>91996</v>
          </cell>
          <cell r="K236" t="str">
            <v>MP</v>
          </cell>
        </row>
        <row r="237">
          <cell r="A237">
            <v>991780</v>
          </cell>
          <cell r="B237">
            <v>9510</v>
          </cell>
          <cell r="C237">
            <v>15929.58</v>
          </cell>
          <cell r="D237">
            <v>141.01</v>
          </cell>
          <cell r="E237">
            <v>513.03</v>
          </cell>
          <cell r="F237">
            <v>1129.3800000000001</v>
          </cell>
          <cell r="G237">
            <v>5669.34</v>
          </cell>
          <cell r="H237">
            <v>23382.34</v>
          </cell>
          <cell r="I237">
            <v>22744.33</v>
          </cell>
          <cell r="J237">
            <v>91996</v>
          </cell>
          <cell r="K237" t="str">
            <v>MP</v>
          </cell>
        </row>
        <row r="238">
          <cell r="A238">
            <v>991781</v>
          </cell>
          <cell r="B238">
            <v>9512</v>
          </cell>
          <cell r="C238">
            <v>15929.58</v>
          </cell>
          <cell r="D238">
            <v>229.26</v>
          </cell>
          <cell r="E238">
            <v>513.03</v>
          </cell>
          <cell r="F238">
            <v>1451.57</v>
          </cell>
          <cell r="G238">
            <v>7724.31</v>
          </cell>
          <cell r="H238">
            <v>25847.75</v>
          </cell>
          <cell r="I238">
            <v>36975.78</v>
          </cell>
          <cell r="J238">
            <v>91996</v>
          </cell>
          <cell r="K238" t="str">
            <v>MP</v>
          </cell>
        </row>
        <row r="239">
          <cell r="A239">
            <v>991782</v>
          </cell>
          <cell r="B239">
            <v>9236</v>
          </cell>
          <cell r="C239">
            <v>7839.98</v>
          </cell>
          <cell r="D239">
            <v>213.7</v>
          </cell>
          <cell r="E239">
            <v>497.25</v>
          </cell>
          <cell r="F239">
            <v>1036.3800000000001</v>
          </cell>
          <cell r="G239">
            <v>4161.7700000000004</v>
          </cell>
          <cell r="H239">
            <v>13749.080000000002</v>
          </cell>
          <cell r="I239">
            <v>26627.74</v>
          </cell>
          <cell r="J239">
            <v>91998</v>
          </cell>
          <cell r="K239" t="str">
            <v>MP</v>
          </cell>
        </row>
        <row r="240">
          <cell r="A240">
            <v>991783</v>
          </cell>
          <cell r="B240">
            <v>9514</v>
          </cell>
          <cell r="C240">
            <v>15929.58</v>
          </cell>
          <cell r="D240">
            <v>56.93</v>
          </cell>
          <cell r="E240">
            <v>513.03</v>
          </cell>
          <cell r="F240">
            <v>1013.52</v>
          </cell>
          <cell r="G240">
            <v>6059.79</v>
          </cell>
          <cell r="H240">
            <v>23572.850000000002</v>
          </cell>
          <cell r="I240">
            <v>17679.009999999998</v>
          </cell>
          <cell r="J240">
            <v>91996</v>
          </cell>
          <cell r="K240" t="str">
            <v>MP</v>
          </cell>
        </row>
        <row r="241">
          <cell r="A241">
            <v>991784</v>
          </cell>
          <cell r="B241">
            <v>9380</v>
          </cell>
          <cell r="C241">
            <v>817.47</v>
          </cell>
          <cell r="D241">
            <v>67.099999999999994</v>
          </cell>
          <cell r="E241">
            <v>501</v>
          </cell>
          <cell r="F241">
            <v>519.44000000000005</v>
          </cell>
          <cell r="G241">
            <v>1990.05</v>
          </cell>
          <cell r="H241">
            <v>3895.0600000000004</v>
          </cell>
          <cell r="I241">
            <v>10821.6</v>
          </cell>
          <cell r="J241">
            <v>91491</v>
          </cell>
          <cell r="K241" t="str">
            <v>MP</v>
          </cell>
        </row>
        <row r="242">
          <cell r="A242">
            <v>991785</v>
          </cell>
          <cell r="B242">
            <v>9445</v>
          </cell>
          <cell r="C242">
            <v>238.75</v>
          </cell>
          <cell r="D242">
            <v>38.19</v>
          </cell>
          <cell r="E242">
            <v>501</v>
          </cell>
          <cell r="F242">
            <v>292.62</v>
          </cell>
          <cell r="G242">
            <v>1219.3399999999999</v>
          </cell>
          <cell r="H242">
            <v>2289.8999999999996</v>
          </cell>
          <cell r="I242">
            <v>6139.19</v>
          </cell>
          <cell r="J242">
            <v>92174</v>
          </cell>
          <cell r="K242" t="str">
            <v>MP</v>
          </cell>
        </row>
        <row r="243">
          <cell r="A243">
            <v>991786</v>
          </cell>
          <cell r="B243">
            <v>9619</v>
          </cell>
          <cell r="C243">
            <v>253.03</v>
          </cell>
          <cell r="D243">
            <v>4.1900000000000004</v>
          </cell>
          <cell r="E243">
            <v>501</v>
          </cell>
          <cell r="F243">
            <v>153</v>
          </cell>
          <cell r="G243">
            <v>176.9</v>
          </cell>
          <cell r="H243">
            <v>1088.1200000000001</v>
          </cell>
          <cell r="I243">
            <v>673.78</v>
          </cell>
          <cell r="J243">
            <v>90257</v>
          </cell>
          <cell r="K243" t="str">
            <v>MP</v>
          </cell>
        </row>
        <row r="244">
          <cell r="A244">
            <v>991787</v>
          </cell>
          <cell r="B244">
            <v>9162</v>
          </cell>
          <cell r="C244">
            <v>180.05</v>
          </cell>
          <cell r="D244">
            <v>280.8</v>
          </cell>
          <cell r="E244">
            <v>501.6</v>
          </cell>
          <cell r="F244">
            <v>1282.1600000000001</v>
          </cell>
          <cell r="G244">
            <v>2280.2399999999998</v>
          </cell>
          <cell r="H244">
            <v>4524.8500000000004</v>
          </cell>
          <cell r="I244">
            <v>45144</v>
          </cell>
          <cell r="J244">
            <v>91627</v>
          </cell>
          <cell r="K244" t="str">
            <v>MP</v>
          </cell>
        </row>
        <row r="245">
          <cell r="A245">
            <v>991788</v>
          </cell>
          <cell r="B245">
            <v>9621</v>
          </cell>
          <cell r="C245">
            <v>191.97</v>
          </cell>
          <cell r="D245">
            <v>3.11</v>
          </cell>
          <cell r="E245">
            <v>501</v>
          </cell>
          <cell r="F245">
            <v>158.33000000000001</v>
          </cell>
          <cell r="G245">
            <v>221.96</v>
          </cell>
          <cell r="H245">
            <v>1076.3700000000001</v>
          </cell>
          <cell r="I245">
            <v>973.14</v>
          </cell>
          <cell r="J245">
            <v>91799</v>
          </cell>
          <cell r="K245" t="str">
            <v>MP</v>
          </cell>
        </row>
        <row r="246">
          <cell r="A246">
            <v>991789</v>
          </cell>
          <cell r="B246">
            <v>9116</v>
          </cell>
          <cell r="C246">
            <v>179.45</v>
          </cell>
          <cell r="D246">
            <v>34.47</v>
          </cell>
          <cell r="E246">
            <v>512.70000000000005</v>
          </cell>
          <cell r="F246">
            <v>495.99</v>
          </cell>
          <cell r="G246">
            <v>1977.74</v>
          </cell>
          <cell r="H246">
            <v>3200.3500000000004</v>
          </cell>
          <cell r="I246">
            <v>10773.54</v>
          </cell>
          <cell r="J246">
            <v>90379</v>
          </cell>
          <cell r="K246" t="str">
            <v>MP</v>
          </cell>
        </row>
        <row r="247">
          <cell r="A247">
            <v>991790</v>
          </cell>
          <cell r="B247">
            <v>9400</v>
          </cell>
          <cell r="C247">
            <v>187.04</v>
          </cell>
          <cell r="D247">
            <v>2.0499999999999998</v>
          </cell>
          <cell r="E247">
            <v>501</v>
          </cell>
          <cell r="F247">
            <v>150.75</v>
          </cell>
          <cell r="G247">
            <v>157.88999999999999</v>
          </cell>
          <cell r="H247">
            <v>998.73</v>
          </cell>
          <cell r="I247">
            <v>641.28</v>
          </cell>
          <cell r="J247">
            <v>90402</v>
          </cell>
          <cell r="K247" t="str">
            <v>MP</v>
          </cell>
        </row>
        <row r="248">
          <cell r="A248">
            <v>991791</v>
          </cell>
          <cell r="B248">
            <v>9217</v>
          </cell>
          <cell r="C248">
            <v>161.61000000000001</v>
          </cell>
          <cell r="D248">
            <v>10.06</v>
          </cell>
          <cell r="E248">
            <v>497.25</v>
          </cell>
          <cell r="F248">
            <v>206.66</v>
          </cell>
          <cell r="G248">
            <v>464.23</v>
          </cell>
          <cell r="H248">
            <v>1339.81</v>
          </cell>
          <cell r="I248">
            <v>3144.28</v>
          </cell>
          <cell r="J248">
            <v>91919</v>
          </cell>
          <cell r="K248" t="str">
            <v>MP</v>
          </cell>
        </row>
        <row r="249">
          <cell r="A249">
            <v>991792</v>
          </cell>
          <cell r="B249">
            <v>9268</v>
          </cell>
          <cell r="C249">
            <v>162.71</v>
          </cell>
          <cell r="D249">
            <v>46.43</v>
          </cell>
          <cell r="E249">
            <v>500.64</v>
          </cell>
          <cell r="F249">
            <v>587.20000000000005</v>
          </cell>
          <cell r="G249">
            <v>2060.48</v>
          </cell>
          <cell r="H249">
            <v>3357.46</v>
          </cell>
          <cell r="I249">
            <v>14508.55</v>
          </cell>
          <cell r="J249">
            <v>90236</v>
          </cell>
          <cell r="K249" t="str">
            <v>MP</v>
          </cell>
        </row>
        <row r="250">
          <cell r="A250">
            <v>991793</v>
          </cell>
          <cell r="B250">
            <v>9269</v>
          </cell>
          <cell r="C250">
            <v>162.71</v>
          </cell>
          <cell r="D250">
            <v>7.43</v>
          </cell>
          <cell r="E250">
            <v>500.64</v>
          </cell>
          <cell r="F250">
            <v>188.14</v>
          </cell>
          <cell r="G250">
            <v>74.790000000000006</v>
          </cell>
          <cell r="H250">
            <v>933.70999999999992</v>
          </cell>
          <cell r="I250">
            <v>2322.9699999999998</v>
          </cell>
          <cell r="J250">
            <v>90121</v>
          </cell>
          <cell r="K250" t="str">
            <v>MP</v>
          </cell>
        </row>
        <row r="251">
          <cell r="A251">
            <v>991794</v>
          </cell>
          <cell r="B251">
            <v>9068</v>
          </cell>
          <cell r="C251">
            <v>251.05</v>
          </cell>
          <cell r="D251">
            <v>190.85</v>
          </cell>
          <cell r="E251">
            <v>519.41999999999996</v>
          </cell>
          <cell r="F251">
            <v>1602.36</v>
          </cell>
          <cell r="G251">
            <v>2991.79</v>
          </cell>
          <cell r="H251">
            <v>5555.4699999999993</v>
          </cell>
          <cell r="I251">
            <v>59393.95</v>
          </cell>
          <cell r="J251">
            <v>90651</v>
          </cell>
          <cell r="K251" t="str">
            <v>MP</v>
          </cell>
        </row>
        <row r="252">
          <cell r="A252">
            <v>991795</v>
          </cell>
          <cell r="B252">
            <v>9021</v>
          </cell>
          <cell r="C252">
            <v>146.63</v>
          </cell>
          <cell r="D252">
            <v>6.68</v>
          </cell>
          <cell r="E252">
            <v>517.53</v>
          </cell>
          <cell r="F252">
            <v>179.17</v>
          </cell>
          <cell r="G252">
            <v>293.17</v>
          </cell>
          <cell r="H252">
            <v>1143.1799999999998</v>
          </cell>
          <cell r="I252">
            <v>1940.74</v>
          </cell>
          <cell r="J252">
            <v>90097</v>
          </cell>
          <cell r="K252" t="str">
            <v>MP</v>
          </cell>
        </row>
        <row r="253">
          <cell r="A253">
            <v>991797</v>
          </cell>
          <cell r="B253">
            <v>9163</v>
          </cell>
          <cell r="C253">
            <v>133.76</v>
          </cell>
          <cell r="D253">
            <v>1.19</v>
          </cell>
          <cell r="E253">
            <v>501.6</v>
          </cell>
          <cell r="F253">
            <v>143.36000000000001</v>
          </cell>
          <cell r="G253">
            <v>95.53</v>
          </cell>
          <cell r="H253">
            <v>875.43999999999994</v>
          </cell>
          <cell r="I253">
            <v>367.84</v>
          </cell>
          <cell r="J253">
            <v>91349</v>
          </cell>
          <cell r="K253" t="str">
            <v>MP</v>
          </cell>
        </row>
        <row r="254">
          <cell r="A254">
            <v>991798</v>
          </cell>
          <cell r="B254">
            <v>9271</v>
          </cell>
          <cell r="C254">
            <v>212.2</v>
          </cell>
          <cell r="D254">
            <v>3.3</v>
          </cell>
          <cell r="E254">
            <v>500.64</v>
          </cell>
          <cell r="F254">
            <v>148.91</v>
          </cell>
          <cell r="G254">
            <v>142.41</v>
          </cell>
          <cell r="H254">
            <v>1007.4599999999999</v>
          </cell>
          <cell r="I254">
            <v>534.02</v>
          </cell>
          <cell r="J254">
            <v>92285</v>
          </cell>
          <cell r="K254" t="str">
            <v>MP</v>
          </cell>
        </row>
        <row r="255">
          <cell r="A255">
            <v>991799</v>
          </cell>
          <cell r="B255">
            <v>9470</v>
          </cell>
          <cell r="C255">
            <v>3201.34</v>
          </cell>
          <cell r="D255">
            <v>94.3</v>
          </cell>
          <cell r="E255">
            <v>500.64</v>
          </cell>
          <cell r="F255">
            <v>671.34</v>
          </cell>
          <cell r="G255">
            <v>2214.89</v>
          </cell>
          <cell r="H255">
            <v>6682.51</v>
          </cell>
          <cell r="I255">
            <v>15161.78</v>
          </cell>
          <cell r="J255">
            <v>92299</v>
          </cell>
          <cell r="K255" t="str">
            <v>MP</v>
          </cell>
        </row>
        <row r="256">
          <cell r="A256">
            <v>991800</v>
          </cell>
          <cell r="B256">
            <v>9275</v>
          </cell>
          <cell r="C256">
            <v>568.34</v>
          </cell>
          <cell r="D256">
            <v>11.73</v>
          </cell>
          <cell r="E256">
            <v>500.64</v>
          </cell>
          <cell r="F256">
            <v>187.68</v>
          </cell>
          <cell r="G256">
            <v>469.77</v>
          </cell>
          <cell r="H256">
            <v>1738.16</v>
          </cell>
          <cell r="I256">
            <v>1892.42</v>
          </cell>
          <cell r="J256">
            <v>92285</v>
          </cell>
          <cell r="K256" t="str">
            <v>MP</v>
          </cell>
        </row>
        <row r="257">
          <cell r="A257">
            <v>991801</v>
          </cell>
          <cell r="B257">
            <v>9279</v>
          </cell>
          <cell r="C257">
            <v>2509.91</v>
          </cell>
          <cell r="D257">
            <v>66.84</v>
          </cell>
          <cell r="E257">
            <v>500.64</v>
          </cell>
          <cell r="F257">
            <v>556.54</v>
          </cell>
          <cell r="G257">
            <v>1602.65</v>
          </cell>
          <cell r="H257">
            <v>5236.58</v>
          </cell>
          <cell r="I257">
            <v>10778.7</v>
          </cell>
          <cell r="J257">
            <v>92316</v>
          </cell>
          <cell r="K257" t="str">
            <v>MP</v>
          </cell>
        </row>
        <row r="258">
          <cell r="A258">
            <v>991802</v>
          </cell>
          <cell r="B258">
            <v>9356</v>
          </cell>
          <cell r="C258">
            <v>160.04</v>
          </cell>
          <cell r="D258">
            <v>12.17</v>
          </cell>
          <cell r="E258">
            <v>500.64</v>
          </cell>
          <cell r="F258">
            <v>180.03</v>
          </cell>
          <cell r="G258">
            <v>405.47</v>
          </cell>
          <cell r="H258">
            <v>1258.3499999999999</v>
          </cell>
          <cell r="I258">
            <v>1960.84</v>
          </cell>
          <cell r="J258">
            <v>93033</v>
          </cell>
          <cell r="K258" t="str">
            <v>MP</v>
          </cell>
        </row>
        <row r="259">
          <cell r="A259">
            <v>991803</v>
          </cell>
          <cell r="B259">
            <v>9569</v>
          </cell>
          <cell r="C259">
            <v>7274.6</v>
          </cell>
          <cell r="D259">
            <v>68.47</v>
          </cell>
          <cell r="E259">
            <v>501.63</v>
          </cell>
          <cell r="F259">
            <v>783.14</v>
          </cell>
          <cell r="G259">
            <v>4450.99</v>
          </cell>
          <cell r="H259">
            <v>13078.83</v>
          </cell>
          <cell r="I259">
            <v>16052.16</v>
          </cell>
          <cell r="J259">
            <v>92373</v>
          </cell>
          <cell r="K259" t="str">
            <v>MP</v>
          </cell>
        </row>
        <row r="260">
          <cell r="A260">
            <v>991804</v>
          </cell>
          <cell r="B260">
            <v>9280</v>
          </cell>
          <cell r="C260">
            <v>2128.14</v>
          </cell>
          <cell r="D260">
            <v>31.24</v>
          </cell>
          <cell r="E260">
            <v>500.64</v>
          </cell>
          <cell r="F260">
            <v>522.9</v>
          </cell>
          <cell r="G260">
            <v>2253.42</v>
          </cell>
          <cell r="H260">
            <v>5436.34</v>
          </cell>
          <cell r="I260">
            <v>9700.73</v>
          </cell>
          <cell r="J260">
            <v>91990</v>
          </cell>
          <cell r="K260" t="str">
            <v>MP</v>
          </cell>
        </row>
        <row r="261">
          <cell r="A261">
            <v>991805</v>
          </cell>
          <cell r="B261">
            <v>9308</v>
          </cell>
          <cell r="C261">
            <v>940.49</v>
          </cell>
          <cell r="D261">
            <v>56.49</v>
          </cell>
          <cell r="E261">
            <v>500.64</v>
          </cell>
          <cell r="F261">
            <v>456.88</v>
          </cell>
          <cell r="G261">
            <v>1516.29</v>
          </cell>
          <cell r="H261">
            <v>3470.79</v>
          </cell>
          <cell r="I261">
            <v>9111.65</v>
          </cell>
          <cell r="J261">
            <v>92284</v>
          </cell>
          <cell r="K261" t="str">
            <v>MP</v>
          </cell>
        </row>
        <row r="262">
          <cell r="A262">
            <v>991806</v>
          </cell>
          <cell r="B262">
            <v>9317</v>
          </cell>
          <cell r="C262">
            <v>151.86000000000001</v>
          </cell>
          <cell r="D262">
            <v>7.31</v>
          </cell>
          <cell r="E262">
            <v>500.64</v>
          </cell>
          <cell r="F262">
            <v>186.7</v>
          </cell>
          <cell r="G262">
            <v>340.02</v>
          </cell>
          <cell r="H262">
            <v>1186.53</v>
          </cell>
          <cell r="I262">
            <v>2269.5700000000002</v>
          </cell>
          <cell r="J262">
            <v>91841</v>
          </cell>
          <cell r="K262" t="str">
            <v>MP</v>
          </cell>
        </row>
        <row r="263">
          <cell r="A263">
            <v>991807</v>
          </cell>
          <cell r="B263">
            <v>9355</v>
          </cell>
          <cell r="C263">
            <v>909.65</v>
          </cell>
          <cell r="D263">
            <v>35.32</v>
          </cell>
          <cell r="E263">
            <v>501</v>
          </cell>
          <cell r="F263">
            <v>301.77999999999997</v>
          </cell>
          <cell r="G263">
            <v>1390.82</v>
          </cell>
          <cell r="H263">
            <v>3138.5699999999997</v>
          </cell>
          <cell r="I263">
            <v>5678</v>
          </cell>
          <cell r="J263">
            <v>92281</v>
          </cell>
          <cell r="K263" t="str">
            <v>MP</v>
          </cell>
        </row>
        <row r="264">
          <cell r="A264">
            <v>991808</v>
          </cell>
          <cell r="B264">
            <v>9309</v>
          </cell>
          <cell r="C264">
            <v>689.08</v>
          </cell>
          <cell r="D264">
            <v>81.14</v>
          </cell>
          <cell r="E264">
            <v>500.64</v>
          </cell>
          <cell r="F264">
            <v>567.84</v>
          </cell>
          <cell r="G264">
            <v>1662.91</v>
          </cell>
          <cell r="H264">
            <v>3501.6100000000006</v>
          </cell>
          <cell r="I264">
            <v>13087.4</v>
          </cell>
          <cell r="J264">
            <v>92001</v>
          </cell>
          <cell r="K264" t="str">
            <v>MP</v>
          </cell>
        </row>
        <row r="265">
          <cell r="A265">
            <v>991809</v>
          </cell>
          <cell r="B265">
            <v>9318</v>
          </cell>
          <cell r="C265">
            <v>241.49</v>
          </cell>
          <cell r="D265">
            <v>21.31</v>
          </cell>
          <cell r="E265">
            <v>500.64</v>
          </cell>
          <cell r="F265">
            <v>215.27</v>
          </cell>
          <cell r="G265">
            <v>532.13</v>
          </cell>
          <cell r="H265">
            <v>1510.8400000000001</v>
          </cell>
          <cell r="I265">
            <v>3436.06</v>
          </cell>
          <cell r="J265">
            <v>92287</v>
          </cell>
          <cell r="K265" t="str">
            <v>MP</v>
          </cell>
        </row>
        <row r="266">
          <cell r="A266">
            <v>991810</v>
          </cell>
          <cell r="B266">
            <v>9718</v>
          </cell>
          <cell r="C266">
            <v>3648.4</v>
          </cell>
          <cell r="D266">
            <v>236.37</v>
          </cell>
          <cell r="E266">
            <v>509.34</v>
          </cell>
          <cell r="F266">
            <v>1201.25</v>
          </cell>
          <cell r="G266">
            <v>7730.71</v>
          </cell>
          <cell r="H266">
            <v>13326.07</v>
          </cell>
          <cell r="I266">
            <v>38124.1</v>
          </cell>
          <cell r="J266">
            <v>92253</v>
          </cell>
          <cell r="K266" t="str">
            <v>MP</v>
          </cell>
        </row>
        <row r="267">
          <cell r="A267">
            <v>991811</v>
          </cell>
          <cell r="B267">
            <v>9576</v>
          </cell>
          <cell r="C267">
            <v>866.15</v>
          </cell>
          <cell r="D267">
            <v>108.59</v>
          </cell>
          <cell r="E267">
            <v>501.63</v>
          </cell>
          <cell r="F267">
            <v>670.76</v>
          </cell>
          <cell r="G267">
            <v>3501.98</v>
          </cell>
          <cell r="H267">
            <v>5649.1100000000006</v>
          </cell>
          <cell r="I267">
            <v>17456.72</v>
          </cell>
          <cell r="J267">
            <v>92323</v>
          </cell>
          <cell r="K267" t="str">
            <v>MP</v>
          </cell>
        </row>
        <row r="268">
          <cell r="A268">
            <v>991813</v>
          </cell>
          <cell r="B268">
            <v>9359</v>
          </cell>
          <cell r="C268">
            <v>5980.18</v>
          </cell>
          <cell r="D268">
            <v>8.82</v>
          </cell>
          <cell r="E268">
            <v>501</v>
          </cell>
          <cell r="F268">
            <v>336.39</v>
          </cell>
          <cell r="G268">
            <v>1406.21</v>
          </cell>
          <cell r="H268">
            <v>8232.6</v>
          </cell>
          <cell r="I268">
            <v>1412.11</v>
          </cell>
          <cell r="J268">
            <v>91416</v>
          </cell>
          <cell r="K268" t="str">
            <v>MP</v>
          </cell>
        </row>
        <row r="269">
          <cell r="A269">
            <v>991816</v>
          </cell>
          <cell r="B269">
            <v>9320</v>
          </cell>
          <cell r="C269">
            <v>175.22</v>
          </cell>
          <cell r="D269">
            <v>6.47</v>
          </cell>
          <cell r="E269">
            <v>500.64</v>
          </cell>
          <cell r="F269">
            <v>181.68</v>
          </cell>
          <cell r="G269">
            <v>419.13</v>
          </cell>
          <cell r="H269">
            <v>1283.1399999999999</v>
          </cell>
          <cell r="I269">
            <v>2024.25</v>
          </cell>
          <cell r="J269">
            <v>91178</v>
          </cell>
          <cell r="K269" t="str">
            <v>MP</v>
          </cell>
        </row>
        <row r="270">
          <cell r="A270">
            <v>991818</v>
          </cell>
          <cell r="B270">
            <v>9465</v>
          </cell>
          <cell r="C270">
            <v>162.83000000000001</v>
          </cell>
          <cell r="D270">
            <v>37.04</v>
          </cell>
          <cell r="E270">
            <v>501</v>
          </cell>
          <cell r="F270">
            <v>520.94000000000005</v>
          </cell>
          <cell r="G270">
            <v>1648.22</v>
          </cell>
          <cell r="H270">
            <v>2870.0299999999997</v>
          </cell>
          <cell r="I270">
            <v>11573.1</v>
          </cell>
          <cell r="J270">
            <v>90121</v>
          </cell>
          <cell r="K270" t="str">
            <v>MP</v>
          </cell>
        </row>
        <row r="271">
          <cell r="A271">
            <v>991819</v>
          </cell>
          <cell r="B271">
            <v>9321</v>
          </cell>
          <cell r="C271">
            <v>141.85</v>
          </cell>
          <cell r="D271">
            <v>16.45</v>
          </cell>
          <cell r="E271">
            <v>500.64</v>
          </cell>
          <cell r="F271">
            <v>251.26</v>
          </cell>
          <cell r="G271">
            <v>741.75</v>
          </cell>
          <cell r="H271">
            <v>1651.9499999999998</v>
          </cell>
          <cell r="I271">
            <v>5139.8999999999996</v>
          </cell>
          <cell r="J271">
            <v>91319</v>
          </cell>
          <cell r="K271" t="str">
            <v>MP</v>
          </cell>
        </row>
        <row r="272">
          <cell r="A272">
            <v>991820</v>
          </cell>
          <cell r="B272">
            <v>9322</v>
          </cell>
          <cell r="C272">
            <v>175.22</v>
          </cell>
          <cell r="D272">
            <v>0.7</v>
          </cell>
          <cell r="E272">
            <v>500.64</v>
          </cell>
          <cell r="F272">
            <v>140.94999999999999</v>
          </cell>
          <cell r="G272">
            <v>75.12</v>
          </cell>
          <cell r="H272">
            <v>892.63</v>
          </cell>
          <cell r="I272">
            <v>219.45</v>
          </cell>
          <cell r="J272">
            <v>90390</v>
          </cell>
          <cell r="K272" t="str">
            <v>MP</v>
          </cell>
        </row>
        <row r="273">
          <cell r="A273">
            <v>991821</v>
          </cell>
          <cell r="B273">
            <v>9464</v>
          </cell>
          <cell r="C273">
            <v>141.94999999999999</v>
          </cell>
          <cell r="D273">
            <v>52.24</v>
          </cell>
          <cell r="E273">
            <v>501</v>
          </cell>
          <cell r="F273">
            <v>627.71</v>
          </cell>
          <cell r="G273">
            <v>2312.58</v>
          </cell>
          <cell r="H273">
            <v>3635.48</v>
          </cell>
          <cell r="I273">
            <v>16324.25</v>
          </cell>
          <cell r="J273">
            <v>90097</v>
          </cell>
          <cell r="K273" t="str">
            <v>MP</v>
          </cell>
        </row>
        <row r="274">
          <cell r="A274">
            <v>991823</v>
          </cell>
          <cell r="B274">
            <v>9117</v>
          </cell>
          <cell r="C274">
            <v>13587.93</v>
          </cell>
          <cell r="D274">
            <v>1109.77</v>
          </cell>
          <cell r="E274">
            <v>512.70000000000005</v>
          </cell>
          <cell r="F274">
            <v>4601.1899999999996</v>
          </cell>
          <cell r="G274">
            <v>40554.629999999997</v>
          </cell>
          <cell r="H274">
            <v>60366.22</v>
          </cell>
          <cell r="I274">
            <v>178419.6</v>
          </cell>
          <cell r="J274">
            <v>91375</v>
          </cell>
          <cell r="K274" t="str">
            <v>MP</v>
          </cell>
        </row>
        <row r="275">
          <cell r="A275">
            <v>991824</v>
          </cell>
          <cell r="B275">
            <v>9711</v>
          </cell>
          <cell r="C275">
            <v>3660.23</v>
          </cell>
          <cell r="D275">
            <v>870.91</v>
          </cell>
          <cell r="E275">
            <v>505.53</v>
          </cell>
          <cell r="F275">
            <v>3508.37</v>
          </cell>
          <cell r="G275">
            <v>18791.21</v>
          </cell>
          <cell r="H275">
            <v>27336.25</v>
          </cell>
          <cell r="I275">
            <v>140016.64000000001</v>
          </cell>
          <cell r="J275">
            <v>92107</v>
          </cell>
          <cell r="K275" t="str">
            <v>MP</v>
          </cell>
        </row>
        <row r="276">
          <cell r="A276">
            <v>991825</v>
          </cell>
          <cell r="B276">
            <v>9323</v>
          </cell>
          <cell r="C276">
            <v>73.180000000000007</v>
          </cell>
          <cell r="D276">
            <v>11.55</v>
          </cell>
          <cell r="E276">
            <v>500.64</v>
          </cell>
          <cell r="F276">
            <v>175.71</v>
          </cell>
          <cell r="G276">
            <v>368.7</v>
          </cell>
          <cell r="H276">
            <v>1129.78</v>
          </cell>
          <cell r="I276">
            <v>1855.71</v>
          </cell>
          <cell r="J276">
            <v>90444</v>
          </cell>
          <cell r="K276" t="str">
            <v>MP</v>
          </cell>
        </row>
        <row r="277">
          <cell r="A277">
            <v>991826</v>
          </cell>
          <cell r="B277">
            <v>9218</v>
          </cell>
          <cell r="C277">
            <v>1611.98</v>
          </cell>
          <cell r="D277">
            <v>4084.11</v>
          </cell>
          <cell r="E277">
            <v>497.25</v>
          </cell>
          <cell r="F277">
            <v>15158.14</v>
          </cell>
          <cell r="G277">
            <v>33115.769999999997</v>
          </cell>
          <cell r="H277">
            <v>54467.25</v>
          </cell>
          <cell r="I277">
            <v>656609.21</v>
          </cell>
          <cell r="J277">
            <v>91578</v>
          </cell>
          <cell r="K277" t="str">
            <v>MP</v>
          </cell>
        </row>
        <row r="278">
          <cell r="A278">
            <v>991827</v>
          </cell>
          <cell r="B278">
            <v>9310</v>
          </cell>
          <cell r="C278">
            <v>136.41999999999999</v>
          </cell>
          <cell r="D278">
            <v>43.26</v>
          </cell>
          <cell r="E278">
            <v>500.64</v>
          </cell>
          <cell r="F278">
            <v>564.23</v>
          </cell>
          <cell r="G278">
            <v>1917.57</v>
          </cell>
          <cell r="H278">
            <v>3162.12</v>
          </cell>
          <cell r="I278">
            <v>13517.28</v>
          </cell>
          <cell r="J278">
            <v>90485</v>
          </cell>
          <cell r="K278" t="str">
            <v>MP</v>
          </cell>
        </row>
        <row r="279">
          <cell r="A279">
            <v>991828</v>
          </cell>
          <cell r="B279">
            <v>9461</v>
          </cell>
          <cell r="C279">
            <v>233.8</v>
          </cell>
          <cell r="D279">
            <v>10.09</v>
          </cell>
          <cell r="E279">
            <v>501</v>
          </cell>
          <cell r="F279">
            <v>208.48</v>
          </cell>
          <cell r="G279">
            <v>645.4</v>
          </cell>
          <cell r="H279">
            <v>1598.77</v>
          </cell>
          <cell r="I279">
            <v>3152.96</v>
          </cell>
          <cell r="J279">
            <v>91591</v>
          </cell>
          <cell r="K279" t="str">
            <v>MP</v>
          </cell>
        </row>
        <row r="280">
          <cell r="A280">
            <v>991829</v>
          </cell>
          <cell r="B280">
            <v>9483</v>
          </cell>
          <cell r="C280">
            <v>872.24</v>
          </cell>
          <cell r="D280">
            <v>24.37</v>
          </cell>
          <cell r="E280">
            <v>501</v>
          </cell>
          <cell r="F280">
            <v>383.6</v>
          </cell>
          <cell r="G280">
            <v>1015.41</v>
          </cell>
          <cell r="H280">
            <v>2796.62</v>
          </cell>
          <cell r="I280">
            <v>7565.1</v>
          </cell>
          <cell r="J280">
            <v>92313</v>
          </cell>
          <cell r="K280" t="str">
            <v>MP</v>
          </cell>
        </row>
        <row r="281">
          <cell r="A281">
            <v>991830</v>
          </cell>
          <cell r="B281">
            <v>9577</v>
          </cell>
          <cell r="C281">
            <v>2180.77</v>
          </cell>
          <cell r="D281">
            <v>651.54999999999995</v>
          </cell>
          <cell r="E281">
            <v>501.63</v>
          </cell>
          <cell r="F281">
            <v>4872.5200000000004</v>
          </cell>
          <cell r="G281">
            <v>26672.95</v>
          </cell>
          <cell r="H281">
            <v>34879.42</v>
          </cell>
          <cell r="I281">
            <v>202344.17</v>
          </cell>
          <cell r="J281">
            <v>92107</v>
          </cell>
          <cell r="K281" t="str">
            <v>MP</v>
          </cell>
        </row>
        <row r="282">
          <cell r="A282">
            <v>991832</v>
          </cell>
          <cell r="B282">
            <v>9382</v>
          </cell>
          <cell r="C282">
            <v>171.21</v>
          </cell>
          <cell r="D282">
            <v>5.74</v>
          </cell>
          <cell r="E282">
            <v>500.64</v>
          </cell>
          <cell r="F282">
            <v>156.83000000000001</v>
          </cell>
          <cell r="G282">
            <v>209.28</v>
          </cell>
          <cell r="H282">
            <v>1043.7</v>
          </cell>
          <cell r="I282">
            <v>924.59</v>
          </cell>
          <cell r="J282">
            <v>91984</v>
          </cell>
          <cell r="K282" t="str">
            <v>MP</v>
          </cell>
        </row>
        <row r="283">
          <cell r="A283">
            <v>991833</v>
          </cell>
          <cell r="B283">
            <v>9205</v>
          </cell>
          <cell r="C283">
            <v>103.56</v>
          </cell>
          <cell r="D283">
            <v>9.15</v>
          </cell>
          <cell r="E283">
            <v>501.6</v>
          </cell>
          <cell r="F283">
            <v>198.92</v>
          </cell>
          <cell r="G283">
            <v>0</v>
          </cell>
          <cell r="H283">
            <v>813.23</v>
          </cell>
          <cell r="I283">
            <v>2859.12</v>
          </cell>
          <cell r="J283">
            <v>90856</v>
          </cell>
          <cell r="K283" t="str">
            <v>MP</v>
          </cell>
        </row>
        <row r="284">
          <cell r="A284">
            <v>991834</v>
          </cell>
          <cell r="B284">
            <v>9369</v>
          </cell>
          <cell r="C284">
            <v>183.7</v>
          </cell>
          <cell r="D284">
            <v>47.88</v>
          </cell>
          <cell r="E284">
            <v>501</v>
          </cell>
          <cell r="F284">
            <v>597.92999999999995</v>
          </cell>
          <cell r="G284">
            <v>3190.9</v>
          </cell>
          <cell r="H284">
            <v>4521.41</v>
          </cell>
          <cell r="I284">
            <v>14963.2</v>
          </cell>
          <cell r="J284">
            <v>91981</v>
          </cell>
          <cell r="K284" t="str">
            <v>MP</v>
          </cell>
        </row>
        <row r="285">
          <cell r="A285">
            <v>991836</v>
          </cell>
          <cell r="B285">
            <v>9348</v>
          </cell>
          <cell r="C285">
            <v>101.28</v>
          </cell>
          <cell r="D285">
            <v>0.82</v>
          </cell>
          <cell r="E285">
            <v>500.64</v>
          </cell>
          <cell r="F285">
            <v>137.31</v>
          </cell>
          <cell r="G285">
            <v>44.43</v>
          </cell>
          <cell r="H285">
            <v>784.4799999999999</v>
          </cell>
          <cell r="I285">
            <v>131.72</v>
          </cell>
          <cell r="J285">
            <v>93030</v>
          </cell>
          <cell r="K285" t="str">
            <v>MP</v>
          </cell>
        </row>
        <row r="286">
          <cell r="A286">
            <v>991837</v>
          </cell>
          <cell r="B286">
            <v>9311</v>
          </cell>
          <cell r="C286">
            <v>137.21</v>
          </cell>
          <cell r="D286">
            <v>1.34</v>
          </cell>
          <cell r="E286">
            <v>500.64</v>
          </cell>
          <cell r="F286">
            <v>139.36000000000001</v>
          </cell>
          <cell r="G286">
            <v>61.78</v>
          </cell>
          <cell r="H286">
            <v>840.33</v>
          </cell>
          <cell r="I286">
            <v>186.6</v>
          </cell>
          <cell r="J286">
            <v>93013</v>
          </cell>
          <cell r="K286" t="str">
            <v>MP</v>
          </cell>
        </row>
        <row r="287">
          <cell r="A287">
            <v>991838</v>
          </cell>
          <cell r="B287">
            <v>9492</v>
          </cell>
          <cell r="C287">
            <v>151.97</v>
          </cell>
          <cell r="D287">
            <v>18.95</v>
          </cell>
          <cell r="E287">
            <v>501</v>
          </cell>
          <cell r="F287">
            <v>195.99</v>
          </cell>
          <cell r="G287">
            <v>451.78</v>
          </cell>
          <cell r="H287">
            <v>1319.69</v>
          </cell>
          <cell r="I287">
            <v>3056.1</v>
          </cell>
          <cell r="J287">
            <v>90468</v>
          </cell>
          <cell r="K287" t="str">
            <v>MP</v>
          </cell>
        </row>
        <row r="288">
          <cell r="A288">
            <v>991840</v>
          </cell>
          <cell r="B288">
            <v>9493</v>
          </cell>
          <cell r="C288">
            <v>261.89</v>
          </cell>
          <cell r="D288">
            <v>27.96</v>
          </cell>
          <cell r="E288">
            <v>501</v>
          </cell>
          <cell r="F288">
            <v>240.02</v>
          </cell>
          <cell r="G288">
            <v>911.78</v>
          </cell>
          <cell r="H288">
            <v>1942.6499999999999</v>
          </cell>
          <cell r="I288">
            <v>4509</v>
          </cell>
          <cell r="J288">
            <v>92306</v>
          </cell>
          <cell r="K288" t="str">
            <v>MP</v>
          </cell>
        </row>
        <row r="289">
          <cell r="A289">
            <v>991843</v>
          </cell>
          <cell r="B289">
            <v>9004</v>
          </cell>
          <cell r="C289">
            <v>205.43</v>
          </cell>
          <cell r="D289">
            <v>58.77</v>
          </cell>
          <cell r="E289">
            <v>516.6</v>
          </cell>
          <cell r="F289">
            <v>440.64</v>
          </cell>
          <cell r="G289">
            <v>1364.13</v>
          </cell>
          <cell r="H289">
            <v>2585.5700000000002</v>
          </cell>
          <cell r="I289">
            <v>9479.61</v>
          </cell>
          <cell r="J289">
            <v>90097</v>
          </cell>
          <cell r="K289" t="str">
            <v>MP</v>
          </cell>
        </row>
        <row r="290">
          <cell r="A290">
            <v>991844</v>
          </cell>
          <cell r="B290">
            <v>9593</v>
          </cell>
          <cell r="C290">
            <v>162.83000000000001</v>
          </cell>
          <cell r="D290">
            <v>18.440000000000001</v>
          </cell>
          <cell r="E290">
            <v>501</v>
          </cell>
          <cell r="F290">
            <v>271.5</v>
          </cell>
          <cell r="G290">
            <v>831.99</v>
          </cell>
          <cell r="H290">
            <v>1785.76</v>
          </cell>
          <cell r="I290">
            <v>5761.5</v>
          </cell>
          <cell r="J290">
            <v>90697</v>
          </cell>
          <cell r="K290" t="str">
            <v>MP</v>
          </cell>
        </row>
        <row r="291">
          <cell r="A291">
            <v>991845</v>
          </cell>
          <cell r="B291">
            <v>9194</v>
          </cell>
          <cell r="C291">
            <v>183.42</v>
          </cell>
          <cell r="D291">
            <v>6.15</v>
          </cell>
          <cell r="E291">
            <v>501.6</v>
          </cell>
          <cell r="F291">
            <v>179.53</v>
          </cell>
          <cell r="G291">
            <v>400.97</v>
          </cell>
          <cell r="H291">
            <v>1271.67</v>
          </cell>
          <cell r="I291">
            <v>1920.79</v>
          </cell>
          <cell r="J291">
            <v>90402</v>
          </cell>
          <cell r="K291" t="str">
            <v>MP</v>
          </cell>
        </row>
        <row r="292">
          <cell r="A292">
            <v>991848</v>
          </cell>
          <cell r="B292">
            <v>9195</v>
          </cell>
          <cell r="C292">
            <v>260.14999999999998</v>
          </cell>
          <cell r="D292">
            <v>37.049999999999997</v>
          </cell>
          <cell r="E292">
            <v>501.6</v>
          </cell>
          <cell r="F292">
            <v>520.28</v>
          </cell>
          <cell r="G292">
            <v>0</v>
          </cell>
          <cell r="H292">
            <v>1319.08</v>
          </cell>
          <cell r="I292">
            <v>11446.51</v>
          </cell>
          <cell r="J292">
            <v>91790</v>
          </cell>
          <cell r="K292" t="str">
            <v>MP</v>
          </cell>
        </row>
        <row r="293">
          <cell r="A293">
            <v>991849</v>
          </cell>
          <cell r="B293">
            <v>9686</v>
          </cell>
          <cell r="C293">
            <v>396.18</v>
          </cell>
          <cell r="D293">
            <v>82.38</v>
          </cell>
          <cell r="E293">
            <v>513.03</v>
          </cell>
          <cell r="F293">
            <v>837.12</v>
          </cell>
          <cell r="G293">
            <v>0</v>
          </cell>
          <cell r="H293">
            <v>1828.71</v>
          </cell>
          <cell r="I293">
            <v>25346.76</v>
          </cell>
          <cell r="J293">
            <v>90856</v>
          </cell>
          <cell r="K293" t="str">
            <v>MP</v>
          </cell>
        </row>
        <row r="294">
          <cell r="A294">
            <v>991850</v>
          </cell>
          <cell r="B294">
            <v>9429</v>
          </cell>
          <cell r="C294">
            <v>315.49</v>
          </cell>
          <cell r="D294">
            <v>4.32</v>
          </cell>
          <cell r="E294">
            <v>500.64</v>
          </cell>
          <cell r="F294">
            <v>169.66</v>
          </cell>
          <cell r="G294">
            <v>317.58999999999997</v>
          </cell>
          <cell r="H294">
            <v>1307.7</v>
          </cell>
          <cell r="I294">
            <v>1351.73</v>
          </cell>
          <cell r="J294">
            <v>91511</v>
          </cell>
          <cell r="K294" t="str">
            <v>MP</v>
          </cell>
        </row>
        <row r="295">
          <cell r="A295">
            <v>991851</v>
          </cell>
          <cell r="B295">
            <v>8990</v>
          </cell>
          <cell r="C295">
            <v>9469.2999999999993</v>
          </cell>
          <cell r="D295">
            <v>3067.86</v>
          </cell>
          <cell r="E295">
            <v>520.02</v>
          </cell>
          <cell r="F295">
            <v>9857.19</v>
          </cell>
          <cell r="G295">
            <v>55473.27</v>
          </cell>
          <cell r="H295">
            <v>78387.64</v>
          </cell>
          <cell r="I295">
            <v>414180.33</v>
          </cell>
          <cell r="J295">
            <v>92107</v>
          </cell>
          <cell r="K295" t="str">
            <v>MP</v>
          </cell>
        </row>
        <row r="296">
          <cell r="A296">
            <v>991853</v>
          </cell>
          <cell r="B296">
            <v>9026</v>
          </cell>
          <cell r="C296">
            <v>289.36</v>
          </cell>
          <cell r="D296">
            <v>77.349999999999994</v>
          </cell>
          <cell r="E296">
            <v>517.53</v>
          </cell>
          <cell r="F296">
            <v>544.07000000000005</v>
          </cell>
          <cell r="G296">
            <v>2304.1999999999998</v>
          </cell>
          <cell r="H296">
            <v>3732.5099999999998</v>
          </cell>
          <cell r="I296">
            <v>12436.86</v>
          </cell>
          <cell r="J296">
            <v>91692</v>
          </cell>
          <cell r="K296" t="str">
            <v>MP</v>
          </cell>
        </row>
        <row r="297">
          <cell r="A297">
            <v>991854</v>
          </cell>
          <cell r="B297">
            <v>9069</v>
          </cell>
          <cell r="C297">
            <v>775.09</v>
          </cell>
          <cell r="D297">
            <v>48.2</v>
          </cell>
          <cell r="E297">
            <v>519.41999999999996</v>
          </cell>
          <cell r="F297">
            <v>337.02</v>
          </cell>
          <cell r="G297">
            <v>1408.84</v>
          </cell>
          <cell r="H297">
            <v>3088.5699999999997</v>
          </cell>
          <cell r="I297">
            <v>6591.66</v>
          </cell>
          <cell r="J297">
            <v>92339</v>
          </cell>
          <cell r="K297" t="str">
            <v>MP</v>
          </cell>
        </row>
        <row r="298">
          <cell r="A298">
            <v>991855</v>
          </cell>
          <cell r="B298">
            <v>9594</v>
          </cell>
          <cell r="C298">
            <v>179.53</v>
          </cell>
          <cell r="D298">
            <v>4.49</v>
          </cell>
          <cell r="E298">
            <v>501</v>
          </cell>
          <cell r="F298">
            <v>167.77</v>
          </cell>
          <cell r="G298">
            <v>333.35</v>
          </cell>
          <cell r="H298">
            <v>1186.1399999999999</v>
          </cell>
          <cell r="I298">
            <v>1402.8</v>
          </cell>
          <cell r="J298">
            <v>91681</v>
          </cell>
          <cell r="K298" t="str">
            <v>MP</v>
          </cell>
        </row>
        <row r="299">
          <cell r="A299">
            <v>991856</v>
          </cell>
          <cell r="B299">
            <v>9124</v>
          </cell>
          <cell r="C299">
            <v>745.55</v>
          </cell>
          <cell r="D299">
            <v>116.4</v>
          </cell>
          <cell r="E299">
            <v>512.70000000000005</v>
          </cell>
          <cell r="F299">
            <v>1093.83</v>
          </cell>
          <cell r="G299">
            <v>5171.68</v>
          </cell>
          <cell r="H299">
            <v>7640.16</v>
          </cell>
          <cell r="I299">
            <v>36373.06</v>
          </cell>
          <cell r="J299">
            <v>90061</v>
          </cell>
          <cell r="K299" t="str">
            <v>MP</v>
          </cell>
        </row>
        <row r="300">
          <cell r="A300">
            <v>991857</v>
          </cell>
          <cell r="B300">
            <v>9025</v>
          </cell>
          <cell r="C300">
            <v>160.96</v>
          </cell>
          <cell r="D300">
            <v>89.05</v>
          </cell>
          <cell r="E300">
            <v>517.53</v>
          </cell>
          <cell r="F300">
            <v>583.65</v>
          </cell>
          <cell r="G300">
            <v>2038.45</v>
          </cell>
          <cell r="H300">
            <v>3389.6400000000003</v>
          </cell>
          <cell r="I300">
            <v>14315.71</v>
          </cell>
          <cell r="J300">
            <v>90686</v>
          </cell>
          <cell r="K300" t="str">
            <v>MP</v>
          </cell>
        </row>
        <row r="301">
          <cell r="A301">
            <v>991858</v>
          </cell>
          <cell r="B301">
            <v>9137</v>
          </cell>
          <cell r="C301">
            <v>1402.68</v>
          </cell>
          <cell r="D301">
            <v>345.72</v>
          </cell>
          <cell r="E301">
            <v>511.62</v>
          </cell>
          <cell r="F301">
            <v>1551.7</v>
          </cell>
          <cell r="G301">
            <v>10941.1</v>
          </cell>
          <cell r="H301">
            <v>14752.82</v>
          </cell>
          <cell r="I301">
            <v>55836.35</v>
          </cell>
          <cell r="J301">
            <v>92292</v>
          </cell>
          <cell r="K301" t="str">
            <v>MP</v>
          </cell>
        </row>
        <row r="302">
          <cell r="A302">
            <v>991859</v>
          </cell>
          <cell r="B302">
            <v>9482</v>
          </cell>
          <cell r="C302">
            <v>352.69</v>
          </cell>
          <cell r="D302">
            <v>148.22999999999999</v>
          </cell>
          <cell r="E302">
            <v>501.63</v>
          </cell>
          <cell r="F302">
            <v>803.89</v>
          </cell>
          <cell r="G302">
            <v>3165.29</v>
          </cell>
          <cell r="H302">
            <v>4971.7299999999996</v>
          </cell>
          <cell r="I302">
            <v>23842.92</v>
          </cell>
          <cell r="J302">
            <v>92109</v>
          </cell>
          <cell r="K302" t="str">
            <v>MP</v>
          </cell>
        </row>
        <row r="303">
          <cell r="A303">
            <v>991860</v>
          </cell>
          <cell r="B303">
            <v>9149</v>
          </cell>
          <cell r="C303">
            <v>431.97</v>
          </cell>
          <cell r="D303">
            <v>79.349999999999994</v>
          </cell>
          <cell r="E303">
            <v>511.62</v>
          </cell>
          <cell r="F303">
            <v>629.15</v>
          </cell>
          <cell r="G303">
            <v>3150.67</v>
          </cell>
          <cell r="H303">
            <v>4802.76</v>
          </cell>
          <cell r="I303">
            <v>16069.01</v>
          </cell>
          <cell r="J303">
            <v>90424</v>
          </cell>
          <cell r="K303" t="str">
            <v>MP</v>
          </cell>
        </row>
        <row r="304">
          <cell r="A304">
            <v>991861</v>
          </cell>
          <cell r="B304">
            <v>9399</v>
          </cell>
          <cell r="C304">
            <v>155.57</v>
          </cell>
          <cell r="D304">
            <v>29.46</v>
          </cell>
          <cell r="E304">
            <v>501</v>
          </cell>
          <cell r="F304">
            <v>242.67</v>
          </cell>
          <cell r="G304">
            <v>688.28</v>
          </cell>
          <cell r="H304">
            <v>1616.98</v>
          </cell>
          <cell r="I304">
            <v>4735.6899999999996</v>
          </cell>
          <cell r="J304">
            <v>90086</v>
          </cell>
          <cell r="K304" t="str">
            <v>MP</v>
          </cell>
        </row>
        <row r="305">
          <cell r="A305">
            <v>991862</v>
          </cell>
          <cell r="B305">
            <v>9362</v>
          </cell>
          <cell r="C305">
            <v>155.31</v>
          </cell>
          <cell r="D305">
            <v>15.5</v>
          </cell>
          <cell r="E305">
            <v>501</v>
          </cell>
          <cell r="F305">
            <v>244.91</v>
          </cell>
          <cell r="G305">
            <v>652.07000000000005</v>
          </cell>
          <cell r="H305">
            <v>1568.79</v>
          </cell>
          <cell r="I305">
            <v>4845.17</v>
          </cell>
          <cell r="J305">
            <v>92183</v>
          </cell>
          <cell r="K305" t="str">
            <v>MP</v>
          </cell>
        </row>
        <row r="306">
          <cell r="A306">
            <v>991863</v>
          </cell>
          <cell r="B306">
            <v>9134</v>
          </cell>
          <cell r="C306">
            <v>281.99</v>
          </cell>
          <cell r="D306">
            <v>51.9</v>
          </cell>
          <cell r="E306">
            <v>511.62</v>
          </cell>
          <cell r="F306">
            <v>628.42999999999995</v>
          </cell>
          <cell r="G306">
            <v>1149.4000000000001</v>
          </cell>
          <cell r="H306">
            <v>2623.34</v>
          </cell>
          <cell r="I306">
            <v>16215.49</v>
          </cell>
          <cell r="J306">
            <v>90379</v>
          </cell>
          <cell r="K306" t="str">
            <v>MP</v>
          </cell>
        </row>
        <row r="307">
          <cell r="A307">
            <v>991864</v>
          </cell>
          <cell r="B307">
            <v>9479</v>
          </cell>
          <cell r="C307">
            <v>238.22</v>
          </cell>
          <cell r="D307">
            <v>114.05</v>
          </cell>
          <cell r="E307">
            <v>501.63</v>
          </cell>
          <cell r="F307">
            <v>676.56</v>
          </cell>
          <cell r="G307">
            <v>3550.96</v>
          </cell>
          <cell r="H307">
            <v>5081.42</v>
          </cell>
          <cell r="I307">
            <v>18336.240000000002</v>
          </cell>
          <cell r="J307">
            <v>92174</v>
          </cell>
          <cell r="K307" t="str">
            <v>MP</v>
          </cell>
        </row>
        <row r="308">
          <cell r="A308">
            <v>991866</v>
          </cell>
          <cell r="B308">
            <v>9683</v>
          </cell>
          <cell r="C308">
            <v>420.5</v>
          </cell>
          <cell r="D308">
            <v>4.63</v>
          </cell>
          <cell r="E308">
            <v>501</v>
          </cell>
          <cell r="F308">
            <v>159.57</v>
          </cell>
          <cell r="G308">
            <v>232.44</v>
          </cell>
          <cell r="H308">
            <v>1318.14</v>
          </cell>
          <cell r="I308">
            <v>798.23</v>
          </cell>
          <cell r="J308">
            <v>93006</v>
          </cell>
          <cell r="K308" t="str">
            <v>MP</v>
          </cell>
        </row>
        <row r="309">
          <cell r="A309">
            <v>991867</v>
          </cell>
          <cell r="B309">
            <v>9119</v>
          </cell>
          <cell r="C309">
            <v>179.45</v>
          </cell>
          <cell r="D309">
            <v>16.850000000000001</v>
          </cell>
          <cell r="E309">
            <v>512.70000000000005</v>
          </cell>
          <cell r="F309">
            <v>197.61</v>
          </cell>
          <cell r="G309">
            <v>553.59</v>
          </cell>
          <cell r="H309">
            <v>1460.2</v>
          </cell>
          <cell r="I309">
            <v>2717.31</v>
          </cell>
          <cell r="J309">
            <v>91468</v>
          </cell>
          <cell r="K309" t="str">
            <v>MP</v>
          </cell>
        </row>
        <row r="310">
          <cell r="A310">
            <v>991868</v>
          </cell>
          <cell r="B310">
            <v>9596</v>
          </cell>
          <cell r="C310">
            <v>152.41999999999999</v>
          </cell>
          <cell r="D310">
            <v>36.090000000000003</v>
          </cell>
          <cell r="E310">
            <v>501</v>
          </cell>
          <cell r="F310">
            <v>146.52000000000001</v>
          </cell>
          <cell r="G310">
            <v>1137.74</v>
          </cell>
          <cell r="H310">
            <v>1973.77</v>
          </cell>
          <cell r="I310">
            <v>5802.06</v>
          </cell>
          <cell r="J310">
            <v>91304</v>
          </cell>
          <cell r="K310" t="str">
            <v>MP</v>
          </cell>
        </row>
        <row r="311">
          <cell r="A311">
            <v>991869</v>
          </cell>
          <cell r="B311">
            <v>9005</v>
          </cell>
          <cell r="C311">
            <v>564.42999999999995</v>
          </cell>
          <cell r="D311">
            <v>37.85</v>
          </cell>
          <cell r="E311">
            <v>516.6</v>
          </cell>
          <cell r="F311">
            <v>307.61</v>
          </cell>
          <cell r="G311">
            <v>1336.38</v>
          </cell>
          <cell r="H311">
            <v>2762.8700000000003</v>
          </cell>
          <cell r="I311">
            <v>6151.98</v>
          </cell>
          <cell r="J311">
            <v>92336</v>
          </cell>
          <cell r="K311" t="str">
            <v>MP</v>
          </cell>
        </row>
        <row r="312">
          <cell r="A312">
            <v>991870</v>
          </cell>
          <cell r="B312">
            <v>9364</v>
          </cell>
          <cell r="C312">
            <v>1520.15</v>
          </cell>
          <cell r="D312">
            <v>20.98</v>
          </cell>
          <cell r="E312">
            <v>501</v>
          </cell>
          <cell r="F312">
            <v>257.08999999999997</v>
          </cell>
          <cell r="G312">
            <v>1167.05</v>
          </cell>
          <cell r="H312">
            <v>3466.2700000000004</v>
          </cell>
          <cell r="I312">
            <v>4016.24</v>
          </cell>
          <cell r="J312">
            <v>91064</v>
          </cell>
          <cell r="K312" t="str">
            <v>MP</v>
          </cell>
        </row>
        <row r="313">
          <cell r="A313">
            <v>991871</v>
          </cell>
          <cell r="B313">
            <v>9363</v>
          </cell>
          <cell r="C313">
            <v>256.44</v>
          </cell>
          <cell r="D313">
            <v>0.35</v>
          </cell>
          <cell r="E313">
            <v>501</v>
          </cell>
          <cell r="F313">
            <v>139.07</v>
          </cell>
          <cell r="G313">
            <v>59.28</v>
          </cell>
          <cell r="H313">
            <v>956.13999999999987</v>
          </cell>
          <cell r="I313">
            <v>55.22</v>
          </cell>
          <cell r="J313">
            <v>91163</v>
          </cell>
          <cell r="K313" t="str">
            <v>MP</v>
          </cell>
        </row>
        <row r="314">
          <cell r="A314">
            <v>991872</v>
          </cell>
          <cell r="B314">
            <v>9220</v>
          </cell>
          <cell r="C314">
            <v>480.85</v>
          </cell>
          <cell r="D314">
            <v>32.520000000000003</v>
          </cell>
          <cell r="E314">
            <v>497.25</v>
          </cell>
          <cell r="F314">
            <v>281.27</v>
          </cell>
          <cell r="G314">
            <v>801.08</v>
          </cell>
          <cell r="H314">
            <v>2092.9699999999998</v>
          </cell>
          <cell r="I314">
            <v>5648.82</v>
          </cell>
          <cell r="J314">
            <v>92076</v>
          </cell>
          <cell r="K314" t="str">
            <v>MP</v>
          </cell>
        </row>
        <row r="315">
          <cell r="A315">
            <v>991873</v>
          </cell>
          <cell r="B315">
            <v>9324</v>
          </cell>
          <cell r="C315">
            <v>256.61</v>
          </cell>
          <cell r="D315">
            <v>13.87</v>
          </cell>
          <cell r="E315">
            <v>500.64</v>
          </cell>
          <cell r="F315">
            <v>188.3</v>
          </cell>
          <cell r="G315">
            <v>525.02</v>
          </cell>
          <cell r="H315">
            <v>1484.44</v>
          </cell>
          <cell r="I315">
            <v>2230.5500000000002</v>
          </cell>
          <cell r="J315">
            <v>92020</v>
          </cell>
          <cell r="K315" t="str">
            <v>MP</v>
          </cell>
        </row>
        <row r="316">
          <cell r="A316">
            <v>991874</v>
          </cell>
          <cell r="B316">
            <v>9237</v>
          </cell>
          <cell r="C316">
            <v>422.12</v>
          </cell>
          <cell r="D316">
            <v>44.43</v>
          </cell>
          <cell r="E316">
            <v>511.62</v>
          </cell>
          <cell r="F316">
            <v>985</v>
          </cell>
          <cell r="G316">
            <v>1558.39</v>
          </cell>
          <cell r="H316">
            <v>3521.5600000000004</v>
          </cell>
          <cell r="I316">
            <v>7735.51</v>
          </cell>
          <cell r="J316">
            <v>93025</v>
          </cell>
          <cell r="K316" t="str">
            <v>MP</v>
          </cell>
        </row>
        <row r="317">
          <cell r="A317">
            <v>991875</v>
          </cell>
          <cell r="B317">
            <v>9316</v>
          </cell>
          <cell r="C317">
            <v>256.61</v>
          </cell>
          <cell r="D317">
            <v>15.12</v>
          </cell>
          <cell r="E317">
            <v>500.64</v>
          </cell>
          <cell r="F317">
            <v>244.44</v>
          </cell>
          <cell r="G317">
            <v>949.1</v>
          </cell>
          <cell r="H317">
            <v>1965.9099999999999</v>
          </cell>
          <cell r="I317">
            <v>4722.7</v>
          </cell>
          <cell r="J317">
            <v>92199</v>
          </cell>
          <cell r="K317" t="str">
            <v>MP</v>
          </cell>
        </row>
        <row r="318">
          <cell r="A318">
            <v>991876</v>
          </cell>
          <cell r="B318">
            <v>9460</v>
          </cell>
          <cell r="C318">
            <v>1706.9</v>
          </cell>
          <cell r="D318">
            <v>89.96</v>
          </cell>
          <cell r="E318">
            <v>501</v>
          </cell>
          <cell r="F318">
            <v>620.48</v>
          </cell>
          <cell r="G318">
            <v>3401.37</v>
          </cell>
          <cell r="H318">
            <v>6319.71</v>
          </cell>
          <cell r="I318">
            <v>14400.15</v>
          </cell>
          <cell r="J318">
            <v>92020</v>
          </cell>
          <cell r="K318" t="str">
            <v>MP</v>
          </cell>
        </row>
        <row r="319">
          <cell r="A319">
            <v>991878</v>
          </cell>
          <cell r="B319">
            <v>9312</v>
          </cell>
          <cell r="C319">
            <v>162.71</v>
          </cell>
          <cell r="D319">
            <v>33.64</v>
          </cell>
          <cell r="E319">
            <v>500.64</v>
          </cell>
          <cell r="F319">
            <v>483.63</v>
          </cell>
          <cell r="G319">
            <v>2034.86</v>
          </cell>
          <cell r="H319">
            <v>3215.4799999999996</v>
          </cell>
          <cell r="I319">
            <v>10513.44</v>
          </cell>
          <cell r="J319">
            <v>90685</v>
          </cell>
          <cell r="K319" t="str">
            <v>MP</v>
          </cell>
        </row>
        <row r="320">
          <cell r="A320">
            <v>991879</v>
          </cell>
          <cell r="B320">
            <v>9313</v>
          </cell>
          <cell r="C320">
            <v>141.85</v>
          </cell>
          <cell r="D320">
            <v>18.46</v>
          </cell>
          <cell r="E320">
            <v>500.64</v>
          </cell>
          <cell r="F320">
            <v>269.27</v>
          </cell>
          <cell r="G320">
            <v>824.97</v>
          </cell>
          <cell r="H320">
            <v>1755.19</v>
          </cell>
          <cell r="I320">
            <v>5732.33</v>
          </cell>
          <cell r="J320">
            <v>90097</v>
          </cell>
          <cell r="K320" t="str">
            <v>MP</v>
          </cell>
        </row>
        <row r="321">
          <cell r="A321">
            <v>991880</v>
          </cell>
          <cell r="B321">
            <v>9118</v>
          </cell>
          <cell r="C321">
            <v>190.78</v>
          </cell>
          <cell r="D321">
            <v>33.72</v>
          </cell>
          <cell r="E321">
            <v>512.70000000000005</v>
          </cell>
          <cell r="F321">
            <v>486.01</v>
          </cell>
          <cell r="G321">
            <v>1506.83</v>
          </cell>
          <cell r="H321">
            <v>2730.04</v>
          </cell>
          <cell r="I321">
            <v>10538.55</v>
          </cell>
          <cell r="J321">
            <v>91923</v>
          </cell>
          <cell r="K321" t="str">
            <v>MP</v>
          </cell>
        </row>
        <row r="322">
          <cell r="A322">
            <v>991882</v>
          </cell>
          <cell r="B322">
            <v>9494</v>
          </cell>
          <cell r="C322">
            <v>162.83000000000001</v>
          </cell>
          <cell r="D322">
            <v>31.26</v>
          </cell>
          <cell r="E322">
            <v>501</v>
          </cell>
          <cell r="F322">
            <v>450.43</v>
          </cell>
          <cell r="G322">
            <v>1394.9</v>
          </cell>
          <cell r="H322">
            <v>2540.42</v>
          </cell>
          <cell r="I322">
            <v>9769.5</v>
          </cell>
          <cell r="J322">
            <v>90121</v>
          </cell>
          <cell r="K322" t="str">
            <v>MP</v>
          </cell>
        </row>
        <row r="323">
          <cell r="A323">
            <v>991883</v>
          </cell>
          <cell r="B323">
            <v>9091</v>
          </cell>
          <cell r="C323">
            <v>337.13</v>
          </cell>
          <cell r="D323">
            <v>5.9</v>
          </cell>
          <cell r="E323">
            <v>516.17999999999995</v>
          </cell>
          <cell r="F323">
            <v>161.13999999999999</v>
          </cell>
          <cell r="G323">
            <v>245.63</v>
          </cell>
          <cell r="H323">
            <v>1265.98</v>
          </cell>
          <cell r="I323">
            <v>949.77</v>
          </cell>
          <cell r="J323">
            <v>92309</v>
          </cell>
          <cell r="K323" t="str">
            <v>MP</v>
          </cell>
        </row>
        <row r="324">
          <cell r="A324">
            <v>991884</v>
          </cell>
          <cell r="B324">
            <v>9168</v>
          </cell>
          <cell r="C324">
            <v>10670.54</v>
          </cell>
          <cell r="D324">
            <v>519.99</v>
          </cell>
          <cell r="E324">
            <v>501.6</v>
          </cell>
          <cell r="F324">
            <v>2388.84</v>
          </cell>
          <cell r="G324">
            <v>18958.11</v>
          </cell>
          <cell r="H324">
            <v>33039.08</v>
          </cell>
          <cell r="I324">
            <v>83600</v>
          </cell>
          <cell r="J324">
            <v>92016</v>
          </cell>
          <cell r="K324" t="str">
            <v>MP</v>
          </cell>
        </row>
        <row r="325">
          <cell r="A325">
            <v>991886</v>
          </cell>
          <cell r="B325">
            <v>9171</v>
          </cell>
          <cell r="C325">
            <v>882.98</v>
          </cell>
          <cell r="D325">
            <v>376.2</v>
          </cell>
          <cell r="E325">
            <v>501.6</v>
          </cell>
          <cell r="F325">
            <v>1645.25</v>
          </cell>
          <cell r="G325">
            <v>8643.9</v>
          </cell>
          <cell r="H325">
            <v>12049.93</v>
          </cell>
          <cell r="I325">
            <v>60482.93</v>
          </cell>
          <cell r="J325">
            <v>92271</v>
          </cell>
          <cell r="K325" t="str">
            <v>MP</v>
          </cell>
        </row>
        <row r="326">
          <cell r="A326">
            <v>991887</v>
          </cell>
          <cell r="B326">
            <v>9361</v>
          </cell>
          <cell r="C326">
            <v>175.35</v>
          </cell>
          <cell r="D326">
            <v>10.25</v>
          </cell>
          <cell r="E326">
            <v>501</v>
          </cell>
          <cell r="F326">
            <v>208.37</v>
          </cell>
          <cell r="G326">
            <v>644.48</v>
          </cell>
          <cell r="H326">
            <v>1539.45</v>
          </cell>
          <cell r="I326">
            <v>3206.4</v>
          </cell>
          <cell r="J326">
            <v>91978</v>
          </cell>
          <cell r="K326" t="str">
            <v>MP</v>
          </cell>
        </row>
        <row r="327">
          <cell r="A327">
            <v>991888</v>
          </cell>
          <cell r="B327">
            <v>9347</v>
          </cell>
          <cell r="C327">
            <v>100.13</v>
          </cell>
          <cell r="D327">
            <v>2.4700000000000002</v>
          </cell>
          <cell r="E327">
            <v>500.64</v>
          </cell>
          <cell r="F327">
            <v>151.78</v>
          </cell>
          <cell r="G327">
            <v>166.62</v>
          </cell>
          <cell r="H327">
            <v>921.64</v>
          </cell>
          <cell r="I327">
            <v>774.32</v>
          </cell>
          <cell r="J327">
            <v>92235</v>
          </cell>
          <cell r="K327" t="str">
            <v>MP</v>
          </cell>
        </row>
        <row r="328">
          <cell r="A328">
            <v>991889</v>
          </cell>
          <cell r="B328">
            <v>9401</v>
          </cell>
          <cell r="C328">
            <v>155.57</v>
          </cell>
          <cell r="D328">
            <v>1.07</v>
          </cell>
          <cell r="E328">
            <v>501</v>
          </cell>
          <cell r="F328">
            <v>139.43</v>
          </cell>
          <cell r="G328">
            <v>62.37</v>
          </cell>
          <cell r="H328">
            <v>859.43999999999994</v>
          </cell>
          <cell r="I328">
            <v>171.58</v>
          </cell>
          <cell r="J328">
            <v>93013</v>
          </cell>
          <cell r="K328" t="str">
            <v>MP</v>
          </cell>
        </row>
        <row r="329">
          <cell r="A329">
            <v>991890</v>
          </cell>
          <cell r="B329">
            <v>9105</v>
          </cell>
          <cell r="C329">
            <v>160.66</v>
          </cell>
          <cell r="D329">
            <v>84.32</v>
          </cell>
          <cell r="E329">
            <v>512.70000000000005</v>
          </cell>
          <cell r="F329">
            <v>623.89</v>
          </cell>
          <cell r="G329">
            <v>2289.19</v>
          </cell>
          <cell r="H329">
            <v>3670.76</v>
          </cell>
          <cell r="I329">
            <v>16103.65</v>
          </cell>
          <cell r="J329">
            <v>90086</v>
          </cell>
          <cell r="K329" t="str">
            <v>MP</v>
          </cell>
        </row>
        <row r="330">
          <cell r="A330">
            <v>991891</v>
          </cell>
          <cell r="B330">
            <v>9073</v>
          </cell>
          <cell r="C330">
            <v>172.36</v>
          </cell>
          <cell r="D330">
            <v>9.09</v>
          </cell>
          <cell r="E330">
            <v>519.41999999999996</v>
          </cell>
          <cell r="F330">
            <v>165.35</v>
          </cell>
          <cell r="G330">
            <v>281.2</v>
          </cell>
          <cell r="H330">
            <v>1147.42</v>
          </cell>
          <cell r="I330">
            <v>1298.55</v>
          </cell>
          <cell r="J330">
            <v>91567</v>
          </cell>
          <cell r="K330" t="str">
            <v>MP</v>
          </cell>
        </row>
        <row r="331">
          <cell r="A331">
            <v>991892</v>
          </cell>
          <cell r="B331">
            <v>9120</v>
          </cell>
          <cell r="C331">
            <v>162.36000000000001</v>
          </cell>
          <cell r="D331">
            <v>424.81</v>
          </cell>
          <cell r="E331">
            <v>512.70000000000005</v>
          </cell>
          <cell r="F331">
            <v>3256.21</v>
          </cell>
          <cell r="G331">
            <v>18667.66</v>
          </cell>
          <cell r="H331">
            <v>23023.739999999998</v>
          </cell>
          <cell r="I331">
            <v>132753.41</v>
          </cell>
          <cell r="J331">
            <v>90061</v>
          </cell>
          <cell r="K331" t="str">
            <v>MP</v>
          </cell>
        </row>
        <row r="332">
          <cell r="A332">
            <v>991893</v>
          </cell>
          <cell r="B332">
            <v>9006</v>
          </cell>
          <cell r="C332">
            <v>180.81</v>
          </cell>
          <cell r="D332">
            <v>1.1399999999999999</v>
          </cell>
          <cell r="E332">
            <v>516.6</v>
          </cell>
          <cell r="F332">
            <v>140.02000000000001</v>
          </cell>
          <cell r="G332">
            <v>67.290000000000006</v>
          </cell>
          <cell r="H332">
            <v>905.8599999999999</v>
          </cell>
          <cell r="I332">
            <v>172.2</v>
          </cell>
          <cell r="J332">
            <v>90390</v>
          </cell>
          <cell r="K332" t="str">
            <v>MP</v>
          </cell>
        </row>
        <row r="333">
          <cell r="A333">
            <v>991894</v>
          </cell>
          <cell r="B333">
            <v>0</v>
          </cell>
          <cell r="C333">
            <v>418.87</v>
          </cell>
          <cell r="D333">
            <v>174.82</v>
          </cell>
          <cell r="E333">
            <v>500.64</v>
          </cell>
          <cell r="F333">
            <v>1498.72</v>
          </cell>
          <cell r="G333">
            <v>5661.06</v>
          </cell>
          <cell r="H333">
            <v>8254.11</v>
          </cell>
          <cell r="I333">
            <v>54634.84</v>
          </cell>
          <cell r="J333">
            <v>91750</v>
          </cell>
          <cell r="K333" t="str">
            <v>MP</v>
          </cell>
        </row>
        <row r="334">
          <cell r="A334">
            <v>991895</v>
          </cell>
          <cell r="B334">
            <v>9459</v>
          </cell>
          <cell r="C334">
            <v>162.83000000000001</v>
          </cell>
          <cell r="D334">
            <v>0.9</v>
          </cell>
          <cell r="E334">
            <v>501</v>
          </cell>
          <cell r="F334">
            <v>142.05000000000001</v>
          </cell>
          <cell r="G334">
            <v>62.2</v>
          </cell>
          <cell r="H334">
            <v>868.98</v>
          </cell>
          <cell r="I334">
            <v>280.56</v>
          </cell>
          <cell r="J334">
            <v>91311</v>
          </cell>
          <cell r="K334" t="str">
            <v>MP</v>
          </cell>
        </row>
        <row r="335">
          <cell r="A335">
            <v>991896</v>
          </cell>
          <cell r="B335">
            <v>9346</v>
          </cell>
          <cell r="C335">
            <v>379.61</v>
          </cell>
          <cell r="D335">
            <v>31.86</v>
          </cell>
          <cell r="E335">
            <v>500.64</v>
          </cell>
          <cell r="F335">
            <v>256.54000000000002</v>
          </cell>
          <cell r="G335">
            <v>1051.27</v>
          </cell>
          <cell r="H335">
            <v>2219.92</v>
          </cell>
          <cell r="I335">
            <v>5121.55</v>
          </cell>
          <cell r="J335">
            <v>90070</v>
          </cell>
          <cell r="K335" t="str">
            <v>MP</v>
          </cell>
        </row>
        <row r="336">
          <cell r="A336">
            <v>991900</v>
          </cell>
          <cell r="B336">
            <v>9757</v>
          </cell>
          <cell r="C336">
            <v>10415.129999999999</v>
          </cell>
          <cell r="D336">
            <v>78.59</v>
          </cell>
          <cell r="E336">
            <v>512.07000000000005</v>
          </cell>
          <cell r="F336">
            <v>1041.23</v>
          </cell>
          <cell r="G336">
            <v>4187.71</v>
          </cell>
          <cell r="H336">
            <v>16234.73</v>
          </cell>
          <cell r="I336">
            <v>24403.84</v>
          </cell>
          <cell r="J336">
            <v>92000</v>
          </cell>
          <cell r="K336" t="str">
            <v>MP</v>
          </cell>
        </row>
        <row r="337">
          <cell r="A337">
            <v>991901</v>
          </cell>
          <cell r="B337">
            <v>9354</v>
          </cell>
          <cell r="C337">
            <v>151.86000000000001</v>
          </cell>
          <cell r="D337">
            <v>32.590000000000003</v>
          </cell>
          <cell r="E337">
            <v>500.64</v>
          </cell>
          <cell r="F337">
            <v>254.48</v>
          </cell>
          <cell r="G337">
            <v>761.76</v>
          </cell>
          <cell r="H337">
            <v>1701.33</v>
          </cell>
          <cell r="I337">
            <v>5256.72</v>
          </cell>
          <cell r="J337">
            <v>91874</v>
          </cell>
          <cell r="K337" t="str">
            <v>MP</v>
          </cell>
        </row>
        <row r="338">
          <cell r="A338">
            <v>991902</v>
          </cell>
          <cell r="B338">
            <v>9353</v>
          </cell>
          <cell r="C338">
            <v>126.83</v>
          </cell>
          <cell r="D338">
            <v>36.880000000000003</v>
          </cell>
          <cell r="E338">
            <v>500.64</v>
          </cell>
          <cell r="F338">
            <v>279</v>
          </cell>
          <cell r="G338">
            <v>550.02</v>
          </cell>
          <cell r="H338">
            <v>1493.37</v>
          </cell>
          <cell r="I338">
            <v>5947.6</v>
          </cell>
          <cell r="J338">
            <v>91219</v>
          </cell>
          <cell r="K338" t="str">
            <v>MP</v>
          </cell>
        </row>
        <row r="339">
          <cell r="A339">
            <v>991904</v>
          </cell>
          <cell r="B339">
            <v>9352</v>
          </cell>
          <cell r="C339">
            <v>162.71</v>
          </cell>
          <cell r="D339">
            <v>16.34</v>
          </cell>
          <cell r="E339">
            <v>500.64</v>
          </cell>
          <cell r="F339">
            <v>250.97</v>
          </cell>
          <cell r="G339">
            <v>1109.96</v>
          </cell>
          <cell r="H339">
            <v>2040.6200000000001</v>
          </cell>
          <cell r="I339">
            <v>5106.53</v>
          </cell>
          <cell r="J339">
            <v>90506</v>
          </cell>
          <cell r="K339" t="str">
            <v>MP</v>
          </cell>
        </row>
        <row r="340">
          <cell r="A340">
            <v>991905</v>
          </cell>
          <cell r="B340">
            <v>9106</v>
          </cell>
          <cell r="C340">
            <v>213.63</v>
          </cell>
          <cell r="D340">
            <v>47.63</v>
          </cell>
          <cell r="E340">
            <v>512.70000000000005</v>
          </cell>
          <cell r="F340">
            <v>596.79</v>
          </cell>
          <cell r="G340">
            <v>690.14</v>
          </cell>
          <cell r="H340">
            <v>2060.89</v>
          </cell>
          <cell r="I340">
            <v>14882.83</v>
          </cell>
          <cell r="J340">
            <v>90083</v>
          </cell>
          <cell r="K340" t="str">
            <v>MP</v>
          </cell>
        </row>
        <row r="341">
          <cell r="A341">
            <v>991907</v>
          </cell>
          <cell r="B341">
            <v>9107</v>
          </cell>
          <cell r="C341">
            <v>162.36000000000001</v>
          </cell>
          <cell r="D341">
            <v>20.34</v>
          </cell>
          <cell r="E341">
            <v>512.70000000000005</v>
          </cell>
          <cell r="F341">
            <v>298.08</v>
          </cell>
          <cell r="G341">
            <v>915.63</v>
          </cell>
          <cell r="H341">
            <v>1909.1100000000001</v>
          </cell>
          <cell r="I341">
            <v>6357.48</v>
          </cell>
          <cell r="J341">
            <v>90061</v>
          </cell>
          <cell r="K341" t="str">
            <v>MP</v>
          </cell>
        </row>
        <row r="342">
          <cell r="A342">
            <v>991908</v>
          </cell>
          <cell r="B342">
            <v>9351</v>
          </cell>
          <cell r="C342">
            <v>158.54</v>
          </cell>
          <cell r="D342">
            <v>3.15</v>
          </cell>
          <cell r="E342">
            <v>500.64</v>
          </cell>
          <cell r="F342">
            <v>157.87</v>
          </cell>
          <cell r="G342">
            <v>160.66</v>
          </cell>
          <cell r="H342">
            <v>980.8599999999999</v>
          </cell>
          <cell r="I342">
            <v>985.86</v>
          </cell>
          <cell r="J342">
            <v>90061</v>
          </cell>
          <cell r="K342" t="str">
            <v>MP</v>
          </cell>
        </row>
        <row r="343">
          <cell r="A343">
            <v>991909</v>
          </cell>
          <cell r="B343">
            <v>9495</v>
          </cell>
          <cell r="C343">
            <v>282.39999999999998</v>
          </cell>
          <cell r="D343">
            <v>35.72</v>
          </cell>
          <cell r="E343">
            <v>501</v>
          </cell>
          <cell r="F343">
            <v>514.34</v>
          </cell>
          <cell r="G343">
            <v>2071.27</v>
          </cell>
          <cell r="H343">
            <v>3404.73</v>
          </cell>
          <cell r="I343">
            <v>11161.61</v>
          </cell>
          <cell r="J343">
            <v>90402</v>
          </cell>
          <cell r="K343" t="str">
            <v>MP</v>
          </cell>
        </row>
        <row r="344">
          <cell r="A344">
            <v>991910</v>
          </cell>
          <cell r="B344">
            <v>9601</v>
          </cell>
          <cell r="C344">
            <v>408.57</v>
          </cell>
          <cell r="D344">
            <v>736.32</v>
          </cell>
          <cell r="E344">
            <v>501</v>
          </cell>
          <cell r="F344">
            <v>2954.01</v>
          </cell>
          <cell r="G344">
            <v>14979.01</v>
          </cell>
          <cell r="H344">
            <v>19578.91</v>
          </cell>
          <cell r="I344">
            <v>118762.05</v>
          </cell>
          <cell r="J344">
            <v>90097</v>
          </cell>
          <cell r="K344" t="str">
            <v>MP</v>
          </cell>
        </row>
        <row r="345">
          <cell r="A345">
            <v>991911</v>
          </cell>
          <cell r="B345">
            <v>9135</v>
          </cell>
          <cell r="C345">
            <v>330.49</v>
          </cell>
          <cell r="D345">
            <v>23.04</v>
          </cell>
          <cell r="E345">
            <v>511.62</v>
          </cell>
          <cell r="F345">
            <v>215.94</v>
          </cell>
          <cell r="G345">
            <v>521.99</v>
          </cell>
          <cell r="H345">
            <v>1603.0800000000002</v>
          </cell>
          <cell r="I345">
            <v>3374.99</v>
          </cell>
          <cell r="J345">
            <v>91913</v>
          </cell>
          <cell r="K345" t="str">
            <v>MP</v>
          </cell>
        </row>
        <row r="346">
          <cell r="A346">
            <v>991913</v>
          </cell>
          <cell r="B346">
            <v>9360</v>
          </cell>
          <cell r="C346">
            <v>198.81</v>
          </cell>
          <cell r="D346">
            <v>0.3</v>
          </cell>
          <cell r="E346">
            <v>501</v>
          </cell>
          <cell r="F346">
            <v>137.58000000000001</v>
          </cell>
          <cell r="G346">
            <v>46.7</v>
          </cell>
          <cell r="H346">
            <v>884.3900000000001</v>
          </cell>
          <cell r="I346">
            <v>46.67</v>
          </cell>
          <cell r="J346">
            <v>93013</v>
          </cell>
          <cell r="K346" t="str">
            <v>MP</v>
          </cell>
        </row>
        <row r="347">
          <cell r="A347">
            <v>991914</v>
          </cell>
          <cell r="B347">
            <v>9515</v>
          </cell>
          <cell r="C347">
            <v>181.43</v>
          </cell>
          <cell r="D347">
            <v>335.06</v>
          </cell>
          <cell r="E347">
            <v>513.03</v>
          </cell>
          <cell r="F347">
            <v>1479.73</v>
          </cell>
          <cell r="G347">
            <v>2719.29</v>
          </cell>
          <cell r="H347">
            <v>5228.54</v>
          </cell>
          <cell r="I347">
            <v>53868.15</v>
          </cell>
          <cell r="J347">
            <v>93005</v>
          </cell>
          <cell r="K347" t="str">
            <v>MP</v>
          </cell>
        </row>
        <row r="348">
          <cell r="A348">
            <v>991915</v>
          </cell>
          <cell r="B348">
            <v>9402</v>
          </cell>
          <cell r="C348">
            <v>233.8</v>
          </cell>
          <cell r="D348">
            <v>3.77</v>
          </cell>
          <cell r="E348">
            <v>501</v>
          </cell>
          <cell r="F348">
            <v>163.89</v>
          </cell>
          <cell r="G348">
            <v>268.91000000000003</v>
          </cell>
          <cell r="H348">
            <v>1171.3700000000001</v>
          </cell>
          <cell r="I348">
            <v>1177.77</v>
          </cell>
          <cell r="J348">
            <v>91591</v>
          </cell>
          <cell r="K348" t="str">
            <v>MP</v>
          </cell>
        </row>
        <row r="349">
          <cell r="A349">
            <v>991916</v>
          </cell>
          <cell r="B349">
            <v>9414</v>
          </cell>
          <cell r="C349">
            <v>4117.1000000000004</v>
          </cell>
          <cell r="D349">
            <v>31.32</v>
          </cell>
          <cell r="E349">
            <v>500.64</v>
          </cell>
          <cell r="F349">
            <v>568.23</v>
          </cell>
          <cell r="G349">
            <v>2636.22</v>
          </cell>
          <cell r="H349">
            <v>7853.51</v>
          </cell>
          <cell r="I349">
            <v>9726.43</v>
          </cell>
          <cell r="J349">
            <v>91999</v>
          </cell>
          <cell r="K349" t="str">
            <v>MP</v>
          </cell>
        </row>
        <row r="350">
          <cell r="A350">
            <v>991917</v>
          </cell>
          <cell r="B350">
            <v>9516</v>
          </cell>
          <cell r="C350">
            <v>2559.1799999999998</v>
          </cell>
          <cell r="D350">
            <v>14.36</v>
          </cell>
          <cell r="E350">
            <v>513.03</v>
          </cell>
          <cell r="F350">
            <v>320.05</v>
          </cell>
          <cell r="G350">
            <v>844.04</v>
          </cell>
          <cell r="H350">
            <v>4250.66</v>
          </cell>
          <cell r="I350">
            <v>4460.16</v>
          </cell>
          <cell r="J350">
            <v>91994</v>
          </cell>
          <cell r="K350" t="str">
            <v>MP</v>
          </cell>
        </row>
        <row r="351">
          <cell r="A351">
            <v>991918</v>
          </cell>
          <cell r="B351">
            <v>9282</v>
          </cell>
          <cell r="C351">
            <v>8001.9</v>
          </cell>
          <cell r="D351">
            <v>70.81</v>
          </cell>
          <cell r="E351">
            <v>500.64</v>
          </cell>
          <cell r="F351">
            <v>932.45</v>
          </cell>
          <cell r="G351">
            <v>3607.5</v>
          </cell>
          <cell r="H351">
            <v>13113.300000000001</v>
          </cell>
          <cell r="I351">
            <v>21989.78</v>
          </cell>
          <cell r="J351">
            <v>91996</v>
          </cell>
          <cell r="K351" t="str">
            <v>MP</v>
          </cell>
        </row>
        <row r="352">
          <cell r="A352">
            <v>991919</v>
          </cell>
          <cell r="B352">
            <v>9314</v>
          </cell>
          <cell r="C352">
            <v>3116.65</v>
          </cell>
          <cell r="D352">
            <v>40.03</v>
          </cell>
          <cell r="E352">
            <v>500.64</v>
          </cell>
          <cell r="F352">
            <v>606.87</v>
          </cell>
          <cell r="G352">
            <v>1871.02</v>
          </cell>
          <cell r="H352">
            <v>6135.2100000000009</v>
          </cell>
          <cell r="I352">
            <v>12435.18</v>
          </cell>
          <cell r="J352">
            <v>92304</v>
          </cell>
          <cell r="K352" t="str">
            <v>MP</v>
          </cell>
        </row>
        <row r="353">
          <cell r="A353">
            <v>991922</v>
          </cell>
          <cell r="B353">
            <v>9637</v>
          </cell>
          <cell r="C353">
            <v>557.28</v>
          </cell>
          <cell r="D353">
            <v>36.97</v>
          </cell>
          <cell r="E353">
            <v>510.42</v>
          </cell>
          <cell r="F353">
            <v>298.04000000000002</v>
          </cell>
          <cell r="G353">
            <v>1242.46</v>
          </cell>
          <cell r="H353">
            <v>2645.17</v>
          </cell>
          <cell r="I353">
            <v>5945</v>
          </cell>
          <cell r="J353">
            <v>91673</v>
          </cell>
          <cell r="K353" t="str">
            <v>MP</v>
          </cell>
        </row>
        <row r="354">
          <cell r="A354">
            <v>991924</v>
          </cell>
          <cell r="B354">
            <v>9603</v>
          </cell>
          <cell r="C354">
            <v>192.09</v>
          </cell>
          <cell r="D354">
            <v>1.94</v>
          </cell>
          <cell r="E354">
            <v>501</v>
          </cell>
          <cell r="F354">
            <v>149.97999999999999</v>
          </cell>
          <cell r="G354">
            <v>143.44</v>
          </cell>
          <cell r="H354">
            <v>988.45</v>
          </cell>
          <cell r="I354">
            <v>602.87</v>
          </cell>
          <cell r="J354">
            <v>92169</v>
          </cell>
          <cell r="K354" t="str">
            <v>MP</v>
          </cell>
        </row>
        <row r="355">
          <cell r="A355">
            <v>991925</v>
          </cell>
          <cell r="B355">
            <v>9605</v>
          </cell>
          <cell r="C355">
            <v>12565.28</v>
          </cell>
          <cell r="D355">
            <v>100.5</v>
          </cell>
          <cell r="E355">
            <v>501</v>
          </cell>
          <cell r="F355">
            <v>905.74</v>
          </cell>
          <cell r="G355">
            <v>5486.28</v>
          </cell>
          <cell r="H355">
            <v>19558.8</v>
          </cell>
          <cell r="I355">
            <v>16209.39</v>
          </cell>
          <cell r="J355">
            <v>92373</v>
          </cell>
          <cell r="K355" t="str">
            <v>MP</v>
          </cell>
        </row>
        <row r="356">
          <cell r="A356">
            <v>991926</v>
          </cell>
          <cell r="B356">
            <v>9404</v>
          </cell>
          <cell r="C356">
            <v>283.97000000000003</v>
          </cell>
          <cell r="D356">
            <v>20.190000000000001</v>
          </cell>
          <cell r="E356">
            <v>501</v>
          </cell>
          <cell r="F356">
            <v>212.1</v>
          </cell>
          <cell r="G356">
            <v>676.53</v>
          </cell>
          <cell r="H356">
            <v>1693.79</v>
          </cell>
          <cell r="I356">
            <v>3256.5</v>
          </cell>
          <cell r="J356">
            <v>92001</v>
          </cell>
          <cell r="K356" t="str">
            <v>MP</v>
          </cell>
        </row>
        <row r="357">
          <cell r="A357">
            <v>991927</v>
          </cell>
          <cell r="B357">
            <v>9497</v>
          </cell>
          <cell r="C357">
            <v>174.52</v>
          </cell>
          <cell r="D357">
            <v>6.73</v>
          </cell>
          <cell r="E357">
            <v>501</v>
          </cell>
          <cell r="F357">
            <v>160.57</v>
          </cell>
          <cell r="G357">
            <v>215.46</v>
          </cell>
          <cell r="H357">
            <v>1058.28</v>
          </cell>
          <cell r="I357">
            <v>1086.17</v>
          </cell>
          <cell r="J357">
            <v>92252</v>
          </cell>
          <cell r="K357" t="str">
            <v>MP</v>
          </cell>
        </row>
        <row r="358">
          <cell r="A358">
            <v>991928</v>
          </cell>
          <cell r="B358">
            <v>9070</v>
          </cell>
          <cell r="C358">
            <v>19143.36</v>
          </cell>
          <cell r="D358">
            <v>95.43</v>
          </cell>
          <cell r="E358">
            <v>519.41999999999996</v>
          </cell>
          <cell r="F358">
            <v>1035.23</v>
          </cell>
          <cell r="G358">
            <v>4155.6099999999997</v>
          </cell>
          <cell r="H358">
            <v>24949.05</v>
          </cell>
          <cell r="I358">
            <v>15391.33</v>
          </cell>
          <cell r="J358">
            <v>92315</v>
          </cell>
          <cell r="K358" t="str">
            <v>MP</v>
          </cell>
        </row>
        <row r="359">
          <cell r="A359">
            <v>991930</v>
          </cell>
          <cell r="B359">
            <v>9350</v>
          </cell>
          <cell r="C359">
            <v>163.74</v>
          </cell>
          <cell r="D359">
            <v>3.15</v>
          </cell>
          <cell r="E359">
            <v>500.64</v>
          </cell>
          <cell r="F359">
            <v>157.88</v>
          </cell>
          <cell r="G359">
            <v>103.33</v>
          </cell>
          <cell r="H359">
            <v>928.74</v>
          </cell>
          <cell r="I359">
            <v>981.25</v>
          </cell>
          <cell r="J359">
            <v>92274</v>
          </cell>
          <cell r="K359" t="str">
            <v>MP</v>
          </cell>
        </row>
        <row r="360">
          <cell r="A360">
            <v>991931</v>
          </cell>
          <cell r="B360">
            <v>9678</v>
          </cell>
          <cell r="C360">
            <v>328.37</v>
          </cell>
          <cell r="D360">
            <v>13.75</v>
          </cell>
          <cell r="E360">
            <v>500.64</v>
          </cell>
          <cell r="F360">
            <v>235.87</v>
          </cell>
          <cell r="G360">
            <v>876.71</v>
          </cell>
          <cell r="H360">
            <v>1955.3400000000001</v>
          </cell>
          <cell r="I360">
            <v>4272.13</v>
          </cell>
          <cell r="J360">
            <v>92306</v>
          </cell>
          <cell r="K360" t="str">
            <v>MP</v>
          </cell>
        </row>
        <row r="361">
          <cell r="A361">
            <v>991932</v>
          </cell>
          <cell r="B361">
            <v>9638</v>
          </cell>
          <cell r="C361">
            <v>154.83000000000001</v>
          </cell>
          <cell r="D361">
            <v>120.8</v>
          </cell>
          <cell r="E361">
            <v>510.42</v>
          </cell>
          <cell r="F361">
            <v>1106.3599999999999</v>
          </cell>
          <cell r="G361">
            <v>5290.81</v>
          </cell>
          <cell r="H361">
            <v>7183.22</v>
          </cell>
          <cell r="I361">
            <v>37515.870000000003</v>
          </cell>
          <cell r="J361">
            <v>91874</v>
          </cell>
          <cell r="K361" t="str">
            <v>MP</v>
          </cell>
        </row>
        <row r="362">
          <cell r="A362">
            <v>991933</v>
          </cell>
          <cell r="B362">
            <v>9640</v>
          </cell>
          <cell r="C362">
            <v>1876.54</v>
          </cell>
          <cell r="D362">
            <v>55.02</v>
          </cell>
          <cell r="E362">
            <v>510.42</v>
          </cell>
          <cell r="F362">
            <v>684.04</v>
          </cell>
          <cell r="G362">
            <v>3315.11</v>
          </cell>
          <cell r="H362">
            <v>6441.13</v>
          </cell>
          <cell r="I362">
            <v>17090.560000000001</v>
          </cell>
          <cell r="J362">
            <v>92251</v>
          </cell>
          <cell r="K362" t="str">
            <v>MP</v>
          </cell>
        </row>
        <row r="363">
          <cell r="A363">
            <v>991934</v>
          </cell>
          <cell r="B363">
            <v>9405</v>
          </cell>
          <cell r="C363">
            <v>7962.56</v>
          </cell>
          <cell r="D363">
            <v>35.869999999999997</v>
          </cell>
          <cell r="E363">
            <v>501</v>
          </cell>
          <cell r="F363">
            <v>667.66</v>
          </cell>
          <cell r="G363">
            <v>3475.81</v>
          </cell>
          <cell r="H363">
            <v>12642.9</v>
          </cell>
          <cell r="I363">
            <v>10267.530000000001</v>
          </cell>
          <cell r="J363">
            <v>92373</v>
          </cell>
          <cell r="K363" t="str">
            <v>MP</v>
          </cell>
        </row>
        <row r="364">
          <cell r="A364">
            <v>991936</v>
          </cell>
          <cell r="B364">
            <v>9358</v>
          </cell>
          <cell r="C364">
            <v>210.57</v>
          </cell>
          <cell r="D364">
            <v>10.58</v>
          </cell>
          <cell r="E364">
            <v>500.64</v>
          </cell>
          <cell r="F364">
            <v>175.32</v>
          </cell>
          <cell r="G364">
            <v>365.43</v>
          </cell>
          <cell r="H364">
            <v>1262.54</v>
          </cell>
          <cell r="I364">
            <v>1702.18</v>
          </cell>
          <cell r="J364">
            <v>92285</v>
          </cell>
          <cell r="K364" t="str">
            <v>MP</v>
          </cell>
        </row>
        <row r="365">
          <cell r="A365">
            <v>991937</v>
          </cell>
          <cell r="B365">
            <v>9379</v>
          </cell>
          <cell r="C365">
            <v>1748.59</v>
          </cell>
          <cell r="D365">
            <v>58.66</v>
          </cell>
          <cell r="E365">
            <v>500.64</v>
          </cell>
          <cell r="F365">
            <v>508.52</v>
          </cell>
          <cell r="G365">
            <v>2141.11</v>
          </cell>
          <cell r="H365">
            <v>4957.5200000000004</v>
          </cell>
          <cell r="I365">
            <v>9461.76</v>
          </cell>
          <cell r="J365">
            <v>92303</v>
          </cell>
          <cell r="K365" t="str">
            <v>MP</v>
          </cell>
        </row>
        <row r="366">
          <cell r="A366">
            <v>991938</v>
          </cell>
          <cell r="B366">
            <v>9325</v>
          </cell>
          <cell r="C366">
            <v>265.14</v>
          </cell>
          <cell r="D366">
            <v>20.53</v>
          </cell>
          <cell r="E366">
            <v>500.64</v>
          </cell>
          <cell r="F366">
            <v>303.44</v>
          </cell>
          <cell r="G366">
            <v>848.44</v>
          </cell>
          <cell r="H366">
            <v>1938.19</v>
          </cell>
          <cell r="I366">
            <v>6374.82</v>
          </cell>
          <cell r="J366">
            <v>92282</v>
          </cell>
          <cell r="K366" t="str">
            <v>MP</v>
          </cell>
        </row>
        <row r="367">
          <cell r="A367">
            <v>991939</v>
          </cell>
          <cell r="B367">
            <v>9406</v>
          </cell>
          <cell r="C367">
            <v>233.63</v>
          </cell>
          <cell r="D367">
            <v>12.27</v>
          </cell>
          <cell r="E367">
            <v>501</v>
          </cell>
          <cell r="F367">
            <v>223.89</v>
          </cell>
          <cell r="G367">
            <v>775.52</v>
          </cell>
          <cell r="H367">
            <v>1746.31</v>
          </cell>
          <cell r="I367">
            <v>3835.79</v>
          </cell>
          <cell r="J367">
            <v>90379</v>
          </cell>
          <cell r="K367" t="str">
            <v>MP</v>
          </cell>
        </row>
        <row r="368">
          <cell r="A368">
            <v>991941</v>
          </cell>
          <cell r="B368">
            <v>9071</v>
          </cell>
          <cell r="C368">
            <v>344.12</v>
          </cell>
          <cell r="D368">
            <v>49.26</v>
          </cell>
          <cell r="E368">
            <v>519.41999999999996</v>
          </cell>
          <cell r="F368">
            <v>603.47</v>
          </cell>
          <cell r="G368">
            <v>1218.8699999999999</v>
          </cell>
          <cell r="H368">
            <v>2735.14</v>
          </cell>
          <cell r="I368">
            <v>15047.6</v>
          </cell>
          <cell r="J368">
            <v>90061</v>
          </cell>
          <cell r="K368" t="str">
            <v>MP</v>
          </cell>
        </row>
        <row r="369">
          <cell r="A369">
            <v>991942</v>
          </cell>
          <cell r="B369">
            <v>9157</v>
          </cell>
          <cell r="C369">
            <v>162.01</v>
          </cell>
          <cell r="D369">
            <v>5.93</v>
          </cell>
          <cell r="E369">
            <v>511.62</v>
          </cell>
          <cell r="F369">
            <v>177.51</v>
          </cell>
          <cell r="G369">
            <v>181.84</v>
          </cell>
          <cell r="H369">
            <v>1038.9099999999999</v>
          </cell>
          <cell r="I369">
            <v>1852.56</v>
          </cell>
          <cell r="J369">
            <v>90629</v>
          </cell>
          <cell r="K369" t="str">
            <v>MP</v>
          </cell>
        </row>
        <row r="370">
          <cell r="A370">
            <v>991943</v>
          </cell>
          <cell r="B370">
            <v>9327</v>
          </cell>
          <cell r="C370">
            <v>133.5</v>
          </cell>
          <cell r="D370">
            <v>23.63</v>
          </cell>
          <cell r="E370">
            <v>500.64</v>
          </cell>
          <cell r="F370">
            <v>342.54</v>
          </cell>
          <cell r="G370">
            <v>1432.42</v>
          </cell>
          <cell r="H370">
            <v>2432.73</v>
          </cell>
          <cell r="I370">
            <v>7381.94</v>
          </cell>
          <cell r="J370">
            <v>90485</v>
          </cell>
          <cell r="K370" t="str">
            <v>MP</v>
          </cell>
        </row>
        <row r="371">
          <cell r="A371">
            <v>991944</v>
          </cell>
          <cell r="B371">
            <v>9328</v>
          </cell>
          <cell r="C371">
            <v>162.71</v>
          </cell>
          <cell r="D371">
            <v>17.11</v>
          </cell>
          <cell r="E371">
            <v>500.64</v>
          </cell>
          <cell r="F371">
            <v>256.31</v>
          </cell>
          <cell r="G371">
            <v>497.04</v>
          </cell>
          <cell r="H371">
            <v>1433.81</v>
          </cell>
          <cell r="I371">
            <v>5342.83</v>
          </cell>
          <cell r="J371">
            <v>90121</v>
          </cell>
          <cell r="K371" t="str">
            <v>MP</v>
          </cell>
        </row>
        <row r="372">
          <cell r="A372">
            <v>991945</v>
          </cell>
          <cell r="B372">
            <v>9136</v>
          </cell>
          <cell r="C372">
            <v>366.63</v>
          </cell>
          <cell r="D372">
            <v>227.89</v>
          </cell>
          <cell r="E372">
            <v>511.62</v>
          </cell>
          <cell r="F372">
            <v>1871.77</v>
          </cell>
          <cell r="G372">
            <v>3590.49</v>
          </cell>
          <cell r="H372">
            <v>6568.4</v>
          </cell>
          <cell r="I372">
            <v>71214.09</v>
          </cell>
          <cell r="J372">
            <v>90651</v>
          </cell>
          <cell r="K372" t="str">
            <v>MP</v>
          </cell>
        </row>
        <row r="373">
          <cell r="A373">
            <v>991946</v>
          </cell>
          <cell r="B373">
            <v>9667</v>
          </cell>
          <cell r="C373">
            <v>251.89</v>
          </cell>
          <cell r="D373">
            <v>265.64</v>
          </cell>
          <cell r="E373">
            <v>510.42</v>
          </cell>
          <cell r="F373">
            <v>2135.4499999999998</v>
          </cell>
          <cell r="G373">
            <v>11690.2</v>
          </cell>
          <cell r="H373">
            <v>14853.6</v>
          </cell>
          <cell r="I373">
            <v>83011.31</v>
          </cell>
          <cell r="J373">
            <v>90097</v>
          </cell>
          <cell r="K373" t="str">
            <v>MP</v>
          </cell>
        </row>
        <row r="374">
          <cell r="A374">
            <v>991948</v>
          </cell>
          <cell r="B374">
            <v>9165</v>
          </cell>
          <cell r="C374">
            <v>811.76</v>
          </cell>
          <cell r="D374">
            <v>533.52</v>
          </cell>
          <cell r="E374">
            <v>501.6</v>
          </cell>
          <cell r="F374">
            <v>2216.2199999999998</v>
          </cell>
          <cell r="G374">
            <v>12196.64</v>
          </cell>
          <cell r="H374">
            <v>16259.74</v>
          </cell>
          <cell r="I374">
            <v>85773.6</v>
          </cell>
          <cell r="J374">
            <v>92271</v>
          </cell>
          <cell r="K374" t="str">
            <v>MP</v>
          </cell>
        </row>
        <row r="375">
          <cell r="A375">
            <v>991949</v>
          </cell>
          <cell r="B375">
            <v>9644</v>
          </cell>
          <cell r="C375">
            <v>212.68</v>
          </cell>
          <cell r="D375">
            <v>6.02</v>
          </cell>
          <cell r="E375">
            <v>510.42</v>
          </cell>
          <cell r="F375">
            <v>158.81</v>
          </cell>
          <cell r="G375">
            <v>225.95</v>
          </cell>
          <cell r="H375">
            <v>1113.8800000000001</v>
          </cell>
          <cell r="I375">
            <v>969.15</v>
          </cell>
          <cell r="J375">
            <v>90322</v>
          </cell>
          <cell r="K375" t="str">
            <v>MP</v>
          </cell>
        </row>
        <row r="376">
          <cell r="A376">
            <v>991950</v>
          </cell>
          <cell r="B376">
            <v>9222</v>
          </cell>
          <cell r="C376">
            <v>182.33</v>
          </cell>
          <cell r="D376">
            <v>0.96</v>
          </cell>
          <cell r="E376">
            <v>497.25</v>
          </cell>
          <cell r="F376">
            <v>142.9</v>
          </cell>
          <cell r="G376">
            <v>91.62</v>
          </cell>
          <cell r="H376">
            <v>915.06</v>
          </cell>
          <cell r="I376">
            <v>298.35000000000002</v>
          </cell>
          <cell r="J376">
            <v>91591</v>
          </cell>
          <cell r="K376" t="str">
            <v>MP</v>
          </cell>
        </row>
        <row r="377">
          <cell r="A377">
            <v>991953</v>
          </cell>
          <cell r="B377">
            <v>9367</v>
          </cell>
          <cell r="C377">
            <v>191.57</v>
          </cell>
          <cell r="D377">
            <v>9.25</v>
          </cell>
          <cell r="E377">
            <v>501</v>
          </cell>
          <cell r="F377">
            <v>170.03</v>
          </cell>
          <cell r="G377">
            <v>354.44</v>
          </cell>
          <cell r="H377">
            <v>1226.29</v>
          </cell>
          <cell r="I377">
            <v>1486.97</v>
          </cell>
          <cell r="J377">
            <v>91162</v>
          </cell>
          <cell r="K377" t="str">
            <v>MP</v>
          </cell>
        </row>
        <row r="378">
          <cell r="A378">
            <v>991954</v>
          </cell>
          <cell r="B378">
            <v>9329</v>
          </cell>
          <cell r="C378">
            <v>171.41</v>
          </cell>
          <cell r="D378">
            <v>21.26</v>
          </cell>
          <cell r="E378">
            <v>500.64</v>
          </cell>
          <cell r="F378">
            <v>213.26</v>
          </cell>
          <cell r="G378">
            <v>108.29</v>
          </cell>
          <cell r="H378">
            <v>1014.8599999999999</v>
          </cell>
          <cell r="I378">
            <v>3416.87</v>
          </cell>
          <cell r="J378">
            <v>91839</v>
          </cell>
          <cell r="K378" t="str">
            <v>MP</v>
          </cell>
        </row>
        <row r="379">
          <cell r="A379">
            <v>991955</v>
          </cell>
          <cell r="B379">
            <v>9315</v>
          </cell>
          <cell r="C379">
            <v>221.05</v>
          </cell>
          <cell r="D379">
            <v>9.43</v>
          </cell>
          <cell r="E379">
            <v>500.64</v>
          </cell>
          <cell r="F379">
            <v>171.23</v>
          </cell>
          <cell r="G379">
            <v>330.83</v>
          </cell>
          <cell r="H379">
            <v>1233.18</v>
          </cell>
          <cell r="I379">
            <v>1510.74</v>
          </cell>
          <cell r="J379">
            <v>92092</v>
          </cell>
          <cell r="K379" t="str">
            <v>MP</v>
          </cell>
        </row>
        <row r="380">
          <cell r="A380">
            <v>991956</v>
          </cell>
          <cell r="B380">
            <v>9007</v>
          </cell>
          <cell r="C380">
            <v>348.34</v>
          </cell>
          <cell r="D380">
            <v>1.89</v>
          </cell>
          <cell r="E380">
            <v>516.6</v>
          </cell>
          <cell r="F380">
            <v>146.97</v>
          </cell>
          <cell r="G380">
            <v>125.99</v>
          </cell>
          <cell r="H380">
            <v>1139.79</v>
          </cell>
          <cell r="I380">
            <v>312.88</v>
          </cell>
          <cell r="J380">
            <v>91883</v>
          </cell>
          <cell r="K380" t="str">
            <v>MP</v>
          </cell>
        </row>
        <row r="381">
          <cell r="A381">
            <v>991957</v>
          </cell>
          <cell r="B381">
            <v>9759</v>
          </cell>
          <cell r="C381">
            <v>8030.59</v>
          </cell>
          <cell r="D381">
            <v>137.27000000000001</v>
          </cell>
          <cell r="E381">
            <v>500</v>
          </cell>
          <cell r="F381">
            <v>309</v>
          </cell>
          <cell r="G381">
            <v>3636.99</v>
          </cell>
          <cell r="H381">
            <v>12613.85</v>
          </cell>
          <cell r="I381">
            <v>22140.400000000001</v>
          </cell>
          <cell r="J381">
            <v>91994</v>
          </cell>
          <cell r="K381" t="str">
            <v>MP</v>
          </cell>
        </row>
        <row r="382">
          <cell r="A382">
            <v>991958</v>
          </cell>
          <cell r="B382">
            <v>9720</v>
          </cell>
          <cell r="C382">
            <v>1631.74</v>
          </cell>
          <cell r="D382">
            <v>4719.8500000000004</v>
          </cell>
          <cell r="E382">
            <v>509.34</v>
          </cell>
          <cell r="F382">
            <v>17435.560000000001</v>
          </cell>
          <cell r="G382">
            <v>38176.68</v>
          </cell>
          <cell r="H382">
            <v>62473.17</v>
          </cell>
          <cell r="I382">
            <v>757181.99</v>
          </cell>
          <cell r="J382">
            <v>91578</v>
          </cell>
          <cell r="K382" t="str">
            <v>MP</v>
          </cell>
        </row>
        <row r="383">
          <cell r="A383">
            <v>991960</v>
          </cell>
          <cell r="B383">
            <v>9330</v>
          </cell>
          <cell r="C383">
            <v>734.65</v>
          </cell>
          <cell r="D383">
            <v>51.7</v>
          </cell>
          <cell r="E383">
            <v>500.64</v>
          </cell>
          <cell r="F383">
            <v>411.86</v>
          </cell>
          <cell r="G383">
            <v>1728.48</v>
          </cell>
          <cell r="H383">
            <v>3427.33</v>
          </cell>
          <cell r="I383">
            <v>8310.6200000000008</v>
          </cell>
          <cell r="J383">
            <v>92294</v>
          </cell>
          <cell r="K383" t="str">
            <v>MP</v>
          </cell>
        </row>
        <row r="384">
          <cell r="A384">
            <v>991961</v>
          </cell>
          <cell r="B384">
            <v>9443</v>
          </cell>
          <cell r="C384">
            <v>16.12</v>
          </cell>
          <cell r="D384">
            <v>56.5</v>
          </cell>
          <cell r="E384">
            <v>501</v>
          </cell>
          <cell r="F384">
            <v>415.8</v>
          </cell>
          <cell r="G384">
            <v>1102.25</v>
          </cell>
          <cell r="H384">
            <v>2091.67</v>
          </cell>
          <cell r="I384">
            <v>9112.7900000000009</v>
          </cell>
          <cell r="J384">
            <v>93001</v>
          </cell>
          <cell r="K384" t="str">
            <v>MP</v>
          </cell>
        </row>
        <row r="385">
          <cell r="A385">
            <v>991962</v>
          </cell>
          <cell r="B385">
            <v>9407</v>
          </cell>
          <cell r="C385">
            <v>179.53</v>
          </cell>
          <cell r="D385">
            <v>37.78</v>
          </cell>
          <cell r="E385">
            <v>501</v>
          </cell>
          <cell r="F385">
            <v>526.59</v>
          </cell>
          <cell r="G385">
            <v>2525.08</v>
          </cell>
          <cell r="H385">
            <v>3769.98</v>
          </cell>
          <cell r="I385">
            <v>11806.9</v>
          </cell>
          <cell r="J385">
            <v>91681</v>
          </cell>
          <cell r="K385" t="str">
            <v>MP</v>
          </cell>
        </row>
        <row r="386">
          <cell r="A386">
            <v>991963</v>
          </cell>
          <cell r="B386">
            <v>9498</v>
          </cell>
          <cell r="C386">
            <v>208.72</v>
          </cell>
          <cell r="D386">
            <v>14.03</v>
          </cell>
          <cell r="E386">
            <v>501</v>
          </cell>
          <cell r="F386">
            <v>187.79</v>
          </cell>
          <cell r="G386">
            <v>445.91</v>
          </cell>
          <cell r="H386">
            <v>1357.45</v>
          </cell>
          <cell r="I386">
            <v>2254.5</v>
          </cell>
          <cell r="J386">
            <v>92169</v>
          </cell>
          <cell r="K386" t="str">
            <v>MP</v>
          </cell>
        </row>
        <row r="387">
          <cell r="A387">
            <v>991964</v>
          </cell>
          <cell r="B387">
            <v>9408</v>
          </cell>
          <cell r="C387">
            <v>183.7</v>
          </cell>
          <cell r="D387">
            <v>12.02</v>
          </cell>
          <cell r="E387">
            <v>501</v>
          </cell>
          <cell r="F387">
            <v>221</v>
          </cell>
          <cell r="G387">
            <v>553.45000000000005</v>
          </cell>
          <cell r="H387">
            <v>1471.17</v>
          </cell>
          <cell r="I387">
            <v>3757.5</v>
          </cell>
          <cell r="J387">
            <v>90463</v>
          </cell>
          <cell r="K387" t="str">
            <v>MP</v>
          </cell>
        </row>
        <row r="388">
          <cell r="A388">
            <v>991965</v>
          </cell>
          <cell r="B388">
            <v>9646</v>
          </cell>
          <cell r="C388">
            <v>218.63</v>
          </cell>
          <cell r="D388">
            <v>295.52</v>
          </cell>
          <cell r="E388">
            <v>510.42</v>
          </cell>
          <cell r="F388">
            <v>2332.52</v>
          </cell>
          <cell r="G388">
            <v>12920.27</v>
          </cell>
          <cell r="H388">
            <v>16277.36</v>
          </cell>
          <cell r="I388">
            <v>91773.52</v>
          </cell>
          <cell r="J388">
            <v>90097</v>
          </cell>
          <cell r="K388" t="str">
            <v>MP</v>
          </cell>
        </row>
        <row r="389">
          <cell r="A389">
            <v>991967</v>
          </cell>
          <cell r="B389">
            <v>9409</v>
          </cell>
          <cell r="C389">
            <v>175.35</v>
          </cell>
          <cell r="D389">
            <v>41.42</v>
          </cell>
          <cell r="E389">
            <v>501</v>
          </cell>
          <cell r="F389">
            <v>313.95999999999998</v>
          </cell>
          <cell r="G389">
            <v>965.55</v>
          </cell>
          <cell r="H389">
            <v>1997.28</v>
          </cell>
          <cell r="I389">
            <v>6680</v>
          </cell>
          <cell r="J389">
            <v>91769</v>
          </cell>
          <cell r="K389" t="str">
            <v>MP</v>
          </cell>
        </row>
        <row r="390">
          <cell r="A390">
            <v>991984</v>
          </cell>
          <cell r="B390">
            <v>9647</v>
          </cell>
          <cell r="C390">
            <v>260.29000000000002</v>
          </cell>
          <cell r="D390">
            <v>0.85</v>
          </cell>
          <cell r="E390">
            <v>510.42</v>
          </cell>
          <cell r="F390">
            <v>140.97999999999999</v>
          </cell>
          <cell r="G390">
            <v>75.430000000000007</v>
          </cell>
          <cell r="H390">
            <v>987.97</v>
          </cell>
          <cell r="I390">
            <v>135.85</v>
          </cell>
          <cell r="J390">
            <v>93006</v>
          </cell>
          <cell r="K390" t="str">
            <v>MP</v>
          </cell>
        </row>
        <row r="391">
          <cell r="A391">
            <v>991992</v>
          </cell>
          <cell r="B391">
            <v>9478</v>
          </cell>
          <cell r="C391">
            <v>155.22999999999999</v>
          </cell>
          <cell r="D391">
            <v>151.38999999999999</v>
          </cell>
          <cell r="E391">
            <v>501.63</v>
          </cell>
          <cell r="F391">
            <v>810.61</v>
          </cell>
          <cell r="G391">
            <v>3450.6</v>
          </cell>
          <cell r="H391">
            <v>5069.46</v>
          </cell>
          <cell r="I391">
            <v>24340.560000000001</v>
          </cell>
          <cell r="J391">
            <v>90086</v>
          </cell>
          <cell r="K391" t="str">
            <v>MP</v>
          </cell>
        </row>
        <row r="392">
          <cell r="A392">
            <v>991993</v>
          </cell>
          <cell r="B392">
            <v>9410</v>
          </cell>
          <cell r="C392">
            <v>192.17</v>
          </cell>
          <cell r="D392">
            <v>78.09</v>
          </cell>
          <cell r="E392">
            <v>501</v>
          </cell>
          <cell r="F392">
            <v>544.66</v>
          </cell>
          <cell r="G392">
            <v>1795.79</v>
          </cell>
          <cell r="H392">
            <v>3111.71</v>
          </cell>
          <cell r="I392">
            <v>12555.3</v>
          </cell>
          <cell r="J392">
            <v>90686</v>
          </cell>
          <cell r="K392" t="str">
            <v>MP</v>
          </cell>
        </row>
        <row r="393">
          <cell r="A393">
            <v>991994</v>
          </cell>
          <cell r="B393">
            <v>9138</v>
          </cell>
          <cell r="C393">
            <v>160.47</v>
          </cell>
          <cell r="D393">
            <v>5.05</v>
          </cell>
          <cell r="E393">
            <v>511.62</v>
          </cell>
          <cell r="F393">
            <v>154.06</v>
          </cell>
          <cell r="G393">
            <v>185.88</v>
          </cell>
          <cell r="H393">
            <v>1017.08</v>
          </cell>
          <cell r="I393">
            <v>812.72</v>
          </cell>
          <cell r="J393">
            <v>93013</v>
          </cell>
          <cell r="K393" t="str">
            <v>MP</v>
          </cell>
        </row>
        <row r="394">
          <cell r="A394">
            <v>991995</v>
          </cell>
          <cell r="B394">
            <v>9411</v>
          </cell>
          <cell r="C394">
            <v>667.74</v>
          </cell>
          <cell r="D394">
            <v>36.42</v>
          </cell>
          <cell r="E394">
            <v>501</v>
          </cell>
          <cell r="F394">
            <v>298.97000000000003</v>
          </cell>
          <cell r="G394">
            <v>814.64</v>
          </cell>
          <cell r="H394">
            <v>2318.77</v>
          </cell>
          <cell r="I394">
            <v>5855.78</v>
          </cell>
          <cell r="J394">
            <v>90424</v>
          </cell>
          <cell r="K394" t="str">
            <v>MP</v>
          </cell>
        </row>
        <row r="395">
          <cell r="A395">
            <v>991996</v>
          </cell>
          <cell r="B395">
            <v>9648</v>
          </cell>
          <cell r="C395">
            <v>260.08999999999997</v>
          </cell>
          <cell r="D395">
            <v>6.35</v>
          </cell>
          <cell r="E395">
            <v>510.42</v>
          </cell>
          <cell r="F395">
            <v>161.01</v>
          </cell>
          <cell r="G395">
            <v>244.6</v>
          </cell>
          <cell r="H395">
            <v>1182.47</v>
          </cell>
          <cell r="I395">
            <v>1020.81</v>
          </cell>
          <cell r="J395">
            <v>90662</v>
          </cell>
          <cell r="K395" t="str">
            <v>MP</v>
          </cell>
        </row>
        <row r="396">
          <cell r="A396">
            <v>991997</v>
          </cell>
          <cell r="B396">
            <v>9413</v>
          </cell>
          <cell r="C396">
            <v>736.98</v>
          </cell>
          <cell r="D396">
            <v>18.55</v>
          </cell>
          <cell r="E396">
            <v>501</v>
          </cell>
          <cell r="F396">
            <v>216.16</v>
          </cell>
          <cell r="G396">
            <v>785.02</v>
          </cell>
          <cell r="H396">
            <v>2257.71</v>
          </cell>
          <cell r="I396">
            <v>2982.86</v>
          </cell>
          <cell r="J396">
            <v>92020</v>
          </cell>
          <cell r="K396" t="str">
            <v>MP</v>
          </cell>
        </row>
        <row r="397">
          <cell r="A397">
            <v>991998</v>
          </cell>
          <cell r="B397">
            <v>9649</v>
          </cell>
          <cell r="C397">
            <v>260.08999999999997</v>
          </cell>
          <cell r="D397">
            <v>10.55</v>
          </cell>
          <cell r="E397">
            <v>510.42</v>
          </cell>
          <cell r="F397">
            <v>176.28</v>
          </cell>
          <cell r="G397">
            <v>353.85</v>
          </cell>
          <cell r="H397">
            <v>1311.19</v>
          </cell>
          <cell r="I397">
            <v>1695.15</v>
          </cell>
          <cell r="J397">
            <v>92088</v>
          </cell>
          <cell r="K397" t="str">
            <v>MP</v>
          </cell>
        </row>
        <row r="398">
          <cell r="A398">
            <v>991999</v>
          </cell>
          <cell r="B398">
            <v>9287</v>
          </cell>
          <cell r="C398">
            <v>448.44</v>
          </cell>
          <cell r="D398">
            <v>179.81</v>
          </cell>
          <cell r="E398">
            <v>501.6</v>
          </cell>
          <cell r="F398">
            <v>920.9</v>
          </cell>
          <cell r="G398">
            <v>5479.99</v>
          </cell>
          <cell r="H398">
            <v>7530.74</v>
          </cell>
          <cell r="I398">
            <v>28918.080000000002</v>
          </cell>
          <cell r="J398">
            <v>93039</v>
          </cell>
          <cell r="K398" t="str">
            <v>MP</v>
          </cell>
        </row>
        <row r="399">
          <cell r="A399">
            <v>992000</v>
          </cell>
          <cell r="B399">
            <v>9108</v>
          </cell>
          <cell r="C399">
            <v>458.37</v>
          </cell>
          <cell r="D399">
            <v>83.37</v>
          </cell>
          <cell r="E399">
            <v>512.70000000000005</v>
          </cell>
          <cell r="F399">
            <v>569.87</v>
          </cell>
          <cell r="G399">
            <v>2510.5500000000002</v>
          </cell>
          <cell r="H399">
            <v>4134.8600000000006</v>
          </cell>
          <cell r="I399">
            <v>13402.55</v>
          </cell>
          <cell r="J399">
            <v>92093</v>
          </cell>
          <cell r="K399" t="str">
            <v>MP</v>
          </cell>
        </row>
        <row r="400">
          <cell r="A400">
            <v>992001</v>
          </cell>
          <cell r="B400">
            <v>9415</v>
          </cell>
          <cell r="C400">
            <v>633.36</v>
          </cell>
          <cell r="D400">
            <v>52.52</v>
          </cell>
          <cell r="E400">
            <v>501</v>
          </cell>
          <cell r="F400">
            <v>413.31</v>
          </cell>
          <cell r="G400">
            <v>1734.61</v>
          </cell>
          <cell r="H400">
            <v>3334.8</v>
          </cell>
          <cell r="I400">
            <v>8444.14</v>
          </cell>
          <cell r="J400">
            <v>91437</v>
          </cell>
          <cell r="K400" t="str">
            <v>MP</v>
          </cell>
        </row>
        <row r="401">
          <cell r="A401">
            <v>992002</v>
          </cell>
          <cell r="B401">
            <v>9651</v>
          </cell>
          <cell r="C401">
            <v>426.48</v>
          </cell>
          <cell r="D401">
            <v>48.29</v>
          </cell>
          <cell r="E401">
            <v>510.42</v>
          </cell>
          <cell r="F401">
            <v>373.79</v>
          </cell>
          <cell r="G401">
            <v>1153.77</v>
          </cell>
          <cell r="H401">
            <v>2512.75</v>
          </cell>
          <cell r="I401">
            <v>7763.49</v>
          </cell>
          <cell r="J401">
            <v>91395</v>
          </cell>
          <cell r="K401" t="str">
            <v>MP</v>
          </cell>
        </row>
        <row r="402">
          <cell r="A402">
            <v>992003</v>
          </cell>
          <cell r="B402">
            <v>9232</v>
          </cell>
          <cell r="C402">
            <v>256.38</v>
          </cell>
          <cell r="D402">
            <v>1.92</v>
          </cell>
          <cell r="E402">
            <v>497.25</v>
          </cell>
          <cell r="F402">
            <v>144.94999999999999</v>
          </cell>
          <cell r="G402">
            <v>108.97</v>
          </cell>
          <cell r="H402">
            <v>1009.47</v>
          </cell>
          <cell r="I402">
            <v>315.20999999999998</v>
          </cell>
          <cell r="J402">
            <v>92333</v>
          </cell>
          <cell r="K402" t="str">
            <v>MP</v>
          </cell>
        </row>
        <row r="403">
          <cell r="A403">
            <v>992004</v>
          </cell>
          <cell r="B403">
            <v>9416</v>
          </cell>
          <cell r="C403">
            <v>256.44</v>
          </cell>
          <cell r="D403">
            <v>0.2</v>
          </cell>
          <cell r="E403">
            <v>501</v>
          </cell>
          <cell r="F403">
            <v>138.53</v>
          </cell>
          <cell r="G403">
            <v>51.91</v>
          </cell>
          <cell r="H403">
            <v>948.07999999999993</v>
          </cell>
          <cell r="I403">
            <v>31.77</v>
          </cell>
          <cell r="J403">
            <v>91553</v>
          </cell>
          <cell r="K403" t="str">
            <v>MP</v>
          </cell>
        </row>
        <row r="404">
          <cell r="A404">
            <v>992005</v>
          </cell>
          <cell r="B404">
            <v>9223</v>
          </cell>
          <cell r="C404">
            <v>491.29</v>
          </cell>
          <cell r="D404">
            <v>168.98</v>
          </cell>
          <cell r="E404">
            <v>497.25</v>
          </cell>
          <cell r="F404">
            <v>882.15</v>
          </cell>
          <cell r="G404">
            <v>4157.05</v>
          </cell>
          <cell r="H404">
            <v>6196.72</v>
          </cell>
          <cell r="I404">
            <v>27166.43</v>
          </cell>
          <cell r="J404">
            <v>91395</v>
          </cell>
          <cell r="K404" t="str">
            <v>MP</v>
          </cell>
        </row>
        <row r="405">
          <cell r="A405">
            <v>992007</v>
          </cell>
          <cell r="B405">
            <v>9726</v>
          </cell>
          <cell r="C405">
            <v>1621.28</v>
          </cell>
          <cell r="D405">
            <v>339.63</v>
          </cell>
          <cell r="E405">
            <v>509.34</v>
          </cell>
          <cell r="F405">
            <v>1492.25</v>
          </cell>
          <cell r="G405">
            <v>7142.52</v>
          </cell>
          <cell r="H405">
            <v>11105.02</v>
          </cell>
          <cell r="I405">
            <v>52981.55</v>
          </cell>
          <cell r="J405">
            <v>92107</v>
          </cell>
          <cell r="K405" t="str">
            <v>MP</v>
          </cell>
        </row>
        <row r="406">
          <cell r="A406">
            <v>992009</v>
          </cell>
          <cell r="B406">
            <v>9417</v>
          </cell>
          <cell r="C406">
            <v>162.83000000000001</v>
          </cell>
          <cell r="D406">
            <v>24.68</v>
          </cell>
          <cell r="E406">
            <v>501</v>
          </cell>
          <cell r="F406">
            <v>358.72</v>
          </cell>
          <cell r="G406">
            <v>1106.4100000000001</v>
          </cell>
          <cell r="H406">
            <v>2153.6400000000003</v>
          </cell>
          <cell r="I406">
            <v>7715.4</v>
          </cell>
          <cell r="J406">
            <v>90121</v>
          </cell>
          <cell r="K406" t="str">
            <v>MP</v>
          </cell>
        </row>
        <row r="407">
          <cell r="A407">
            <v>992010</v>
          </cell>
          <cell r="B407">
            <v>9418</v>
          </cell>
          <cell r="C407">
            <v>167</v>
          </cell>
          <cell r="D407">
            <v>2.35</v>
          </cell>
          <cell r="E407">
            <v>501</v>
          </cell>
          <cell r="F407">
            <v>152.38999999999999</v>
          </cell>
          <cell r="G407">
            <v>189.87</v>
          </cell>
          <cell r="H407">
            <v>1012.61</v>
          </cell>
          <cell r="I407">
            <v>734.8</v>
          </cell>
          <cell r="J407">
            <v>93004</v>
          </cell>
          <cell r="K407" t="str">
            <v>MP</v>
          </cell>
        </row>
        <row r="408">
          <cell r="A408">
            <v>992011</v>
          </cell>
          <cell r="B408">
            <v>9652</v>
          </cell>
          <cell r="C408">
            <v>243.4</v>
          </cell>
          <cell r="D408">
            <v>15.47</v>
          </cell>
          <cell r="E408">
            <v>510.42</v>
          </cell>
          <cell r="F408">
            <v>193.88</v>
          </cell>
          <cell r="G408">
            <v>522.15</v>
          </cell>
          <cell r="H408">
            <v>1485.32</v>
          </cell>
          <cell r="I408">
            <v>2487.6</v>
          </cell>
          <cell r="J408">
            <v>92174</v>
          </cell>
          <cell r="K408" t="str">
            <v>MP</v>
          </cell>
        </row>
        <row r="409">
          <cell r="A409">
            <v>992012</v>
          </cell>
          <cell r="B409">
            <v>9466</v>
          </cell>
          <cell r="C409">
            <v>175.35</v>
          </cell>
          <cell r="D409">
            <v>11.72</v>
          </cell>
          <cell r="E409">
            <v>501</v>
          </cell>
          <cell r="F409">
            <v>218.73</v>
          </cell>
          <cell r="G409">
            <v>539.38</v>
          </cell>
          <cell r="H409">
            <v>1446.1799999999998</v>
          </cell>
          <cell r="I409">
            <v>3665.65</v>
          </cell>
          <cell r="J409">
            <v>91750</v>
          </cell>
          <cell r="K409" t="str">
            <v>MP</v>
          </cell>
        </row>
        <row r="410">
          <cell r="A410">
            <v>992013</v>
          </cell>
          <cell r="B410">
            <v>9419</v>
          </cell>
          <cell r="C410">
            <v>183.7</v>
          </cell>
          <cell r="D410">
            <v>50.23</v>
          </cell>
          <cell r="E410">
            <v>501</v>
          </cell>
          <cell r="F410">
            <v>614.52</v>
          </cell>
          <cell r="G410">
            <v>3345.71</v>
          </cell>
          <cell r="H410">
            <v>4695.16</v>
          </cell>
          <cell r="I410">
            <v>15698</v>
          </cell>
          <cell r="J410">
            <v>91981</v>
          </cell>
          <cell r="K410" t="str">
            <v>MP</v>
          </cell>
        </row>
        <row r="411">
          <cell r="A411">
            <v>992014</v>
          </cell>
          <cell r="B411">
            <v>9467</v>
          </cell>
          <cell r="C411">
            <v>183.7</v>
          </cell>
          <cell r="D411">
            <v>16.47</v>
          </cell>
          <cell r="E411">
            <v>501</v>
          </cell>
          <cell r="F411">
            <v>252.28</v>
          </cell>
          <cell r="G411">
            <v>1015.32</v>
          </cell>
          <cell r="H411">
            <v>1968.77</v>
          </cell>
          <cell r="I411">
            <v>5143.6000000000004</v>
          </cell>
          <cell r="J411">
            <v>91978</v>
          </cell>
          <cell r="K411" t="str">
            <v>MP</v>
          </cell>
        </row>
        <row r="412">
          <cell r="A412">
            <v>992015</v>
          </cell>
          <cell r="B412">
            <v>9420</v>
          </cell>
          <cell r="C412">
            <v>196.23</v>
          </cell>
          <cell r="D412">
            <v>38.979999999999997</v>
          </cell>
          <cell r="E412">
            <v>501</v>
          </cell>
          <cell r="F412">
            <v>535.45000000000005</v>
          </cell>
          <cell r="G412">
            <v>660.26</v>
          </cell>
          <cell r="H412">
            <v>1931.92</v>
          </cell>
          <cell r="I412">
            <v>12182.65</v>
          </cell>
          <cell r="J412">
            <v>90083</v>
          </cell>
          <cell r="K412" t="str">
            <v>MP</v>
          </cell>
        </row>
        <row r="413">
          <cell r="A413">
            <v>992016</v>
          </cell>
          <cell r="B413">
            <v>9284</v>
          </cell>
          <cell r="C413">
            <v>719.67</v>
          </cell>
          <cell r="D413">
            <v>104.58</v>
          </cell>
          <cell r="E413">
            <v>500.64</v>
          </cell>
          <cell r="F413">
            <v>1009.91</v>
          </cell>
          <cell r="G413">
            <v>4690.7299999999996</v>
          </cell>
          <cell r="H413">
            <v>7025.5299999999988</v>
          </cell>
          <cell r="I413">
            <v>32680.94</v>
          </cell>
          <cell r="J413">
            <v>90061</v>
          </cell>
          <cell r="K413" t="str">
            <v>MP</v>
          </cell>
        </row>
        <row r="414">
          <cell r="A414">
            <v>992017</v>
          </cell>
          <cell r="B414">
            <v>9608</v>
          </cell>
          <cell r="C414">
            <v>196.23</v>
          </cell>
          <cell r="D414">
            <v>37.840000000000003</v>
          </cell>
          <cell r="E414">
            <v>501</v>
          </cell>
          <cell r="F414">
            <v>527.35</v>
          </cell>
          <cell r="G414">
            <v>2532.11</v>
          </cell>
          <cell r="H414">
            <v>3794.53</v>
          </cell>
          <cell r="I414">
            <v>11823.6</v>
          </cell>
          <cell r="J414">
            <v>90506</v>
          </cell>
          <cell r="K414" t="str">
            <v>MP</v>
          </cell>
        </row>
        <row r="415">
          <cell r="A415">
            <v>992018</v>
          </cell>
          <cell r="B415">
            <v>9432</v>
          </cell>
          <cell r="C415">
            <v>1220.3900000000001</v>
          </cell>
          <cell r="D415">
            <v>239.32</v>
          </cell>
          <cell r="E415">
            <v>500.64</v>
          </cell>
          <cell r="F415">
            <v>1154.6199999999999</v>
          </cell>
          <cell r="G415">
            <v>6689.93</v>
          </cell>
          <cell r="H415">
            <v>9804.9</v>
          </cell>
          <cell r="I415">
            <v>38476.69</v>
          </cell>
          <cell r="J415">
            <v>92003</v>
          </cell>
          <cell r="K415" t="str">
            <v>MP</v>
          </cell>
        </row>
        <row r="416">
          <cell r="A416">
            <v>992019</v>
          </cell>
          <cell r="B416">
            <v>9582</v>
          </cell>
          <cell r="C416">
            <v>595.94000000000005</v>
          </cell>
          <cell r="D416">
            <v>90.46</v>
          </cell>
          <cell r="E416">
            <v>501.63</v>
          </cell>
          <cell r="F416">
            <v>903.55</v>
          </cell>
          <cell r="G416">
            <v>4028.88</v>
          </cell>
          <cell r="H416">
            <v>6120.46</v>
          </cell>
          <cell r="I416">
            <v>28091.279999999999</v>
          </cell>
          <cell r="J416">
            <v>92240</v>
          </cell>
          <cell r="K416" t="str">
            <v>MP</v>
          </cell>
        </row>
        <row r="417">
          <cell r="A417">
            <v>992022</v>
          </cell>
          <cell r="B417">
            <v>9242</v>
          </cell>
          <cell r="C417">
            <v>158.84</v>
          </cell>
          <cell r="D417">
            <v>1.29</v>
          </cell>
          <cell r="E417">
            <v>501.6</v>
          </cell>
          <cell r="F417">
            <v>137.35</v>
          </cell>
          <cell r="G417">
            <v>78.599999999999994</v>
          </cell>
          <cell r="H417">
            <v>877.68000000000006</v>
          </cell>
          <cell r="I417">
            <v>401.28</v>
          </cell>
          <cell r="J417">
            <v>90061</v>
          </cell>
          <cell r="K417" t="str">
            <v>MP</v>
          </cell>
        </row>
        <row r="418">
          <cell r="A418">
            <v>992023</v>
          </cell>
          <cell r="B418">
            <v>9458</v>
          </cell>
          <cell r="C418">
            <v>133.6</v>
          </cell>
          <cell r="D418">
            <v>5.44</v>
          </cell>
          <cell r="E418">
            <v>501</v>
          </cell>
          <cell r="F418">
            <v>154.9</v>
          </cell>
          <cell r="G418">
            <v>193</v>
          </cell>
          <cell r="H418">
            <v>987.93999999999994</v>
          </cell>
          <cell r="I418">
            <v>876.75</v>
          </cell>
          <cell r="J418">
            <v>90242</v>
          </cell>
          <cell r="K418" t="str">
            <v>MP</v>
          </cell>
        </row>
        <row r="419">
          <cell r="A419">
            <v>992024</v>
          </cell>
          <cell r="B419">
            <v>9727</v>
          </cell>
          <cell r="C419">
            <v>195.25</v>
          </cell>
          <cell r="D419">
            <v>158.35</v>
          </cell>
          <cell r="E419">
            <v>550</v>
          </cell>
          <cell r="F419">
            <v>290</v>
          </cell>
          <cell r="G419">
            <v>1284.92</v>
          </cell>
          <cell r="H419">
            <v>2478.52</v>
          </cell>
          <cell r="I419">
            <v>25344.76</v>
          </cell>
          <cell r="J419">
            <v>90048</v>
          </cell>
          <cell r="K419" t="str">
            <v>MP</v>
          </cell>
        </row>
        <row r="420">
          <cell r="A420">
            <v>992025</v>
          </cell>
          <cell r="B420">
            <v>9238</v>
          </cell>
          <cell r="C420">
            <v>281.77999999999997</v>
          </cell>
          <cell r="D420">
            <v>101.47</v>
          </cell>
          <cell r="E420">
            <v>497.25</v>
          </cell>
          <cell r="F420">
            <v>632.91999999999996</v>
          </cell>
          <cell r="G420">
            <v>2480.59</v>
          </cell>
          <cell r="H420">
            <v>3994.01</v>
          </cell>
          <cell r="I420">
            <v>16366.55</v>
          </cell>
          <cell r="J420">
            <v>92172</v>
          </cell>
          <cell r="K420" t="str">
            <v>MP</v>
          </cell>
        </row>
        <row r="421">
          <cell r="A421">
            <v>992026</v>
          </cell>
          <cell r="B421">
            <v>9243</v>
          </cell>
          <cell r="C421">
            <v>284.24</v>
          </cell>
          <cell r="D421">
            <v>264.38</v>
          </cell>
          <cell r="E421">
            <v>501.6</v>
          </cell>
          <cell r="F421">
            <v>1227.81</v>
          </cell>
          <cell r="G421">
            <v>9017.09</v>
          </cell>
          <cell r="H421">
            <v>11295.119999999999</v>
          </cell>
          <cell r="I421">
            <v>42641.02</v>
          </cell>
          <cell r="J421">
            <v>91349</v>
          </cell>
          <cell r="K421" t="str">
            <v>MP</v>
          </cell>
        </row>
        <row r="422">
          <cell r="A422">
            <v>992027</v>
          </cell>
          <cell r="B422">
            <v>9421</v>
          </cell>
          <cell r="C422">
            <v>496.41</v>
          </cell>
          <cell r="D422">
            <v>29.81</v>
          </cell>
          <cell r="E422">
            <v>501</v>
          </cell>
          <cell r="F422">
            <v>442.46</v>
          </cell>
          <cell r="G422">
            <v>1174.1600000000001</v>
          </cell>
          <cell r="H422">
            <v>2643.84</v>
          </cell>
          <cell r="I422">
            <v>9258.48</v>
          </cell>
          <cell r="J422">
            <v>92001</v>
          </cell>
          <cell r="K422" t="str">
            <v>MP</v>
          </cell>
        </row>
        <row r="423">
          <cell r="A423">
            <v>992029</v>
          </cell>
          <cell r="B423">
            <v>9447</v>
          </cell>
          <cell r="C423">
            <v>160.32</v>
          </cell>
          <cell r="D423">
            <v>33.880000000000003</v>
          </cell>
          <cell r="E423">
            <v>501</v>
          </cell>
          <cell r="F423">
            <v>483.87</v>
          </cell>
          <cell r="G423">
            <v>1500.13</v>
          </cell>
          <cell r="H423">
            <v>2679.2000000000003</v>
          </cell>
          <cell r="I423">
            <v>10521</v>
          </cell>
          <cell r="J423">
            <v>91874</v>
          </cell>
          <cell r="K423" t="str">
            <v>MP</v>
          </cell>
        </row>
        <row r="424">
          <cell r="A424">
            <v>992031</v>
          </cell>
          <cell r="B424">
            <v>9517</v>
          </cell>
          <cell r="C424">
            <v>2552.77</v>
          </cell>
          <cell r="D424">
            <v>5.08</v>
          </cell>
          <cell r="E424">
            <v>513.03</v>
          </cell>
          <cell r="F424">
            <v>232.81</v>
          </cell>
          <cell r="G424">
            <v>660.58</v>
          </cell>
          <cell r="H424">
            <v>3964.27</v>
          </cell>
          <cell r="I424">
            <v>1913.6</v>
          </cell>
          <cell r="J424">
            <v>92287</v>
          </cell>
          <cell r="K424" t="str">
            <v>MP</v>
          </cell>
        </row>
        <row r="425">
          <cell r="A425">
            <v>992032</v>
          </cell>
          <cell r="B425">
            <v>9684</v>
          </cell>
          <cell r="C425">
            <v>6342.7</v>
          </cell>
          <cell r="D425">
            <v>71.53</v>
          </cell>
          <cell r="E425">
            <v>510.42</v>
          </cell>
          <cell r="F425">
            <v>755.89</v>
          </cell>
          <cell r="G425">
            <v>3216.13</v>
          </cell>
          <cell r="H425">
            <v>10896.67</v>
          </cell>
          <cell r="I425">
            <v>15800.9</v>
          </cell>
          <cell r="J425">
            <v>92287</v>
          </cell>
          <cell r="K425" t="str">
            <v>MP</v>
          </cell>
        </row>
        <row r="426">
          <cell r="A426">
            <v>992033</v>
          </cell>
          <cell r="B426">
            <v>9722</v>
          </cell>
          <cell r="C426">
            <v>211.38</v>
          </cell>
          <cell r="D426">
            <v>9.4600000000000009</v>
          </cell>
          <cell r="E426">
            <v>509.34</v>
          </cell>
          <cell r="F426">
            <v>171.25</v>
          </cell>
          <cell r="G426">
            <v>365.84</v>
          </cell>
          <cell r="H426">
            <v>1267.27</v>
          </cell>
          <cell r="I426">
            <v>1521.23</v>
          </cell>
          <cell r="J426">
            <v>90125</v>
          </cell>
          <cell r="K426" t="str">
            <v>MP</v>
          </cell>
        </row>
        <row r="427">
          <cell r="A427">
            <v>992034</v>
          </cell>
          <cell r="B427">
            <v>9520</v>
          </cell>
          <cell r="C427">
            <v>1928.99</v>
          </cell>
          <cell r="D427">
            <v>73.12</v>
          </cell>
          <cell r="E427">
            <v>513.03</v>
          </cell>
          <cell r="F427">
            <v>566.48</v>
          </cell>
          <cell r="G427">
            <v>1655.65</v>
          </cell>
          <cell r="H427">
            <v>4737.2700000000004</v>
          </cell>
          <cell r="I427">
            <v>11794.97</v>
          </cell>
          <cell r="J427">
            <v>92253</v>
          </cell>
          <cell r="K427" t="str">
            <v>MP</v>
          </cell>
        </row>
        <row r="428">
          <cell r="A428">
            <v>992036</v>
          </cell>
          <cell r="B428">
            <v>9653</v>
          </cell>
          <cell r="C428">
            <v>142.44999999999999</v>
          </cell>
          <cell r="D428">
            <v>5.31</v>
          </cell>
          <cell r="E428">
            <v>510.42</v>
          </cell>
          <cell r="F428">
            <v>154.63</v>
          </cell>
          <cell r="G428">
            <v>140.49</v>
          </cell>
          <cell r="H428">
            <v>953.30000000000007</v>
          </cell>
          <cell r="I428">
            <v>854.7</v>
          </cell>
          <cell r="J428">
            <v>90614</v>
          </cell>
          <cell r="K428" t="str">
            <v>MP</v>
          </cell>
        </row>
        <row r="429">
          <cell r="A429">
            <v>992038</v>
          </cell>
          <cell r="B429">
            <v>9422</v>
          </cell>
          <cell r="C429">
            <v>476.79</v>
          </cell>
          <cell r="D429">
            <v>30.59</v>
          </cell>
          <cell r="E429">
            <v>501</v>
          </cell>
          <cell r="F429">
            <v>254.12</v>
          </cell>
          <cell r="G429">
            <v>162.76</v>
          </cell>
          <cell r="H429">
            <v>1425.26</v>
          </cell>
          <cell r="I429">
            <v>4919.63</v>
          </cell>
          <cell r="J429">
            <v>90086</v>
          </cell>
          <cell r="K429" t="str">
            <v>MP</v>
          </cell>
        </row>
        <row r="430">
          <cell r="A430">
            <v>992039</v>
          </cell>
          <cell r="B430">
            <v>9225</v>
          </cell>
          <cell r="C430">
            <v>85.27</v>
          </cell>
          <cell r="D430">
            <v>54.21</v>
          </cell>
          <cell r="E430">
            <v>511.62</v>
          </cell>
          <cell r="F430">
            <v>401.16</v>
          </cell>
          <cell r="G430">
            <v>1682.73</v>
          </cell>
          <cell r="H430">
            <v>2734.99</v>
          </cell>
          <cell r="I430">
            <v>8716.98</v>
          </cell>
          <cell r="J430">
            <v>92335</v>
          </cell>
          <cell r="K430" t="str">
            <v>MP</v>
          </cell>
        </row>
        <row r="431">
          <cell r="A431">
            <v>992042</v>
          </cell>
          <cell r="B431">
            <v>9180</v>
          </cell>
          <cell r="C431">
            <v>346.77</v>
          </cell>
          <cell r="D431">
            <v>44.68</v>
          </cell>
          <cell r="E431">
            <v>501.6</v>
          </cell>
          <cell r="F431">
            <v>578.97</v>
          </cell>
          <cell r="G431">
            <v>2726.92</v>
          </cell>
          <cell r="H431">
            <v>4198.9400000000005</v>
          </cell>
          <cell r="I431">
            <v>13960.78</v>
          </cell>
          <cell r="J431">
            <v>91591</v>
          </cell>
          <cell r="K431" t="str">
            <v>MP</v>
          </cell>
        </row>
        <row r="432">
          <cell r="A432">
            <v>992049</v>
          </cell>
          <cell r="B432">
            <v>9685</v>
          </cell>
          <cell r="C432">
            <v>509.74</v>
          </cell>
          <cell r="D432">
            <v>87.41</v>
          </cell>
          <cell r="E432">
            <v>505.53</v>
          </cell>
          <cell r="F432">
            <v>884.04</v>
          </cell>
          <cell r="G432">
            <v>3907.53</v>
          </cell>
          <cell r="H432">
            <v>5894.25</v>
          </cell>
          <cell r="I432">
            <v>27313.79</v>
          </cell>
          <cell r="J432">
            <v>90061</v>
          </cell>
          <cell r="K432" t="str">
            <v>MP</v>
          </cell>
        </row>
        <row r="433">
          <cell r="A433">
            <v>992050</v>
          </cell>
          <cell r="B433">
            <v>9521</v>
          </cell>
          <cell r="C433">
            <v>360.75</v>
          </cell>
          <cell r="D433">
            <v>36.39</v>
          </cell>
          <cell r="E433">
            <v>513.03</v>
          </cell>
          <cell r="F433">
            <v>520.92999999999995</v>
          </cell>
          <cell r="G433">
            <v>588.63</v>
          </cell>
          <cell r="H433">
            <v>2019.73</v>
          </cell>
          <cell r="I433">
            <v>11374.22</v>
          </cell>
          <cell r="J433">
            <v>90379</v>
          </cell>
          <cell r="K433" t="str">
            <v>MP</v>
          </cell>
        </row>
        <row r="434">
          <cell r="A434">
            <v>992052</v>
          </cell>
          <cell r="B434">
            <v>9226</v>
          </cell>
          <cell r="C434">
            <v>281.83</v>
          </cell>
          <cell r="D434">
            <v>63.85</v>
          </cell>
          <cell r="E434">
            <v>497.25</v>
          </cell>
          <cell r="F434">
            <v>479.24</v>
          </cell>
          <cell r="G434">
            <v>1909.99</v>
          </cell>
          <cell r="H434">
            <v>3232.16</v>
          </cell>
          <cell r="I434">
            <v>10264.780000000001</v>
          </cell>
          <cell r="J434">
            <v>91692</v>
          </cell>
          <cell r="K434" t="str">
            <v>MP</v>
          </cell>
        </row>
        <row r="435">
          <cell r="A435">
            <v>992053</v>
          </cell>
          <cell r="B435">
            <v>9668</v>
          </cell>
          <cell r="C435">
            <v>843.89</v>
          </cell>
          <cell r="D435">
            <v>29.62</v>
          </cell>
          <cell r="E435">
            <v>510.42</v>
          </cell>
          <cell r="F435">
            <v>259.33</v>
          </cell>
          <cell r="G435">
            <v>678.83</v>
          </cell>
          <cell r="H435">
            <v>2322.09</v>
          </cell>
          <cell r="I435">
            <v>4778.16</v>
          </cell>
          <cell r="J435">
            <v>92316</v>
          </cell>
          <cell r="K435" t="str">
            <v>MP</v>
          </cell>
        </row>
        <row r="436">
          <cell r="A436">
            <v>992054</v>
          </cell>
          <cell r="B436">
            <v>9423</v>
          </cell>
          <cell r="C436">
            <v>4678.97</v>
          </cell>
          <cell r="D436">
            <v>31.95</v>
          </cell>
          <cell r="E436">
            <v>501</v>
          </cell>
          <cell r="F436">
            <v>445.97</v>
          </cell>
          <cell r="G436">
            <v>1183.6099999999999</v>
          </cell>
          <cell r="H436">
            <v>6841.5</v>
          </cell>
          <cell r="I436">
            <v>5152.4799999999996</v>
          </cell>
          <cell r="J436">
            <v>92000</v>
          </cell>
          <cell r="K436" t="str">
            <v>MP</v>
          </cell>
        </row>
        <row r="437">
          <cell r="A437">
            <v>992055</v>
          </cell>
          <cell r="B437">
            <v>9522</v>
          </cell>
          <cell r="C437">
            <v>179.56</v>
          </cell>
          <cell r="D437">
            <v>27.91</v>
          </cell>
          <cell r="E437">
            <v>513.03</v>
          </cell>
          <cell r="F437">
            <v>404.39</v>
          </cell>
          <cell r="G437">
            <v>1875.09</v>
          </cell>
          <cell r="H437">
            <v>2999.9799999999996</v>
          </cell>
          <cell r="I437">
            <v>8721.51</v>
          </cell>
          <cell r="J437">
            <v>92249</v>
          </cell>
          <cell r="K437" t="str">
            <v>MP</v>
          </cell>
        </row>
        <row r="438">
          <cell r="A438">
            <v>992057</v>
          </cell>
          <cell r="B438">
            <v>9523</v>
          </cell>
          <cell r="C438">
            <v>1816.13</v>
          </cell>
          <cell r="D438">
            <v>66.56</v>
          </cell>
          <cell r="E438">
            <v>513.03</v>
          </cell>
          <cell r="F438">
            <v>539.95000000000005</v>
          </cell>
          <cell r="G438">
            <v>1514.14</v>
          </cell>
          <cell r="H438">
            <v>4449.8100000000004</v>
          </cell>
          <cell r="I438">
            <v>10735.15</v>
          </cell>
          <cell r="J438">
            <v>92253</v>
          </cell>
          <cell r="K438" t="str">
            <v>MP</v>
          </cell>
        </row>
        <row r="439">
          <cell r="A439">
            <v>992058</v>
          </cell>
          <cell r="B439">
            <v>9524</v>
          </cell>
          <cell r="C439">
            <v>339.44</v>
          </cell>
          <cell r="D439">
            <v>14.31</v>
          </cell>
          <cell r="E439">
            <v>513.03</v>
          </cell>
          <cell r="F439">
            <v>191.78</v>
          </cell>
          <cell r="G439">
            <v>504.41</v>
          </cell>
          <cell r="H439">
            <v>1562.97</v>
          </cell>
          <cell r="I439">
            <v>2301.2800000000002</v>
          </cell>
          <cell r="J439">
            <v>91177</v>
          </cell>
          <cell r="K439" t="str">
            <v>MP</v>
          </cell>
        </row>
        <row r="440">
          <cell r="A440">
            <v>992060</v>
          </cell>
          <cell r="B440">
            <v>9472</v>
          </cell>
          <cell r="C440">
            <v>102.42</v>
          </cell>
          <cell r="D440">
            <v>1.79</v>
          </cell>
          <cell r="E440">
            <v>501.63</v>
          </cell>
          <cell r="F440">
            <v>146.91999999999999</v>
          </cell>
          <cell r="G440">
            <v>92.54</v>
          </cell>
          <cell r="H440">
            <v>845.3</v>
          </cell>
          <cell r="I440">
            <v>556.80999999999995</v>
          </cell>
          <cell r="J440">
            <v>90062</v>
          </cell>
          <cell r="K440" t="str">
            <v>MP</v>
          </cell>
        </row>
        <row r="441">
          <cell r="A441">
            <v>992061</v>
          </cell>
          <cell r="B441">
            <v>9611</v>
          </cell>
          <cell r="C441">
            <v>267.2</v>
          </cell>
          <cell r="D441">
            <v>18.5</v>
          </cell>
          <cell r="E441">
            <v>501</v>
          </cell>
          <cell r="F441">
            <v>205.41</v>
          </cell>
          <cell r="G441">
            <v>619.49</v>
          </cell>
          <cell r="H441">
            <v>1611.6</v>
          </cell>
          <cell r="I441">
            <v>2974.56</v>
          </cell>
          <cell r="J441">
            <v>90424</v>
          </cell>
          <cell r="K441" t="str">
            <v>MP</v>
          </cell>
        </row>
        <row r="442">
          <cell r="A442">
            <v>992062</v>
          </cell>
          <cell r="B442">
            <v>9613</v>
          </cell>
          <cell r="C442">
            <v>267.2</v>
          </cell>
          <cell r="D442">
            <v>17.75</v>
          </cell>
          <cell r="E442">
            <v>501</v>
          </cell>
          <cell r="F442">
            <v>202.71</v>
          </cell>
          <cell r="G442">
            <v>596.65</v>
          </cell>
          <cell r="H442">
            <v>1585.31</v>
          </cell>
          <cell r="I442">
            <v>2855.14</v>
          </cell>
          <cell r="J442">
            <v>90424</v>
          </cell>
          <cell r="K442" t="str">
            <v>MP</v>
          </cell>
        </row>
        <row r="443">
          <cell r="A443">
            <v>992063</v>
          </cell>
          <cell r="B443">
            <v>9614</v>
          </cell>
          <cell r="C443">
            <v>267.2</v>
          </cell>
          <cell r="D443">
            <v>8.8800000000000008</v>
          </cell>
          <cell r="E443">
            <v>501</v>
          </cell>
          <cell r="F443">
            <v>170.38</v>
          </cell>
          <cell r="G443">
            <v>323.70999999999998</v>
          </cell>
          <cell r="H443">
            <v>1271.1699999999998</v>
          </cell>
          <cell r="I443">
            <v>1427.57</v>
          </cell>
          <cell r="J443">
            <v>90424</v>
          </cell>
          <cell r="K443" t="str">
            <v>MP</v>
          </cell>
        </row>
        <row r="444">
          <cell r="A444">
            <v>992064</v>
          </cell>
          <cell r="B444">
            <v>9424</v>
          </cell>
          <cell r="C444">
            <v>267.2</v>
          </cell>
          <cell r="D444">
            <v>3.32</v>
          </cell>
          <cell r="E444">
            <v>501</v>
          </cell>
          <cell r="F444">
            <v>150.18</v>
          </cell>
          <cell r="G444">
            <v>153.13</v>
          </cell>
          <cell r="H444">
            <v>1074.83</v>
          </cell>
          <cell r="I444">
            <v>535.34</v>
          </cell>
          <cell r="J444">
            <v>90424</v>
          </cell>
          <cell r="K444" t="str">
            <v>MP</v>
          </cell>
        </row>
        <row r="445">
          <cell r="A445">
            <v>992065</v>
          </cell>
          <cell r="B445">
            <v>9426</v>
          </cell>
          <cell r="C445">
            <v>267.2</v>
          </cell>
          <cell r="D445">
            <v>2.37</v>
          </cell>
          <cell r="E445">
            <v>501</v>
          </cell>
          <cell r="F445">
            <v>146.69999999999999</v>
          </cell>
          <cell r="G445">
            <v>123.73</v>
          </cell>
          <cell r="H445">
            <v>1041</v>
          </cell>
          <cell r="I445">
            <v>381.6</v>
          </cell>
          <cell r="J445">
            <v>90424</v>
          </cell>
          <cell r="K445" t="str">
            <v>MP</v>
          </cell>
        </row>
        <row r="446">
          <cell r="A446">
            <v>992066</v>
          </cell>
          <cell r="B446">
            <v>9680</v>
          </cell>
          <cell r="C446">
            <v>272.22000000000003</v>
          </cell>
          <cell r="D446">
            <v>19.14</v>
          </cell>
          <cell r="E446">
            <v>510.42</v>
          </cell>
          <cell r="F446">
            <v>203.84</v>
          </cell>
          <cell r="G446">
            <v>159.53</v>
          </cell>
          <cell r="H446">
            <v>1165.1500000000001</v>
          </cell>
          <cell r="I446">
            <v>2899.35</v>
          </cell>
          <cell r="J446">
            <v>90424</v>
          </cell>
          <cell r="K446" t="str">
            <v>MP</v>
          </cell>
        </row>
        <row r="447">
          <cell r="A447">
            <v>992067</v>
          </cell>
          <cell r="B447">
            <v>9617</v>
          </cell>
          <cell r="C447">
            <v>267.2</v>
          </cell>
          <cell r="D447">
            <v>5.68</v>
          </cell>
          <cell r="E447">
            <v>501</v>
          </cell>
          <cell r="F447">
            <v>158.72999999999999</v>
          </cell>
          <cell r="G447">
            <v>225.29</v>
          </cell>
          <cell r="H447">
            <v>1157.9000000000001</v>
          </cell>
          <cell r="I447">
            <v>912.82</v>
          </cell>
          <cell r="J447">
            <v>90424</v>
          </cell>
          <cell r="K447" t="str">
            <v>MP</v>
          </cell>
        </row>
        <row r="448">
          <cell r="A448">
            <v>992068</v>
          </cell>
          <cell r="B448">
            <v>9618</v>
          </cell>
          <cell r="C448">
            <v>308.95</v>
          </cell>
          <cell r="D448">
            <v>14.83</v>
          </cell>
          <cell r="E448">
            <v>501</v>
          </cell>
          <cell r="F448">
            <v>193</v>
          </cell>
          <cell r="G448">
            <v>514.70000000000005</v>
          </cell>
          <cell r="H448">
            <v>1532.48</v>
          </cell>
          <cell r="I448">
            <v>2385</v>
          </cell>
          <cell r="J448">
            <v>90424</v>
          </cell>
          <cell r="K448" t="str">
            <v>MP</v>
          </cell>
        </row>
        <row r="449">
          <cell r="A449">
            <v>992069</v>
          </cell>
          <cell r="B449">
            <v>9374</v>
          </cell>
          <cell r="C449">
            <v>137.78</v>
          </cell>
          <cell r="D449">
            <v>47.03</v>
          </cell>
          <cell r="E449">
            <v>501</v>
          </cell>
          <cell r="F449">
            <v>590.87</v>
          </cell>
          <cell r="G449">
            <v>2083.31</v>
          </cell>
          <cell r="H449">
            <v>3359.99</v>
          </cell>
          <cell r="I449">
            <v>14696</v>
          </cell>
          <cell r="J449">
            <v>90485</v>
          </cell>
          <cell r="K449" t="str">
            <v>MP</v>
          </cell>
        </row>
        <row r="450">
          <cell r="A450">
            <v>992070</v>
          </cell>
          <cell r="B450">
            <v>9372</v>
          </cell>
          <cell r="C450">
            <v>136.52000000000001</v>
          </cell>
          <cell r="D450">
            <v>35.270000000000003</v>
          </cell>
          <cell r="E450">
            <v>501</v>
          </cell>
          <cell r="F450">
            <v>505.17</v>
          </cell>
          <cell r="G450">
            <v>1567.13</v>
          </cell>
          <cell r="H450">
            <v>2745.09</v>
          </cell>
          <cell r="I450">
            <v>11022</v>
          </cell>
          <cell r="J450">
            <v>90485</v>
          </cell>
          <cell r="K450" t="str">
            <v>MP</v>
          </cell>
        </row>
        <row r="451">
          <cell r="A451">
            <v>992071</v>
          </cell>
          <cell r="B451">
            <v>9525</v>
          </cell>
          <cell r="C451">
            <v>183.84</v>
          </cell>
          <cell r="D451">
            <v>4.38</v>
          </cell>
          <cell r="E451">
            <v>513.03</v>
          </cell>
          <cell r="F451">
            <v>167.07</v>
          </cell>
          <cell r="G451">
            <v>326.82</v>
          </cell>
          <cell r="H451">
            <v>1195.1399999999999</v>
          </cell>
          <cell r="I451">
            <v>1368.08</v>
          </cell>
          <cell r="J451">
            <v>91681</v>
          </cell>
          <cell r="K451" t="str">
            <v>MP</v>
          </cell>
        </row>
        <row r="452">
          <cell r="A452">
            <v>992073</v>
          </cell>
          <cell r="B452">
            <v>9526</v>
          </cell>
          <cell r="C452">
            <v>129.97</v>
          </cell>
          <cell r="D452">
            <v>9.4700000000000006</v>
          </cell>
          <cell r="E452">
            <v>513.03</v>
          </cell>
          <cell r="F452">
            <v>169.56</v>
          </cell>
          <cell r="G452">
            <v>150.04</v>
          </cell>
          <cell r="H452">
            <v>972.06999999999994</v>
          </cell>
          <cell r="I452">
            <v>1526.78</v>
          </cell>
          <cell r="J452">
            <v>91219</v>
          </cell>
          <cell r="K452" t="str">
            <v>MP</v>
          </cell>
        </row>
        <row r="453">
          <cell r="A453">
            <v>992074</v>
          </cell>
          <cell r="B453">
            <v>9527</v>
          </cell>
          <cell r="C453">
            <v>2080.3000000000002</v>
          </cell>
          <cell r="D453">
            <v>13.51</v>
          </cell>
          <cell r="E453">
            <v>513.03</v>
          </cell>
          <cell r="F453">
            <v>257.69</v>
          </cell>
          <cell r="G453">
            <v>670.09</v>
          </cell>
          <cell r="H453">
            <v>3534.6200000000003</v>
          </cell>
          <cell r="I453">
            <v>3482.19</v>
          </cell>
          <cell r="J453">
            <v>92000</v>
          </cell>
          <cell r="K453" t="str">
            <v>MP</v>
          </cell>
        </row>
        <row r="454">
          <cell r="A454">
            <v>992075</v>
          </cell>
          <cell r="B454">
            <v>9679</v>
          </cell>
          <cell r="C454">
            <v>2338.6799999999998</v>
          </cell>
          <cell r="D454">
            <v>66.44</v>
          </cell>
          <cell r="E454">
            <v>513.03</v>
          </cell>
          <cell r="F454">
            <v>550.5</v>
          </cell>
          <cell r="G454">
            <v>1570.42</v>
          </cell>
          <cell r="H454">
            <v>5039.07</v>
          </cell>
          <cell r="I454">
            <v>10681.7</v>
          </cell>
          <cell r="J454">
            <v>93072</v>
          </cell>
          <cell r="K454" t="str">
            <v>MP</v>
          </cell>
        </row>
        <row r="455">
          <cell r="A455">
            <v>992077</v>
          </cell>
          <cell r="B455">
            <v>9624</v>
          </cell>
          <cell r="C455">
            <v>7803.19</v>
          </cell>
          <cell r="D455">
            <v>98.19</v>
          </cell>
          <cell r="E455">
            <v>513.03</v>
          </cell>
          <cell r="F455">
            <v>790.18</v>
          </cell>
          <cell r="G455">
            <v>2848.7</v>
          </cell>
          <cell r="H455">
            <v>12053.29</v>
          </cell>
          <cell r="I455">
            <v>15837.82</v>
          </cell>
          <cell r="J455">
            <v>92253</v>
          </cell>
          <cell r="K455" t="str">
            <v>MP</v>
          </cell>
        </row>
        <row r="456">
          <cell r="A456">
            <v>992078</v>
          </cell>
          <cell r="B456">
            <v>9655</v>
          </cell>
          <cell r="C456">
            <v>748.49</v>
          </cell>
          <cell r="D456">
            <v>35.08</v>
          </cell>
          <cell r="E456">
            <v>510.42</v>
          </cell>
          <cell r="F456">
            <v>293.16000000000003</v>
          </cell>
          <cell r="G456">
            <v>1157.31</v>
          </cell>
          <cell r="H456">
            <v>2744.46</v>
          </cell>
          <cell r="I456">
            <v>5640.84</v>
          </cell>
          <cell r="J456">
            <v>93021</v>
          </cell>
          <cell r="K456" t="str">
            <v>MP</v>
          </cell>
        </row>
        <row r="457">
          <cell r="A457">
            <v>992079</v>
          </cell>
          <cell r="B457">
            <v>9528</v>
          </cell>
          <cell r="C457">
            <v>136.81</v>
          </cell>
          <cell r="D457">
            <v>30.42</v>
          </cell>
          <cell r="E457">
            <v>513.03</v>
          </cell>
          <cell r="F457">
            <v>437.61</v>
          </cell>
          <cell r="G457">
            <v>1838.32</v>
          </cell>
          <cell r="H457">
            <v>2956.1899999999996</v>
          </cell>
          <cell r="I457">
            <v>9508.16</v>
          </cell>
          <cell r="J457">
            <v>92015</v>
          </cell>
          <cell r="K457" t="str">
            <v>MP</v>
          </cell>
        </row>
        <row r="458">
          <cell r="A458">
            <v>992080</v>
          </cell>
          <cell r="B458">
            <v>9529</v>
          </cell>
          <cell r="C458">
            <v>136.81</v>
          </cell>
          <cell r="D458">
            <v>47.88</v>
          </cell>
          <cell r="E458">
            <v>513.03</v>
          </cell>
          <cell r="F458">
            <v>596.88</v>
          </cell>
          <cell r="G458">
            <v>2120.73</v>
          </cell>
          <cell r="H458">
            <v>3415.33</v>
          </cell>
          <cell r="I458">
            <v>14963.38</v>
          </cell>
          <cell r="J458">
            <v>91643</v>
          </cell>
          <cell r="K458" t="str">
            <v>MP</v>
          </cell>
        </row>
        <row r="459">
          <cell r="A459">
            <v>992081</v>
          </cell>
          <cell r="B459">
            <v>9285</v>
          </cell>
          <cell r="C459">
            <v>182.33</v>
          </cell>
          <cell r="D459">
            <v>14.25</v>
          </cell>
          <cell r="E459">
            <v>497.25</v>
          </cell>
          <cell r="F459">
            <v>236.72</v>
          </cell>
          <cell r="G459">
            <v>651.27</v>
          </cell>
          <cell r="H459">
            <v>1581.8200000000002</v>
          </cell>
          <cell r="I459">
            <v>4455.3599999999997</v>
          </cell>
          <cell r="J459">
            <v>91974</v>
          </cell>
          <cell r="K459" t="str">
            <v>MP</v>
          </cell>
        </row>
        <row r="460">
          <cell r="A460">
            <v>992082</v>
          </cell>
          <cell r="B460">
            <v>9531</v>
          </cell>
          <cell r="C460">
            <v>145.36000000000001</v>
          </cell>
          <cell r="D460">
            <v>5.28</v>
          </cell>
          <cell r="E460">
            <v>513.03</v>
          </cell>
          <cell r="F460">
            <v>172.38</v>
          </cell>
          <cell r="G460">
            <v>250.93</v>
          </cell>
          <cell r="H460">
            <v>1086.98</v>
          </cell>
          <cell r="I460">
            <v>1641.7</v>
          </cell>
          <cell r="J460">
            <v>90097</v>
          </cell>
          <cell r="K460" t="str">
            <v>MP</v>
          </cell>
        </row>
        <row r="461">
          <cell r="A461">
            <v>992083</v>
          </cell>
          <cell r="B461">
            <v>9532</v>
          </cell>
          <cell r="C461">
            <v>136.81</v>
          </cell>
          <cell r="D461">
            <v>30.88</v>
          </cell>
          <cell r="E461">
            <v>513.03</v>
          </cell>
          <cell r="F461">
            <v>759.75</v>
          </cell>
          <cell r="G461">
            <v>1366.59</v>
          </cell>
          <cell r="H461">
            <v>2807.06</v>
          </cell>
          <cell r="I461">
            <v>9593.66</v>
          </cell>
          <cell r="J461">
            <v>90349</v>
          </cell>
          <cell r="K461" t="str">
            <v>MP</v>
          </cell>
        </row>
        <row r="462">
          <cell r="A462">
            <v>992084</v>
          </cell>
          <cell r="B462">
            <v>9480</v>
          </cell>
          <cell r="C462">
            <v>193.96</v>
          </cell>
          <cell r="D462">
            <v>129.79</v>
          </cell>
          <cell r="E462">
            <v>501.63</v>
          </cell>
          <cell r="F462">
            <v>1175.8599999999999</v>
          </cell>
          <cell r="G462">
            <v>5723.28</v>
          </cell>
          <cell r="H462">
            <v>7724.5199999999995</v>
          </cell>
          <cell r="I462">
            <v>40556.79</v>
          </cell>
          <cell r="J462">
            <v>91982</v>
          </cell>
          <cell r="K462" t="str">
            <v>MP</v>
          </cell>
        </row>
        <row r="463">
          <cell r="A463">
            <v>992085</v>
          </cell>
          <cell r="B463">
            <v>9425</v>
          </cell>
          <cell r="C463">
            <v>100.2</v>
          </cell>
          <cell r="D463">
            <v>0.73</v>
          </cell>
          <cell r="E463">
            <v>501</v>
          </cell>
          <cell r="F463">
            <v>136.96</v>
          </cell>
          <cell r="G463">
            <v>39.31</v>
          </cell>
          <cell r="H463">
            <v>778.2</v>
          </cell>
          <cell r="I463">
            <v>117.48</v>
          </cell>
          <cell r="J463">
            <v>90131</v>
          </cell>
          <cell r="K463" t="str">
            <v>MP</v>
          </cell>
        </row>
        <row r="464">
          <cell r="A464">
            <v>992086</v>
          </cell>
          <cell r="B464">
            <v>9657</v>
          </cell>
          <cell r="C464">
            <v>6337.72</v>
          </cell>
          <cell r="D464">
            <v>54.27</v>
          </cell>
          <cell r="E464">
            <v>510.42</v>
          </cell>
          <cell r="F464">
            <v>596.80999999999995</v>
          </cell>
          <cell r="G464">
            <v>1817.39</v>
          </cell>
          <cell r="H464">
            <v>9316.61</v>
          </cell>
          <cell r="I464">
            <v>8752.89</v>
          </cell>
          <cell r="J464">
            <v>91997</v>
          </cell>
          <cell r="K464" t="str">
            <v>MP</v>
          </cell>
        </row>
        <row r="465">
          <cell r="A465">
            <v>992088</v>
          </cell>
          <cell r="B465">
            <v>9227</v>
          </cell>
          <cell r="C465">
            <v>166.74</v>
          </cell>
          <cell r="D465">
            <v>5.92</v>
          </cell>
          <cell r="E465">
            <v>497.25</v>
          </cell>
          <cell r="F465">
            <v>177.6</v>
          </cell>
          <cell r="G465">
            <v>283.42</v>
          </cell>
          <cell r="H465">
            <v>1130.93</v>
          </cell>
          <cell r="I465">
            <v>1851.23</v>
          </cell>
          <cell r="J465">
            <v>91814</v>
          </cell>
          <cell r="K465" t="str">
            <v>MP</v>
          </cell>
        </row>
        <row r="466">
          <cell r="A466">
            <v>992090</v>
          </cell>
          <cell r="B466">
            <v>9370</v>
          </cell>
          <cell r="C466">
            <v>384.76</v>
          </cell>
          <cell r="D466">
            <v>277.75</v>
          </cell>
          <cell r="E466">
            <v>501</v>
          </cell>
          <cell r="F466">
            <v>1275.71</v>
          </cell>
          <cell r="G466">
            <v>7077.84</v>
          </cell>
          <cell r="H466">
            <v>9517.0600000000013</v>
          </cell>
          <cell r="I466">
            <v>44655.8</v>
          </cell>
          <cell r="J466">
            <v>93039</v>
          </cell>
          <cell r="K466" t="str">
            <v>MP</v>
          </cell>
        </row>
        <row r="467">
          <cell r="A467">
            <v>992091</v>
          </cell>
          <cell r="B467">
            <v>9658</v>
          </cell>
          <cell r="C467">
            <v>260.08999999999997</v>
          </cell>
          <cell r="D467">
            <v>29.94</v>
          </cell>
          <cell r="E467">
            <v>510.42</v>
          </cell>
          <cell r="F467">
            <v>246.95</v>
          </cell>
          <cell r="G467">
            <v>970.26</v>
          </cell>
          <cell r="H467">
            <v>2017.66</v>
          </cell>
          <cell r="I467">
            <v>4814.96</v>
          </cell>
          <cell r="J467">
            <v>92199</v>
          </cell>
          <cell r="K467" t="str">
            <v>MP</v>
          </cell>
        </row>
        <row r="468">
          <cell r="A468">
            <v>992092</v>
          </cell>
          <cell r="B468">
            <v>9660</v>
          </cell>
          <cell r="C468">
            <v>452.76</v>
          </cell>
          <cell r="D468">
            <v>65.88</v>
          </cell>
          <cell r="E468">
            <v>510.42</v>
          </cell>
          <cell r="F468">
            <v>501.41</v>
          </cell>
          <cell r="G468">
            <v>1999.68</v>
          </cell>
          <cell r="H468">
            <v>3530.15</v>
          </cell>
          <cell r="I468">
            <v>10590.84</v>
          </cell>
          <cell r="J468">
            <v>92093</v>
          </cell>
          <cell r="K468" t="str">
            <v>MP</v>
          </cell>
        </row>
        <row r="469">
          <cell r="A469">
            <v>992093</v>
          </cell>
          <cell r="B469">
            <v>9228</v>
          </cell>
          <cell r="C469">
            <v>90.35</v>
          </cell>
          <cell r="D469">
            <v>8.39</v>
          </cell>
          <cell r="E469">
            <v>497.25</v>
          </cell>
          <cell r="F469">
            <v>164.63</v>
          </cell>
          <cell r="G469">
            <v>304.07</v>
          </cell>
          <cell r="H469">
            <v>1064.69</v>
          </cell>
          <cell r="I469">
            <v>1349.21</v>
          </cell>
          <cell r="J469">
            <v>90593</v>
          </cell>
          <cell r="K469" t="str">
            <v>MP</v>
          </cell>
        </row>
        <row r="470">
          <cell r="A470">
            <v>992095</v>
          </cell>
          <cell r="B470">
            <v>9588</v>
          </cell>
          <cell r="C470">
            <v>183.7</v>
          </cell>
          <cell r="D470">
            <v>1.87</v>
          </cell>
          <cell r="E470">
            <v>501</v>
          </cell>
          <cell r="F470">
            <v>145.24</v>
          </cell>
          <cell r="G470">
            <v>82.09</v>
          </cell>
          <cell r="H470">
            <v>913.9</v>
          </cell>
          <cell r="I470">
            <v>400.8</v>
          </cell>
          <cell r="J470">
            <v>90463</v>
          </cell>
          <cell r="K470" t="str">
            <v>MP</v>
          </cell>
        </row>
        <row r="471">
          <cell r="A471">
            <v>992097</v>
          </cell>
          <cell r="B471">
            <v>9585</v>
          </cell>
          <cell r="C471">
            <v>397.9</v>
          </cell>
          <cell r="D471">
            <v>31.88</v>
          </cell>
          <cell r="E471">
            <v>513.03</v>
          </cell>
          <cell r="F471">
            <v>466.68</v>
          </cell>
          <cell r="G471">
            <v>1859.16</v>
          </cell>
          <cell r="H471">
            <v>3268.65</v>
          </cell>
          <cell r="I471">
            <v>9898.91</v>
          </cell>
          <cell r="J471">
            <v>92169</v>
          </cell>
          <cell r="K471" t="str">
            <v>MP</v>
          </cell>
        </row>
        <row r="472">
          <cell r="A472">
            <v>992098</v>
          </cell>
          <cell r="B472">
            <v>9534</v>
          </cell>
          <cell r="C472">
            <v>164.17</v>
          </cell>
          <cell r="D472">
            <v>89.06</v>
          </cell>
          <cell r="E472">
            <v>513.03</v>
          </cell>
          <cell r="F472">
            <v>584.96</v>
          </cell>
          <cell r="G472">
            <v>2046.53</v>
          </cell>
          <cell r="H472">
            <v>3397.75</v>
          </cell>
          <cell r="I472">
            <v>14364.84</v>
          </cell>
          <cell r="J472">
            <v>90468</v>
          </cell>
          <cell r="K472" t="str">
            <v>MP</v>
          </cell>
        </row>
        <row r="473">
          <cell r="A473">
            <v>992099</v>
          </cell>
          <cell r="B473">
            <v>9536</v>
          </cell>
          <cell r="C473">
            <v>164.17</v>
          </cell>
          <cell r="D473">
            <v>28.83</v>
          </cell>
          <cell r="E473">
            <v>513.03</v>
          </cell>
          <cell r="F473">
            <v>241.05</v>
          </cell>
          <cell r="G473">
            <v>678.23</v>
          </cell>
          <cell r="H473">
            <v>1625.31</v>
          </cell>
          <cell r="I473">
            <v>4651.47</v>
          </cell>
          <cell r="J473">
            <v>91841</v>
          </cell>
          <cell r="K473" t="str">
            <v>MP</v>
          </cell>
        </row>
        <row r="474">
          <cell r="A474">
            <v>992100</v>
          </cell>
          <cell r="B474">
            <v>9537</v>
          </cell>
          <cell r="C474">
            <v>541.73</v>
          </cell>
          <cell r="D474">
            <v>8.65</v>
          </cell>
          <cell r="E474">
            <v>513.03</v>
          </cell>
          <cell r="F474">
            <v>204.86</v>
          </cell>
          <cell r="G474">
            <v>388.33</v>
          </cell>
          <cell r="H474">
            <v>1656.6</v>
          </cell>
          <cell r="I474">
            <v>2685.71</v>
          </cell>
          <cell r="J474">
            <v>92000</v>
          </cell>
          <cell r="K474" t="str">
            <v>MP</v>
          </cell>
        </row>
        <row r="475">
          <cell r="A475">
            <v>992101</v>
          </cell>
          <cell r="B475">
            <v>9538</v>
          </cell>
          <cell r="C475">
            <v>3691.39</v>
          </cell>
          <cell r="D475">
            <v>27.46</v>
          </cell>
          <cell r="E475">
            <v>513.03</v>
          </cell>
          <cell r="F475">
            <v>369.65</v>
          </cell>
          <cell r="G475">
            <v>1548.19</v>
          </cell>
          <cell r="H475">
            <v>6149.7199999999993</v>
          </cell>
          <cell r="I475">
            <v>4429.54</v>
          </cell>
          <cell r="J475">
            <v>92373</v>
          </cell>
          <cell r="K475" t="str">
            <v>MP</v>
          </cell>
        </row>
        <row r="476">
          <cell r="A476">
            <v>992102</v>
          </cell>
          <cell r="B476">
            <v>9539</v>
          </cell>
          <cell r="C476">
            <v>2740.09</v>
          </cell>
          <cell r="D476">
            <v>83.57</v>
          </cell>
          <cell r="E476">
            <v>513.03</v>
          </cell>
          <cell r="F476">
            <v>622.88</v>
          </cell>
          <cell r="G476">
            <v>1956.44</v>
          </cell>
          <cell r="H476">
            <v>5916.01</v>
          </cell>
          <cell r="I476">
            <v>13479.97</v>
          </cell>
          <cell r="J476">
            <v>92253</v>
          </cell>
          <cell r="K476" t="str">
            <v>MP</v>
          </cell>
        </row>
        <row r="477">
          <cell r="A477">
            <v>992103</v>
          </cell>
          <cell r="B477">
            <v>9540</v>
          </cell>
          <cell r="C477">
            <v>190.9</v>
          </cell>
          <cell r="D477">
            <v>52.71</v>
          </cell>
          <cell r="E477">
            <v>513.03</v>
          </cell>
          <cell r="F477">
            <v>632.08000000000004</v>
          </cell>
          <cell r="G477">
            <v>2339.77</v>
          </cell>
          <cell r="H477">
            <v>3728.49</v>
          </cell>
          <cell r="I477">
            <v>16468.259999999998</v>
          </cell>
          <cell r="J477">
            <v>91923</v>
          </cell>
          <cell r="K477" t="str">
            <v>MP</v>
          </cell>
        </row>
        <row r="478">
          <cell r="A478">
            <v>992104</v>
          </cell>
          <cell r="B478">
            <v>9376</v>
          </cell>
          <cell r="C478">
            <v>623.69000000000005</v>
          </cell>
          <cell r="D478">
            <v>321.04000000000002</v>
          </cell>
          <cell r="E478">
            <v>501.63</v>
          </cell>
          <cell r="F478">
            <v>2534.69</v>
          </cell>
          <cell r="G478">
            <v>5063.6400000000003</v>
          </cell>
          <cell r="H478">
            <v>9044.69</v>
          </cell>
          <cell r="I478">
            <v>100326</v>
          </cell>
          <cell r="J478">
            <v>90651</v>
          </cell>
          <cell r="K478" t="str">
            <v>MP</v>
          </cell>
        </row>
        <row r="479">
          <cell r="A479">
            <v>992106</v>
          </cell>
          <cell r="B479">
            <v>9730</v>
          </cell>
          <cell r="C479">
            <v>846.32</v>
          </cell>
          <cell r="D479">
            <v>45.77</v>
          </cell>
          <cell r="E479">
            <v>505.53</v>
          </cell>
          <cell r="F479">
            <v>578.95000000000005</v>
          </cell>
          <cell r="G479">
            <v>3013.78</v>
          </cell>
          <cell r="H479">
            <v>4990.3500000000004</v>
          </cell>
          <cell r="I479">
            <v>13459.23</v>
          </cell>
          <cell r="J479">
            <v>90506</v>
          </cell>
          <cell r="K479" t="str">
            <v>MP</v>
          </cell>
        </row>
        <row r="480">
          <cell r="A480">
            <v>992107</v>
          </cell>
          <cell r="B480">
            <v>9541</v>
          </cell>
          <cell r="C480">
            <v>54.72</v>
          </cell>
          <cell r="D480">
            <v>17.84</v>
          </cell>
          <cell r="E480">
            <v>513.03</v>
          </cell>
          <cell r="F480">
            <v>198.22</v>
          </cell>
          <cell r="G480">
            <v>264.7</v>
          </cell>
          <cell r="H480">
            <v>1048.51</v>
          </cell>
          <cell r="I480">
            <v>2868.25</v>
          </cell>
          <cell r="J480">
            <v>90086</v>
          </cell>
          <cell r="K480" t="str">
            <v>MP</v>
          </cell>
        </row>
        <row r="481">
          <cell r="A481">
            <v>992108</v>
          </cell>
          <cell r="B481">
            <v>9231</v>
          </cell>
          <cell r="C481">
            <v>174.04</v>
          </cell>
          <cell r="D481">
            <v>2.65</v>
          </cell>
          <cell r="E481">
            <v>497.25</v>
          </cell>
          <cell r="F481">
            <v>145.41999999999999</v>
          </cell>
          <cell r="G481">
            <v>83.19</v>
          </cell>
          <cell r="H481">
            <v>902.55</v>
          </cell>
          <cell r="I481">
            <v>417.49</v>
          </cell>
          <cell r="J481">
            <v>93003</v>
          </cell>
          <cell r="K481" t="str">
            <v>MP</v>
          </cell>
        </row>
        <row r="482">
          <cell r="A482">
            <v>992109</v>
          </cell>
          <cell r="B482">
            <v>9669</v>
          </cell>
          <cell r="C482">
            <v>202.14</v>
          </cell>
          <cell r="D482">
            <v>2.39</v>
          </cell>
          <cell r="E482">
            <v>513.03</v>
          </cell>
          <cell r="F482">
            <v>145.19</v>
          </cell>
          <cell r="G482">
            <v>110.99</v>
          </cell>
          <cell r="H482">
            <v>973.74</v>
          </cell>
          <cell r="I482">
            <v>379.62</v>
          </cell>
          <cell r="J482">
            <v>93030</v>
          </cell>
          <cell r="K482" t="str">
            <v>MP</v>
          </cell>
        </row>
        <row r="483">
          <cell r="A483">
            <v>992110</v>
          </cell>
          <cell r="B483">
            <v>9661</v>
          </cell>
          <cell r="C483">
            <v>267.18</v>
          </cell>
          <cell r="D483">
            <v>5.89</v>
          </cell>
          <cell r="E483">
            <v>510.42</v>
          </cell>
          <cell r="F483">
            <v>159.47</v>
          </cell>
          <cell r="G483">
            <v>231.59</v>
          </cell>
          <cell r="H483">
            <v>1174.55</v>
          </cell>
          <cell r="I483">
            <v>945.81</v>
          </cell>
          <cell r="J483">
            <v>90070</v>
          </cell>
          <cell r="K483" t="str">
            <v>MP</v>
          </cell>
        </row>
        <row r="484">
          <cell r="A484">
            <v>992111</v>
          </cell>
          <cell r="B484">
            <v>9639</v>
          </cell>
          <cell r="C484">
            <v>235.3</v>
          </cell>
          <cell r="D484">
            <v>4.76</v>
          </cell>
          <cell r="E484">
            <v>510.42</v>
          </cell>
          <cell r="F484">
            <v>154.68</v>
          </cell>
          <cell r="G484">
            <v>211.2</v>
          </cell>
          <cell r="H484">
            <v>1116.3600000000001</v>
          </cell>
          <cell r="I484">
            <v>765.63</v>
          </cell>
          <cell r="J484">
            <v>90071</v>
          </cell>
          <cell r="K484" t="str">
            <v>MP</v>
          </cell>
        </row>
        <row r="485">
          <cell r="A485">
            <v>992113</v>
          </cell>
          <cell r="B485">
            <v>9193</v>
          </cell>
          <cell r="C485">
            <v>153.63999999999999</v>
          </cell>
          <cell r="D485">
            <v>143.74</v>
          </cell>
          <cell r="E485">
            <v>501.6</v>
          </cell>
          <cell r="F485">
            <v>782.72</v>
          </cell>
          <cell r="G485">
            <v>3949.27</v>
          </cell>
          <cell r="H485">
            <v>5530.97</v>
          </cell>
          <cell r="I485">
            <v>23110.38</v>
          </cell>
          <cell r="J485">
            <v>90593</v>
          </cell>
          <cell r="K485" t="str">
            <v>MP</v>
          </cell>
        </row>
        <row r="486">
          <cell r="A486">
            <v>992114</v>
          </cell>
          <cell r="B486">
            <v>9476</v>
          </cell>
          <cell r="C486">
            <v>1465.86</v>
          </cell>
          <cell r="D486">
            <v>72.069999999999993</v>
          </cell>
          <cell r="E486">
            <v>501.63</v>
          </cell>
          <cell r="F486">
            <v>551.55999999999995</v>
          </cell>
          <cell r="G486">
            <v>2495.46</v>
          </cell>
          <cell r="H486">
            <v>5086.58</v>
          </cell>
          <cell r="I486">
            <v>11585.55</v>
          </cell>
          <cell r="J486">
            <v>93006</v>
          </cell>
          <cell r="K486" t="str">
            <v>MP</v>
          </cell>
        </row>
        <row r="487">
          <cell r="A487">
            <v>992115</v>
          </cell>
          <cell r="B487">
            <v>9731</v>
          </cell>
          <cell r="C487">
            <v>384.68</v>
          </cell>
          <cell r="D487">
            <v>92.73</v>
          </cell>
          <cell r="E487">
            <v>505.53</v>
          </cell>
          <cell r="F487">
            <v>602.26</v>
          </cell>
          <cell r="G487">
            <v>461.62</v>
          </cell>
          <cell r="H487">
            <v>2046.8200000000002</v>
          </cell>
          <cell r="I487">
            <v>14909.76</v>
          </cell>
          <cell r="J487">
            <v>91250</v>
          </cell>
          <cell r="K487" t="str">
            <v>MP</v>
          </cell>
        </row>
        <row r="488">
          <cell r="A488">
            <v>992116</v>
          </cell>
          <cell r="B488">
            <v>9544</v>
          </cell>
          <cell r="C488">
            <v>260.83999999999997</v>
          </cell>
          <cell r="D488">
            <v>3.86</v>
          </cell>
          <cell r="E488">
            <v>513.03</v>
          </cell>
          <cell r="F488">
            <v>151.97999999999999</v>
          </cell>
          <cell r="G488">
            <v>168.28</v>
          </cell>
          <cell r="H488">
            <v>1097.99</v>
          </cell>
          <cell r="I488">
            <v>620.95000000000005</v>
          </cell>
          <cell r="J488">
            <v>91868</v>
          </cell>
          <cell r="K488" t="str">
            <v>MP</v>
          </cell>
        </row>
        <row r="489">
          <cell r="A489">
            <v>992117</v>
          </cell>
          <cell r="B489">
            <v>9545</v>
          </cell>
          <cell r="C489">
            <v>369.12</v>
          </cell>
          <cell r="D489">
            <v>6.39</v>
          </cell>
          <cell r="E489">
            <v>501.63</v>
          </cell>
          <cell r="F489">
            <v>155.18</v>
          </cell>
          <cell r="G489">
            <v>195.35</v>
          </cell>
          <cell r="H489">
            <v>1227.6699999999998</v>
          </cell>
          <cell r="I489">
            <v>652.63</v>
          </cell>
          <cell r="J489">
            <v>91163</v>
          </cell>
          <cell r="K489" t="str">
            <v>MP</v>
          </cell>
        </row>
        <row r="490">
          <cell r="A490">
            <v>992118</v>
          </cell>
          <cell r="B490">
            <v>9201</v>
          </cell>
          <cell r="C490">
            <v>469.22</v>
          </cell>
          <cell r="D490">
            <v>115</v>
          </cell>
          <cell r="E490">
            <v>501.6</v>
          </cell>
          <cell r="F490">
            <v>685.19</v>
          </cell>
          <cell r="G490">
            <v>2955.84</v>
          </cell>
          <cell r="H490">
            <v>4726.8500000000004</v>
          </cell>
          <cell r="I490">
            <v>18488.98</v>
          </cell>
          <cell r="J490">
            <v>93018</v>
          </cell>
          <cell r="K490" t="str">
            <v>MP</v>
          </cell>
        </row>
        <row r="491">
          <cell r="A491">
            <v>992119</v>
          </cell>
          <cell r="B491">
            <v>9368</v>
          </cell>
          <cell r="C491">
            <v>191.55</v>
          </cell>
          <cell r="D491">
            <v>72.900000000000006</v>
          </cell>
          <cell r="E491">
            <v>501</v>
          </cell>
          <cell r="F491">
            <v>525.82000000000005</v>
          </cell>
          <cell r="G491">
            <v>2397.9299999999998</v>
          </cell>
          <cell r="H491">
            <v>3689.2</v>
          </cell>
          <cell r="I491">
            <v>11720.84</v>
          </cell>
          <cell r="J491">
            <v>92353</v>
          </cell>
          <cell r="K491" t="str">
            <v>MP</v>
          </cell>
        </row>
        <row r="492">
          <cell r="A492">
            <v>992121</v>
          </cell>
          <cell r="B492">
            <v>9283</v>
          </cell>
          <cell r="C492">
            <v>252.92</v>
          </cell>
          <cell r="D492">
            <v>1.08</v>
          </cell>
          <cell r="E492">
            <v>500.64</v>
          </cell>
          <cell r="F492">
            <v>141.63999999999999</v>
          </cell>
          <cell r="G492">
            <v>80.97</v>
          </cell>
          <cell r="H492">
            <v>977.25</v>
          </cell>
          <cell r="I492">
            <v>172.15</v>
          </cell>
          <cell r="J492">
            <v>90257</v>
          </cell>
          <cell r="K492" t="str">
            <v>MP</v>
          </cell>
        </row>
        <row r="493">
          <cell r="A493">
            <v>992122</v>
          </cell>
          <cell r="B493">
            <v>9732</v>
          </cell>
          <cell r="C493">
            <v>240.37</v>
          </cell>
          <cell r="D493">
            <v>59.69</v>
          </cell>
          <cell r="E493">
            <v>505.53</v>
          </cell>
          <cell r="F493">
            <v>433.38</v>
          </cell>
          <cell r="G493">
            <v>1820.31</v>
          </cell>
          <cell r="H493">
            <v>3059.2799999999997</v>
          </cell>
          <cell r="I493">
            <v>9280.5</v>
          </cell>
          <cell r="J493">
            <v>92174</v>
          </cell>
          <cell r="K493" t="str">
            <v>MP</v>
          </cell>
        </row>
        <row r="494">
          <cell r="A494">
            <v>992123</v>
          </cell>
          <cell r="B494">
            <v>9153</v>
          </cell>
          <cell r="C494">
            <v>211.29</v>
          </cell>
          <cell r="D494">
            <v>6.91</v>
          </cell>
          <cell r="E494">
            <v>511.62</v>
          </cell>
          <cell r="F494">
            <v>177.38</v>
          </cell>
          <cell r="G494">
            <v>382.8</v>
          </cell>
          <cell r="H494">
            <v>1290</v>
          </cell>
          <cell r="I494">
            <v>1789.62</v>
          </cell>
          <cell r="J494">
            <v>90338</v>
          </cell>
          <cell r="K494" t="str">
            <v>MP</v>
          </cell>
        </row>
        <row r="495">
          <cell r="A495">
            <v>992127</v>
          </cell>
          <cell r="B495">
            <v>9547</v>
          </cell>
          <cell r="C495">
            <v>4817.8599999999997</v>
          </cell>
          <cell r="D495">
            <v>100.86</v>
          </cell>
          <cell r="E495">
            <v>513.03</v>
          </cell>
          <cell r="F495">
            <v>732.74</v>
          </cell>
          <cell r="G495">
            <v>2542.35</v>
          </cell>
          <cell r="H495">
            <v>8706.8399999999983</v>
          </cell>
          <cell r="I495">
            <v>16267.57</v>
          </cell>
          <cell r="J495">
            <v>92304</v>
          </cell>
          <cell r="K495" t="str">
            <v>MP</v>
          </cell>
        </row>
        <row r="496">
          <cell r="A496">
            <v>992128</v>
          </cell>
          <cell r="B496">
            <v>9548</v>
          </cell>
          <cell r="C496">
            <v>923.45</v>
          </cell>
          <cell r="D496">
            <v>7.34</v>
          </cell>
          <cell r="E496">
            <v>513.03</v>
          </cell>
          <cell r="F496">
            <v>204.28</v>
          </cell>
          <cell r="G496">
            <v>385.2</v>
          </cell>
          <cell r="H496">
            <v>2033.3000000000002</v>
          </cell>
          <cell r="I496">
            <v>2279.2199999999998</v>
          </cell>
          <cell r="J496">
            <v>92315</v>
          </cell>
          <cell r="K496" t="str">
            <v>MP</v>
          </cell>
        </row>
        <row r="497">
          <cell r="A497">
            <v>992130</v>
          </cell>
          <cell r="B497">
            <v>9670</v>
          </cell>
          <cell r="C497">
            <v>734.03</v>
          </cell>
          <cell r="D497">
            <v>53.17</v>
          </cell>
          <cell r="E497">
            <v>510.42</v>
          </cell>
          <cell r="F497">
            <v>422.75</v>
          </cell>
          <cell r="G497">
            <v>1961.74</v>
          </cell>
          <cell r="H497">
            <v>3682.1099999999997</v>
          </cell>
          <cell r="I497">
            <v>8549.15</v>
          </cell>
          <cell r="J497">
            <v>90818</v>
          </cell>
          <cell r="K497" t="str">
            <v>MP</v>
          </cell>
        </row>
        <row r="498">
          <cell r="A498">
            <v>992132</v>
          </cell>
          <cell r="B498">
            <v>9204</v>
          </cell>
          <cell r="C498">
            <v>306.77</v>
          </cell>
          <cell r="D498">
            <v>70.760000000000005</v>
          </cell>
          <cell r="E498">
            <v>501.6</v>
          </cell>
          <cell r="F498">
            <v>520.53</v>
          </cell>
          <cell r="G498">
            <v>1645.67</v>
          </cell>
          <cell r="H498">
            <v>3045.33</v>
          </cell>
          <cell r="I498">
            <v>11375.15</v>
          </cell>
          <cell r="J498">
            <v>90686</v>
          </cell>
          <cell r="K498" t="str">
            <v>MP</v>
          </cell>
        </row>
        <row r="499">
          <cell r="A499">
            <v>992134</v>
          </cell>
          <cell r="B499">
            <v>9164</v>
          </cell>
          <cell r="C499">
            <v>193.89</v>
          </cell>
          <cell r="D499">
            <v>13.46</v>
          </cell>
          <cell r="E499">
            <v>501.6</v>
          </cell>
          <cell r="F499">
            <v>185.65</v>
          </cell>
          <cell r="G499">
            <v>214.39</v>
          </cell>
          <cell r="H499">
            <v>1108.99</v>
          </cell>
          <cell r="I499">
            <v>2173.6</v>
          </cell>
          <cell r="J499">
            <v>93010</v>
          </cell>
          <cell r="K499" t="str">
            <v>MP</v>
          </cell>
        </row>
        <row r="500">
          <cell r="A500">
            <v>992135</v>
          </cell>
          <cell r="B500">
            <v>9371</v>
          </cell>
          <cell r="C500">
            <v>183.2</v>
          </cell>
          <cell r="D500">
            <v>8.82</v>
          </cell>
          <cell r="E500">
            <v>501</v>
          </cell>
          <cell r="F500">
            <v>198.37</v>
          </cell>
          <cell r="G500">
            <v>560.02</v>
          </cell>
          <cell r="H500">
            <v>1451.4099999999999</v>
          </cell>
          <cell r="I500">
            <v>2754.83</v>
          </cell>
          <cell r="J500">
            <v>90402</v>
          </cell>
          <cell r="K500" t="str">
            <v>MP</v>
          </cell>
        </row>
        <row r="501">
          <cell r="A501">
            <v>992136</v>
          </cell>
          <cell r="B501">
            <v>9733</v>
          </cell>
          <cell r="C501">
            <v>247.88</v>
          </cell>
          <cell r="D501">
            <v>19.95</v>
          </cell>
          <cell r="E501">
            <v>505.53</v>
          </cell>
          <cell r="F501">
            <v>284.47000000000003</v>
          </cell>
          <cell r="G501">
            <v>1184.49</v>
          </cell>
          <cell r="H501">
            <v>2242.3199999999997</v>
          </cell>
          <cell r="I501">
            <v>5966.33</v>
          </cell>
          <cell r="J501">
            <v>90379</v>
          </cell>
          <cell r="K501" t="str">
            <v>MP</v>
          </cell>
        </row>
        <row r="502">
          <cell r="A502">
            <v>992137</v>
          </cell>
          <cell r="B502">
            <v>9366</v>
          </cell>
          <cell r="C502">
            <v>277.64</v>
          </cell>
          <cell r="D502">
            <v>105.98</v>
          </cell>
          <cell r="E502">
            <v>501</v>
          </cell>
          <cell r="F502">
            <v>1009.81</v>
          </cell>
          <cell r="G502">
            <v>4690.05</v>
          </cell>
          <cell r="H502">
            <v>6584.48</v>
          </cell>
          <cell r="I502">
            <v>33116.769999999997</v>
          </cell>
          <cell r="J502">
            <v>90062</v>
          </cell>
          <cell r="K502" t="str">
            <v>MP</v>
          </cell>
        </row>
        <row r="503">
          <cell r="A503">
            <v>992140</v>
          </cell>
          <cell r="B503">
            <v>9550</v>
          </cell>
          <cell r="C503">
            <v>136.81</v>
          </cell>
          <cell r="D503">
            <v>7.88</v>
          </cell>
          <cell r="E503">
            <v>513.03</v>
          </cell>
          <cell r="F503">
            <v>190.72</v>
          </cell>
          <cell r="G503">
            <v>234.69</v>
          </cell>
          <cell r="H503">
            <v>1083.1300000000001</v>
          </cell>
          <cell r="I503">
            <v>2462.54</v>
          </cell>
          <cell r="J503">
            <v>92235</v>
          </cell>
          <cell r="K503" t="str">
            <v>MP</v>
          </cell>
        </row>
        <row r="504">
          <cell r="A504">
            <v>992141</v>
          </cell>
          <cell r="B504">
            <v>9551</v>
          </cell>
          <cell r="C504">
            <v>136.81</v>
          </cell>
          <cell r="D504">
            <v>18.52</v>
          </cell>
          <cell r="E504">
            <v>513.03</v>
          </cell>
          <cell r="F504">
            <v>271.58</v>
          </cell>
          <cell r="G504">
            <v>535</v>
          </cell>
          <cell r="H504">
            <v>1474.94</v>
          </cell>
          <cell r="I504">
            <v>5788.69</v>
          </cell>
          <cell r="J504">
            <v>92235</v>
          </cell>
          <cell r="K504" t="str">
            <v>MP</v>
          </cell>
        </row>
        <row r="505">
          <cell r="A505">
            <v>992142</v>
          </cell>
          <cell r="B505">
            <v>9553</v>
          </cell>
          <cell r="C505">
            <v>179.56</v>
          </cell>
          <cell r="D505">
            <v>0.1</v>
          </cell>
          <cell r="E505">
            <v>513.03</v>
          </cell>
          <cell r="F505">
            <v>136.83000000000001</v>
          </cell>
          <cell r="G505">
            <v>29.74</v>
          </cell>
          <cell r="H505">
            <v>859.26</v>
          </cell>
          <cell r="I505">
            <v>32.15</v>
          </cell>
          <cell r="J505">
            <v>92233</v>
          </cell>
          <cell r="K505" t="str">
            <v>MP</v>
          </cell>
        </row>
        <row r="506">
          <cell r="A506">
            <v>992143</v>
          </cell>
          <cell r="B506">
            <v>9554</v>
          </cell>
          <cell r="C506">
            <v>196.66</v>
          </cell>
          <cell r="D506">
            <v>47.88</v>
          </cell>
          <cell r="E506">
            <v>513.03</v>
          </cell>
          <cell r="F506">
            <v>598.24</v>
          </cell>
          <cell r="G506">
            <v>2129.1999999999998</v>
          </cell>
          <cell r="H506">
            <v>3485.0099999999998</v>
          </cell>
          <cell r="I506">
            <v>14963.38</v>
          </cell>
          <cell r="J506">
            <v>91643</v>
          </cell>
          <cell r="K506" t="str">
            <v>MP</v>
          </cell>
        </row>
        <row r="507">
          <cell r="A507">
            <v>992144</v>
          </cell>
          <cell r="B507">
            <v>9241</v>
          </cell>
          <cell r="C507">
            <v>191.91</v>
          </cell>
          <cell r="D507">
            <v>76.31</v>
          </cell>
          <cell r="E507">
            <v>500.64</v>
          </cell>
          <cell r="F507">
            <v>798.65</v>
          </cell>
          <cell r="G507">
            <v>5064.2299999999996</v>
          </cell>
          <cell r="H507">
            <v>6631.74</v>
          </cell>
          <cell r="I507">
            <v>23847.15</v>
          </cell>
          <cell r="J507">
            <v>91981</v>
          </cell>
          <cell r="K507" t="str">
            <v>MP</v>
          </cell>
        </row>
        <row r="508">
          <cell r="A508">
            <v>992145</v>
          </cell>
          <cell r="B508">
            <v>9555</v>
          </cell>
          <cell r="C508">
            <v>179.56</v>
          </cell>
          <cell r="D508">
            <v>0</v>
          </cell>
          <cell r="E508">
            <v>513.03</v>
          </cell>
          <cell r="F508">
            <v>167.95</v>
          </cell>
          <cell r="G508">
            <v>303.14</v>
          </cell>
          <cell r="H508">
            <v>1163.6799999999998</v>
          </cell>
          <cell r="I508">
            <v>1410.83</v>
          </cell>
          <cell r="J508">
            <v>91974</v>
          </cell>
          <cell r="K508" t="str">
            <v>MP</v>
          </cell>
        </row>
        <row r="509">
          <cell r="A509">
            <v>992147</v>
          </cell>
          <cell r="B509">
            <v>9240</v>
          </cell>
          <cell r="C509">
            <v>157.46</v>
          </cell>
          <cell r="D509">
            <v>13.16</v>
          </cell>
          <cell r="E509">
            <v>497.25</v>
          </cell>
          <cell r="F509">
            <v>228.38</v>
          </cell>
          <cell r="G509">
            <v>599.37</v>
          </cell>
          <cell r="H509">
            <v>1495.62</v>
          </cell>
          <cell r="I509">
            <v>4110.6000000000004</v>
          </cell>
          <cell r="J509">
            <v>90061</v>
          </cell>
          <cell r="K509" t="str">
            <v>MP</v>
          </cell>
        </row>
        <row r="510">
          <cell r="A510">
            <v>992148</v>
          </cell>
          <cell r="B510">
            <v>9734</v>
          </cell>
          <cell r="C510">
            <v>164.26</v>
          </cell>
          <cell r="D510">
            <v>160.66999999999999</v>
          </cell>
          <cell r="E510">
            <v>505.53</v>
          </cell>
          <cell r="F510">
            <v>1389.43</v>
          </cell>
          <cell r="G510">
            <v>2518.62</v>
          </cell>
          <cell r="H510">
            <v>4738.51</v>
          </cell>
          <cell r="I510">
            <v>50047.47</v>
          </cell>
          <cell r="J510">
            <v>90061</v>
          </cell>
          <cell r="K510" t="str">
            <v>MP</v>
          </cell>
        </row>
        <row r="511">
          <cell r="A511">
            <v>992149</v>
          </cell>
          <cell r="B511">
            <v>9557</v>
          </cell>
          <cell r="C511">
            <v>188.11</v>
          </cell>
          <cell r="D511">
            <v>3.18</v>
          </cell>
          <cell r="E511">
            <v>513.03</v>
          </cell>
          <cell r="F511">
            <v>158.78</v>
          </cell>
          <cell r="G511">
            <v>213.82</v>
          </cell>
          <cell r="H511">
            <v>1076.9199999999998</v>
          </cell>
          <cell r="I511">
            <v>995.96</v>
          </cell>
          <cell r="J511">
            <v>91799</v>
          </cell>
          <cell r="K511" t="str">
            <v>MP</v>
          </cell>
        </row>
        <row r="512">
          <cell r="A512">
            <v>992150</v>
          </cell>
          <cell r="B512">
            <v>9681</v>
          </cell>
          <cell r="C512">
            <v>176.89</v>
          </cell>
          <cell r="D512">
            <v>0</v>
          </cell>
          <cell r="E512">
            <v>513.03</v>
          </cell>
          <cell r="F512">
            <v>539.07000000000005</v>
          </cell>
          <cell r="G512">
            <v>1761</v>
          </cell>
          <cell r="H512">
            <v>2989.99</v>
          </cell>
          <cell r="I512">
            <v>12401.65</v>
          </cell>
          <cell r="J512">
            <v>91147</v>
          </cell>
          <cell r="K512" t="str">
            <v>MP</v>
          </cell>
        </row>
        <row r="513">
          <cell r="A513">
            <v>992151</v>
          </cell>
          <cell r="B513">
            <v>9687</v>
          </cell>
          <cell r="C513">
            <v>133.6</v>
          </cell>
          <cell r="D513">
            <v>0.85</v>
          </cell>
          <cell r="E513">
            <v>501</v>
          </cell>
          <cell r="F513">
            <v>138.08000000000001</v>
          </cell>
          <cell r="G513">
            <v>50.89</v>
          </cell>
          <cell r="H513">
            <v>824.42000000000007</v>
          </cell>
          <cell r="I513">
            <v>133.6</v>
          </cell>
          <cell r="J513">
            <v>92235</v>
          </cell>
          <cell r="K513" t="str">
            <v>MP</v>
          </cell>
        </row>
        <row r="514">
          <cell r="A514">
            <v>992153</v>
          </cell>
          <cell r="B514">
            <v>9641</v>
          </cell>
          <cell r="C514">
            <v>182.9</v>
          </cell>
          <cell r="D514">
            <v>15.89</v>
          </cell>
          <cell r="E514">
            <v>510.42</v>
          </cell>
          <cell r="F514">
            <v>248.32</v>
          </cell>
          <cell r="G514">
            <v>1085.18</v>
          </cell>
          <cell r="H514">
            <v>2042.71</v>
          </cell>
          <cell r="I514">
            <v>4968.09</v>
          </cell>
          <cell r="J514">
            <v>91681</v>
          </cell>
          <cell r="K514" t="str">
            <v>MP</v>
          </cell>
        </row>
        <row r="515">
          <cell r="A515">
            <v>992154</v>
          </cell>
          <cell r="B515">
            <v>9643</v>
          </cell>
          <cell r="C515">
            <v>187.15</v>
          </cell>
          <cell r="D515">
            <v>0.24</v>
          </cell>
          <cell r="E515">
            <v>510.42</v>
          </cell>
          <cell r="F515">
            <v>137.99</v>
          </cell>
          <cell r="G515">
            <v>50.15</v>
          </cell>
          <cell r="H515">
            <v>885.95</v>
          </cell>
          <cell r="I515">
            <v>76.56</v>
          </cell>
          <cell r="J515">
            <v>91591</v>
          </cell>
          <cell r="K515" t="str">
            <v>MP</v>
          </cell>
        </row>
        <row r="516">
          <cell r="A516">
            <v>992155</v>
          </cell>
          <cell r="B516">
            <v>9558</v>
          </cell>
          <cell r="C516">
            <v>213.76</v>
          </cell>
          <cell r="D516">
            <v>8.65</v>
          </cell>
          <cell r="E516">
            <v>513.03</v>
          </cell>
          <cell r="F516">
            <v>168.48</v>
          </cell>
          <cell r="G516">
            <v>226.69</v>
          </cell>
          <cell r="H516">
            <v>1130.6099999999999</v>
          </cell>
          <cell r="I516">
            <v>1395.44</v>
          </cell>
          <cell r="J516">
            <v>90971</v>
          </cell>
          <cell r="K516" t="str">
            <v>MP</v>
          </cell>
        </row>
        <row r="517">
          <cell r="A517">
            <v>992165</v>
          </cell>
          <cell r="B517">
            <v>9560</v>
          </cell>
          <cell r="C517">
            <v>347.92</v>
          </cell>
          <cell r="D517">
            <v>20.79</v>
          </cell>
          <cell r="E517">
            <v>513.03</v>
          </cell>
          <cell r="F517">
            <v>310.77999999999997</v>
          </cell>
          <cell r="G517">
            <v>819.05</v>
          </cell>
          <cell r="H517">
            <v>2011.57</v>
          </cell>
          <cell r="I517">
            <v>6455.63</v>
          </cell>
          <cell r="J517">
            <v>92313</v>
          </cell>
          <cell r="K517" t="str">
            <v>MP</v>
          </cell>
        </row>
        <row r="518">
          <cell r="A518">
            <v>992166</v>
          </cell>
          <cell r="B518">
            <v>9561</v>
          </cell>
          <cell r="C518">
            <v>191.53</v>
          </cell>
          <cell r="D518">
            <v>39.659999999999997</v>
          </cell>
          <cell r="E518">
            <v>513.03</v>
          </cell>
          <cell r="F518">
            <v>302.01</v>
          </cell>
          <cell r="G518">
            <v>1391.96</v>
          </cell>
          <cell r="H518">
            <v>2438.19</v>
          </cell>
          <cell r="I518">
            <v>6395.77</v>
          </cell>
          <cell r="J518">
            <v>92278</v>
          </cell>
          <cell r="K518" t="str">
            <v>MP</v>
          </cell>
        </row>
        <row r="519">
          <cell r="A519">
            <v>992167</v>
          </cell>
          <cell r="B519">
            <v>9562</v>
          </cell>
          <cell r="C519">
            <v>143.83000000000001</v>
          </cell>
          <cell r="D519">
            <v>2.86</v>
          </cell>
          <cell r="E519">
            <v>513.03</v>
          </cell>
          <cell r="F519">
            <v>145.71</v>
          </cell>
          <cell r="G519">
            <v>115.33</v>
          </cell>
          <cell r="H519">
            <v>920.7600000000001</v>
          </cell>
          <cell r="I519">
            <v>460.26</v>
          </cell>
          <cell r="J519">
            <v>91177</v>
          </cell>
          <cell r="K519" t="str">
            <v>MP</v>
          </cell>
        </row>
        <row r="520">
          <cell r="A520">
            <v>992168</v>
          </cell>
          <cell r="B520">
            <v>9290</v>
          </cell>
          <cell r="C520">
            <v>446.41</v>
          </cell>
          <cell r="D520">
            <v>3.54</v>
          </cell>
          <cell r="E520">
            <v>501</v>
          </cell>
          <cell r="F520">
            <v>155.01</v>
          </cell>
          <cell r="G520">
            <v>183.85</v>
          </cell>
          <cell r="H520">
            <v>1289.81</v>
          </cell>
          <cell r="I520">
            <v>568.62</v>
          </cell>
          <cell r="J520">
            <v>91553</v>
          </cell>
          <cell r="K520" t="str">
            <v>MP</v>
          </cell>
        </row>
        <row r="521">
          <cell r="A521">
            <v>992169</v>
          </cell>
          <cell r="B521">
            <v>9564</v>
          </cell>
          <cell r="C521">
            <v>136.81</v>
          </cell>
          <cell r="D521">
            <v>19.29</v>
          </cell>
          <cell r="E521">
            <v>513.03</v>
          </cell>
          <cell r="F521">
            <v>205.61</v>
          </cell>
          <cell r="G521">
            <v>457.72</v>
          </cell>
          <cell r="H521">
            <v>1332.46</v>
          </cell>
          <cell r="I521">
            <v>3112.38</v>
          </cell>
          <cell r="J521">
            <v>90349</v>
          </cell>
          <cell r="K521" t="str">
            <v>MP</v>
          </cell>
        </row>
        <row r="522">
          <cell r="A522">
            <v>992170</v>
          </cell>
          <cell r="B522">
            <v>9565</v>
          </cell>
          <cell r="C522">
            <v>179.56</v>
          </cell>
          <cell r="D522">
            <v>7.95</v>
          </cell>
          <cell r="E522">
            <v>513.03</v>
          </cell>
          <cell r="F522">
            <v>165.15</v>
          </cell>
          <cell r="G522">
            <v>205.97</v>
          </cell>
          <cell r="H522">
            <v>1071.6599999999999</v>
          </cell>
          <cell r="I522">
            <v>1282.58</v>
          </cell>
          <cell r="J522">
            <v>91769</v>
          </cell>
          <cell r="K522" t="str">
            <v>MP</v>
          </cell>
        </row>
        <row r="523">
          <cell r="A523">
            <v>992171</v>
          </cell>
          <cell r="B523">
            <v>9567</v>
          </cell>
          <cell r="C523">
            <v>445.71</v>
          </cell>
          <cell r="D523">
            <v>176.74</v>
          </cell>
          <cell r="E523">
            <v>501.63</v>
          </cell>
          <cell r="F523">
            <v>850.75</v>
          </cell>
          <cell r="G523">
            <v>1321.57</v>
          </cell>
          <cell r="H523">
            <v>3296.3999999999996</v>
          </cell>
          <cell r="I523">
            <v>25808.86</v>
          </cell>
          <cell r="J523">
            <v>93018</v>
          </cell>
          <cell r="K523" t="str">
            <v>MP</v>
          </cell>
        </row>
        <row r="524">
          <cell r="A524">
            <v>992172</v>
          </cell>
          <cell r="B524">
            <v>9766</v>
          </cell>
          <cell r="C524">
            <v>681.27</v>
          </cell>
          <cell r="D524">
            <v>324.67</v>
          </cell>
          <cell r="E524">
            <v>512.07000000000005</v>
          </cell>
          <cell r="F524">
            <v>1427.19</v>
          </cell>
          <cell r="G524">
            <v>9889.64</v>
          </cell>
          <cell r="H524">
            <v>12834.84</v>
          </cell>
          <cell r="I524">
            <v>51044.82</v>
          </cell>
          <cell r="J524">
            <v>93020</v>
          </cell>
          <cell r="K524" t="str">
            <v>MP</v>
          </cell>
        </row>
        <row r="525">
          <cell r="A525">
            <v>992173</v>
          </cell>
          <cell r="B525">
            <v>9233</v>
          </cell>
          <cell r="C525">
            <v>256.38</v>
          </cell>
          <cell r="D525">
            <v>1.46</v>
          </cell>
          <cell r="E525">
            <v>497.25</v>
          </cell>
          <cell r="F525">
            <v>143.12</v>
          </cell>
          <cell r="G525">
            <v>93.51</v>
          </cell>
          <cell r="H525">
            <v>991.71999999999991</v>
          </cell>
          <cell r="I525">
            <v>234.3</v>
          </cell>
          <cell r="J525">
            <v>92416</v>
          </cell>
          <cell r="K525" t="str">
            <v>MP</v>
          </cell>
        </row>
        <row r="526">
          <cell r="A526">
            <v>992174</v>
          </cell>
          <cell r="B526">
            <v>9365</v>
          </cell>
          <cell r="C526">
            <v>414.08</v>
          </cell>
          <cell r="D526">
            <v>64.53</v>
          </cell>
          <cell r="E526">
            <v>501</v>
          </cell>
          <cell r="F526">
            <v>720.6</v>
          </cell>
          <cell r="G526">
            <v>1301.58</v>
          </cell>
          <cell r="H526">
            <v>3001.79</v>
          </cell>
          <cell r="I526">
            <v>20166.919999999998</v>
          </cell>
          <cell r="J526">
            <v>91814</v>
          </cell>
          <cell r="K526" t="str">
            <v>MP</v>
          </cell>
        </row>
        <row r="527">
          <cell r="A527">
            <v>992178</v>
          </cell>
          <cell r="B527">
            <v>9568</v>
          </cell>
          <cell r="C527">
            <v>100.55</v>
          </cell>
          <cell r="D527">
            <v>32.83</v>
          </cell>
          <cell r="E527">
            <v>513.03</v>
          </cell>
          <cell r="F527">
            <v>469.58</v>
          </cell>
          <cell r="G527">
            <v>1455.16</v>
          </cell>
          <cell r="H527">
            <v>2571.15</v>
          </cell>
          <cell r="I527">
            <v>10260.6</v>
          </cell>
          <cell r="J527">
            <v>90485</v>
          </cell>
          <cell r="K527" t="str">
            <v>MP</v>
          </cell>
        </row>
        <row r="528">
          <cell r="A528">
            <v>992179</v>
          </cell>
          <cell r="B528">
            <v>9572</v>
          </cell>
          <cell r="C528">
            <v>100.55</v>
          </cell>
          <cell r="D528">
            <v>49.25</v>
          </cell>
          <cell r="E528">
            <v>513.03</v>
          </cell>
          <cell r="F528">
            <v>605.72</v>
          </cell>
          <cell r="G528">
            <v>2175.6999999999998</v>
          </cell>
          <cell r="H528">
            <v>3444.25</v>
          </cell>
          <cell r="I528">
            <v>15390.9</v>
          </cell>
          <cell r="J528">
            <v>90485</v>
          </cell>
          <cell r="K528" t="str">
            <v>MP</v>
          </cell>
        </row>
        <row r="529">
          <cell r="A529">
            <v>992180</v>
          </cell>
          <cell r="B529">
            <v>9289</v>
          </cell>
          <cell r="C529">
            <v>1023.41</v>
          </cell>
          <cell r="D529">
            <v>1.25</v>
          </cell>
          <cell r="E529">
            <v>501.6</v>
          </cell>
          <cell r="F529">
            <v>159.68</v>
          </cell>
          <cell r="G529">
            <v>233.28</v>
          </cell>
          <cell r="H529">
            <v>1919.2199999999998</v>
          </cell>
          <cell r="I529">
            <v>203.13</v>
          </cell>
          <cell r="J529">
            <v>93013</v>
          </cell>
          <cell r="K529" t="str">
            <v>MP</v>
          </cell>
        </row>
        <row r="530">
          <cell r="A530">
            <v>992181</v>
          </cell>
          <cell r="B530">
            <v>9573</v>
          </cell>
          <cell r="C530">
            <v>420.28</v>
          </cell>
          <cell r="D530">
            <v>24.63</v>
          </cell>
          <cell r="E530">
            <v>513.03</v>
          </cell>
          <cell r="F530">
            <v>369.3</v>
          </cell>
          <cell r="G530">
            <v>1465.26</v>
          </cell>
          <cell r="H530">
            <v>2792.5</v>
          </cell>
          <cell r="I530">
            <v>7695.45</v>
          </cell>
          <cell r="J530">
            <v>92169</v>
          </cell>
          <cell r="K530" t="str">
            <v>MP</v>
          </cell>
        </row>
        <row r="531">
          <cell r="A531">
            <v>992182</v>
          </cell>
          <cell r="B531">
            <v>9735</v>
          </cell>
          <cell r="C531">
            <v>164.3</v>
          </cell>
          <cell r="D531">
            <v>9.2799999999999994</v>
          </cell>
          <cell r="E531">
            <v>505.53</v>
          </cell>
          <cell r="F531">
            <v>197.38</v>
          </cell>
          <cell r="G531">
            <v>406.48</v>
          </cell>
          <cell r="H531">
            <v>1282.97</v>
          </cell>
          <cell r="I531">
            <v>2729.86</v>
          </cell>
          <cell r="J531">
            <v>93023</v>
          </cell>
          <cell r="K531" t="str">
            <v>MP</v>
          </cell>
        </row>
        <row r="532">
          <cell r="A532">
            <v>992185</v>
          </cell>
          <cell r="B532">
            <v>9499</v>
          </cell>
          <cell r="C532">
            <v>303.11</v>
          </cell>
          <cell r="D532">
            <v>10.65</v>
          </cell>
          <cell r="E532">
            <v>501</v>
          </cell>
          <cell r="F532">
            <v>214.09</v>
          </cell>
          <cell r="G532">
            <v>692.4</v>
          </cell>
          <cell r="H532">
            <v>1721.25</v>
          </cell>
          <cell r="I532">
            <v>3331.65</v>
          </cell>
          <cell r="J532">
            <v>91178</v>
          </cell>
          <cell r="K532" t="str">
            <v>MP</v>
          </cell>
        </row>
        <row r="533">
          <cell r="A533">
            <v>992186</v>
          </cell>
          <cell r="B533">
            <v>9530</v>
          </cell>
          <cell r="C533">
            <v>166.73</v>
          </cell>
          <cell r="D533">
            <v>5.25</v>
          </cell>
          <cell r="E533">
            <v>513.03</v>
          </cell>
          <cell r="F533">
            <v>172.87</v>
          </cell>
          <cell r="G533">
            <v>380.99</v>
          </cell>
          <cell r="H533">
            <v>1238.8699999999999</v>
          </cell>
          <cell r="I533">
            <v>1641.7</v>
          </cell>
          <cell r="J533">
            <v>90639</v>
          </cell>
          <cell r="K533" t="str">
            <v>MP</v>
          </cell>
        </row>
        <row r="534">
          <cell r="A534">
            <v>992191</v>
          </cell>
          <cell r="B534">
            <v>9736</v>
          </cell>
          <cell r="C534">
            <v>176.94</v>
          </cell>
          <cell r="D534">
            <v>8.27</v>
          </cell>
          <cell r="E534">
            <v>505.53</v>
          </cell>
          <cell r="F534">
            <v>190.24</v>
          </cell>
          <cell r="G534">
            <v>362.11</v>
          </cell>
          <cell r="H534">
            <v>1243.0900000000001</v>
          </cell>
          <cell r="I534">
            <v>2401.27</v>
          </cell>
          <cell r="J534">
            <v>90061</v>
          </cell>
          <cell r="K534" t="str">
            <v>MP</v>
          </cell>
        </row>
        <row r="535">
          <cell r="A535">
            <v>992195</v>
          </cell>
          <cell r="B535">
            <v>9533</v>
          </cell>
          <cell r="C535">
            <v>283.7</v>
          </cell>
          <cell r="D535">
            <v>5.1100000000000003</v>
          </cell>
          <cell r="E535">
            <v>513.03</v>
          </cell>
          <cell r="F535">
            <v>157.06</v>
          </cell>
          <cell r="G535">
            <v>211.18</v>
          </cell>
          <cell r="H535">
            <v>1170.08</v>
          </cell>
          <cell r="I535">
            <v>820.85</v>
          </cell>
          <cell r="J535">
            <v>90721</v>
          </cell>
          <cell r="K535" t="str">
            <v>MP</v>
          </cell>
        </row>
        <row r="536">
          <cell r="A536">
            <v>992196</v>
          </cell>
          <cell r="B536">
            <v>9535</v>
          </cell>
          <cell r="C536">
            <v>214.47</v>
          </cell>
          <cell r="D536">
            <v>31.11</v>
          </cell>
          <cell r="E536">
            <v>513.03</v>
          </cell>
          <cell r="F536">
            <v>250.12</v>
          </cell>
          <cell r="G536">
            <v>157.43</v>
          </cell>
          <cell r="H536">
            <v>1166.1599999999999</v>
          </cell>
          <cell r="I536">
            <v>5002.04</v>
          </cell>
          <cell r="J536">
            <v>91839</v>
          </cell>
          <cell r="K536" t="str">
            <v>MP</v>
          </cell>
        </row>
        <row r="537">
          <cell r="A537">
            <v>992197</v>
          </cell>
          <cell r="B537">
            <v>9542</v>
          </cell>
          <cell r="C537">
            <v>689.95</v>
          </cell>
          <cell r="D537">
            <v>9.1</v>
          </cell>
          <cell r="E537">
            <v>513.03</v>
          </cell>
          <cell r="F537">
            <v>180.8</v>
          </cell>
          <cell r="G537">
            <v>454.97</v>
          </cell>
          <cell r="H537">
            <v>1847.85</v>
          </cell>
          <cell r="I537">
            <v>1463.01</v>
          </cell>
          <cell r="J537">
            <v>91062</v>
          </cell>
          <cell r="K537" t="str">
            <v>MP</v>
          </cell>
        </row>
        <row r="538">
          <cell r="A538">
            <v>992198</v>
          </cell>
          <cell r="B538">
            <v>9737</v>
          </cell>
          <cell r="C538">
            <v>754.23</v>
          </cell>
          <cell r="D538">
            <v>26.88</v>
          </cell>
          <cell r="E538">
            <v>505.53</v>
          </cell>
          <cell r="F538">
            <v>378.39</v>
          </cell>
          <cell r="G538">
            <v>1585.52</v>
          </cell>
          <cell r="H538">
            <v>3250.5499999999997</v>
          </cell>
          <cell r="I538">
            <v>7563.74</v>
          </cell>
          <cell r="J538">
            <v>92285</v>
          </cell>
          <cell r="K538" t="str">
            <v>MP</v>
          </cell>
        </row>
        <row r="539">
          <cell r="A539">
            <v>992200</v>
          </cell>
          <cell r="B539">
            <v>9738</v>
          </cell>
          <cell r="C539">
            <v>434.92</v>
          </cell>
          <cell r="D539">
            <v>50.45</v>
          </cell>
          <cell r="E539">
            <v>505.53</v>
          </cell>
          <cell r="F539">
            <v>611.9</v>
          </cell>
          <cell r="G539">
            <v>2223.6</v>
          </cell>
          <cell r="H539">
            <v>3826.3999999999996</v>
          </cell>
          <cell r="I539">
            <v>15330.2</v>
          </cell>
          <cell r="J539">
            <v>91591</v>
          </cell>
          <cell r="K539" t="str">
            <v>MP</v>
          </cell>
        </row>
        <row r="540">
          <cell r="A540">
            <v>992201</v>
          </cell>
          <cell r="B540">
            <v>9477</v>
          </cell>
          <cell r="C540">
            <v>167.48</v>
          </cell>
          <cell r="D540">
            <v>4.7</v>
          </cell>
          <cell r="E540">
            <v>501.63</v>
          </cell>
          <cell r="F540">
            <v>168.91</v>
          </cell>
          <cell r="G540">
            <v>137.28</v>
          </cell>
          <cell r="H540">
            <v>979.99999999999989</v>
          </cell>
          <cell r="I540">
            <v>1466.1</v>
          </cell>
          <cell r="J540">
            <v>91814</v>
          </cell>
          <cell r="K540" t="str">
            <v>MP</v>
          </cell>
        </row>
        <row r="541">
          <cell r="A541">
            <v>992202</v>
          </cell>
          <cell r="B541">
            <v>9543</v>
          </cell>
          <cell r="C541">
            <v>188.11</v>
          </cell>
          <cell r="D541">
            <v>29.5</v>
          </cell>
          <cell r="E541">
            <v>513.03</v>
          </cell>
          <cell r="F541">
            <v>426.94</v>
          </cell>
          <cell r="G541">
            <v>1321</v>
          </cell>
          <cell r="H541">
            <v>2478.58</v>
          </cell>
          <cell r="I541">
            <v>9217.44</v>
          </cell>
          <cell r="J541">
            <v>91982</v>
          </cell>
          <cell r="K541" t="str">
            <v>MP</v>
          </cell>
        </row>
        <row r="542">
          <cell r="A542">
            <v>992204</v>
          </cell>
          <cell r="B542">
            <v>9741</v>
          </cell>
          <cell r="C542">
            <v>143.22999999999999</v>
          </cell>
          <cell r="D542">
            <v>27.84</v>
          </cell>
          <cell r="E542">
            <v>505.53</v>
          </cell>
          <cell r="F542">
            <v>391.65</v>
          </cell>
          <cell r="G542">
            <v>1210.01</v>
          </cell>
          <cell r="H542">
            <v>2278.2600000000002</v>
          </cell>
          <cell r="I542">
            <v>8471.84</v>
          </cell>
          <cell r="J542">
            <v>90097</v>
          </cell>
          <cell r="K542" t="str">
            <v>MP</v>
          </cell>
        </row>
        <row r="543">
          <cell r="A543">
            <v>992205</v>
          </cell>
          <cell r="B543">
            <v>9481</v>
          </cell>
          <cell r="C543">
            <v>167.21</v>
          </cell>
          <cell r="D543">
            <v>10.33</v>
          </cell>
          <cell r="E543">
            <v>501.63</v>
          </cell>
          <cell r="F543">
            <v>208.29</v>
          </cell>
          <cell r="G543">
            <v>643.83000000000004</v>
          </cell>
          <cell r="H543">
            <v>1531.29</v>
          </cell>
          <cell r="I543">
            <v>3210.43</v>
          </cell>
          <cell r="J543">
            <v>90449</v>
          </cell>
          <cell r="K543" t="str">
            <v>MP</v>
          </cell>
        </row>
        <row r="544">
          <cell r="A544">
            <v>992206</v>
          </cell>
          <cell r="B544">
            <v>9682</v>
          </cell>
          <cell r="C544">
            <v>2927.26</v>
          </cell>
          <cell r="D544">
            <v>71.25</v>
          </cell>
          <cell r="E544">
            <v>505.33</v>
          </cell>
          <cell r="F544">
            <v>511.44</v>
          </cell>
          <cell r="G544">
            <v>2043.11</v>
          </cell>
          <cell r="H544">
            <v>6058.39</v>
          </cell>
          <cell r="I544">
            <v>8352.1200000000008</v>
          </cell>
          <cell r="J544">
            <v>92093</v>
          </cell>
          <cell r="K544" t="str">
            <v>MP</v>
          </cell>
        </row>
        <row r="545">
          <cell r="A545">
            <v>992209</v>
          </cell>
          <cell r="B545">
            <v>9471</v>
          </cell>
          <cell r="C545">
            <v>259.64999999999998</v>
          </cell>
          <cell r="D545">
            <v>6.3</v>
          </cell>
          <cell r="E545">
            <v>501</v>
          </cell>
          <cell r="F545">
            <v>160.84</v>
          </cell>
          <cell r="G545">
            <v>243.11</v>
          </cell>
          <cell r="H545">
            <v>1170.9000000000001</v>
          </cell>
          <cell r="I545">
            <v>1011.89</v>
          </cell>
          <cell r="J545">
            <v>92416</v>
          </cell>
          <cell r="K545" t="str">
            <v>MP</v>
          </cell>
        </row>
        <row r="546">
          <cell r="A546">
            <v>992211</v>
          </cell>
          <cell r="B546">
            <v>9456</v>
          </cell>
          <cell r="C546">
            <v>513.37</v>
          </cell>
          <cell r="D546">
            <v>131.22</v>
          </cell>
          <cell r="E546">
            <v>501</v>
          </cell>
          <cell r="F546">
            <v>730.38</v>
          </cell>
          <cell r="G546">
            <v>2646.24</v>
          </cell>
          <cell r="H546">
            <v>4522.21</v>
          </cell>
          <cell r="I546">
            <v>20436.98</v>
          </cell>
          <cell r="J546">
            <v>90086</v>
          </cell>
          <cell r="K546" t="str">
            <v>MP</v>
          </cell>
        </row>
        <row r="547">
          <cell r="A547">
            <v>992212</v>
          </cell>
          <cell r="B547">
            <v>9546</v>
          </cell>
          <cell r="C547">
            <v>136.81</v>
          </cell>
          <cell r="D547">
            <v>18.329999999999998</v>
          </cell>
          <cell r="E547">
            <v>513.03</v>
          </cell>
          <cell r="F547">
            <v>268.91000000000003</v>
          </cell>
          <cell r="G547">
            <v>823.83</v>
          </cell>
          <cell r="H547">
            <v>1760.9099999999999</v>
          </cell>
          <cell r="I547">
            <v>5728.84</v>
          </cell>
          <cell r="J547">
            <v>92235</v>
          </cell>
          <cell r="K547" t="str">
            <v>MP</v>
          </cell>
        </row>
        <row r="548">
          <cell r="A548">
            <v>992213</v>
          </cell>
          <cell r="B548">
            <v>9654</v>
          </cell>
          <cell r="C548">
            <v>224.58</v>
          </cell>
          <cell r="D548">
            <v>4.08</v>
          </cell>
          <cell r="E548">
            <v>510.42</v>
          </cell>
          <cell r="F548">
            <v>165.91</v>
          </cell>
          <cell r="G548">
            <v>285.89999999999998</v>
          </cell>
          <cell r="H548">
            <v>1190.8899999999999</v>
          </cell>
          <cell r="I548">
            <v>1276.05</v>
          </cell>
          <cell r="J548">
            <v>91978</v>
          </cell>
          <cell r="K548" t="str">
            <v>MP</v>
          </cell>
        </row>
        <row r="549">
          <cell r="A549">
            <v>992216</v>
          </cell>
          <cell r="B549">
            <v>9656</v>
          </cell>
          <cell r="C549">
            <v>186.64</v>
          </cell>
          <cell r="D549">
            <v>3.91</v>
          </cell>
          <cell r="E549">
            <v>510.42</v>
          </cell>
          <cell r="F549">
            <v>163.91</v>
          </cell>
          <cell r="G549">
            <v>269.07</v>
          </cell>
          <cell r="H549">
            <v>1133.95</v>
          </cell>
          <cell r="I549">
            <v>1225.01</v>
          </cell>
          <cell r="J549">
            <v>90402</v>
          </cell>
          <cell r="K549" t="str">
            <v>MP</v>
          </cell>
        </row>
        <row r="550">
          <cell r="A550">
            <v>992217</v>
          </cell>
          <cell r="B550">
            <v>9659</v>
          </cell>
          <cell r="C550">
            <v>165.89</v>
          </cell>
          <cell r="D550">
            <v>43.28</v>
          </cell>
          <cell r="E550">
            <v>510.42</v>
          </cell>
          <cell r="F550">
            <v>565.09</v>
          </cell>
          <cell r="G550">
            <v>1922.94</v>
          </cell>
          <cell r="H550">
            <v>3207.62</v>
          </cell>
          <cell r="I550">
            <v>13526.13</v>
          </cell>
          <cell r="J550">
            <v>90685</v>
          </cell>
          <cell r="K550" t="str">
            <v>MP</v>
          </cell>
        </row>
        <row r="551">
          <cell r="A551">
            <v>992218</v>
          </cell>
          <cell r="B551">
            <v>9452</v>
          </cell>
          <cell r="C551">
            <v>192.17</v>
          </cell>
          <cell r="D551">
            <v>83.67</v>
          </cell>
          <cell r="E551">
            <v>501</v>
          </cell>
          <cell r="F551">
            <v>564.97</v>
          </cell>
          <cell r="G551">
            <v>1922.16</v>
          </cell>
          <cell r="H551">
            <v>3263.9700000000003</v>
          </cell>
          <cell r="I551">
            <v>13452.1</v>
          </cell>
          <cell r="J551">
            <v>90686</v>
          </cell>
          <cell r="K551" t="str">
            <v>MP</v>
          </cell>
        </row>
        <row r="552">
          <cell r="A552">
            <v>992219</v>
          </cell>
          <cell r="B552">
            <v>9742</v>
          </cell>
          <cell r="C552">
            <v>45888.53</v>
          </cell>
          <cell r="D552">
            <v>194.56</v>
          </cell>
          <cell r="E552">
            <v>505.53</v>
          </cell>
          <cell r="F552">
            <v>1615.53</v>
          </cell>
          <cell r="G552">
            <v>7250.57</v>
          </cell>
          <cell r="H552">
            <v>55454.719999999994</v>
          </cell>
          <cell r="I552">
            <v>14338.28</v>
          </cell>
          <cell r="J552">
            <v>93086</v>
          </cell>
          <cell r="K552" t="str">
            <v>MP</v>
          </cell>
        </row>
        <row r="553">
          <cell r="A553">
            <v>992220</v>
          </cell>
          <cell r="B553">
            <v>9743</v>
          </cell>
          <cell r="C553">
            <v>230.05</v>
          </cell>
          <cell r="D553">
            <v>28.61</v>
          </cell>
          <cell r="E553">
            <v>505.53</v>
          </cell>
          <cell r="F553">
            <v>235.87</v>
          </cell>
          <cell r="G553">
            <v>784.43</v>
          </cell>
          <cell r="H553">
            <v>1784.49</v>
          </cell>
          <cell r="I553">
            <v>4355.6499999999996</v>
          </cell>
          <cell r="J553">
            <v>92300</v>
          </cell>
          <cell r="K553" t="str">
            <v>MP</v>
          </cell>
        </row>
        <row r="554">
          <cell r="A554">
            <v>992221</v>
          </cell>
          <cell r="B554">
            <v>9723</v>
          </cell>
          <cell r="C554">
            <v>1884.78</v>
          </cell>
          <cell r="D554">
            <v>57.05</v>
          </cell>
          <cell r="E554">
            <v>509.34</v>
          </cell>
          <cell r="F554">
            <v>654.66999999999996</v>
          </cell>
          <cell r="G554">
            <v>1700.78</v>
          </cell>
          <cell r="H554">
            <v>4806.62</v>
          </cell>
          <cell r="I554">
            <v>15774.67</v>
          </cell>
          <cell r="J554">
            <v>92287</v>
          </cell>
          <cell r="K554" t="str">
            <v>MP</v>
          </cell>
        </row>
        <row r="555">
          <cell r="A555">
            <v>992222</v>
          </cell>
          <cell r="B555">
            <v>9744</v>
          </cell>
          <cell r="C555">
            <v>161.77000000000001</v>
          </cell>
          <cell r="D555">
            <v>67.239999999999995</v>
          </cell>
          <cell r="E555">
            <v>505.53</v>
          </cell>
          <cell r="F555">
            <v>489.65</v>
          </cell>
          <cell r="G555">
            <v>1518.32</v>
          </cell>
          <cell r="H555">
            <v>2742.51</v>
          </cell>
          <cell r="I555">
            <v>10616.13</v>
          </cell>
          <cell r="J555">
            <v>91874</v>
          </cell>
          <cell r="K555" t="str">
            <v>MP</v>
          </cell>
        </row>
        <row r="556">
          <cell r="A556">
            <v>992223</v>
          </cell>
          <cell r="B556">
            <v>9625</v>
          </cell>
          <cell r="C556">
            <v>7409.35</v>
          </cell>
          <cell r="D556">
            <v>133.27000000000001</v>
          </cell>
          <cell r="E556">
            <v>513.03</v>
          </cell>
          <cell r="F556">
            <v>739.66</v>
          </cell>
          <cell r="G556">
            <v>2579.23</v>
          </cell>
          <cell r="H556">
            <v>11374.54</v>
          </cell>
          <cell r="I556">
            <v>13951</v>
          </cell>
          <cell r="J556">
            <v>92287</v>
          </cell>
          <cell r="K556" t="str">
            <v>MP</v>
          </cell>
        </row>
        <row r="557">
          <cell r="A557">
            <v>992224</v>
          </cell>
          <cell r="B557">
            <v>9549</v>
          </cell>
          <cell r="C557">
            <v>164.17</v>
          </cell>
          <cell r="D557">
            <v>89.06</v>
          </cell>
          <cell r="E557">
            <v>513.03</v>
          </cell>
          <cell r="F557">
            <v>584.99</v>
          </cell>
          <cell r="G557">
            <v>2046.75</v>
          </cell>
          <cell r="H557">
            <v>3398</v>
          </cell>
          <cell r="I557">
            <v>14364.84</v>
          </cell>
          <cell r="J557">
            <v>90468</v>
          </cell>
          <cell r="K557" t="str">
            <v>MP</v>
          </cell>
        </row>
        <row r="558">
          <cell r="A558">
            <v>992225</v>
          </cell>
          <cell r="B558">
            <v>9552</v>
          </cell>
          <cell r="C558">
            <v>164.17</v>
          </cell>
          <cell r="D558">
            <v>7.49</v>
          </cell>
          <cell r="E558">
            <v>513.03</v>
          </cell>
          <cell r="F558">
            <v>188.25</v>
          </cell>
          <cell r="G558">
            <v>349.71</v>
          </cell>
          <cell r="H558">
            <v>1222.6499999999999</v>
          </cell>
          <cell r="I558">
            <v>2325.7399999999998</v>
          </cell>
          <cell r="J558">
            <v>91841</v>
          </cell>
          <cell r="K558" t="str">
            <v>MP</v>
          </cell>
        </row>
        <row r="559">
          <cell r="A559">
            <v>992226</v>
          </cell>
          <cell r="B559">
            <v>9662</v>
          </cell>
          <cell r="C559">
            <v>333.61</v>
          </cell>
          <cell r="D559">
            <v>14.34</v>
          </cell>
          <cell r="E559">
            <v>510.42</v>
          </cell>
          <cell r="F559">
            <v>240.13</v>
          </cell>
          <cell r="G559">
            <v>912.63</v>
          </cell>
          <cell r="H559">
            <v>2011.13</v>
          </cell>
          <cell r="I559">
            <v>4454.2700000000004</v>
          </cell>
          <cell r="J559">
            <v>92001</v>
          </cell>
          <cell r="K559" t="str">
            <v>MP</v>
          </cell>
        </row>
        <row r="560">
          <cell r="A560">
            <v>992227</v>
          </cell>
          <cell r="B560">
            <v>9745</v>
          </cell>
          <cell r="C560">
            <v>295.33999999999997</v>
          </cell>
          <cell r="D560">
            <v>2.61</v>
          </cell>
          <cell r="E560">
            <v>505.53</v>
          </cell>
          <cell r="F560">
            <v>141.38999999999999</v>
          </cell>
          <cell r="G560">
            <v>78.930000000000007</v>
          </cell>
          <cell r="H560">
            <v>1023.8</v>
          </cell>
          <cell r="I560">
            <v>117.45</v>
          </cell>
          <cell r="J560">
            <v>91163</v>
          </cell>
          <cell r="K560" t="str">
            <v>MP</v>
          </cell>
        </row>
        <row r="561">
          <cell r="A561">
            <v>992228</v>
          </cell>
          <cell r="B561">
            <v>9453</v>
          </cell>
          <cell r="C561">
            <v>515.69000000000005</v>
          </cell>
          <cell r="D561">
            <v>87.57</v>
          </cell>
          <cell r="E561">
            <v>501</v>
          </cell>
          <cell r="F561">
            <v>586.51</v>
          </cell>
          <cell r="G561">
            <v>3084.29</v>
          </cell>
          <cell r="H561">
            <v>4775.0599999999995</v>
          </cell>
          <cell r="I561">
            <v>14079.93</v>
          </cell>
          <cell r="J561">
            <v>92088</v>
          </cell>
          <cell r="K561" t="str">
            <v>MP</v>
          </cell>
        </row>
        <row r="562">
          <cell r="A562">
            <v>992229</v>
          </cell>
          <cell r="B562">
            <v>9746</v>
          </cell>
          <cell r="C562">
            <v>384.68</v>
          </cell>
          <cell r="D562">
            <v>57.34</v>
          </cell>
          <cell r="E562">
            <v>505.53</v>
          </cell>
          <cell r="F562">
            <v>413.58</v>
          </cell>
          <cell r="G562">
            <v>1735.74</v>
          </cell>
          <cell r="H562">
            <v>3096.87</v>
          </cell>
          <cell r="I562">
            <v>8693.43</v>
          </cell>
          <cell r="J562">
            <v>91304</v>
          </cell>
          <cell r="K562" t="str">
            <v>MP</v>
          </cell>
        </row>
        <row r="563">
          <cell r="A563">
            <v>992230</v>
          </cell>
          <cell r="B563">
            <v>9747</v>
          </cell>
          <cell r="C563">
            <v>16170.18</v>
          </cell>
          <cell r="D563">
            <v>137.29</v>
          </cell>
          <cell r="E563">
            <v>505.53</v>
          </cell>
          <cell r="F563">
            <v>739.51</v>
          </cell>
          <cell r="G563">
            <v>4512.3500000000004</v>
          </cell>
          <cell r="H563">
            <v>22064.86</v>
          </cell>
          <cell r="I563">
            <v>5179.92</v>
          </cell>
          <cell r="J563">
            <v>91066</v>
          </cell>
          <cell r="K563" t="str">
            <v>MP</v>
          </cell>
        </row>
        <row r="564">
          <cell r="A564">
            <v>992231</v>
          </cell>
          <cell r="B564">
            <v>9748</v>
          </cell>
          <cell r="C564">
            <v>259.60000000000002</v>
          </cell>
          <cell r="D564">
            <v>27.52</v>
          </cell>
          <cell r="E564">
            <v>505.53</v>
          </cell>
          <cell r="F564">
            <v>231.44</v>
          </cell>
          <cell r="G564">
            <v>839.29</v>
          </cell>
          <cell r="H564">
            <v>1863.3799999999999</v>
          </cell>
          <cell r="I564">
            <v>4130.18</v>
          </cell>
          <cell r="J564">
            <v>91988</v>
          </cell>
          <cell r="K564" t="str">
            <v>MP</v>
          </cell>
        </row>
        <row r="565">
          <cell r="A565">
            <v>992232</v>
          </cell>
          <cell r="B565">
            <v>9663</v>
          </cell>
          <cell r="C565">
            <v>243.4</v>
          </cell>
          <cell r="D565">
            <v>82.26</v>
          </cell>
          <cell r="E565">
            <v>510.42</v>
          </cell>
          <cell r="F565">
            <v>561.01</v>
          </cell>
          <cell r="G565">
            <v>2575.23</v>
          </cell>
          <cell r="H565">
            <v>3972.32</v>
          </cell>
          <cell r="I565">
            <v>13225.74</v>
          </cell>
          <cell r="J565">
            <v>92174</v>
          </cell>
          <cell r="K565" t="str">
            <v>MP</v>
          </cell>
        </row>
        <row r="566">
          <cell r="A566">
            <v>992234</v>
          </cell>
          <cell r="B566">
            <v>9749</v>
          </cell>
          <cell r="C566">
            <v>755.91</v>
          </cell>
          <cell r="D566">
            <v>19.43</v>
          </cell>
          <cell r="E566">
            <v>505.53</v>
          </cell>
          <cell r="F566">
            <v>202.16</v>
          </cell>
          <cell r="G566">
            <v>529.74</v>
          </cell>
          <cell r="H566">
            <v>2012.77</v>
          </cell>
          <cell r="I566">
            <v>2340.77</v>
          </cell>
          <cell r="J566">
            <v>93024</v>
          </cell>
          <cell r="K566" t="str">
            <v>MP</v>
          </cell>
        </row>
        <row r="567">
          <cell r="A567">
            <v>992235</v>
          </cell>
          <cell r="B567">
            <v>9689</v>
          </cell>
          <cell r="C567">
            <v>309.52999999999997</v>
          </cell>
          <cell r="D567">
            <v>11.31</v>
          </cell>
          <cell r="E567">
            <v>509.34</v>
          </cell>
          <cell r="F567">
            <v>172.88</v>
          </cell>
          <cell r="G567">
            <v>344.83</v>
          </cell>
          <cell r="H567">
            <v>1347.8899999999999</v>
          </cell>
          <cell r="I567">
            <v>1494.06</v>
          </cell>
          <cell r="J567">
            <v>90335</v>
          </cell>
          <cell r="K567" t="str">
            <v>MP</v>
          </cell>
        </row>
        <row r="568">
          <cell r="A568">
            <v>992237</v>
          </cell>
          <cell r="B568">
            <v>9750</v>
          </cell>
          <cell r="C568">
            <v>155.63</v>
          </cell>
          <cell r="D568">
            <v>33.74</v>
          </cell>
          <cell r="E568">
            <v>505.53</v>
          </cell>
          <cell r="F568">
            <v>254.06</v>
          </cell>
          <cell r="G568">
            <v>488.03</v>
          </cell>
          <cell r="H568">
            <v>1436.99</v>
          </cell>
          <cell r="I568">
            <v>5233.25</v>
          </cell>
          <cell r="J568">
            <v>93010</v>
          </cell>
          <cell r="K568" t="str">
            <v>MP</v>
          </cell>
        </row>
        <row r="569">
          <cell r="A569">
            <v>992239</v>
          </cell>
          <cell r="B569">
            <v>9751</v>
          </cell>
          <cell r="C569">
            <v>196.82</v>
          </cell>
          <cell r="D569">
            <v>66.61</v>
          </cell>
          <cell r="E569">
            <v>505.53</v>
          </cell>
          <cell r="F569">
            <v>479.56</v>
          </cell>
          <cell r="G569">
            <v>1380.36</v>
          </cell>
          <cell r="H569">
            <v>2628.88</v>
          </cell>
          <cell r="I569">
            <v>10354.73</v>
          </cell>
          <cell r="J569">
            <v>92109</v>
          </cell>
          <cell r="K569" t="str">
            <v>MP</v>
          </cell>
        </row>
        <row r="570">
          <cell r="A570">
            <v>992241</v>
          </cell>
          <cell r="B570">
            <v>9664</v>
          </cell>
          <cell r="C570">
            <v>165.89</v>
          </cell>
          <cell r="D570">
            <v>5.17</v>
          </cell>
          <cell r="E570">
            <v>510.42</v>
          </cell>
          <cell r="F570">
            <v>1912.93</v>
          </cell>
          <cell r="G570">
            <v>339.71</v>
          </cell>
          <cell r="H570">
            <v>2934.12</v>
          </cell>
          <cell r="I570">
            <v>1616.33</v>
          </cell>
          <cell r="J570">
            <v>91702</v>
          </cell>
          <cell r="K570" t="str">
            <v>MP</v>
          </cell>
        </row>
        <row r="571">
          <cell r="A571">
            <v>992242</v>
          </cell>
          <cell r="B571">
            <v>9752</v>
          </cell>
          <cell r="C571">
            <v>744.04</v>
          </cell>
          <cell r="D571">
            <v>7.04</v>
          </cell>
          <cell r="E571">
            <v>505.53</v>
          </cell>
          <cell r="F571">
            <v>157.58000000000001</v>
          </cell>
          <cell r="G571">
            <v>237.99</v>
          </cell>
          <cell r="H571">
            <v>1652.1799999999998</v>
          </cell>
          <cell r="I571">
            <v>382.18</v>
          </cell>
          <cell r="J571">
            <v>91375</v>
          </cell>
          <cell r="K571" t="str">
            <v>MP</v>
          </cell>
        </row>
        <row r="572">
          <cell r="A572">
            <v>992245</v>
          </cell>
          <cell r="B572">
            <v>9556</v>
          </cell>
          <cell r="C572">
            <v>83.79</v>
          </cell>
          <cell r="D572">
            <v>2.19</v>
          </cell>
          <cell r="E572">
            <v>513.03</v>
          </cell>
          <cell r="F572">
            <v>149.38</v>
          </cell>
          <cell r="G572">
            <v>146.36000000000001</v>
          </cell>
          <cell r="H572">
            <v>894.75</v>
          </cell>
          <cell r="I572">
            <v>684.04</v>
          </cell>
          <cell r="J572">
            <v>91468</v>
          </cell>
          <cell r="K572" t="str">
            <v>MP</v>
          </cell>
        </row>
        <row r="573">
          <cell r="A573">
            <v>992246</v>
          </cell>
          <cell r="B573">
            <v>9671</v>
          </cell>
          <cell r="C573">
            <v>83.37</v>
          </cell>
          <cell r="D573">
            <v>4.22</v>
          </cell>
          <cell r="E573">
            <v>510.42</v>
          </cell>
          <cell r="F573">
            <v>149.33000000000001</v>
          </cell>
          <cell r="G573">
            <v>145.94999999999999</v>
          </cell>
          <cell r="H573">
            <v>893.29</v>
          </cell>
          <cell r="I573">
            <v>680.56</v>
          </cell>
          <cell r="J573">
            <v>91468</v>
          </cell>
          <cell r="K573" t="str">
            <v>MP</v>
          </cell>
        </row>
        <row r="574">
          <cell r="A574">
            <v>992247</v>
          </cell>
          <cell r="B574">
            <v>9672</v>
          </cell>
          <cell r="C574">
            <v>166.74</v>
          </cell>
          <cell r="D574">
            <v>17.149999999999999</v>
          </cell>
          <cell r="E574">
            <v>510.42</v>
          </cell>
          <cell r="F574">
            <v>256.79000000000002</v>
          </cell>
          <cell r="G574">
            <v>776.15</v>
          </cell>
          <cell r="H574">
            <v>1727.25</v>
          </cell>
          <cell r="I574">
            <v>5359.41</v>
          </cell>
          <cell r="J574">
            <v>91682</v>
          </cell>
          <cell r="K574" t="str">
            <v>MP</v>
          </cell>
        </row>
        <row r="575">
          <cell r="A575">
            <v>992248</v>
          </cell>
          <cell r="B575">
            <v>9724</v>
          </cell>
          <cell r="C575">
            <v>161.29</v>
          </cell>
          <cell r="D575">
            <v>23.6</v>
          </cell>
          <cell r="E575">
            <v>509.34</v>
          </cell>
          <cell r="F575">
            <v>336.37</v>
          </cell>
          <cell r="G575">
            <v>1036.08</v>
          </cell>
          <cell r="H575">
            <v>2066.6799999999998</v>
          </cell>
          <cell r="I575">
            <v>7215.65</v>
          </cell>
          <cell r="J575">
            <v>90083</v>
          </cell>
          <cell r="K575" t="str">
            <v>MP</v>
          </cell>
        </row>
        <row r="576">
          <cell r="A576">
            <v>992258</v>
          </cell>
          <cell r="B576">
            <v>9559</v>
          </cell>
          <cell r="C576">
            <v>162.46</v>
          </cell>
          <cell r="D576">
            <v>19.05</v>
          </cell>
          <cell r="E576">
            <v>513.03</v>
          </cell>
          <cell r="F576">
            <v>284.93</v>
          </cell>
          <cell r="G576">
            <v>797.32</v>
          </cell>
          <cell r="H576">
            <v>1776.79</v>
          </cell>
          <cell r="I576">
            <v>5951.15</v>
          </cell>
          <cell r="J576">
            <v>90061</v>
          </cell>
          <cell r="K576" t="str">
            <v>MP</v>
          </cell>
        </row>
        <row r="577">
          <cell r="A577">
            <v>992260</v>
          </cell>
          <cell r="B577">
            <v>9563</v>
          </cell>
          <cell r="C577">
            <v>361.7</v>
          </cell>
          <cell r="D577">
            <v>32.83</v>
          </cell>
          <cell r="E577">
            <v>513.03</v>
          </cell>
          <cell r="F577">
            <v>481.26</v>
          </cell>
          <cell r="G577">
            <v>1491.9</v>
          </cell>
          <cell r="H577">
            <v>2880.7200000000003</v>
          </cell>
          <cell r="I577">
            <v>10260.6</v>
          </cell>
          <cell r="J577">
            <v>91814</v>
          </cell>
          <cell r="K577" t="str">
            <v>MP</v>
          </cell>
        </row>
        <row r="578">
          <cell r="A578">
            <v>992261</v>
          </cell>
          <cell r="B578">
            <v>9753</v>
          </cell>
          <cell r="C578">
            <v>269.62</v>
          </cell>
          <cell r="D578">
            <v>21.15</v>
          </cell>
          <cell r="E578">
            <v>505.53</v>
          </cell>
          <cell r="F578">
            <v>214.67</v>
          </cell>
          <cell r="G578">
            <v>697.73</v>
          </cell>
          <cell r="H578">
            <v>1708.6999999999998</v>
          </cell>
          <cell r="I578">
            <v>3381.47</v>
          </cell>
          <cell r="J578">
            <v>90424</v>
          </cell>
          <cell r="K578" t="str">
            <v>MP</v>
          </cell>
        </row>
        <row r="579">
          <cell r="A579">
            <v>992262</v>
          </cell>
          <cell r="B579">
            <v>9665</v>
          </cell>
          <cell r="C579">
            <v>272.22000000000003</v>
          </cell>
          <cell r="D579">
            <v>9.61</v>
          </cell>
          <cell r="E579">
            <v>510.42</v>
          </cell>
          <cell r="F579">
            <v>173.18</v>
          </cell>
          <cell r="G579">
            <v>347.35</v>
          </cell>
          <cell r="H579">
            <v>1312.7800000000002</v>
          </cell>
          <cell r="I579">
            <v>1546.25</v>
          </cell>
          <cell r="J579">
            <v>90424</v>
          </cell>
          <cell r="K579" t="str">
            <v>MP</v>
          </cell>
        </row>
        <row r="580">
          <cell r="A580">
            <v>992263</v>
          </cell>
          <cell r="B580">
            <v>9754</v>
          </cell>
          <cell r="C580">
            <v>269.62</v>
          </cell>
          <cell r="D580">
            <v>18.7</v>
          </cell>
          <cell r="E580">
            <v>505.53</v>
          </cell>
          <cell r="F580">
            <v>199.4</v>
          </cell>
          <cell r="G580">
            <v>568.76</v>
          </cell>
          <cell r="H580">
            <v>1562.0099999999998</v>
          </cell>
          <cell r="I580">
            <v>2705.18</v>
          </cell>
          <cell r="J580">
            <v>90424</v>
          </cell>
          <cell r="K580" t="str">
            <v>MP</v>
          </cell>
        </row>
        <row r="581">
          <cell r="A581">
            <v>992266</v>
          </cell>
          <cell r="B581">
            <v>9454</v>
          </cell>
          <cell r="C581">
            <v>409.54</v>
          </cell>
          <cell r="D581">
            <v>124.03</v>
          </cell>
          <cell r="E581">
            <v>501</v>
          </cell>
          <cell r="F581">
            <v>697.17</v>
          </cell>
          <cell r="G581">
            <v>3933.25</v>
          </cell>
          <cell r="H581">
            <v>5664.99</v>
          </cell>
          <cell r="I581">
            <v>19071.86</v>
          </cell>
          <cell r="J581">
            <v>93084</v>
          </cell>
          <cell r="K581" t="str">
            <v>MP</v>
          </cell>
        </row>
        <row r="582">
          <cell r="A582">
            <v>992267</v>
          </cell>
          <cell r="B582">
            <v>9666</v>
          </cell>
          <cell r="C582">
            <v>452.76</v>
          </cell>
          <cell r="D582">
            <v>0</v>
          </cell>
          <cell r="E582">
            <v>510.42</v>
          </cell>
          <cell r="F582">
            <v>364.39</v>
          </cell>
          <cell r="G582">
            <v>1686.33</v>
          </cell>
          <cell r="H582">
            <v>3013.9</v>
          </cell>
          <cell r="I582">
            <v>7571.43</v>
          </cell>
          <cell r="J582">
            <v>92088</v>
          </cell>
          <cell r="K582" t="str">
            <v>MP</v>
          </cell>
        </row>
        <row r="583">
          <cell r="A583">
            <v>992270</v>
          </cell>
          <cell r="B583">
            <v>9767</v>
          </cell>
          <cell r="C583">
            <v>420.42</v>
          </cell>
          <cell r="D583">
            <v>7.38</v>
          </cell>
          <cell r="E583">
            <v>505.53</v>
          </cell>
          <cell r="F583">
            <v>158.69</v>
          </cell>
          <cell r="G583">
            <v>224.97</v>
          </cell>
          <cell r="H583">
            <v>1316.99</v>
          </cell>
          <cell r="I583">
            <v>754.92</v>
          </cell>
          <cell r="J583">
            <v>93053</v>
          </cell>
          <cell r="K583" t="str">
            <v>MP</v>
          </cell>
        </row>
        <row r="584">
          <cell r="A584">
            <v>992271</v>
          </cell>
          <cell r="B584">
            <v>9566</v>
          </cell>
          <cell r="C584">
            <v>136.81</v>
          </cell>
          <cell r="D584">
            <v>14.71</v>
          </cell>
          <cell r="E584">
            <v>513.03</v>
          </cell>
          <cell r="F584">
            <v>188.87</v>
          </cell>
          <cell r="G584">
            <v>353.53</v>
          </cell>
          <cell r="H584">
            <v>1206.9499999999998</v>
          </cell>
          <cell r="I584">
            <v>2372.7600000000002</v>
          </cell>
          <cell r="J584">
            <v>90971</v>
          </cell>
          <cell r="K584" t="str">
            <v>MP</v>
          </cell>
        </row>
        <row r="585">
          <cell r="A585">
            <v>992283</v>
          </cell>
          <cell r="B585">
            <v>9765</v>
          </cell>
          <cell r="C585">
            <v>424.27</v>
          </cell>
          <cell r="D585">
            <v>77.78</v>
          </cell>
          <cell r="E585">
            <v>508.89</v>
          </cell>
          <cell r="F585">
            <v>537.99</v>
          </cell>
          <cell r="G585">
            <v>2547.3000000000002</v>
          </cell>
          <cell r="H585">
            <v>4096.2299999999996</v>
          </cell>
          <cell r="I585">
            <v>12028.81</v>
          </cell>
          <cell r="J585">
            <v>93021</v>
          </cell>
          <cell r="K585" t="str">
            <v>MP</v>
          </cell>
        </row>
        <row r="586">
          <cell r="A586">
            <v>992286</v>
          </cell>
          <cell r="B586">
            <v>9760</v>
          </cell>
          <cell r="C586">
            <v>2537.0500000000002</v>
          </cell>
          <cell r="D586">
            <v>2034.88</v>
          </cell>
          <cell r="E586">
            <v>509.34</v>
          </cell>
          <cell r="F586">
            <v>7662.76</v>
          </cell>
          <cell r="G586">
            <v>62545.599999999999</v>
          </cell>
          <cell r="H586">
            <v>75289.63</v>
          </cell>
          <cell r="I586">
            <v>324615.45</v>
          </cell>
          <cell r="J586">
            <v>93020</v>
          </cell>
          <cell r="K586" t="str">
            <v>MP</v>
          </cell>
        </row>
        <row r="587">
          <cell r="A587">
            <v>992288</v>
          </cell>
          <cell r="B587">
            <v>9758</v>
          </cell>
          <cell r="C587">
            <v>261.49</v>
          </cell>
          <cell r="D587">
            <v>16.899999999999999</v>
          </cell>
          <cell r="E587">
            <v>512.07000000000005</v>
          </cell>
          <cell r="F587">
            <v>193.6</v>
          </cell>
          <cell r="G587">
            <v>492.41</v>
          </cell>
          <cell r="H587">
            <v>1476.47</v>
          </cell>
          <cell r="I587">
            <v>2457.23</v>
          </cell>
          <cell r="J587">
            <v>93085</v>
          </cell>
          <cell r="K587" t="str">
            <v>MP</v>
          </cell>
        </row>
        <row r="588">
          <cell r="A588">
            <v>992305</v>
          </cell>
          <cell r="B588">
            <v>9714</v>
          </cell>
          <cell r="C588">
            <v>135.82</v>
          </cell>
          <cell r="D588">
            <v>2.89</v>
          </cell>
          <cell r="E588">
            <v>509.34</v>
          </cell>
          <cell r="F588">
            <v>152.36000000000001</v>
          </cell>
          <cell r="G588">
            <v>126.38</v>
          </cell>
          <cell r="H588">
            <v>926.79</v>
          </cell>
          <cell r="I588">
            <v>764.01</v>
          </cell>
          <cell r="J588">
            <v>90062</v>
          </cell>
          <cell r="K588" t="str">
            <v>MP</v>
          </cell>
        </row>
        <row r="589">
          <cell r="A589">
            <v>992306</v>
          </cell>
          <cell r="B589">
            <v>9713</v>
          </cell>
          <cell r="C589">
            <v>165.54</v>
          </cell>
          <cell r="D589">
            <v>2.02</v>
          </cell>
          <cell r="E589">
            <v>509.34</v>
          </cell>
          <cell r="F589">
            <v>146.32</v>
          </cell>
          <cell r="G589">
            <v>57.1</v>
          </cell>
          <cell r="H589">
            <v>880.32</v>
          </cell>
          <cell r="I589">
            <v>466.9</v>
          </cell>
          <cell r="J589">
            <v>90121</v>
          </cell>
          <cell r="K589" t="str">
            <v>MP</v>
          </cell>
        </row>
        <row r="590">
          <cell r="A590">
            <v>992317</v>
          </cell>
          <cell r="B590">
            <v>9755</v>
          </cell>
          <cell r="C590">
            <v>168.51</v>
          </cell>
          <cell r="D590">
            <v>11.9</v>
          </cell>
          <cell r="E590">
            <v>505.53</v>
          </cell>
          <cell r="F590">
            <v>215.73</v>
          </cell>
          <cell r="G590">
            <v>111.57</v>
          </cell>
          <cell r="H590">
            <v>1013.24</v>
          </cell>
          <cell r="I590">
            <v>3538.71</v>
          </cell>
          <cell r="J590">
            <v>90061</v>
          </cell>
          <cell r="K590" t="str">
            <v>MP</v>
          </cell>
        </row>
        <row r="591">
          <cell r="A591">
            <v>992347</v>
          </cell>
          <cell r="B591">
            <v>9715</v>
          </cell>
          <cell r="C591">
            <v>162.99</v>
          </cell>
          <cell r="D591">
            <v>7.27</v>
          </cell>
          <cell r="E591">
            <v>509.34</v>
          </cell>
          <cell r="F591">
            <v>182.87</v>
          </cell>
          <cell r="G591">
            <v>316.2</v>
          </cell>
          <cell r="H591">
            <v>1178.67</v>
          </cell>
          <cell r="I591">
            <v>2088.29</v>
          </cell>
          <cell r="J591">
            <v>90468</v>
          </cell>
          <cell r="K591" t="str">
            <v>MP</v>
          </cell>
        </row>
        <row r="592">
          <cell r="A592">
            <v>992352</v>
          </cell>
          <cell r="B592">
            <v>9673</v>
          </cell>
          <cell r="C592">
            <v>352.79</v>
          </cell>
          <cell r="D592">
            <v>9.68</v>
          </cell>
          <cell r="E592">
            <v>510.42</v>
          </cell>
          <cell r="F592">
            <v>175.3</v>
          </cell>
          <cell r="G592">
            <v>365.19</v>
          </cell>
          <cell r="H592">
            <v>1413.38</v>
          </cell>
          <cell r="I592">
            <v>1557.23</v>
          </cell>
          <cell r="J592">
            <v>91869</v>
          </cell>
          <cell r="K592" t="str">
            <v>MP</v>
          </cell>
        </row>
        <row r="593">
          <cell r="A593">
            <v>992353</v>
          </cell>
          <cell r="B593">
            <v>9674</v>
          </cell>
          <cell r="C593">
            <v>98.12</v>
          </cell>
          <cell r="D593">
            <v>4.46</v>
          </cell>
          <cell r="E593">
            <v>510.42</v>
          </cell>
          <cell r="F593">
            <v>143.1</v>
          </cell>
          <cell r="G593">
            <v>93.32</v>
          </cell>
          <cell r="H593">
            <v>849.42000000000007</v>
          </cell>
          <cell r="I593">
            <v>389.9</v>
          </cell>
          <cell r="J593">
            <v>91869</v>
          </cell>
          <cell r="K593" t="str">
            <v>MP</v>
          </cell>
        </row>
        <row r="594">
          <cell r="A594">
            <v>992379</v>
          </cell>
          <cell r="B594">
            <v>9762</v>
          </cell>
          <cell r="C594">
            <v>83.64</v>
          </cell>
          <cell r="D594">
            <v>6.13</v>
          </cell>
          <cell r="E594">
            <v>512.07000000000005</v>
          </cell>
          <cell r="F594">
            <v>175.12</v>
          </cell>
          <cell r="G594">
            <v>363.74</v>
          </cell>
          <cell r="H594">
            <v>1140.7</v>
          </cell>
          <cell r="I594">
            <v>1824.68</v>
          </cell>
          <cell r="J594">
            <v>91468</v>
          </cell>
          <cell r="K594" t="str">
            <v>MP</v>
          </cell>
        </row>
        <row r="595">
          <cell r="A595">
            <v>991985</v>
          </cell>
          <cell r="B595">
            <v>9694</v>
          </cell>
          <cell r="C595">
            <v>193.79</v>
          </cell>
          <cell r="D595">
            <v>60.39</v>
          </cell>
          <cell r="E595">
            <v>505.53</v>
          </cell>
          <cell r="F595">
            <v>686.41</v>
          </cell>
          <cell r="G595">
            <v>4016.73</v>
          </cell>
          <cell r="H595">
            <v>5462.85</v>
          </cell>
          <cell r="I595">
            <v>18873.12</v>
          </cell>
          <cell r="J595">
            <v>91981</v>
          </cell>
          <cell r="K595" t="str">
            <v>MP</v>
          </cell>
        </row>
        <row r="596">
          <cell r="A596">
            <v>992158</v>
          </cell>
          <cell r="B596">
            <v>9695</v>
          </cell>
          <cell r="C596">
            <v>256.39</v>
          </cell>
          <cell r="D596">
            <v>2.63</v>
          </cell>
          <cell r="E596">
            <v>505.53</v>
          </cell>
          <cell r="F596">
            <v>141.44999999999999</v>
          </cell>
          <cell r="G596">
            <v>79.430000000000007</v>
          </cell>
          <cell r="H596">
            <v>985.43000000000006</v>
          </cell>
          <cell r="I596">
            <v>159.01</v>
          </cell>
          <cell r="J596">
            <v>93006</v>
          </cell>
          <cell r="K596" t="str">
            <v>MP</v>
          </cell>
        </row>
        <row r="597">
          <cell r="A597">
            <v>992268</v>
          </cell>
          <cell r="B597">
            <v>9696</v>
          </cell>
          <cell r="C597">
            <v>4574.79</v>
          </cell>
          <cell r="D597">
            <v>1802.1</v>
          </cell>
          <cell r="E597">
            <v>505.53</v>
          </cell>
          <cell r="F597">
            <v>1037.57</v>
          </cell>
          <cell r="G597">
            <v>6252.16</v>
          </cell>
          <cell r="H597">
            <v>14172.149999999998</v>
          </cell>
          <cell r="I597">
            <v>29944.74</v>
          </cell>
          <cell r="J597">
            <v>92158</v>
          </cell>
          <cell r="K597" t="str">
            <v>MP</v>
          </cell>
        </row>
        <row r="598">
          <cell r="H598">
            <v>0</v>
          </cell>
        </row>
        <row r="599">
          <cell r="A599" t="str">
            <v>TOTAIS</v>
          </cell>
          <cell r="C599">
            <v>1069108.3799999999</v>
          </cell>
          <cell r="D599">
            <v>149375.47000000003</v>
          </cell>
          <cell r="E599">
            <v>299563.92000000208</v>
          </cell>
          <cell r="F599">
            <v>564661.61000000022</v>
          </cell>
          <cell r="G599">
            <v>2523060.2500000009</v>
          </cell>
          <cell r="H599">
            <v>4605769.6300000018</v>
          </cell>
          <cell r="I599">
            <v>21467082.229999974</v>
          </cell>
        </row>
        <row r="602">
          <cell r="A602" t="str">
            <v>ATIVO FIXO - LOCAL 91</v>
          </cell>
        </row>
        <row r="603">
          <cell r="A603" t="str">
            <v>PROC</v>
          </cell>
          <cell r="B603" t="str">
            <v>NF</v>
          </cell>
          <cell r="C603" t="str">
            <v>FRETE</v>
          </cell>
          <cell r="D603" t="str">
            <v>SEG</v>
          </cell>
          <cell r="E603" t="str">
            <v>COM</v>
          </cell>
          <cell r="F603" t="str">
            <v>ALF</v>
          </cell>
          <cell r="G603" t="str">
            <v>IMP</v>
          </cell>
          <cell r="H603" t="str">
            <v>TOTAL</v>
          </cell>
          <cell r="I603" t="str">
            <v>FOB</v>
          </cell>
          <cell r="J603" t="str">
            <v>FORN</v>
          </cell>
          <cell r="K603" t="str">
            <v>TIPO</v>
          </cell>
          <cell r="L603" t="str">
            <v>ICMS</v>
          </cell>
          <cell r="N603" t="str">
            <v>IPI</v>
          </cell>
        </row>
        <row r="604">
          <cell r="A604" t="str">
            <v/>
          </cell>
          <cell r="H604">
            <v>0</v>
          </cell>
        </row>
        <row r="605">
          <cell r="A605">
            <v>990672</v>
          </cell>
          <cell r="B605">
            <v>9142</v>
          </cell>
          <cell r="C605">
            <v>155.19</v>
          </cell>
          <cell r="D605">
            <v>49.08</v>
          </cell>
          <cell r="E605">
            <v>511.62</v>
          </cell>
          <cell r="F605">
            <v>605.77</v>
          </cell>
          <cell r="G605">
            <v>2953.2</v>
          </cell>
          <cell r="H605">
            <v>4274.8599999999997</v>
          </cell>
          <cell r="I605">
            <v>15338.37</v>
          </cell>
          <cell r="J605">
            <v>92084</v>
          </cell>
          <cell r="K605" t="str">
            <v>AF</v>
          </cell>
          <cell r="L605">
            <v>3595.69</v>
          </cell>
          <cell r="N605">
            <v>1479.71</v>
          </cell>
        </row>
        <row r="606">
          <cell r="A606">
            <v>991294</v>
          </cell>
          <cell r="B606">
            <v>9097</v>
          </cell>
          <cell r="C606">
            <v>3980.01</v>
          </cell>
          <cell r="D606">
            <v>3288.55</v>
          </cell>
          <cell r="E606">
            <v>516.17999999999995</v>
          </cell>
          <cell r="F606">
            <v>12264.3</v>
          </cell>
          <cell r="G606">
            <v>26684.99</v>
          </cell>
          <cell r="H606">
            <v>46734.03</v>
          </cell>
          <cell r="I606">
            <v>526431.32999999996</v>
          </cell>
          <cell r="J606">
            <v>92341</v>
          </cell>
          <cell r="K606" t="str">
            <v>AF</v>
          </cell>
          <cell r="L606">
            <v>0</v>
          </cell>
          <cell r="N606">
            <v>0</v>
          </cell>
        </row>
        <row r="607">
          <cell r="A607">
            <v>991368</v>
          </cell>
          <cell r="B607">
            <v>9623</v>
          </cell>
          <cell r="C607">
            <v>65296.37</v>
          </cell>
          <cell r="D607">
            <v>1355.09</v>
          </cell>
          <cell r="E607">
            <v>497.25</v>
          </cell>
          <cell r="F607">
            <v>5204.51</v>
          </cell>
          <cell r="G607">
            <v>46185.67</v>
          </cell>
          <cell r="H607">
            <v>118538.89</v>
          </cell>
          <cell r="I607">
            <v>153280.29999999999</v>
          </cell>
          <cell r="J607">
            <v>93068</v>
          </cell>
          <cell r="K607" t="str">
            <v>AF</v>
          </cell>
          <cell r="L607">
            <v>0</v>
          </cell>
          <cell r="N607">
            <v>26611.74</v>
          </cell>
        </row>
        <row r="608">
          <cell r="A608">
            <v>991766</v>
          </cell>
          <cell r="B608">
            <v>9009</v>
          </cell>
          <cell r="C608">
            <v>1113.23</v>
          </cell>
          <cell r="D608">
            <v>6486.86</v>
          </cell>
          <cell r="E608">
            <v>517.53</v>
          </cell>
          <cell r="F608">
            <v>390.7</v>
          </cell>
          <cell r="G608">
            <v>1638.09</v>
          </cell>
          <cell r="H608">
            <v>10146.41</v>
          </cell>
          <cell r="I608">
            <v>7455</v>
          </cell>
          <cell r="J608">
            <v>91953</v>
          </cell>
          <cell r="K608" t="str">
            <v>AF</v>
          </cell>
          <cell r="L608">
            <v>1994.47</v>
          </cell>
          <cell r="N608">
            <v>820.77</v>
          </cell>
        </row>
        <row r="609">
          <cell r="A609">
            <v>991847</v>
          </cell>
          <cell r="B609">
            <v>9158</v>
          </cell>
          <cell r="C609">
            <v>2436.71</v>
          </cell>
          <cell r="D609">
            <v>59.14</v>
          </cell>
          <cell r="E609">
            <v>516.17999999999995</v>
          </cell>
          <cell r="F609">
            <v>526.1</v>
          </cell>
          <cell r="G609">
            <v>2280.41</v>
          </cell>
          <cell r="H609">
            <v>5818.5399999999991</v>
          </cell>
          <cell r="I609">
            <v>9507.2900000000009</v>
          </cell>
          <cell r="J609">
            <v>92003</v>
          </cell>
          <cell r="K609" t="str">
            <v>AF</v>
          </cell>
          <cell r="L609">
            <v>0</v>
          </cell>
          <cell r="N609">
            <v>1142.6099999999999</v>
          </cell>
        </row>
        <row r="610">
          <cell r="A610">
            <v>991947</v>
          </cell>
          <cell r="B610">
            <v>9221</v>
          </cell>
          <cell r="C610">
            <v>2443.8200000000002</v>
          </cell>
          <cell r="D610">
            <v>56.97</v>
          </cell>
          <cell r="E610">
            <v>497.25</v>
          </cell>
          <cell r="F610">
            <v>518.36</v>
          </cell>
          <cell r="G610">
            <v>2215.11</v>
          </cell>
          <cell r="H610">
            <v>5731.51</v>
          </cell>
          <cell r="I610">
            <v>9157.69</v>
          </cell>
          <cell r="J610">
            <v>92003</v>
          </cell>
          <cell r="K610" t="str">
            <v>AF</v>
          </cell>
          <cell r="L610">
            <v>1664.83</v>
          </cell>
          <cell r="N610">
            <v>0</v>
          </cell>
        </row>
        <row r="611">
          <cell r="A611">
            <v>992156</v>
          </cell>
          <cell r="B611">
            <v>9357</v>
          </cell>
          <cell r="C611">
            <v>819.71</v>
          </cell>
          <cell r="D611">
            <v>167.57</v>
          </cell>
          <cell r="E611">
            <v>501</v>
          </cell>
          <cell r="F611">
            <v>884.52</v>
          </cell>
          <cell r="G611">
            <v>5027.8100000000004</v>
          </cell>
          <cell r="H611">
            <v>7400.6100000000006</v>
          </cell>
          <cell r="I611">
            <v>26940.94</v>
          </cell>
          <cell r="J611">
            <v>91700</v>
          </cell>
          <cell r="K611" t="str">
            <v>AF</v>
          </cell>
          <cell r="L611">
            <v>0</v>
          </cell>
          <cell r="N611">
            <v>4944.01</v>
          </cell>
        </row>
        <row r="612">
          <cell r="H612">
            <v>0</v>
          </cell>
        </row>
        <row r="613">
          <cell r="A613" t="str">
            <v>TOTAIS</v>
          </cell>
          <cell r="C613">
            <v>76245.040000000023</v>
          </cell>
          <cell r="D613">
            <v>11463.259999999998</v>
          </cell>
          <cell r="E613">
            <v>3557.0099999999998</v>
          </cell>
          <cell r="F613">
            <v>20394.260000000002</v>
          </cell>
          <cell r="G613">
            <v>86985.279999999999</v>
          </cell>
          <cell r="H613">
            <v>198644.85000000003</v>
          </cell>
          <cell r="I613">
            <v>748110.91999999993</v>
          </cell>
          <cell r="L613">
            <v>7254.99</v>
          </cell>
          <cell r="N613">
            <v>34998.840000000004</v>
          </cell>
        </row>
        <row r="616">
          <cell r="A616" t="str">
            <v>MATERIAL DE CONSUMO - LOCAL 91</v>
          </cell>
        </row>
        <row r="617">
          <cell r="A617" t="str">
            <v>PROC</v>
          </cell>
          <cell r="B617" t="str">
            <v>NF</v>
          </cell>
          <cell r="C617" t="str">
            <v>FRETE</v>
          </cell>
          <cell r="D617" t="str">
            <v>SEG</v>
          </cell>
          <cell r="E617" t="str">
            <v>COM</v>
          </cell>
          <cell r="F617" t="str">
            <v>ALF</v>
          </cell>
          <cell r="G617" t="str">
            <v>IMP</v>
          </cell>
          <cell r="H617" t="str">
            <v>TOTAL</v>
          </cell>
          <cell r="I617" t="str">
            <v>FOB</v>
          </cell>
          <cell r="J617" t="str">
            <v>FORN</v>
          </cell>
          <cell r="K617" t="str">
            <v>TIPO</v>
          </cell>
          <cell r="L617" t="str">
            <v>DESP</v>
          </cell>
          <cell r="M617" t="str">
            <v>CC</v>
          </cell>
          <cell r="N617" t="str">
            <v>IPI</v>
          </cell>
          <cell r="O617" t="str">
            <v>ICMS</v>
          </cell>
        </row>
        <row r="618">
          <cell r="A618" t="str">
            <v/>
          </cell>
          <cell r="H618">
            <v>0</v>
          </cell>
        </row>
        <row r="619">
          <cell r="A619">
            <v>984765</v>
          </cell>
          <cell r="B619">
            <v>0</v>
          </cell>
          <cell r="C619">
            <v>92.92</v>
          </cell>
          <cell r="D619">
            <v>17.920000000000002</v>
          </cell>
          <cell r="E619">
            <v>495.55</v>
          </cell>
          <cell r="F619">
            <v>199.59</v>
          </cell>
          <cell r="G619">
            <v>570.38</v>
          </cell>
          <cell r="H619">
            <v>1376.3600000000001</v>
          </cell>
          <cell r="I619">
            <v>2890.72</v>
          </cell>
          <cell r="J619">
            <v>92004</v>
          </cell>
          <cell r="K619" t="str">
            <v>MC</v>
          </cell>
          <cell r="N619">
            <v>535.86</v>
          </cell>
          <cell r="O619">
            <v>739.51</v>
          </cell>
        </row>
        <row r="620">
          <cell r="A620">
            <v>985130</v>
          </cell>
          <cell r="B620">
            <v>9093</v>
          </cell>
          <cell r="C620">
            <v>44.48</v>
          </cell>
          <cell r="D620">
            <v>28.16</v>
          </cell>
          <cell r="E620">
            <v>495.55</v>
          </cell>
          <cell r="F620">
            <v>235.9</v>
          </cell>
          <cell r="G620">
            <v>918.85</v>
          </cell>
          <cell r="H620">
            <v>1722.94</v>
          </cell>
          <cell r="I620">
            <v>4542.5600000000004</v>
          </cell>
          <cell r="J620">
            <v>92004</v>
          </cell>
          <cell r="K620" t="str">
            <v>MC</v>
          </cell>
          <cell r="N620">
            <v>25.25</v>
          </cell>
          <cell r="O620">
            <v>667.15</v>
          </cell>
        </row>
        <row r="621">
          <cell r="A621">
            <v>991427</v>
          </cell>
          <cell r="B621">
            <v>9072</v>
          </cell>
          <cell r="C621">
            <v>258.77</v>
          </cell>
          <cell r="D621">
            <v>4.04</v>
          </cell>
          <cell r="E621">
            <v>517.53</v>
          </cell>
          <cell r="F621">
            <v>546</v>
          </cell>
          <cell r="G621">
            <v>540.55999999999995</v>
          </cell>
          <cell r="H621">
            <v>1866.8999999999999</v>
          </cell>
          <cell r="I621">
            <v>1480.22</v>
          </cell>
          <cell r="J621">
            <v>95003</v>
          </cell>
          <cell r="K621" t="str">
            <v>MC</v>
          </cell>
          <cell r="N621">
            <v>342.64</v>
          </cell>
          <cell r="O621">
            <v>472.85</v>
          </cell>
        </row>
        <row r="622">
          <cell r="A622">
            <v>991475</v>
          </cell>
          <cell r="B622">
            <v>9716</v>
          </cell>
          <cell r="C622">
            <v>135.82</v>
          </cell>
          <cell r="D622">
            <v>4.3499999999999996</v>
          </cell>
          <cell r="E622">
            <v>509.34</v>
          </cell>
          <cell r="F622">
            <v>162.59</v>
          </cell>
          <cell r="G622">
            <v>272.42</v>
          </cell>
          <cell r="H622">
            <v>1084.52</v>
          </cell>
          <cell r="I622">
            <v>1217.32</v>
          </cell>
          <cell r="J622">
            <v>91952</v>
          </cell>
          <cell r="K622" t="str">
            <v>MC</v>
          </cell>
          <cell r="N622">
            <v>164.51</v>
          </cell>
          <cell r="O622">
            <v>302.54000000000002</v>
          </cell>
        </row>
        <row r="623">
          <cell r="A623">
            <v>991551</v>
          </cell>
          <cell r="B623">
            <v>9768</v>
          </cell>
          <cell r="C623">
            <v>220.46</v>
          </cell>
          <cell r="D623">
            <v>95.58</v>
          </cell>
          <cell r="E623">
            <v>505.53</v>
          </cell>
          <cell r="F623">
            <v>597.54999999999995</v>
          </cell>
          <cell r="G623">
            <v>2883.8</v>
          </cell>
          <cell r="H623">
            <v>4302.92</v>
          </cell>
          <cell r="I623">
            <v>14861.86</v>
          </cell>
          <cell r="J623">
            <v>91953</v>
          </cell>
          <cell r="K623" t="str">
            <v>MC</v>
          </cell>
          <cell r="N623">
            <v>1444.94</v>
          </cell>
          <cell r="O623">
            <v>3510.78</v>
          </cell>
        </row>
        <row r="624">
          <cell r="A624">
            <v>991581</v>
          </cell>
          <cell r="B624">
            <v>9336</v>
          </cell>
          <cell r="C624">
            <v>84.05</v>
          </cell>
          <cell r="D624">
            <v>0.56999999999999995</v>
          </cell>
          <cell r="E624">
            <v>500.64</v>
          </cell>
          <cell r="F624">
            <v>136.03</v>
          </cell>
          <cell r="G624">
            <v>37.19</v>
          </cell>
          <cell r="H624">
            <v>758.48</v>
          </cell>
          <cell r="I624">
            <v>92.46</v>
          </cell>
          <cell r="J624">
            <v>91953</v>
          </cell>
          <cell r="K624" t="str">
            <v>MC</v>
          </cell>
          <cell r="N624">
            <v>21.43</v>
          </cell>
          <cell r="O624">
            <v>42.55</v>
          </cell>
        </row>
        <row r="625">
          <cell r="A625">
            <v>991665</v>
          </cell>
          <cell r="B625">
            <v>9084</v>
          </cell>
          <cell r="C625">
            <v>1640.12</v>
          </cell>
          <cell r="D625">
            <v>101.49</v>
          </cell>
          <cell r="E625">
            <v>519.41999999999996</v>
          </cell>
          <cell r="F625">
            <v>609.35</v>
          </cell>
          <cell r="G625">
            <v>2041.26</v>
          </cell>
          <cell r="H625">
            <v>4911.6399999999994</v>
          </cell>
          <cell r="I625">
            <v>13960.42</v>
          </cell>
          <cell r="J625">
            <v>91922</v>
          </cell>
          <cell r="K625" t="str">
            <v>MC</v>
          </cell>
          <cell r="N625">
            <v>1774.32</v>
          </cell>
          <cell r="O625">
            <v>3512.1</v>
          </cell>
        </row>
        <row r="626">
          <cell r="A626">
            <v>991877</v>
          </cell>
          <cell r="B626">
            <v>9597</v>
          </cell>
          <cell r="C626">
            <v>162.83000000000001</v>
          </cell>
          <cell r="D626">
            <v>4.04</v>
          </cell>
          <cell r="E626">
            <v>501</v>
          </cell>
          <cell r="F626">
            <v>164.22</v>
          </cell>
          <cell r="G626">
            <v>271.64</v>
          </cell>
          <cell r="H626">
            <v>1103.73</v>
          </cell>
          <cell r="I626">
            <v>1262.27</v>
          </cell>
          <cell r="J626">
            <v>97550</v>
          </cell>
          <cell r="K626" t="str">
            <v>MC</v>
          </cell>
          <cell r="N626">
            <v>340.26</v>
          </cell>
          <cell r="O626">
            <v>367.48</v>
          </cell>
        </row>
        <row r="627">
          <cell r="A627">
            <v>991906</v>
          </cell>
          <cell r="B627">
            <v>9763</v>
          </cell>
          <cell r="C627">
            <v>136.55000000000001</v>
          </cell>
          <cell r="D627">
            <v>21.03</v>
          </cell>
          <cell r="E627">
            <v>512.07000000000005</v>
          </cell>
          <cell r="F627">
            <v>297.58999999999997</v>
          </cell>
          <cell r="G627">
            <v>1240.51</v>
          </cell>
          <cell r="H627">
            <v>2207.75</v>
          </cell>
          <cell r="I627">
            <v>6371.62</v>
          </cell>
          <cell r="J627">
            <v>91330</v>
          </cell>
          <cell r="K627" t="str">
            <v>MC</v>
          </cell>
          <cell r="N627">
            <v>648.71</v>
          </cell>
          <cell r="O627">
            <v>1515.31</v>
          </cell>
        </row>
        <row r="628">
          <cell r="A628">
            <v>991952</v>
          </cell>
          <cell r="B628">
            <v>9627</v>
          </cell>
          <cell r="C628">
            <v>263.75</v>
          </cell>
          <cell r="D628">
            <v>0.7</v>
          </cell>
          <cell r="E628">
            <v>501</v>
          </cell>
          <cell r="F628">
            <v>140.52000000000001</v>
          </cell>
          <cell r="G628">
            <v>71.56</v>
          </cell>
          <cell r="H628">
            <v>977.53</v>
          </cell>
          <cell r="I628">
            <v>112.17</v>
          </cell>
          <cell r="J628">
            <v>91062</v>
          </cell>
          <cell r="K628" t="str">
            <v>MC</v>
          </cell>
          <cell r="N628">
            <v>0</v>
          </cell>
          <cell r="O628">
            <v>0</v>
          </cell>
        </row>
        <row r="629">
          <cell r="A629">
            <v>992041</v>
          </cell>
          <cell r="B629">
            <v>9148</v>
          </cell>
          <cell r="C629">
            <v>19069.759999999998</v>
          </cell>
          <cell r="D629">
            <v>440.85</v>
          </cell>
          <cell r="E629">
            <v>511.62</v>
          </cell>
          <cell r="F629">
            <v>1277.8900000000001</v>
          </cell>
          <cell r="G629">
            <v>9537.2000000000007</v>
          </cell>
          <cell r="H629">
            <v>30837.319999999996</v>
          </cell>
          <cell r="I629">
            <v>26064.720000000001</v>
          </cell>
          <cell r="J629">
            <v>92412</v>
          </cell>
          <cell r="K629" t="str">
            <v>MC</v>
          </cell>
          <cell r="N629">
            <v>8242.86</v>
          </cell>
          <cell r="O629">
            <v>7583.43</v>
          </cell>
        </row>
        <row r="630">
          <cell r="A630">
            <v>992094</v>
          </cell>
          <cell r="B630">
            <v>9239</v>
          </cell>
          <cell r="C630">
            <v>1840.01</v>
          </cell>
          <cell r="D630">
            <v>29.74</v>
          </cell>
          <cell r="E630">
            <v>497.25</v>
          </cell>
          <cell r="F630">
            <v>303.01</v>
          </cell>
          <cell r="G630">
            <v>1263.67</v>
          </cell>
          <cell r="H630">
            <v>3933.6800000000003</v>
          </cell>
          <cell r="I630">
            <v>4781.16</v>
          </cell>
          <cell r="J630">
            <v>91062</v>
          </cell>
          <cell r="K630" t="str">
            <v>MC</v>
          </cell>
          <cell r="N630">
            <v>1187.19</v>
          </cell>
          <cell r="O630">
            <v>1638.31</v>
          </cell>
        </row>
        <row r="631">
          <cell r="A631">
            <v>992183</v>
          </cell>
          <cell r="B631">
            <v>9645</v>
          </cell>
          <cell r="C631">
            <v>165.89</v>
          </cell>
          <cell r="D631">
            <v>17.100000000000001</v>
          </cell>
          <cell r="E631">
            <v>510.42</v>
          </cell>
          <cell r="F631">
            <v>256.36</v>
          </cell>
          <cell r="G631">
            <v>718.26</v>
          </cell>
          <cell r="H631">
            <v>1668.03</v>
          </cell>
          <cell r="I631">
            <v>5341.51</v>
          </cell>
          <cell r="J631">
            <v>91922</v>
          </cell>
          <cell r="K631" t="str">
            <v>MC</v>
          </cell>
          <cell r="N631">
            <v>624.33000000000004</v>
          </cell>
          <cell r="O631">
            <v>824.11</v>
          </cell>
        </row>
        <row r="632">
          <cell r="A632">
            <v>992187</v>
          </cell>
          <cell r="B632">
            <v>9769</v>
          </cell>
          <cell r="C632">
            <v>164.3</v>
          </cell>
          <cell r="D632">
            <v>3.74</v>
          </cell>
          <cell r="E632">
            <v>505.53</v>
          </cell>
          <cell r="F632">
            <v>158.31</v>
          </cell>
          <cell r="G632">
            <v>245.13</v>
          </cell>
          <cell r="H632">
            <v>1077.0099999999998</v>
          </cell>
          <cell r="I632">
            <v>999.26</v>
          </cell>
          <cell r="J632">
            <v>91915</v>
          </cell>
          <cell r="K632" t="str">
            <v>MC</v>
          </cell>
          <cell r="N632">
            <v>141.24</v>
          </cell>
          <cell r="O632">
            <v>279.66000000000003</v>
          </cell>
        </row>
        <row r="633">
          <cell r="A633">
            <v>992188</v>
          </cell>
          <cell r="B633">
            <v>9650</v>
          </cell>
          <cell r="C633">
            <v>85.47</v>
          </cell>
          <cell r="D633">
            <v>52.78</v>
          </cell>
          <cell r="E633">
            <v>510.42</v>
          </cell>
          <cell r="F633">
            <v>390.8</v>
          </cell>
          <cell r="G633">
            <v>1638.53</v>
          </cell>
          <cell r="H633">
            <v>2678</v>
          </cell>
          <cell r="I633">
            <v>8485.0300000000007</v>
          </cell>
          <cell r="J633">
            <v>91953</v>
          </cell>
          <cell r="K633" t="str">
            <v>MC</v>
          </cell>
          <cell r="N633">
            <v>820.99</v>
          </cell>
          <cell r="O633">
            <v>1995</v>
          </cell>
        </row>
        <row r="634">
          <cell r="A634">
            <v>992309</v>
          </cell>
          <cell r="B634">
            <v>9756</v>
          </cell>
          <cell r="C634">
            <v>415.06</v>
          </cell>
          <cell r="D634">
            <v>2.93</v>
          </cell>
          <cell r="E634">
            <v>505.53</v>
          </cell>
          <cell r="F634">
            <v>142.68</v>
          </cell>
          <cell r="G634">
            <v>94.5</v>
          </cell>
          <cell r="H634">
            <v>1160.7</v>
          </cell>
          <cell r="I634">
            <v>54.52</v>
          </cell>
          <cell r="J634">
            <v>93143</v>
          </cell>
          <cell r="K634" t="str">
            <v>MC</v>
          </cell>
          <cell r="N634">
            <v>56.7</v>
          </cell>
          <cell r="O634">
            <v>74.849999999999994</v>
          </cell>
        </row>
        <row r="635">
          <cell r="A635">
            <v>990537</v>
          </cell>
          <cell r="B635">
            <v>9697</v>
          </cell>
          <cell r="C635">
            <v>672</v>
          </cell>
          <cell r="D635">
            <v>89.32</v>
          </cell>
          <cell r="E635">
            <v>501.63</v>
          </cell>
          <cell r="F635">
            <v>883.35</v>
          </cell>
          <cell r="G635">
            <v>5250.81</v>
          </cell>
          <cell r="H635">
            <v>7397.1100000000006</v>
          </cell>
          <cell r="I635">
            <v>27121.46</v>
          </cell>
          <cell r="J635">
            <v>92004</v>
          </cell>
          <cell r="K635" t="str">
            <v>MC</v>
          </cell>
          <cell r="N635">
            <v>3444.48</v>
          </cell>
          <cell r="O635">
            <v>5706.17</v>
          </cell>
        </row>
        <row r="636">
          <cell r="A636">
            <v>991968</v>
          </cell>
          <cell r="B636">
            <v>9693</v>
          </cell>
          <cell r="C636">
            <v>626.41</v>
          </cell>
          <cell r="D636">
            <v>144.38</v>
          </cell>
          <cell r="E636">
            <v>505.53</v>
          </cell>
          <cell r="F636">
            <v>790.86</v>
          </cell>
          <cell r="G636">
            <v>4278.5</v>
          </cell>
          <cell r="H636">
            <v>6345.68</v>
          </cell>
          <cell r="I636">
            <v>22998.63</v>
          </cell>
          <cell r="J636">
            <v>91700</v>
          </cell>
          <cell r="K636" t="str">
            <v>MC</v>
          </cell>
          <cell r="N636">
            <v>4207.1899999999996</v>
          </cell>
          <cell r="O636">
            <v>5806.55</v>
          </cell>
        </row>
        <row r="637">
          <cell r="H637">
            <v>0</v>
          </cell>
        </row>
        <row r="638">
          <cell r="A638" t="str">
            <v>TOTAIS</v>
          </cell>
          <cell r="C638">
            <v>26078.649999999998</v>
          </cell>
          <cell r="D638">
            <v>1058.7199999999998</v>
          </cell>
          <cell r="E638">
            <v>9105.56</v>
          </cell>
          <cell r="F638">
            <v>7292.6</v>
          </cell>
          <cell r="G638">
            <v>31874.77</v>
          </cell>
          <cell r="H638">
            <v>75410.299999999988</v>
          </cell>
          <cell r="I638">
            <v>142637.91</v>
          </cell>
        </row>
        <row r="641">
          <cell r="H641">
            <v>0</v>
          </cell>
          <cell r="I641">
            <v>0</v>
          </cell>
        </row>
        <row r="642">
          <cell r="G642" t="str">
            <v>PROC</v>
          </cell>
          <cell r="H642" t="str">
            <v>FOB</v>
          </cell>
          <cell r="I642" t="str">
            <v>DESP</v>
          </cell>
        </row>
        <row r="643">
          <cell r="G643" t="str">
            <v/>
          </cell>
        </row>
      </sheetData>
      <sheetData sheetId="4"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766307.45000000054</v>
          </cell>
          <cell r="R3">
            <v>395695.67999999988</v>
          </cell>
          <cell r="S3">
            <v>245430.70999999979</v>
          </cell>
          <cell r="T3">
            <v>416247.13999999949</v>
          </cell>
          <cell r="U3">
            <v>1923934.2100000023</v>
          </cell>
          <cell r="V3">
            <v>14100207.839999987</v>
          </cell>
          <cell r="Y3">
            <v>122928.03</v>
          </cell>
          <cell r="Z3">
            <v>6990.1500000000005</v>
          </cell>
          <cell r="AA3">
            <v>3530.19</v>
          </cell>
          <cell r="AB3">
            <v>17691.47</v>
          </cell>
          <cell r="AC3">
            <v>136763.82999999996</v>
          </cell>
          <cell r="AD3">
            <v>1359279.5800000003</v>
          </cell>
        </row>
        <row r="4">
          <cell r="A4" t="str">
            <v>991100-SLR</v>
          </cell>
          <cell r="B4">
            <v>10008</v>
          </cell>
          <cell r="C4">
            <v>46454.17</v>
          </cell>
          <cell r="D4">
            <v>4145.01</v>
          </cell>
          <cell r="E4">
            <v>501.87</v>
          </cell>
          <cell r="F4">
            <v>15366.59</v>
          </cell>
          <cell r="G4">
            <v>141031.73000000001</v>
          </cell>
          <cell r="H4">
            <v>207499.37</v>
          </cell>
          <cell r="I4">
            <v>620980.47999999998</v>
          </cell>
          <cell r="J4">
            <v>91375</v>
          </cell>
          <cell r="K4" t="str">
            <v>MP</v>
          </cell>
        </row>
        <row r="5">
          <cell r="A5" t="str">
            <v>991224-SLR</v>
          </cell>
          <cell r="B5">
            <v>10052</v>
          </cell>
          <cell r="C5">
            <v>16072.01</v>
          </cell>
          <cell r="D5">
            <v>685.83</v>
          </cell>
          <cell r="E5">
            <v>495.54</v>
          </cell>
          <cell r="F5">
            <v>5425.37</v>
          </cell>
          <cell r="G5">
            <v>48246.98</v>
          </cell>
          <cell r="H5">
            <v>70925.73000000001</v>
          </cell>
          <cell r="I5">
            <v>212989.7</v>
          </cell>
          <cell r="J5">
            <v>91375</v>
          </cell>
          <cell r="K5" t="str">
            <v>MP</v>
          </cell>
        </row>
        <row r="6">
          <cell r="A6" t="str">
            <v>991257-SLR</v>
          </cell>
          <cell r="B6">
            <v>10009</v>
          </cell>
          <cell r="C6">
            <v>8568.82</v>
          </cell>
          <cell r="D6">
            <v>1467.84</v>
          </cell>
          <cell r="E6">
            <v>501.87</v>
          </cell>
          <cell r="F6">
            <v>5579.61</v>
          </cell>
          <cell r="G6">
            <v>44954.5</v>
          </cell>
          <cell r="H6">
            <v>61072.639999999999</v>
          </cell>
          <cell r="I6">
            <v>226565.98</v>
          </cell>
          <cell r="J6">
            <v>91437</v>
          </cell>
          <cell r="K6" t="str">
            <v>MP</v>
          </cell>
        </row>
        <row r="7">
          <cell r="A7" t="str">
            <v>991302-SLR</v>
          </cell>
          <cell r="B7">
            <v>9857</v>
          </cell>
          <cell r="C7">
            <v>22079.01</v>
          </cell>
          <cell r="D7">
            <v>455.23</v>
          </cell>
          <cell r="E7">
            <v>498.21</v>
          </cell>
          <cell r="F7">
            <v>2415.13</v>
          </cell>
          <cell r="G7">
            <v>11515.09</v>
          </cell>
          <cell r="H7">
            <v>36962.67</v>
          </cell>
          <cell r="I7">
            <v>73424.86</v>
          </cell>
          <cell r="J7">
            <v>91997</v>
          </cell>
          <cell r="K7" t="str">
            <v>MP</v>
          </cell>
        </row>
        <row r="8">
          <cell r="A8" t="str">
            <v>991354-SLR</v>
          </cell>
          <cell r="B8">
            <v>9995</v>
          </cell>
          <cell r="C8">
            <v>558.33000000000004</v>
          </cell>
          <cell r="D8">
            <v>511.67</v>
          </cell>
          <cell r="E8">
            <v>1888.02</v>
          </cell>
          <cell r="F8">
            <v>754.41</v>
          </cell>
          <cell r="G8">
            <v>11707.83</v>
          </cell>
          <cell r="H8">
            <v>15420.26</v>
          </cell>
          <cell r="I8">
            <v>82528.77</v>
          </cell>
          <cell r="J8">
            <v>90061</v>
          </cell>
          <cell r="K8" t="str">
            <v>MP</v>
          </cell>
        </row>
        <row r="9">
          <cell r="A9" t="str">
            <v>991385-SLR</v>
          </cell>
          <cell r="B9">
            <v>9860</v>
          </cell>
          <cell r="C9">
            <v>132.86000000000001</v>
          </cell>
          <cell r="D9">
            <v>177.28</v>
          </cell>
          <cell r="E9">
            <v>498.21</v>
          </cell>
          <cell r="F9">
            <v>1509.55</v>
          </cell>
          <cell r="G9">
            <v>10028</v>
          </cell>
          <cell r="H9">
            <v>12345.9</v>
          </cell>
          <cell r="I9">
            <v>55400.95</v>
          </cell>
          <cell r="J9">
            <v>92015</v>
          </cell>
          <cell r="K9" t="str">
            <v>MP</v>
          </cell>
        </row>
        <row r="10">
          <cell r="A10" t="str">
            <v>991409-SLR</v>
          </cell>
          <cell r="B10">
            <v>10199</v>
          </cell>
          <cell r="C10">
            <v>786.77</v>
          </cell>
          <cell r="D10">
            <v>219.39</v>
          </cell>
          <cell r="E10">
            <v>494.04</v>
          </cell>
          <cell r="F10">
            <v>1586.39</v>
          </cell>
          <cell r="G10">
            <v>3238.86</v>
          </cell>
          <cell r="H10">
            <v>6325.4500000000007</v>
          </cell>
          <cell r="I10">
            <v>34484.720000000001</v>
          </cell>
          <cell r="J10">
            <v>93013</v>
          </cell>
          <cell r="K10" t="str">
            <v>MP</v>
          </cell>
        </row>
        <row r="11">
          <cell r="A11" t="str">
            <v>991421-SLR</v>
          </cell>
          <cell r="B11">
            <v>9859</v>
          </cell>
          <cell r="C11">
            <v>1066.32</v>
          </cell>
          <cell r="D11">
            <v>128.47</v>
          </cell>
          <cell r="E11">
            <v>498.21</v>
          </cell>
          <cell r="F11">
            <v>727.08</v>
          </cell>
          <cell r="G11">
            <v>3977.57</v>
          </cell>
          <cell r="H11">
            <v>6397.65</v>
          </cell>
          <cell r="I11">
            <v>19739.77</v>
          </cell>
          <cell r="J11">
            <v>91437</v>
          </cell>
          <cell r="K11" t="str">
            <v>MP</v>
          </cell>
        </row>
        <row r="12">
          <cell r="A12" t="str">
            <v>991448-SLR</v>
          </cell>
          <cell r="B12">
            <v>10010</v>
          </cell>
          <cell r="C12">
            <v>2595.8000000000002</v>
          </cell>
          <cell r="D12">
            <v>678.6</v>
          </cell>
          <cell r="E12">
            <v>501.87</v>
          </cell>
          <cell r="F12">
            <v>5071.41</v>
          </cell>
          <cell r="G12">
            <v>27822.12</v>
          </cell>
          <cell r="H12">
            <v>36669.800000000003</v>
          </cell>
          <cell r="I12">
            <v>210741.9</v>
          </cell>
          <cell r="J12">
            <v>92107</v>
          </cell>
          <cell r="K12" t="str">
            <v>MP</v>
          </cell>
        </row>
        <row r="13">
          <cell r="A13" t="str">
            <v>991462-SLR</v>
          </cell>
          <cell r="B13">
            <v>9881</v>
          </cell>
          <cell r="C13">
            <v>832.76</v>
          </cell>
          <cell r="D13">
            <v>107.45</v>
          </cell>
          <cell r="E13">
            <v>498.21</v>
          </cell>
          <cell r="F13">
            <v>656.23</v>
          </cell>
          <cell r="G13">
            <v>3379.33</v>
          </cell>
          <cell r="H13">
            <v>5473.98</v>
          </cell>
          <cell r="I13">
            <v>16845.759999999998</v>
          </cell>
          <cell r="J13">
            <v>90570</v>
          </cell>
          <cell r="K13" t="str">
            <v>MP</v>
          </cell>
        </row>
        <row r="14">
          <cell r="A14" t="str">
            <v>991489-SLR</v>
          </cell>
          <cell r="B14">
            <v>10201</v>
          </cell>
          <cell r="C14">
            <v>454.85</v>
          </cell>
          <cell r="D14">
            <v>258</v>
          </cell>
          <cell r="E14">
            <v>500.1</v>
          </cell>
          <cell r="F14">
            <v>1234.75</v>
          </cell>
          <cell r="G14">
            <v>8264.57</v>
          </cell>
          <cell r="H14">
            <v>10712.27</v>
          </cell>
          <cell r="I14">
            <v>42784.88</v>
          </cell>
          <cell r="J14">
            <v>91431</v>
          </cell>
          <cell r="K14" t="str">
            <v>MP</v>
          </cell>
        </row>
        <row r="15">
          <cell r="A15" t="str">
            <v>991504-SLR</v>
          </cell>
          <cell r="B15">
            <v>10183</v>
          </cell>
          <cell r="C15">
            <v>420.92</v>
          </cell>
          <cell r="D15">
            <v>856.57</v>
          </cell>
          <cell r="E15">
            <v>497.1</v>
          </cell>
          <cell r="F15">
            <v>3251.97</v>
          </cell>
          <cell r="G15">
            <v>18641.27</v>
          </cell>
          <cell r="H15">
            <v>23667.83</v>
          </cell>
          <cell r="I15">
            <v>131874.53</v>
          </cell>
          <cell r="J15">
            <v>90614</v>
          </cell>
          <cell r="K15" t="str">
            <v>MP</v>
          </cell>
        </row>
        <row r="16">
          <cell r="A16" t="str">
            <v>991509-SLR</v>
          </cell>
          <cell r="B16">
            <v>10338</v>
          </cell>
          <cell r="C16">
            <v>3940.51</v>
          </cell>
          <cell r="D16">
            <v>1564.57</v>
          </cell>
          <cell r="E16">
            <v>508.89</v>
          </cell>
          <cell r="F16">
            <v>6057.79</v>
          </cell>
          <cell r="G16">
            <v>33521.17</v>
          </cell>
          <cell r="H16">
            <v>45592.93</v>
          </cell>
          <cell r="I16">
            <v>252350.07</v>
          </cell>
          <cell r="J16">
            <v>92107</v>
          </cell>
          <cell r="K16" t="str">
            <v>MP</v>
          </cell>
        </row>
        <row r="17">
          <cell r="A17" t="str">
            <v>991519-SLR</v>
          </cell>
          <cell r="B17">
            <v>0</v>
          </cell>
          <cell r="C17">
            <v>0</v>
          </cell>
          <cell r="D17">
            <v>0</v>
          </cell>
          <cell r="E17">
            <v>0.01</v>
          </cell>
          <cell r="F17">
            <v>0.02</v>
          </cell>
          <cell r="G17">
            <v>293.56</v>
          </cell>
          <cell r="H17">
            <v>293.58999999999997</v>
          </cell>
          <cell r="I17">
            <v>489.27</v>
          </cell>
          <cell r="J17">
            <v>92172</v>
          </cell>
          <cell r="K17" t="str">
            <v>MP</v>
          </cell>
        </row>
        <row r="18">
          <cell r="A18" t="str">
            <v>991529-SLR</v>
          </cell>
          <cell r="B18">
            <v>10333</v>
          </cell>
          <cell r="C18">
            <v>0</v>
          </cell>
          <cell r="D18">
            <v>0</v>
          </cell>
          <cell r="E18">
            <v>0</v>
          </cell>
          <cell r="F18">
            <v>19</v>
          </cell>
          <cell r="G18">
            <v>52.66</v>
          </cell>
          <cell r="H18">
            <v>71.66</v>
          </cell>
          <cell r="I18">
            <v>87.76</v>
          </cell>
          <cell r="J18">
            <v>92243</v>
          </cell>
          <cell r="K18" t="str">
            <v>MP</v>
          </cell>
        </row>
        <row r="19">
          <cell r="A19" t="str">
            <v>991542-SLR</v>
          </cell>
          <cell r="B19">
            <v>10320</v>
          </cell>
          <cell r="C19">
            <v>5857.07</v>
          </cell>
          <cell r="D19">
            <v>971.76</v>
          </cell>
          <cell r="E19">
            <v>505.02</v>
          </cell>
          <cell r="F19">
            <v>3620.95</v>
          </cell>
          <cell r="G19">
            <v>28414.68</v>
          </cell>
          <cell r="H19">
            <v>39369.479999999996</v>
          </cell>
          <cell r="I19">
            <v>142722.14000000001</v>
          </cell>
          <cell r="J19">
            <v>90442</v>
          </cell>
          <cell r="K19" t="str">
            <v>MP</v>
          </cell>
        </row>
        <row r="20">
          <cell r="A20" t="str">
            <v>991572-SLR</v>
          </cell>
          <cell r="B20">
            <v>10184</v>
          </cell>
          <cell r="C20">
            <v>6900.16</v>
          </cell>
          <cell r="D20">
            <v>195</v>
          </cell>
          <cell r="E20">
            <v>497.1</v>
          </cell>
          <cell r="F20">
            <v>1121.0899999999999</v>
          </cell>
          <cell r="G20">
            <v>8073.72</v>
          </cell>
          <cell r="H20">
            <v>16787.07</v>
          </cell>
          <cell r="I20">
            <v>31351.1</v>
          </cell>
          <cell r="J20">
            <v>91365</v>
          </cell>
          <cell r="K20" t="str">
            <v>MP</v>
          </cell>
        </row>
        <row r="21">
          <cell r="A21" t="str">
            <v>991598-SLR</v>
          </cell>
          <cell r="B21">
            <v>10037</v>
          </cell>
          <cell r="C21">
            <v>136.62</v>
          </cell>
          <cell r="D21">
            <v>136.77000000000001</v>
          </cell>
          <cell r="E21">
            <v>501.36</v>
          </cell>
          <cell r="F21">
            <v>1224.8599999999999</v>
          </cell>
          <cell r="G21">
            <v>6022.01</v>
          </cell>
          <cell r="H21">
            <v>8021.62</v>
          </cell>
          <cell r="I21">
            <v>42740.94</v>
          </cell>
          <cell r="J21">
            <v>90485</v>
          </cell>
          <cell r="K21" t="str">
            <v>MP</v>
          </cell>
        </row>
        <row r="22">
          <cell r="A22" t="str">
            <v>991605-SLR</v>
          </cell>
          <cell r="B22">
            <v>9869</v>
          </cell>
          <cell r="C22">
            <v>5030.66</v>
          </cell>
          <cell r="D22">
            <v>14388.29</v>
          </cell>
          <cell r="E22">
            <v>500.28</v>
          </cell>
          <cell r="F22">
            <v>52795.31</v>
          </cell>
          <cell r="G22">
            <v>117298.21</v>
          </cell>
          <cell r="H22">
            <v>190012.75</v>
          </cell>
          <cell r="I22">
            <v>2315660.04</v>
          </cell>
          <cell r="J22">
            <v>91578</v>
          </cell>
          <cell r="K22" t="str">
            <v>MP</v>
          </cell>
        </row>
        <row r="23">
          <cell r="A23" t="str">
            <v>991649-SLR</v>
          </cell>
          <cell r="B23">
            <v>10151</v>
          </cell>
          <cell r="C23">
            <v>866.78</v>
          </cell>
          <cell r="D23">
            <v>81.7</v>
          </cell>
          <cell r="E23">
            <v>0</v>
          </cell>
          <cell r="F23">
            <v>0</v>
          </cell>
          <cell r="G23">
            <v>4227.95</v>
          </cell>
          <cell r="H23">
            <v>5176.43</v>
          </cell>
          <cell r="I23">
            <v>22734.27</v>
          </cell>
          <cell r="J23">
            <v>92272</v>
          </cell>
          <cell r="K23" t="str">
            <v>MP</v>
          </cell>
        </row>
        <row r="24">
          <cell r="A24" t="str">
            <v>991683-SLR</v>
          </cell>
          <cell r="B24">
            <v>10339</v>
          </cell>
          <cell r="C24">
            <v>1159.73</v>
          </cell>
          <cell r="D24">
            <v>495.17</v>
          </cell>
          <cell r="E24">
            <v>508.89</v>
          </cell>
          <cell r="F24">
            <v>2090.29</v>
          </cell>
          <cell r="G24">
            <v>16304.39</v>
          </cell>
          <cell r="H24">
            <v>20558.47</v>
          </cell>
          <cell r="I24">
            <v>79866.89</v>
          </cell>
          <cell r="J24">
            <v>92224</v>
          </cell>
          <cell r="K24" t="str">
            <v>MP</v>
          </cell>
        </row>
        <row r="25">
          <cell r="A25" t="str">
            <v>991701-SLR</v>
          </cell>
          <cell r="B25">
            <v>10202</v>
          </cell>
          <cell r="C25">
            <v>662.63</v>
          </cell>
          <cell r="D25">
            <v>154.83000000000001</v>
          </cell>
          <cell r="E25">
            <v>500.1</v>
          </cell>
          <cell r="F25">
            <v>819.61</v>
          </cell>
          <cell r="G25">
            <v>5259.93</v>
          </cell>
          <cell r="H25">
            <v>7397.1</v>
          </cell>
          <cell r="I25">
            <v>24229.85</v>
          </cell>
          <cell r="J25">
            <v>92278</v>
          </cell>
          <cell r="K25" t="str">
            <v>MP</v>
          </cell>
        </row>
        <row r="26">
          <cell r="A26" t="str">
            <v>991709-SLR</v>
          </cell>
          <cell r="B26">
            <v>10357</v>
          </cell>
          <cell r="C26">
            <v>165.3</v>
          </cell>
          <cell r="D26">
            <v>291.17</v>
          </cell>
          <cell r="E26">
            <v>508.89</v>
          </cell>
          <cell r="F26">
            <v>2313.58</v>
          </cell>
          <cell r="G26">
            <v>12802.44</v>
          </cell>
          <cell r="H26">
            <v>16081.380000000001</v>
          </cell>
          <cell r="I26">
            <v>90989.53</v>
          </cell>
          <cell r="J26">
            <v>90097</v>
          </cell>
          <cell r="K26" t="str">
            <v>MP</v>
          </cell>
        </row>
        <row r="27">
          <cell r="A27" t="str">
            <v>991717-SLR</v>
          </cell>
          <cell r="B27">
            <v>10373</v>
          </cell>
          <cell r="C27">
            <v>5615.44</v>
          </cell>
          <cell r="D27">
            <v>984.98</v>
          </cell>
          <cell r="E27">
            <v>509.55</v>
          </cell>
          <cell r="F27">
            <v>3981.06</v>
          </cell>
          <cell r="G27">
            <v>31455.65</v>
          </cell>
          <cell r="H27">
            <v>42546.68</v>
          </cell>
          <cell r="I27">
            <v>158955.65</v>
          </cell>
          <cell r="J27">
            <v>91437</v>
          </cell>
          <cell r="K27" t="str">
            <v>MP</v>
          </cell>
        </row>
        <row r="28">
          <cell r="A28" t="str">
            <v>991729-SLR</v>
          </cell>
          <cell r="B28">
            <v>9848</v>
          </cell>
          <cell r="C28">
            <v>13657.98</v>
          </cell>
          <cell r="D28">
            <v>135.56</v>
          </cell>
          <cell r="E28">
            <v>500.28</v>
          </cell>
          <cell r="F28">
            <v>747.94</v>
          </cell>
          <cell r="G28">
            <v>2623.67</v>
          </cell>
          <cell r="H28">
            <v>17665.43</v>
          </cell>
          <cell r="I28">
            <v>8070.38</v>
          </cell>
          <cell r="J28">
            <v>93086</v>
          </cell>
          <cell r="K28" t="str">
            <v>MP</v>
          </cell>
        </row>
        <row r="29">
          <cell r="A29" t="str">
            <v>991734-SLR</v>
          </cell>
          <cell r="B29">
            <v>10340</v>
          </cell>
          <cell r="C29">
            <v>307.95999999999998</v>
          </cell>
          <cell r="D29">
            <v>235.06</v>
          </cell>
          <cell r="E29">
            <v>508.89</v>
          </cell>
          <cell r="F29">
            <v>1914.15</v>
          </cell>
          <cell r="G29">
            <v>3684.67</v>
          </cell>
          <cell r="H29">
            <v>6650.73</v>
          </cell>
          <cell r="I29">
            <v>73150.39</v>
          </cell>
          <cell r="J29">
            <v>91147</v>
          </cell>
          <cell r="K29" t="str">
            <v>MP</v>
          </cell>
        </row>
        <row r="30">
          <cell r="A30" t="str">
            <v>991749-SLR</v>
          </cell>
          <cell r="B30">
            <v>10186</v>
          </cell>
          <cell r="C30">
            <v>3716.88</v>
          </cell>
          <cell r="D30">
            <v>124.67</v>
          </cell>
          <cell r="E30">
            <v>497.1</v>
          </cell>
          <cell r="F30">
            <v>793.45</v>
          </cell>
          <cell r="G30">
            <v>5015.75</v>
          </cell>
          <cell r="H30">
            <v>10147.85</v>
          </cell>
          <cell r="I30">
            <v>20043.07</v>
          </cell>
          <cell r="J30">
            <v>91365</v>
          </cell>
          <cell r="K30" t="str">
            <v>MP</v>
          </cell>
        </row>
        <row r="31">
          <cell r="A31" t="str">
            <v>991767-SLR</v>
          </cell>
          <cell r="B31">
            <v>10310</v>
          </cell>
          <cell r="C31">
            <v>3453.93</v>
          </cell>
          <cell r="D31">
            <v>280.74</v>
          </cell>
          <cell r="E31">
            <v>505.02</v>
          </cell>
          <cell r="F31">
            <v>2040.15</v>
          </cell>
          <cell r="G31">
            <v>15065.76</v>
          </cell>
          <cell r="H31">
            <v>21345.599999999999</v>
          </cell>
          <cell r="I31">
            <v>75558.78</v>
          </cell>
          <cell r="J31">
            <v>90442</v>
          </cell>
          <cell r="K31" t="str">
            <v>MP</v>
          </cell>
        </row>
        <row r="32">
          <cell r="A32" t="str">
            <v>991796-SLR</v>
          </cell>
          <cell r="B32">
            <v>9837</v>
          </cell>
          <cell r="C32">
            <v>387.72</v>
          </cell>
          <cell r="D32">
            <v>101.76</v>
          </cell>
          <cell r="E32">
            <v>500.28</v>
          </cell>
          <cell r="F32">
            <v>978.08</v>
          </cell>
          <cell r="G32">
            <v>1326.31</v>
          </cell>
          <cell r="H32">
            <v>3294.15</v>
          </cell>
          <cell r="I32">
            <v>31601.02</v>
          </cell>
          <cell r="J32">
            <v>92166</v>
          </cell>
          <cell r="K32" t="str">
            <v>MP</v>
          </cell>
        </row>
        <row r="33">
          <cell r="A33" t="str">
            <v>991814-SLR</v>
          </cell>
          <cell r="B33">
            <v>10055</v>
          </cell>
          <cell r="C33">
            <v>442.43</v>
          </cell>
          <cell r="D33">
            <v>89.25</v>
          </cell>
          <cell r="E33">
            <v>495.54</v>
          </cell>
          <cell r="F33">
            <v>680.24</v>
          </cell>
          <cell r="G33">
            <v>3295.07</v>
          </cell>
          <cell r="H33">
            <v>5002.5300000000007</v>
          </cell>
          <cell r="I33">
            <v>18321.3</v>
          </cell>
          <cell r="J33">
            <v>93021</v>
          </cell>
          <cell r="K33" t="str">
            <v>MP</v>
          </cell>
        </row>
        <row r="34">
          <cell r="A34" t="str">
            <v>991815-SLR</v>
          </cell>
          <cell r="B34">
            <v>10058</v>
          </cell>
          <cell r="C34">
            <v>948.46</v>
          </cell>
          <cell r="D34">
            <v>114.82</v>
          </cell>
          <cell r="E34">
            <v>495.54</v>
          </cell>
          <cell r="F34">
            <v>691.8</v>
          </cell>
          <cell r="G34">
            <v>3679.66</v>
          </cell>
          <cell r="H34">
            <v>5930.28</v>
          </cell>
          <cell r="I34">
            <v>18303.36</v>
          </cell>
          <cell r="J34">
            <v>93006</v>
          </cell>
          <cell r="K34" t="str">
            <v>MP</v>
          </cell>
        </row>
        <row r="35">
          <cell r="A35" t="str">
            <v>991817-SLR</v>
          </cell>
          <cell r="B35">
            <v>10341</v>
          </cell>
          <cell r="C35">
            <v>165.39</v>
          </cell>
          <cell r="D35">
            <v>86.31</v>
          </cell>
          <cell r="E35">
            <v>508.89</v>
          </cell>
          <cell r="F35">
            <v>868.56</v>
          </cell>
          <cell r="G35">
            <v>5172.3500000000004</v>
          </cell>
          <cell r="H35">
            <v>6801.5</v>
          </cell>
          <cell r="I35">
            <v>26971.17</v>
          </cell>
          <cell r="J35">
            <v>90685</v>
          </cell>
          <cell r="K35" t="str">
            <v>MP</v>
          </cell>
        </row>
        <row r="36">
          <cell r="A36" t="str">
            <v>991822-SLR</v>
          </cell>
          <cell r="B36">
            <v>9996</v>
          </cell>
          <cell r="C36">
            <v>493.52</v>
          </cell>
          <cell r="D36">
            <v>190.39</v>
          </cell>
          <cell r="E36">
            <v>702.24</v>
          </cell>
          <cell r="F36">
            <v>754.41</v>
          </cell>
          <cell r="G36">
            <v>1750.94</v>
          </cell>
          <cell r="H36">
            <v>3891.5</v>
          </cell>
          <cell r="I36">
            <v>30213.66</v>
          </cell>
          <cell r="J36">
            <v>91462</v>
          </cell>
          <cell r="K36" t="str">
            <v>MP</v>
          </cell>
        </row>
        <row r="37">
          <cell r="A37" t="str">
            <v>991831-SLR</v>
          </cell>
          <cell r="B37">
            <v>10151</v>
          </cell>
          <cell r="C37">
            <v>1226.03</v>
          </cell>
          <cell r="D37">
            <v>667.95</v>
          </cell>
          <cell r="E37">
            <v>495.3</v>
          </cell>
          <cell r="F37">
            <v>2722.69</v>
          </cell>
          <cell r="G37">
            <v>14251.68</v>
          </cell>
          <cell r="H37">
            <v>19363.650000000001</v>
          </cell>
          <cell r="I37">
            <v>107734.35</v>
          </cell>
          <cell r="J37">
            <v>92107</v>
          </cell>
          <cell r="K37" t="str">
            <v>MP</v>
          </cell>
        </row>
        <row r="38">
          <cell r="A38" t="str">
            <v>991835-SLR</v>
          </cell>
          <cell r="B38">
            <v>9788</v>
          </cell>
          <cell r="C38">
            <v>1381.32</v>
          </cell>
          <cell r="D38">
            <v>601.52</v>
          </cell>
          <cell r="E38">
            <v>500.28</v>
          </cell>
          <cell r="F38">
            <v>2483.59</v>
          </cell>
          <cell r="G38">
            <v>12870.21</v>
          </cell>
          <cell r="H38">
            <v>17836.919999999998</v>
          </cell>
          <cell r="I38">
            <v>97018.8</v>
          </cell>
          <cell r="J38">
            <v>92183</v>
          </cell>
          <cell r="K38" t="str">
            <v>MP</v>
          </cell>
        </row>
        <row r="39">
          <cell r="A39" t="str">
            <v>991839-SLR</v>
          </cell>
          <cell r="B39">
            <v>10385</v>
          </cell>
          <cell r="C39">
            <v>21744.5</v>
          </cell>
          <cell r="D39">
            <v>430.59</v>
          </cell>
          <cell r="E39">
            <v>508.89</v>
          </cell>
          <cell r="F39">
            <v>1818.68</v>
          </cell>
          <cell r="G39">
            <v>12622.65</v>
          </cell>
          <cell r="H39">
            <v>37125.31</v>
          </cell>
          <cell r="I39">
            <v>47275.37</v>
          </cell>
          <cell r="J39">
            <v>92233</v>
          </cell>
          <cell r="K39" t="str">
            <v>MP</v>
          </cell>
        </row>
        <row r="40">
          <cell r="A40" t="str">
            <v>991841-SLR</v>
          </cell>
          <cell r="B40">
            <v>9789</v>
          </cell>
          <cell r="C40">
            <v>11430.15</v>
          </cell>
          <cell r="D40">
            <v>145.9</v>
          </cell>
          <cell r="E40">
            <v>500.28</v>
          </cell>
          <cell r="F40">
            <v>1046</v>
          </cell>
          <cell r="G40">
            <v>4213.1099999999997</v>
          </cell>
          <cell r="H40">
            <v>17335.439999999999</v>
          </cell>
          <cell r="I40">
            <v>23533.19</v>
          </cell>
          <cell r="J40">
            <v>92253</v>
          </cell>
          <cell r="K40" t="str">
            <v>MP</v>
          </cell>
        </row>
        <row r="41">
          <cell r="A41" t="str">
            <v>991842-SLR</v>
          </cell>
          <cell r="B41">
            <v>10153</v>
          </cell>
          <cell r="C41">
            <v>191.52</v>
          </cell>
          <cell r="D41">
            <v>99.67</v>
          </cell>
          <cell r="E41">
            <v>495.3</v>
          </cell>
          <cell r="F41">
            <v>963.39</v>
          </cell>
          <cell r="G41">
            <v>4401.22</v>
          </cell>
          <cell r="H41">
            <v>6151.1</v>
          </cell>
          <cell r="I41">
            <v>31146.12</v>
          </cell>
          <cell r="J41">
            <v>91982</v>
          </cell>
          <cell r="K41" t="str">
            <v>MP</v>
          </cell>
        </row>
        <row r="42">
          <cell r="A42" t="str">
            <v>991846-SLR</v>
          </cell>
          <cell r="B42">
            <v>10203</v>
          </cell>
          <cell r="C42">
            <v>875.18</v>
          </cell>
          <cell r="D42">
            <v>124.64</v>
          </cell>
          <cell r="E42">
            <v>500.1</v>
          </cell>
          <cell r="F42">
            <v>349</v>
          </cell>
          <cell r="G42">
            <v>7016.28</v>
          </cell>
          <cell r="H42">
            <v>8865.2000000000007</v>
          </cell>
          <cell r="I42">
            <v>38707.74</v>
          </cell>
          <cell r="J42">
            <v>92272</v>
          </cell>
          <cell r="K42" t="str">
            <v>MP</v>
          </cell>
        </row>
        <row r="43">
          <cell r="A43" t="str">
            <v>991865-SLR</v>
          </cell>
          <cell r="B43">
            <v>9959</v>
          </cell>
          <cell r="C43">
            <v>622.9</v>
          </cell>
          <cell r="D43">
            <v>517.69000000000005</v>
          </cell>
          <cell r="E43">
            <v>501.02</v>
          </cell>
          <cell r="F43">
            <v>1282.56</v>
          </cell>
          <cell r="G43">
            <v>2478.4699999999998</v>
          </cell>
          <cell r="H43">
            <v>5402.6399999999994</v>
          </cell>
          <cell r="I43">
            <v>45022.34</v>
          </cell>
          <cell r="J43">
            <v>91462</v>
          </cell>
          <cell r="K43" t="str">
            <v>MP</v>
          </cell>
        </row>
        <row r="44">
          <cell r="A44" t="str">
            <v>991885-SLR</v>
          </cell>
          <cell r="B44">
            <v>10342</v>
          </cell>
          <cell r="C44">
            <v>315.85000000000002</v>
          </cell>
          <cell r="D44">
            <v>127.7</v>
          </cell>
          <cell r="E44">
            <v>508.89</v>
          </cell>
          <cell r="F44">
            <v>718.59</v>
          </cell>
          <cell r="G44">
            <v>1850.17</v>
          </cell>
          <cell r="H44">
            <v>3521.2000000000003</v>
          </cell>
          <cell r="I44">
            <v>20113.88</v>
          </cell>
          <cell r="J44">
            <v>93041</v>
          </cell>
          <cell r="K44" t="str">
            <v>MP</v>
          </cell>
        </row>
        <row r="45">
          <cell r="A45" t="str">
            <v>991897-SLR</v>
          </cell>
          <cell r="B45">
            <v>10205</v>
          </cell>
          <cell r="C45">
            <v>2235.6</v>
          </cell>
          <cell r="D45">
            <v>206.59</v>
          </cell>
          <cell r="E45">
            <v>500.1</v>
          </cell>
          <cell r="F45">
            <v>349</v>
          </cell>
          <cell r="G45">
            <v>4394.8500000000004</v>
          </cell>
          <cell r="H45">
            <v>7686.14</v>
          </cell>
          <cell r="I45">
            <v>33320.660000000003</v>
          </cell>
          <cell r="J45">
            <v>92316</v>
          </cell>
          <cell r="K45" t="str">
            <v>MP</v>
          </cell>
        </row>
        <row r="46">
          <cell r="A46" t="str">
            <v>991898-SLR</v>
          </cell>
          <cell r="B46">
            <v>9790</v>
          </cell>
          <cell r="C46">
            <v>22170.74</v>
          </cell>
          <cell r="D46">
            <v>281.26</v>
          </cell>
          <cell r="E46">
            <v>500.28</v>
          </cell>
          <cell r="F46">
            <v>1781.92</v>
          </cell>
          <cell r="G46">
            <v>8137.97</v>
          </cell>
          <cell r="H46">
            <v>32872.17</v>
          </cell>
          <cell r="I46">
            <v>45364.39</v>
          </cell>
          <cell r="J46">
            <v>91997</v>
          </cell>
          <cell r="K46" t="str">
            <v>MP</v>
          </cell>
        </row>
        <row r="47">
          <cell r="A47" t="str">
            <v>991899-SLR</v>
          </cell>
          <cell r="B47">
            <v>9961</v>
          </cell>
          <cell r="C47">
            <v>1391.66</v>
          </cell>
          <cell r="D47">
            <v>111.45</v>
          </cell>
          <cell r="E47">
            <v>498.21</v>
          </cell>
          <cell r="F47">
            <v>693.05</v>
          </cell>
          <cell r="G47">
            <v>369.19</v>
          </cell>
          <cell r="H47">
            <v>3063.56</v>
          </cell>
          <cell r="I47">
            <v>17918.95</v>
          </cell>
          <cell r="J47">
            <v>93166</v>
          </cell>
          <cell r="K47" t="str">
            <v>MP</v>
          </cell>
        </row>
        <row r="48">
          <cell r="A48" t="str">
            <v>991903-SLR</v>
          </cell>
          <cell r="B48">
            <v>10343</v>
          </cell>
          <cell r="C48">
            <v>1390.42</v>
          </cell>
          <cell r="D48">
            <v>611.17999999999995</v>
          </cell>
          <cell r="E48">
            <v>508.89</v>
          </cell>
          <cell r="F48">
            <v>2519.09</v>
          </cell>
          <cell r="G48">
            <v>20115.919999999998</v>
          </cell>
          <cell r="H48">
            <v>25145.5</v>
          </cell>
          <cell r="I48">
            <v>98578.01</v>
          </cell>
          <cell r="J48">
            <v>92224</v>
          </cell>
          <cell r="K48" t="str">
            <v>MP</v>
          </cell>
        </row>
        <row r="49">
          <cell r="A49" t="str">
            <v>991912-SLR</v>
          </cell>
          <cell r="B49">
            <v>9866</v>
          </cell>
          <cell r="C49">
            <v>601.57000000000005</v>
          </cell>
          <cell r="D49">
            <v>1146.95</v>
          </cell>
          <cell r="E49">
            <v>498.21</v>
          </cell>
          <cell r="F49">
            <v>4443.83</v>
          </cell>
          <cell r="G49">
            <v>9306.2999999999993</v>
          </cell>
          <cell r="H49">
            <v>15996.859999999999</v>
          </cell>
          <cell r="I49">
            <v>184377.56</v>
          </cell>
          <cell r="J49">
            <v>91578</v>
          </cell>
          <cell r="K49" t="str">
            <v>MP</v>
          </cell>
        </row>
        <row r="50">
          <cell r="A50" t="str">
            <v>991920-SLR</v>
          </cell>
          <cell r="B50">
            <v>9863</v>
          </cell>
          <cell r="C50">
            <v>7855.11</v>
          </cell>
          <cell r="D50">
            <v>210.36</v>
          </cell>
          <cell r="E50">
            <v>498.21</v>
          </cell>
          <cell r="F50">
            <v>1907.37</v>
          </cell>
          <cell r="G50">
            <v>8807.09</v>
          </cell>
          <cell r="H50">
            <v>19278.14</v>
          </cell>
          <cell r="I50">
            <v>65326.96</v>
          </cell>
          <cell r="J50">
            <v>91996</v>
          </cell>
          <cell r="K50" t="str">
            <v>MP</v>
          </cell>
        </row>
        <row r="51">
          <cell r="A51" t="str">
            <v>991921-SLR</v>
          </cell>
          <cell r="B51">
            <v>10212</v>
          </cell>
          <cell r="C51">
            <v>2022.23</v>
          </cell>
          <cell r="D51">
            <v>68.05</v>
          </cell>
          <cell r="E51">
            <v>495.3</v>
          </cell>
          <cell r="F51">
            <v>1054.31</v>
          </cell>
          <cell r="G51">
            <v>4412.95</v>
          </cell>
          <cell r="H51">
            <v>8052.84</v>
          </cell>
          <cell r="I51">
            <v>21135.77</v>
          </cell>
          <cell r="J51">
            <v>92251</v>
          </cell>
          <cell r="K51" t="str">
            <v>MP</v>
          </cell>
        </row>
        <row r="52">
          <cell r="A52" t="str">
            <v>991923-SLR</v>
          </cell>
          <cell r="B52">
            <v>10154</v>
          </cell>
          <cell r="C52">
            <v>481.99</v>
          </cell>
          <cell r="D52">
            <v>140.19999999999999</v>
          </cell>
          <cell r="E52">
            <v>495.3</v>
          </cell>
          <cell r="F52">
            <v>778.82</v>
          </cell>
          <cell r="G52">
            <v>3020.46</v>
          </cell>
          <cell r="H52">
            <v>4916.7700000000004</v>
          </cell>
          <cell r="I52">
            <v>22612.1</v>
          </cell>
          <cell r="J52">
            <v>92107</v>
          </cell>
          <cell r="K52" t="str">
            <v>MP</v>
          </cell>
        </row>
        <row r="53">
          <cell r="A53" t="str">
            <v>991929-SLR</v>
          </cell>
          <cell r="B53">
            <v>10155</v>
          </cell>
          <cell r="C53">
            <v>1420.34</v>
          </cell>
          <cell r="D53">
            <v>57.16</v>
          </cell>
          <cell r="E53">
            <v>495.3</v>
          </cell>
          <cell r="F53">
            <v>688.63</v>
          </cell>
          <cell r="G53">
            <v>2883.86</v>
          </cell>
          <cell r="H53">
            <v>5545.29</v>
          </cell>
          <cell r="I53">
            <v>17748.25</v>
          </cell>
          <cell r="J53">
            <v>92284</v>
          </cell>
          <cell r="K53" t="str">
            <v>MP</v>
          </cell>
        </row>
        <row r="54">
          <cell r="A54" t="str">
            <v>991935-SLR</v>
          </cell>
          <cell r="B54">
            <v>10198</v>
          </cell>
          <cell r="C54">
            <v>3612.81</v>
          </cell>
          <cell r="D54">
            <v>108.47</v>
          </cell>
          <cell r="E54">
            <v>495.3</v>
          </cell>
          <cell r="F54">
            <v>733.53</v>
          </cell>
          <cell r="G54">
            <v>2546.56</v>
          </cell>
          <cell r="H54">
            <v>7496.67</v>
          </cell>
          <cell r="I54">
            <v>17500.07</v>
          </cell>
          <cell r="J54">
            <v>93072</v>
          </cell>
          <cell r="K54" t="str">
            <v>MP</v>
          </cell>
        </row>
        <row r="55">
          <cell r="A55" t="str">
            <v>991959-SLR</v>
          </cell>
          <cell r="B55">
            <v>9913</v>
          </cell>
          <cell r="C55">
            <v>6987.83</v>
          </cell>
          <cell r="D55">
            <v>74.52</v>
          </cell>
          <cell r="E55">
            <v>502.05</v>
          </cell>
          <cell r="F55">
            <v>776.75</v>
          </cell>
          <cell r="G55">
            <v>2777.06</v>
          </cell>
          <cell r="H55">
            <v>11118.210000000001</v>
          </cell>
          <cell r="I55">
            <v>16079.82</v>
          </cell>
          <cell r="J55">
            <v>92000</v>
          </cell>
          <cell r="K55" t="str">
            <v>MP</v>
          </cell>
        </row>
        <row r="56">
          <cell r="A56" t="str">
            <v>991969-SLR</v>
          </cell>
          <cell r="B56">
            <v>9905</v>
          </cell>
          <cell r="C56">
            <v>1519.84</v>
          </cell>
          <cell r="D56">
            <v>1010.28</v>
          </cell>
          <cell r="E56">
            <v>505.53</v>
          </cell>
          <cell r="F56">
            <v>3877.4</v>
          </cell>
          <cell r="G56">
            <v>30576.880000000001</v>
          </cell>
          <cell r="H56">
            <v>37489.93</v>
          </cell>
          <cell r="I56">
            <v>11159.53</v>
          </cell>
          <cell r="J56">
            <v>93020</v>
          </cell>
          <cell r="K56" t="str">
            <v>MP</v>
          </cell>
        </row>
        <row r="57">
          <cell r="A57" t="str">
            <v>991970-SLR</v>
          </cell>
          <cell r="B57">
            <v>10334</v>
          </cell>
          <cell r="C57">
            <v>0</v>
          </cell>
          <cell r="D57">
            <v>0</v>
          </cell>
          <cell r="E57">
            <v>0</v>
          </cell>
          <cell r="F57">
            <v>0</v>
          </cell>
          <cell r="G57">
            <v>170.04</v>
          </cell>
          <cell r="H57">
            <v>170.04</v>
          </cell>
          <cell r="I57">
            <v>283.39999999999998</v>
          </cell>
          <cell r="J57">
            <v>90459</v>
          </cell>
          <cell r="K57" t="str">
            <v>MP</v>
          </cell>
        </row>
        <row r="58">
          <cell r="A58" t="str">
            <v>991972-SLR</v>
          </cell>
          <cell r="B58">
            <v>10331</v>
          </cell>
          <cell r="C58">
            <v>0</v>
          </cell>
          <cell r="D58">
            <v>0</v>
          </cell>
          <cell r="E58">
            <v>0.01</v>
          </cell>
          <cell r="F58">
            <v>18.8</v>
          </cell>
          <cell r="G58">
            <v>108.59</v>
          </cell>
          <cell r="H58">
            <v>127.4</v>
          </cell>
          <cell r="I58">
            <v>180.98</v>
          </cell>
          <cell r="J58">
            <v>91974</v>
          </cell>
          <cell r="K58" t="str">
            <v>MP</v>
          </cell>
        </row>
        <row r="59">
          <cell r="A59" t="str">
            <v>991975-SLR</v>
          </cell>
          <cell r="B59">
            <v>10335</v>
          </cell>
          <cell r="C59">
            <v>0</v>
          </cell>
          <cell r="D59">
            <v>0</v>
          </cell>
          <cell r="E59">
            <v>0</v>
          </cell>
          <cell r="F59">
            <v>18.100000000000001</v>
          </cell>
          <cell r="G59">
            <v>226.66</v>
          </cell>
          <cell r="H59">
            <v>244.76</v>
          </cell>
          <cell r="I59">
            <v>377.77</v>
          </cell>
          <cell r="J59">
            <v>92259</v>
          </cell>
          <cell r="K59" t="str">
            <v>MP</v>
          </cell>
        </row>
        <row r="60">
          <cell r="A60" t="str">
            <v>991978-SLR</v>
          </cell>
          <cell r="B60">
            <v>10381</v>
          </cell>
          <cell r="C60">
            <v>0</v>
          </cell>
          <cell r="D60">
            <v>0</v>
          </cell>
          <cell r="E60">
            <v>0</v>
          </cell>
          <cell r="F60">
            <v>18.190000000000001</v>
          </cell>
          <cell r="G60">
            <v>351.61</v>
          </cell>
          <cell r="H60">
            <v>369.8</v>
          </cell>
          <cell r="I60">
            <v>586.01</v>
          </cell>
          <cell r="J60">
            <v>92172</v>
          </cell>
          <cell r="K60" t="str">
            <v>MP</v>
          </cell>
        </row>
        <row r="61">
          <cell r="A61" t="str">
            <v>992020-SLR</v>
          </cell>
          <cell r="B61">
            <v>10256</v>
          </cell>
          <cell r="C61">
            <v>2435.2800000000002</v>
          </cell>
          <cell r="D61">
            <v>78.099999999999994</v>
          </cell>
          <cell r="E61">
            <v>499.77</v>
          </cell>
          <cell r="F61">
            <v>858.26</v>
          </cell>
          <cell r="G61">
            <v>3211.77</v>
          </cell>
          <cell r="H61">
            <v>7083.18</v>
          </cell>
          <cell r="I61">
            <v>24251.34</v>
          </cell>
          <cell r="J61">
            <v>92316</v>
          </cell>
          <cell r="K61" t="str">
            <v>MP</v>
          </cell>
        </row>
        <row r="62">
          <cell r="A62" t="str">
            <v>992028-SLR</v>
          </cell>
          <cell r="B62">
            <v>10156</v>
          </cell>
          <cell r="C62">
            <v>17478.939999999999</v>
          </cell>
          <cell r="D62">
            <v>189.83</v>
          </cell>
          <cell r="E62">
            <v>495.3</v>
          </cell>
          <cell r="F62">
            <v>1582.46</v>
          </cell>
          <cell r="G62">
            <v>7074.23</v>
          </cell>
          <cell r="H62">
            <v>26820.76</v>
          </cell>
          <cell r="I62">
            <v>41283.17</v>
          </cell>
          <cell r="J62">
            <v>92000</v>
          </cell>
          <cell r="K62" t="str">
            <v>MP</v>
          </cell>
        </row>
        <row r="63">
          <cell r="A63" t="str">
            <v>992035-SLR</v>
          </cell>
          <cell r="B63">
            <v>10345</v>
          </cell>
          <cell r="C63">
            <v>518.39</v>
          </cell>
          <cell r="D63">
            <v>112.41</v>
          </cell>
          <cell r="E63">
            <v>508.89</v>
          </cell>
          <cell r="F63">
            <v>1055.73</v>
          </cell>
          <cell r="G63">
            <v>7108.25</v>
          </cell>
          <cell r="H63">
            <v>9303.67</v>
          </cell>
          <cell r="I63">
            <v>34910.43</v>
          </cell>
          <cell r="J63">
            <v>92224</v>
          </cell>
          <cell r="K63" t="str">
            <v>MP</v>
          </cell>
        </row>
        <row r="64">
          <cell r="A64" t="str">
            <v>992037-SLR</v>
          </cell>
          <cell r="B64">
            <v>10317</v>
          </cell>
          <cell r="C64">
            <v>358.75</v>
          </cell>
          <cell r="D64">
            <v>108.56</v>
          </cell>
          <cell r="E64">
            <v>505.02</v>
          </cell>
          <cell r="F64">
            <v>649.33000000000004</v>
          </cell>
          <cell r="G64">
            <v>2272.3000000000002</v>
          </cell>
          <cell r="H64">
            <v>3893.96</v>
          </cell>
          <cell r="I64">
            <v>17011.95</v>
          </cell>
          <cell r="J64">
            <v>91431</v>
          </cell>
          <cell r="K64" t="str">
            <v>MP</v>
          </cell>
        </row>
        <row r="65">
          <cell r="A65" t="str">
            <v>992043-SLR</v>
          </cell>
          <cell r="B65">
            <v>10336</v>
          </cell>
          <cell r="C65">
            <v>0</v>
          </cell>
          <cell r="D65">
            <v>0</v>
          </cell>
          <cell r="E65">
            <v>0.01</v>
          </cell>
          <cell r="F65">
            <v>17.649999999999999</v>
          </cell>
          <cell r="G65">
            <v>334.41</v>
          </cell>
          <cell r="H65">
            <v>352.07000000000005</v>
          </cell>
          <cell r="I65">
            <v>556.46</v>
          </cell>
          <cell r="J65">
            <v>91323</v>
          </cell>
          <cell r="K65" t="str">
            <v>MP</v>
          </cell>
        </row>
        <row r="66">
          <cell r="A66" t="str">
            <v>992056-SLR</v>
          </cell>
          <cell r="B66">
            <v>10157</v>
          </cell>
          <cell r="C66">
            <v>12565.51</v>
          </cell>
          <cell r="D66">
            <v>83.36</v>
          </cell>
          <cell r="E66">
            <v>495.3</v>
          </cell>
          <cell r="F66">
            <v>1123.1199999999999</v>
          </cell>
          <cell r="G66">
            <v>4624.3900000000003</v>
          </cell>
          <cell r="H66">
            <v>18891.68</v>
          </cell>
          <cell r="I66">
            <v>25887.71</v>
          </cell>
          <cell r="J66">
            <v>92253</v>
          </cell>
          <cell r="K66" t="str">
            <v>MP</v>
          </cell>
        </row>
        <row r="67">
          <cell r="A67" t="str">
            <v>992072-SLR</v>
          </cell>
          <cell r="B67">
            <v>10312</v>
          </cell>
          <cell r="C67">
            <v>176.76</v>
          </cell>
          <cell r="D67">
            <v>69.12</v>
          </cell>
          <cell r="E67">
            <v>505.02</v>
          </cell>
          <cell r="F67">
            <v>744.51</v>
          </cell>
          <cell r="G67">
            <v>651.28</v>
          </cell>
          <cell r="H67">
            <v>2146.6899999999996</v>
          </cell>
          <cell r="I67">
            <v>21463.35</v>
          </cell>
          <cell r="J67">
            <v>92360</v>
          </cell>
          <cell r="K67" t="str">
            <v>MP</v>
          </cell>
        </row>
        <row r="68">
          <cell r="A68" t="str">
            <v>992079-SLR</v>
          </cell>
          <cell r="B68">
            <v>10033</v>
          </cell>
          <cell r="C68">
            <v>136.81</v>
          </cell>
          <cell r="D68">
            <v>30.42</v>
          </cell>
          <cell r="E68">
            <v>513.03</v>
          </cell>
          <cell r="F68">
            <v>437.61</v>
          </cell>
          <cell r="G68">
            <v>1838.32</v>
          </cell>
          <cell r="H68">
            <v>2956.1899999999996</v>
          </cell>
          <cell r="I68">
            <v>9508.16</v>
          </cell>
          <cell r="J68">
            <v>92015</v>
          </cell>
          <cell r="K68" t="str">
            <v>MP</v>
          </cell>
        </row>
        <row r="69">
          <cell r="A69" t="str">
            <v>992087-SLR</v>
          </cell>
          <cell r="B69">
            <v>10187</v>
          </cell>
          <cell r="C69">
            <v>15434.96</v>
          </cell>
          <cell r="D69">
            <v>237.55</v>
          </cell>
          <cell r="E69">
            <v>497.1</v>
          </cell>
          <cell r="F69">
            <v>1470.72</v>
          </cell>
          <cell r="G69">
            <v>7644.35</v>
          </cell>
          <cell r="H69">
            <v>25284.68</v>
          </cell>
          <cell r="I69">
            <v>38313.15</v>
          </cell>
          <cell r="J69">
            <v>91996</v>
          </cell>
          <cell r="K69" t="str">
            <v>MP</v>
          </cell>
        </row>
        <row r="70">
          <cell r="A70" t="str">
            <v>992089-SLR</v>
          </cell>
          <cell r="B70">
            <v>10313</v>
          </cell>
          <cell r="C70">
            <v>526</v>
          </cell>
          <cell r="D70">
            <v>149.82</v>
          </cell>
          <cell r="E70">
            <v>505.02</v>
          </cell>
          <cell r="F70">
            <v>556.16</v>
          </cell>
          <cell r="G70">
            <v>3172.62</v>
          </cell>
          <cell r="H70">
            <v>4909.62</v>
          </cell>
          <cell r="I70">
            <v>23728.95</v>
          </cell>
          <cell r="J70">
            <v>92109</v>
          </cell>
          <cell r="K70" t="str">
            <v>MP</v>
          </cell>
        </row>
        <row r="71">
          <cell r="A71" t="str">
            <v>992112-SLR</v>
          </cell>
          <cell r="B71">
            <v>9876</v>
          </cell>
          <cell r="C71">
            <v>391.06</v>
          </cell>
          <cell r="D71">
            <v>163.01</v>
          </cell>
          <cell r="E71">
            <v>498.21</v>
          </cell>
          <cell r="F71">
            <v>845.58</v>
          </cell>
          <cell r="G71">
            <v>3135.9</v>
          </cell>
          <cell r="H71">
            <v>5033.76</v>
          </cell>
          <cell r="I71">
            <v>25647.85</v>
          </cell>
          <cell r="J71">
            <v>90503</v>
          </cell>
          <cell r="K71" t="str">
            <v>MP</v>
          </cell>
        </row>
        <row r="72">
          <cell r="A72" t="str">
            <v>992120-SLR</v>
          </cell>
          <cell r="B72">
            <v>10245</v>
          </cell>
          <cell r="C72">
            <v>279.22000000000003</v>
          </cell>
          <cell r="D72">
            <v>101.15</v>
          </cell>
          <cell r="E72">
            <v>500.1</v>
          </cell>
          <cell r="F72">
            <v>969.54</v>
          </cell>
          <cell r="G72">
            <v>1926.83</v>
          </cell>
          <cell r="H72">
            <v>3776.84</v>
          </cell>
          <cell r="I72">
            <v>31330.43</v>
          </cell>
          <cell r="J72">
            <v>90083</v>
          </cell>
          <cell r="K72" t="str">
            <v>MP</v>
          </cell>
        </row>
        <row r="73">
          <cell r="A73" t="str">
            <v>992124-SLR</v>
          </cell>
          <cell r="B73">
            <v>9935</v>
          </cell>
          <cell r="C73">
            <v>3342.95</v>
          </cell>
          <cell r="D73">
            <v>633.01</v>
          </cell>
          <cell r="E73">
            <v>505.41</v>
          </cell>
          <cell r="F73">
            <v>2545.86</v>
          </cell>
          <cell r="G73">
            <v>13230.02</v>
          </cell>
          <cell r="H73">
            <v>20257.25</v>
          </cell>
          <cell r="I73">
            <v>97793.47</v>
          </cell>
          <cell r="J73">
            <v>92107</v>
          </cell>
          <cell r="K73" t="str">
            <v>MP</v>
          </cell>
        </row>
        <row r="74">
          <cell r="A74" t="str">
            <v>992125-SLR</v>
          </cell>
          <cell r="B74">
            <v>9862</v>
          </cell>
          <cell r="C74">
            <v>1255.54</v>
          </cell>
          <cell r="D74">
            <v>826.12</v>
          </cell>
          <cell r="E74">
            <v>498.21</v>
          </cell>
          <cell r="F74">
            <v>3205.83</v>
          </cell>
          <cell r="G74">
            <v>24118.560000000001</v>
          </cell>
          <cell r="H74">
            <v>29904.260000000002</v>
          </cell>
          <cell r="I74">
            <v>129020.01</v>
          </cell>
          <cell r="J74">
            <v>93022</v>
          </cell>
          <cell r="K74" t="str">
            <v>MP</v>
          </cell>
        </row>
        <row r="75">
          <cell r="A75" t="str">
            <v>992126-SLR</v>
          </cell>
          <cell r="B75">
            <v>9868</v>
          </cell>
          <cell r="C75">
            <v>15469.42</v>
          </cell>
          <cell r="D75">
            <v>330.18</v>
          </cell>
          <cell r="E75">
            <v>498.21</v>
          </cell>
          <cell r="F75">
            <v>1809.77</v>
          </cell>
          <cell r="G75">
            <v>8860.85</v>
          </cell>
          <cell r="H75">
            <v>26968.43</v>
          </cell>
          <cell r="I75">
            <v>53254.76</v>
          </cell>
          <cell r="J75">
            <v>91996</v>
          </cell>
          <cell r="K75" t="str">
            <v>MP</v>
          </cell>
        </row>
        <row r="76">
          <cell r="A76" t="str">
            <v>992129-SLR</v>
          </cell>
          <cell r="B76">
            <v>9865</v>
          </cell>
          <cell r="C76">
            <v>313.58999999999997</v>
          </cell>
          <cell r="D76">
            <v>14.15</v>
          </cell>
          <cell r="E76">
            <v>505.53</v>
          </cell>
          <cell r="F76">
            <v>190.61</v>
          </cell>
          <cell r="G76">
            <v>234.24</v>
          </cell>
          <cell r="H76">
            <v>1258.1199999999999</v>
          </cell>
          <cell r="I76">
            <v>2274.89</v>
          </cell>
          <cell r="J76">
            <v>92240</v>
          </cell>
          <cell r="K76" t="str">
            <v>MP</v>
          </cell>
        </row>
        <row r="77">
          <cell r="A77" t="str">
            <v>992138-SLR</v>
          </cell>
          <cell r="B77">
            <v>9936</v>
          </cell>
          <cell r="C77">
            <v>469.61</v>
          </cell>
          <cell r="D77">
            <v>107.58</v>
          </cell>
          <cell r="E77">
            <v>505.41</v>
          </cell>
          <cell r="F77">
            <v>1012.49</v>
          </cell>
          <cell r="G77">
            <v>3225.47</v>
          </cell>
          <cell r="H77">
            <v>5320.5599999999995</v>
          </cell>
          <cell r="I77">
            <v>33042.69</v>
          </cell>
          <cell r="J77">
            <v>90061</v>
          </cell>
          <cell r="K77" t="str">
            <v>MP</v>
          </cell>
        </row>
        <row r="78">
          <cell r="A78" t="str">
            <v>992139-SLR</v>
          </cell>
          <cell r="B78">
            <v>9842</v>
          </cell>
          <cell r="C78">
            <v>250.47</v>
          </cell>
          <cell r="D78">
            <v>6.64</v>
          </cell>
          <cell r="E78">
            <v>500.28</v>
          </cell>
          <cell r="F78">
            <v>178.72</v>
          </cell>
          <cell r="G78">
            <v>394.09</v>
          </cell>
          <cell r="H78">
            <v>1330.2</v>
          </cell>
          <cell r="I78">
            <v>1817.27</v>
          </cell>
          <cell r="J78">
            <v>91591</v>
          </cell>
          <cell r="K78" t="str">
            <v>MP</v>
          </cell>
        </row>
        <row r="79">
          <cell r="A79" t="str">
            <v>992157-SLR</v>
          </cell>
          <cell r="B79">
            <v>10011</v>
          </cell>
          <cell r="C79">
            <v>4585.25</v>
          </cell>
          <cell r="D79">
            <v>1789.05</v>
          </cell>
          <cell r="E79">
            <v>501.87</v>
          </cell>
          <cell r="F79">
            <v>1039.3599999999999</v>
          </cell>
          <cell r="G79">
            <v>6266.46</v>
          </cell>
          <cell r="H79">
            <v>14181.99</v>
          </cell>
          <cell r="I79">
            <v>30013.200000000001</v>
          </cell>
          <cell r="J79">
            <v>92158</v>
          </cell>
          <cell r="K79" t="str">
            <v>MP</v>
          </cell>
        </row>
        <row r="80">
          <cell r="A80" t="str">
            <v>992159-SLR</v>
          </cell>
          <cell r="B80">
            <v>9791</v>
          </cell>
          <cell r="C80">
            <v>407.43</v>
          </cell>
          <cell r="D80">
            <v>28.75</v>
          </cell>
          <cell r="E80">
            <v>500.28</v>
          </cell>
          <cell r="F80">
            <v>236.09</v>
          </cell>
          <cell r="G80">
            <v>832.34</v>
          </cell>
          <cell r="H80">
            <v>2004.8899999999999</v>
          </cell>
          <cell r="I80">
            <v>4187.93</v>
          </cell>
          <cell r="J80">
            <v>92130</v>
          </cell>
          <cell r="K80" t="str">
            <v>MP</v>
          </cell>
        </row>
        <row r="81">
          <cell r="A81" t="str">
            <v>992175-SLR</v>
          </cell>
          <cell r="B81">
            <v>10346</v>
          </cell>
          <cell r="C81">
            <v>267.17</v>
          </cell>
          <cell r="D81">
            <v>86.49</v>
          </cell>
          <cell r="E81">
            <v>508.89</v>
          </cell>
          <cell r="F81">
            <v>864.18</v>
          </cell>
          <cell r="G81">
            <v>3783.92</v>
          </cell>
          <cell r="H81">
            <v>5510.65</v>
          </cell>
          <cell r="I81">
            <v>26674.32</v>
          </cell>
          <cell r="J81">
            <v>90496</v>
          </cell>
          <cell r="K81" t="str">
            <v>MP</v>
          </cell>
        </row>
        <row r="82">
          <cell r="A82" t="str">
            <v>992176-SLR</v>
          </cell>
          <cell r="B82">
            <v>9967</v>
          </cell>
          <cell r="C82">
            <v>34697.949999999997</v>
          </cell>
          <cell r="D82">
            <v>3204.56</v>
          </cell>
          <cell r="E82">
            <v>502.02</v>
          </cell>
          <cell r="F82">
            <v>11718.67</v>
          </cell>
          <cell r="G82">
            <v>82482.460000000006</v>
          </cell>
          <cell r="H82">
            <v>132605.66</v>
          </cell>
          <cell r="I82">
            <v>476573.58</v>
          </cell>
          <cell r="J82">
            <v>92376</v>
          </cell>
          <cell r="K82" t="str">
            <v>MP</v>
          </cell>
        </row>
        <row r="83">
          <cell r="A83" t="str">
            <v>992177-SLR</v>
          </cell>
          <cell r="B83">
            <v>9892</v>
          </cell>
          <cell r="C83">
            <v>79.099999999999994</v>
          </cell>
          <cell r="D83">
            <v>6.79</v>
          </cell>
          <cell r="E83">
            <v>502.05</v>
          </cell>
          <cell r="F83">
            <v>156.57</v>
          </cell>
          <cell r="G83">
            <v>177.81</v>
          </cell>
          <cell r="H83">
            <v>922.31999999999994</v>
          </cell>
          <cell r="I83">
            <v>1004.1</v>
          </cell>
          <cell r="J83">
            <v>93158</v>
          </cell>
          <cell r="K83" t="str">
            <v>MP</v>
          </cell>
        </row>
        <row r="84">
          <cell r="A84" t="str">
            <v>992190-SLR</v>
          </cell>
          <cell r="B84">
            <v>9889</v>
          </cell>
          <cell r="C84">
            <v>173.63</v>
          </cell>
          <cell r="D84">
            <v>107.07</v>
          </cell>
          <cell r="E84">
            <v>502.05</v>
          </cell>
          <cell r="F84">
            <v>1008.85</v>
          </cell>
          <cell r="G84">
            <v>1672.89</v>
          </cell>
          <cell r="H84">
            <v>3464.49</v>
          </cell>
          <cell r="I84">
            <v>33177.14</v>
          </cell>
          <cell r="J84">
            <v>90083</v>
          </cell>
          <cell r="K84" t="str">
            <v>MP</v>
          </cell>
        </row>
        <row r="85">
          <cell r="A85" t="str">
            <v>992193-SLR</v>
          </cell>
          <cell r="B85">
            <v>9792</v>
          </cell>
          <cell r="C85">
            <v>730.38</v>
          </cell>
          <cell r="D85">
            <v>52.3</v>
          </cell>
          <cell r="E85">
            <v>500.28</v>
          </cell>
          <cell r="F85">
            <v>379.6</v>
          </cell>
          <cell r="G85">
            <v>1590.7</v>
          </cell>
          <cell r="H85">
            <v>3253.26</v>
          </cell>
          <cell r="I85">
            <v>7589.44</v>
          </cell>
          <cell r="J85">
            <v>93006</v>
          </cell>
          <cell r="K85" t="str">
            <v>MP</v>
          </cell>
        </row>
        <row r="86">
          <cell r="A86" t="str">
            <v>992194-SLR</v>
          </cell>
          <cell r="B86">
            <v>9793</v>
          </cell>
          <cell r="C86">
            <v>232.46</v>
          </cell>
          <cell r="D86">
            <v>28.62</v>
          </cell>
          <cell r="E86">
            <v>500.28</v>
          </cell>
          <cell r="F86">
            <v>404.92</v>
          </cell>
          <cell r="G86">
            <v>1698.78</v>
          </cell>
          <cell r="H86">
            <v>2865.06</v>
          </cell>
          <cell r="I86">
            <v>8679.86</v>
          </cell>
          <cell r="J86">
            <v>90402</v>
          </cell>
          <cell r="K86" t="str">
            <v>MP</v>
          </cell>
        </row>
        <row r="87">
          <cell r="A87" t="str">
            <v>992207-SLR</v>
          </cell>
          <cell r="B87">
            <v>10050</v>
          </cell>
          <cell r="C87">
            <v>8848.24</v>
          </cell>
          <cell r="D87">
            <v>2141.15</v>
          </cell>
          <cell r="E87">
            <v>501.02</v>
          </cell>
          <cell r="F87">
            <v>7948.58</v>
          </cell>
          <cell r="G87">
            <v>44745.93</v>
          </cell>
          <cell r="H87">
            <v>64184.92</v>
          </cell>
          <cell r="I87">
            <v>333210.02</v>
          </cell>
          <cell r="J87">
            <v>92107</v>
          </cell>
          <cell r="K87" t="str">
            <v>MP</v>
          </cell>
        </row>
        <row r="88">
          <cell r="A88" t="str">
            <v>992210-SLR</v>
          </cell>
          <cell r="B88">
            <v>0</v>
          </cell>
          <cell r="C88">
            <v>3825.17</v>
          </cell>
          <cell r="D88">
            <v>48.27</v>
          </cell>
          <cell r="E88">
            <v>494.04</v>
          </cell>
          <cell r="F88">
            <v>517.79999999999995</v>
          </cell>
          <cell r="G88">
            <v>2210.3000000000002</v>
          </cell>
          <cell r="H88">
            <v>7095.5800000000008</v>
          </cell>
          <cell r="I88">
            <v>7759.72</v>
          </cell>
          <cell r="J88">
            <v>93016</v>
          </cell>
          <cell r="K88" t="str">
            <v>MP</v>
          </cell>
        </row>
        <row r="89">
          <cell r="A89" t="str">
            <v>992214-SLR</v>
          </cell>
          <cell r="B89">
            <v>10189</v>
          </cell>
          <cell r="C89">
            <v>182.27</v>
          </cell>
          <cell r="D89">
            <v>339.44</v>
          </cell>
          <cell r="E89">
            <v>497.1</v>
          </cell>
          <cell r="F89">
            <v>2642.68</v>
          </cell>
          <cell r="G89">
            <v>14850.17</v>
          </cell>
          <cell r="H89">
            <v>18511.66</v>
          </cell>
          <cell r="I89">
            <v>105550.9</v>
          </cell>
          <cell r="J89">
            <v>92393</v>
          </cell>
          <cell r="K89" t="str">
            <v>MP</v>
          </cell>
        </row>
        <row r="90">
          <cell r="A90" t="str">
            <v>992233-SLR</v>
          </cell>
          <cell r="B90">
            <v>10121</v>
          </cell>
          <cell r="C90">
            <v>668.16</v>
          </cell>
          <cell r="D90">
            <v>221.87</v>
          </cell>
          <cell r="E90">
            <v>501.36</v>
          </cell>
          <cell r="F90">
            <v>1067.04</v>
          </cell>
          <cell r="G90">
            <v>3245.41</v>
          </cell>
          <cell r="H90">
            <v>5703.84</v>
          </cell>
          <cell r="I90">
            <v>35117.449999999997</v>
          </cell>
          <cell r="J90">
            <v>93013</v>
          </cell>
          <cell r="K90" t="str">
            <v>MP</v>
          </cell>
        </row>
        <row r="91">
          <cell r="A91" t="str">
            <v>992236-SLR</v>
          </cell>
          <cell r="B91">
            <v>9795</v>
          </cell>
          <cell r="C91">
            <v>154.1</v>
          </cell>
          <cell r="D91">
            <v>2.63</v>
          </cell>
          <cell r="E91">
            <v>500.28</v>
          </cell>
          <cell r="F91">
            <v>141.43</v>
          </cell>
          <cell r="G91">
            <v>79.55</v>
          </cell>
          <cell r="H91">
            <v>877.99</v>
          </cell>
          <cell r="I91">
            <v>261.97000000000003</v>
          </cell>
          <cell r="J91">
            <v>93013</v>
          </cell>
          <cell r="K91" t="str">
            <v>MP</v>
          </cell>
        </row>
        <row r="92">
          <cell r="A92" t="str">
            <v>992240-SLR</v>
          </cell>
          <cell r="B92">
            <v>9796</v>
          </cell>
          <cell r="C92">
            <v>133.41</v>
          </cell>
          <cell r="D92">
            <v>67.42</v>
          </cell>
          <cell r="E92">
            <v>500.28</v>
          </cell>
          <cell r="F92">
            <v>490.92</v>
          </cell>
          <cell r="G92">
            <v>1522.29</v>
          </cell>
          <cell r="H92">
            <v>2714.3199999999997</v>
          </cell>
          <cell r="I92">
            <v>10672.64</v>
          </cell>
          <cell r="J92">
            <v>92370</v>
          </cell>
          <cell r="K92" t="str">
            <v>MP</v>
          </cell>
        </row>
        <row r="93">
          <cell r="A93" t="str">
            <v>992243-SLR</v>
          </cell>
          <cell r="B93">
            <v>9938</v>
          </cell>
          <cell r="C93">
            <v>4765.0200000000004</v>
          </cell>
          <cell r="D93">
            <v>30.38</v>
          </cell>
          <cell r="E93">
            <v>505.41</v>
          </cell>
          <cell r="F93">
            <v>576.24</v>
          </cell>
          <cell r="G93">
            <v>2359.15</v>
          </cell>
          <cell r="H93">
            <v>8236.2000000000007</v>
          </cell>
          <cell r="I93">
            <v>9435.6299999999992</v>
          </cell>
          <cell r="J93">
            <v>91999</v>
          </cell>
          <cell r="K93" t="str">
            <v>MP</v>
          </cell>
        </row>
        <row r="94">
          <cell r="A94" t="str">
            <v>992244-SLR</v>
          </cell>
          <cell r="B94">
            <v>10133</v>
          </cell>
          <cell r="C94">
            <v>7858.42</v>
          </cell>
          <cell r="D94">
            <v>243.3</v>
          </cell>
          <cell r="E94">
            <v>498.42</v>
          </cell>
          <cell r="F94">
            <v>1321.24</v>
          </cell>
          <cell r="G94">
            <v>6224.28</v>
          </cell>
          <cell r="H94">
            <v>16145.66</v>
          </cell>
          <cell r="I94">
            <v>39240.269999999997</v>
          </cell>
          <cell r="J94">
            <v>92315</v>
          </cell>
          <cell r="K94" t="str">
            <v>MP</v>
          </cell>
        </row>
        <row r="95">
          <cell r="A95" t="str">
            <v>992249-SLR</v>
          </cell>
          <cell r="B95">
            <v>9781</v>
          </cell>
          <cell r="C95">
            <v>575.32000000000005</v>
          </cell>
          <cell r="D95">
            <v>37.4</v>
          </cell>
          <cell r="E95">
            <v>500.28</v>
          </cell>
          <cell r="F95">
            <v>519.01</v>
          </cell>
          <cell r="G95">
            <v>1636.22</v>
          </cell>
          <cell r="H95">
            <v>3268.23</v>
          </cell>
          <cell r="I95">
            <v>11074.53</v>
          </cell>
          <cell r="J95">
            <v>90061</v>
          </cell>
          <cell r="K95" t="str">
            <v>MP</v>
          </cell>
        </row>
        <row r="96">
          <cell r="A96" t="str">
            <v>992250-SLR</v>
          </cell>
          <cell r="B96">
            <v>9797</v>
          </cell>
          <cell r="C96">
            <v>833.97</v>
          </cell>
          <cell r="D96">
            <v>25.96</v>
          </cell>
          <cell r="E96">
            <v>500.28</v>
          </cell>
          <cell r="F96">
            <v>225.96</v>
          </cell>
          <cell r="G96">
            <v>793.02</v>
          </cell>
          <cell r="H96">
            <v>2379.19</v>
          </cell>
          <cell r="I96">
            <v>3313.85</v>
          </cell>
          <cell r="J96">
            <v>93049</v>
          </cell>
          <cell r="K96" t="str">
            <v>MP</v>
          </cell>
        </row>
        <row r="97">
          <cell r="A97" t="str">
            <v>992251-SLR</v>
          </cell>
          <cell r="B97">
            <v>9921</v>
          </cell>
          <cell r="C97">
            <v>3072.5</v>
          </cell>
          <cell r="D97">
            <v>70.5</v>
          </cell>
          <cell r="E97">
            <v>502.05</v>
          </cell>
          <cell r="F97">
            <v>511.12</v>
          </cell>
          <cell r="G97">
            <v>2153.9299999999998</v>
          </cell>
          <cell r="H97">
            <v>6310.1</v>
          </cell>
          <cell r="I97">
            <v>8193.4599999999991</v>
          </cell>
          <cell r="J97">
            <v>93016</v>
          </cell>
          <cell r="K97" t="str">
            <v>MP</v>
          </cell>
        </row>
        <row r="98">
          <cell r="A98" t="str">
            <v>992254-SLR</v>
          </cell>
          <cell r="B98">
            <v>10257</v>
          </cell>
          <cell r="C98">
            <v>518.28</v>
          </cell>
          <cell r="D98">
            <v>150.13</v>
          </cell>
          <cell r="E98">
            <v>499.77</v>
          </cell>
          <cell r="F98">
            <v>815.9</v>
          </cell>
          <cell r="G98">
            <v>5225.28</v>
          </cell>
          <cell r="H98">
            <v>7209.36</v>
          </cell>
          <cell r="I98">
            <v>24213.86</v>
          </cell>
          <cell r="J98">
            <v>92278</v>
          </cell>
          <cell r="K98" t="str">
            <v>MP</v>
          </cell>
        </row>
        <row r="99">
          <cell r="A99" t="str">
            <v>992255-SLR</v>
          </cell>
          <cell r="B99">
            <v>9798</v>
          </cell>
          <cell r="C99">
            <v>191.77</v>
          </cell>
          <cell r="D99">
            <v>6.09</v>
          </cell>
          <cell r="E99">
            <v>500.28</v>
          </cell>
          <cell r="F99">
            <v>154.05000000000001</v>
          </cell>
          <cell r="G99">
            <v>185.78</v>
          </cell>
          <cell r="H99">
            <v>1037.97</v>
          </cell>
          <cell r="I99">
            <v>779.95</v>
          </cell>
          <cell r="J99">
            <v>90322</v>
          </cell>
          <cell r="K99" t="str">
            <v>MP</v>
          </cell>
        </row>
        <row r="100">
          <cell r="A100" t="str">
            <v>992256-SLR</v>
          </cell>
          <cell r="B100">
            <v>10135</v>
          </cell>
          <cell r="C100">
            <v>249.21</v>
          </cell>
          <cell r="D100">
            <v>67.69</v>
          </cell>
          <cell r="E100">
            <v>498.42</v>
          </cell>
          <cell r="F100">
            <v>728.95</v>
          </cell>
          <cell r="G100">
            <v>3929.66</v>
          </cell>
          <cell r="H100">
            <v>5473.93</v>
          </cell>
          <cell r="I100">
            <v>20701.04</v>
          </cell>
          <cell r="J100">
            <v>92172</v>
          </cell>
          <cell r="K100" t="str">
            <v>MP</v>
          </cell>
        </row>
        <row r="101">
          <cell r="A101" t="str">
            <v>992257-SLR</v>
          </cell>
          <cell r="B101">
            <v>9849</v>
          </cell>
          <cell r="C101">
            <v>209.25</v>
          </cell>
          <cell r="D101">
            <v>241.42</v>
          </cell>
          <cell r="E101">
            <v>498.21</v>
          </cell>
          <cell r="F101">
            <v>1132.1400000000001</v>
          </cell>
          <cell r="G101">
            <v>8156.7</v>
          </cell>
          <cell r="H101">
            <v>10237.719999999999</v>
          </cell>
          <cell r="I101">
            <v>38486.720000000001</v>
          </cell>
          <cell r="J101">
            <v>91349</v>
          </cell>
          <cell r="K101" t="str">
            <v>MP</v>
          </cell>
        </row>
        <row r="102">
          <cell r="A102" t="str">
            <v>992265-SLR</v>
          </cell>
          <cell r="B102">
            <v>9799</v>
          </cell>
          <cell r="C102">
            <v>183.44</v>
          </cell>
          <cell r="D102">
            <v>5.67</v>
          </cell>
          <cell r="E102">
            <v>500.28</v>
          </cell>
          <cell r="F102">
            <v>171.94</v>
          </cell>
          <cell r="G102">
            <v>336.85</v>
          </cell>
          <cell r="H102">
            <v>1198.1799999999998</v>
          </cell>
          <cell r="I102">
            <v>1583.8</v>
          </cell>
          <cell r="J102">
            <v>91591</v>
          </cell>
          <cell r="K102" t="str">
            <v>MP</v>
          </cell>
        </row>
        <row r="103">
          <cell r="A103" t="str">
            <v>992269-SLR</v>
          </cell>
          <cell r="B103">
            <v>9845</v>
          </cell>
          <cell r="C103">
            <v>442.8</v>
          </cell>
          <cell r="D103">
            <v>9.74</v>
          </cell>
          <cell r="E103">
            <v>500.28</v>
          </cell>
          <cell r="F103">
            <v>167.28</v>
          </cell>
          <cell r="G103">
            <v>297.54000000000002</v>
          </cell>
          <cell r="H103">
            <v>1417.6399999999999</v>
          </cell>
          <cell r="I103">
            <v>1113.46</v>
          </cell>
          <cell r="J103">
            <v>93006</v>
          </cell>
          <cell r="K103" t="str">
            <v>MP</v>
          </cell>
        </row>
        <row r="104">
          <cell r="A104" t="str">
            <v>992272-SLR</v>
          </cell>
          <cell r="B104">
            <v>9850</v>
          </cell>
          <cell r="C104">
            <v>7855.11</v>
          </cell>
          <cell r="D104">
            <v>114.54</v>
          </cell>
          <cell r="E104">
            <v>498.21</v>
          </cell>
          <cell r="F104">
            <v>1235.74</v>
          </cell>
          <cell r="G104">
            <v>5225.0200000000004</v>
          </cell>
          <cell r="H104">
            <v>14928.619999999999</v>
          </cell>
          <cell r="I104">
            <v>35572.19</v>
          </cell>
          <cell r="J104">
            <v>91998</v>
          </cell>
          <cell r="K104" t="str">
            <v>MP</v>
          </cell>
        </row>
        <row r="105">
          <cell r="A105" t="str">
            <v>992273-SLR</v>
          </cell>
          <cell r="B105">
            <v>10370</v>
          </cell>
          <cell r="C105">
            <v>14454.24</v>
          </cell>
          <cell r="D105">
            <v>148.77000000000001</v>
          </cell>
          <cell r="E105">
            <v>509.55</v>
          </cell>
          <cell r="F105">
            <v>1624.23</v>
          </cell>
          <cell r="G105">
            <v>7296.96</v>
          </cell>
          <cell r="H105">
            <v>24033.75</v>
          </cell>
          <cell r="I105">
            <v>46204.97</v>
          </cell>
          <cell r="J105">
            <v>91997</v>
          </cell>
          <cell r="K105" t="str">
            <v>MP</v>
          </cell>
        </row>
        <row r="106">
          <cell r="A106" t="str">
            <v>992274-SLR</v>
          </cell>
          <cell r="B106">
            <v>9846</v>
          </cell>
          <cell r="C106">
            <v>7887.75</v>
          </cell>
          <cell r="D106">
            <v>468.03</v>
          </cell>
          <cell r="E106">
            <v>500.28</v>
          </cell>
          <cell r="F106">
            <v>2142.5300000000002</v>
          </cell>
          <cell r="G106">
            <v>10775.49</v>
          </cell>
          <cell r="H106">
            <v>21774.080000000002</v>
          </cell>
          <cell r="I106">
            <v>75487.97</v>
          </cell>
          <cell r="J106">
            <v>92315</v>
          </cell>
          <cell r="K106" t="str">
            <v>MP</v>
          </cell>
        </row>
        <row r="107">
          <cell r="A107" t="str">
            <v>992275-SLR</v>
          </cell>
          <cell r="B107">
            <v>9851</v>
          </cell>
          <cell r="C107">
            <v>924.41</v>
          </cell>
          <cell r="D107">
            <v>328.67</v>
          </cell>
          <cell r="E107">
            <v>498.21</v>
          </cell>
          <cell r="F107">
            <v>1444.71</v>
          </cell>
          <cell r="G107">
            <v>8736.76</v>
          </cell>
          <cell r="H107">
            <v>11932.76</v>
          </cell>
          <cell r="I107">
            <v>51576.36</v>
          </cell>
          <cell r="J107">
            <v>91395</v>
          </cell>
          <cell r="K107" t="str">
            <v>MP</v>
          </cell>
        </row>
        <row r="108">
          <cell r="A108" t="str">
            <v>992276-SLR</v>
          </cell>
          <cell r="B108">
            <v>9801</v>
          </cell>
          <cell r="C108">
            <v>191.69</v>
          </cell>
          <cell r="D108">
            <v>5.25</v>
          </cell>
          <cell r="E108">
            <v>500.28</v>
          </cell>
          <cell r="F108">
            <v>169.03</v>
          </cell>
          <cell r="G108">
            <v>312.29000000000002</v>
          </cell>
          <cell r="H108">
            <v>1178.54</v>
          </cell>
          <cell r="I108">
            <v>1446.68</v>
          </cell>
          <cell r="J108">
            <v>90379</v>
          </cell>
          <cell r="K108" t="str">
            <v>MP</v>
          </cell>
        </row>
        <row r="109">
          <cell r="A109" t="str">
            <v>992277-SLR</v>
          </cell>
          <cell r="B109">
            <v>9802</v>
          </cell>
          <cell r="C109">
            <v>141.75</v>
          </cell>
          <cell r="D109">
            <v>20.23</v>
          </cell>
          <cell r="E109">
            <v>500.28</v>
          </cell>
          <cell r="F109">
            <v>205.48</v>
          </cell>
          <cell r="G109">
            <v>456.92</v>
          </cell>
          <cell r="H109">
            <v>1324.66</v>
          </cell>
          <cell r="I109">
            <v>3101.74</v>
          </cell>
          <cell r="J109">
            <v>90097</v>
          </cell>
          <cell r="K109" t="str">
            <v>MP</v>
          </cell>
        </row>
        <row r="110">
          <cell r="A110" t="str">
            <v>992278-SLR</v>
          </cell>
          <cell r="B110">
            <v>9997</v>
          </cell>
          <cell r="C110">
            <v>334.35</v>
          </cell>
          <cell r="D110">
            <v>5.66</v>
          </cell>
          <cell r="E110">
            <v>502.02</v>
          </cell>
          <cell r="F110">
            <v>152.51</v>
          </cell>
          <cell r="G110">
            <v>172.77</v>
          </cell>
          <cell r="H110">
            <v>1167.31</v>
          </cell>
          <cell r="I110">
            <v>569.29</v>
          </cell>
          <cell r="J110">
            <v>93038</v>
          </cell>
          <cell r="K110" t="str">
            <v>MP</v>
          </cell>
        </row>
        <row r="111">
          <cell r="A111" t="str">
            <v>992279-SLR</v>
          </cell>
          <cell r="B111">
            <v>10283</v>
          </cell>
          <cell r="C111">
            <v>8943.64</v>
          </cell>
          <cell r="D111">
            <v>250.97</v>
          </cell>
          <cell r="E111">
            <v>497.1</v>
          </cell>
          <cell r="F111">
            <v>1163.8699999999999</v>
          </cell>
          <cell r="G111">
            <v>7666.03</v>
          </cell>
          <cell r="H111">
            <v>18521.609999999997</v>
          </cell>
          <cell r="I111">
            <v>31152.93</v>
          </cell>
          <cell r="J111">
            <v>93038</v>
          </cell>
          <cell r="K111" t="str">
            <v>MP</v>
          </cell>
        </row>
        <row r="112">
          <cell r="A112" t="str">
            <v>992280-SLR</v>
          </cell>
          <cell r="B112">
            <v>9809</v>
          </cell>
          <cell r="C112">
            <v>250.64</v>
          </cell>
          <cell r="D112">
            <v>3.14</v>
          </cell>
          <cell r="E112">
            <v>500.28</v>
          </cell>
          <cell r="F112">
            <v>143.27000000000001</v>
          </cell>
          <cell r="G112">
            <v>94.79</v>
          </cell>
          <cell r="H112">
            <v>992.11999999999989</v>
          </cell>
          <cell r="I112">
            <v>245.11</v>
          </cell>
          <cell r="J112">
            <v>90257</v>
          </cell>
          <cell r="K112" t="str">
            <v>MP</v>
          </cell>
        </row>
        <row r="113">
          <cell r="A113" t="str">
            <v>992282-SLR</v>
          </cell>
          <cell r="B113">
            <v>9894</v>
          </cell>
          <cell r="C113">
            <v>362.4</v>
          </cell>
          <cell r="D113">
            <v>88.21</v>
          </cell>
          <cell r="E113">
            <v>502.05</v>
          </cell>
          <cell r="F113">
            <v>585.27</v>
          </cell>
          <cell r="G113">
            <v>516.20000000000005</v>
          </cell>
          <cell r="H113">
            <v>2054.13</v>
          </cell>
          <cell r="I113">
            <v>14181.24</v>
          </cell>
          <cell r="J113">
            <v>92271</v>
          </cell>
          <cell r="K113" t="str">
            <v>MP</v>
          </cell>
        </row>
        <row r="114">
          <cell r="A114" t="str">
            <v>992284-SLR</v>
          </cell>
          <cell r="B114">
            <v>9827</v>
          </cell>
          <cell r="C114">
            <v>89.43</v>
          </cell>
          <cell r="D114">
            <v>11.52</v>
          </cell>
          <cell r="E114">
            <v>500.28</v>
          </cell>
          <cell r="F114">
            <v>173.72</v>
          </cell>
          <cell r="G114">
            <v>259.27</v>
          </cell>
          <cell r="H114">
            <v>1034.22</v>
          </cell>
          <cell r="I114">
            <v>1750.98</v>
          </cell>
          <cell r="J114">
            <v>90593</v>
          </cell>
          <cell r="K114" t="str">
            <v>MP</v>
          </cell>
        </row>
        <row r="115">
          <cell r="A115" t="str">
            <v>992289-SLR</v>
          </cell>
          <cell r="B115">
            <v>9804</v>
          </cell>
          <cell r="C115">
            <v>5284.7</v>
          </cell>
          <cell r="D115">
            <v>45.16</v>
          </cell>
          <cell r="E115">
            <v>500.28</v>
          </cell>
          <cell r="F115">
            <v>327.27</v>
          </cell>
          <cell r="G115">
            <v>1511.18</v>
          </cell>
          <cell r="H115">
            <v>7668.59</v>
          </cell>
          <cell r="I115">
            <v>1866.21</v>
          </cell>
          <cell r="J115">
            <v>91066</v>
          </cell>
          <cell r="K115" t="str">
            <v>MP</v>
          </cell>
        </row>
        <row r="116">
          <cell r="A116" t="str">
            <v>992290-SLR</v>
          </cell>
          <cell r="B116">
            <v>9817</v>
          </cell>
          <cell r="C116">
            <v>179.66</v>
          </cell>
          <cell r="D116">
            <v>0.22</v>
          </cell>
          <cell r="E116">
            <v>500.28</v>
          </cell>
          <cell r="F116">
            <v>136.38</v>
          </cell>
          <cell r="G116">
            <v>36.6</v>
          </cell>
          <cell r="H116">
            <v>853.14</v>
          </cell>
          <cell r="I116">
            <v>12.76</v>
          </cell>
          <cell r="J116">
            <v>91162</v>
          </cell>
          <cell r="K116" t="str">
            <v>MP</v>
          </cell>
        </row>
        <row r="117">
          <cell r="A117" t="str">
            <v>992291-SLR</v>
          </cell>
          <cell r="B117">
            <v>10065</v>
          </cell>
          <cell r="C117">
            <v>189.3</v>
          </cell>
          <cell r="D117">
            <v>22.71</v>
          </cell>
          <cell r="E117">
            <v>494.04</v>
          </cell>
          <cell r="F117">
            <v>322.88</v>
          </cell>
          <cell r="G117">
            <v>354.87</v>
          </cell>
          <cell r="H117">
            <v>1383.8000000000002</v>
          </cell>
          <cell r="I117">
            <v>6885.47</v>
          </cell>
          <cell r="J117">
            <v>90379</v>
          </cell>
          <cell r="K117" t="str">
            <v>MP</v>
          </cell>
        </row>
        <row r="118">
          <cell r="A118" t="str">
            <v>992292-SLR</v>
          </cell>
          <cell r="B118">
            <v>9940</v>
          </cell>
          <cell r="C118">
            <v>1108.77</v>
          </cell>
          <cell r="D118">
            <v>21.6</v>
          </cell>
          <cell r="E118">
            <v>505.41</v>
          </cell>
          <cell r="F118">
            <v>307.38</v>
          </cell>
          <cell r="G118">
            <v>1282.3399999999999</v>
          </cell>
          <cell r="H118">
            <v>3225.5</v>
          </cell>
          <cell r="I118">
            <v>5618.81</v>
          </cell>
          <cell r="J118">
            <v>90219</v>
          </cell>
          <cell r="K118" t="str">
            <v>MP</v>
          </cell>
        </row>
        <row r="119">
          <cell r="A119" t="str">
            <v>992293-SLR</v>
          </cell>
          <cell r="B119">
            <v>9941</v>
          </cell>
          <cell r="C119">
            <v>234.85</v>
          </cell>
          <cell r="D119">
            <v>5.29</v>
          </cell>
          <cell r="E119">
            <v>505.41</v>
          </cell>
          <cell r="F119">
            <v>169.24</v>
          </cell>
          <cell r="G119">
            <v>314.02</v>
          </cell>
          <cell r="H119">
            <v>1228.81</v>
          </cell>
          <cell r="I119">
            <v>1412.62</v>
          </cell>
          <cell r="J119">
            <v>90402</v>
          </cell>
          <cell r="K119" t="str">
            <v>MP</v>
          </cell>
        </row>
        <row r="120">
          <cell r="A120" t="str">
            <v>992294-SLR</v>
          </cell>
          <cell r="B120">
            <v>9882</v>
          </cell>
          <cell r="C120">
            <v>404.86</v>
          </cell>
          <cell r="D120">
            <v>102.32</v>
          </cell>
          <cell r="E120">
            <v>500.28</v>
          </cell>
          <cell r="F120">
            <v>626.07000000000005</v>
          </cell>
          <cell r="G120">
            <v>2287.42</v>
          </cell>
          <cell r="H120">
            <v>3920.9500000000003</v>
          </cell>
          <cell r="I120">
            <v>15938.42</v>
          </cell>
          <cell r="J120">
            <v>90503</v>
          </cell>
          <cell r="K120" t="str">
            <v>MP</v>
          </cell>
        </row>
        <row r="121">
          <cell r="A121" t="str">
            <v>992295-SLR</v>
          </cell>
          <cell r="B121">
            <v>9805</v>
          </cell>
          <cell r="C121">
            <v>162.59</v>
          </cell>
          <cell r="D121">
            <v>40.92</v>
          </cell>
          <cell r="E121">
            <v>500.28</v>
          </cell>
          <cell r="F121">
            <v>542.04</v>
          </cell>
          <cell r="G121">
            <v>2415</v>
          </cell>
          <cell r="H121">
            <v>3660.83</v>
          </cell>
          <cell r="I121">
            <v>12507</v>
          </cell>
          <cell r="J121">
            <v>91358</v>
          </cell>
          <cell r="K121" t="str">
            <v>MP</v>
          </cell>
        </row>
        <row r="122">
          <cell r="A122" t="str">
            <v>992297-SLR</v>
          </cell>
          <cell r="B122">
            <v>9806</v>
          </cell>
          <cell r="C122">
            <v>179.27</v>
          </cell>
          <cell r="D122">
            <v>1.48</v>
          </cell>
          <cell r="E122">
            <v>500.28</v>
          </cell>
          <cell r="F122">
            <v>142.49</v>
          </cell>
          <cell r="G122">
            <v>97.49</v>
          </cell>
          <cell r="H122">
            <v>921.01</v>
          </cell>
          <cell r="I122">
            <v>283.49</v>
          </cell>
          <cell r="J122">
            <v>91681</v>
          </cell>
          <cell r="K122" t="str">
            <v>MP</v>
          </cell>
        </row>
        <row r="123">
          <cell r="A123" t="str">
            <v>992298-SLR</v>
          </cell>
          <cell r="B123">
            <v>9807</v>
          </cell>
          <cell r="C123">
            <v>158.41999999999999</v>
          </cell>
          <cell r="D123">
            <v>52.15</v>
          </cell>
          <cell r="E123">
            <v>500.28</v>
          </cell>
          <cell r="F123">
            <v>622.69000000000005</v>
          </cell>
          <cell r="G123">
            <v>2281.35</v>
          </cell>
          <cell r="H123">
            <v>3614.89</v>
          </cell>
          <cell r="I123">
            <v>16084.8</v>
          </cell>
          <cell r="J123">
            <v>90061</v>
          </cell>
          <cell r="K123" t="str">
            <v>MP</v>
          </cell>
        </row>
        <row r="124">
          <cell r="A124" t="str">
            <v>992299-SLR</v>
          </cell>
          <cell r="B124">
            <v>9808</v>
          </cell>
          <cell r="C124">
            <v>3198.56</v>
          </cell>
          <cell r="D124">
            <v>89.7</v>
          </cell>
          <cell r="E124">
            <v>500.28</v>
          </cell>
          <cell r="F124">
            <v>581.58000000000004</v>
          </cell>
          <cell r="G124">
            <v>3038.25</v>
          </cell>
          <cell r="H124">
            <v>7408.37</v>
          </cell>
          <cell r="I124">
            <v>11179.59</v>
          </cell>
          <cell r="J124">
            <v>90487</v>
          </cell>
          <cell r="K124" t="str">
            <v>MP</v>
          </cell>
        </row>
        <row r="125">
          <cell r="A125" t="str">
            <v>992300-SLR</v>
          </cell>
          <cell r="B125">
            <v>9942</v>
          </cell>
          <cell r="C125">
            <v>164.26</v>
          </cell>
          <cell r="D125">
            <v>0.89</v>
          </cell>
          <cell r="E125">
            <v>505.41</v>
          </cell>
          <cell r="F125">
            <v>138.31</v>
          </cell>
          <cell r="G125">
            <v>38.97</v>
          </cell>
          <cell r="H125">
            <v>847.83999999999992</v>
          </cell>
          <cell r="I125">
            <v>113.21</v>
          </cell>
          <cell r="J125">
            <v>91311</v>
          </cell>
          <cell r="K125" t="str">
            <v>MP</v>
          </cell>
        </row>
        <row r="126">
          <cell r="A126" t="str">
            <v>992301-SLR</v>
          </cell>
          <cell r="B126">
            <v>9810</v>
          </cell>
          <cell r="C126">
            <v>162.59</v>
          </cell>
          <cell r="D126">
            <v>2.85</v>
          </cell>
          <cell r="E126">
            <v>500.28</v>
          </cell>
          <cell r="F126">
            <v>152.06</v>
          </cell>
          <cell r="G126">
            <v>168.94</v>
          </cell>
          <cell r="H126">
            <v>986.72</v>
          </cell>
          <cell r="I126">
            <v>723.74</v>
          </cell>
          <cell r="J126">
            <v>91178</v>
          </cell>
          <cell r="K126" t="str">
            <v>MP</v>
          </cell>
        </row>
        <row r="127">
          <cell r="A127" t="str">
            <v>992304-SLR</v>
          </cell>
          <cell r="B127">
            <v>9811</v>
          </cell>
          <cell r="C127">
            <v>162.59</v>
          </cell>
          <cell r="D127">
            <v>10.49</v>
          </cell>
          <cell r="E127">
            <v>500.28</v>
          </cell>
          <cell r="F127">
            <v>205.77</v>
          </cell>
          <cell r="G127">
            <v>458.71</v>
          </cell>
          <cell r="H127">
            <v>1337.84</v>
          </cell>
          <cell r="I127">
            <v>3103.42</v>
          </cell>
          <cell r="J127">
            <v>92338</v>
          </cell>
          <cell r="K127" t="str">
            <v>MP</v>
          </cell>
        </row>
        <row r="128">
          <cell r="A128" t="str">
            <v>992308-SLR</v>
          </cell>
          <cell r="B128">
            <v>9813</v>
          </cell>
          <cell r="C128">
            <v>649.69000000000005</v>
          </cell>
          <cell r="D128">
            <v>18.059999999999999</v>
          </cell>
          <cell r="E128">
            <v>500.28</v>
          </cell>
          <cell r="F128">
            <v>198.29</v>
          </cell>
          <cell r="G128">
            <v>559.42999999999995</v>
          </cell>
          <cell r="H128">
            <v>1925.75</v>
          </cell>
          <cell r="I128">
            <v>2280.4299999999998</v>
          </cell>
          <cell r="J128">
            <v>91975</v>
          </cell>
          <cell r="K128" t="str">
            <v>MP</v>
          </cell>
        </row>
        <row r="129">
          <cell r="A129" t="str">
            <v>992310-SLR</v>
          </cell>
          <cell r="B129">
            <v>9943</v>
          </cell>
          <cell r="C129">
            <v>185.32</v>
          </cell>
          <cell r="D129">
            <v>28.07</v>
          </cell>
          <cell r="E129">
            <v>505.41</v>
          </cell>
          <cell r="F129">
            <v>397.27</v>
          </cell>
          <cell r="G129">
            <v>1578.41</v>
          </cell>
          <cell r="H129">
            <v>2694.48</v>
          </cell>
          <cell r="I129">
            <v>8555.58</v>
          </cell>
          <cell r="J129">
            <v>90379</v>
          </cell>
          <cell r="K129" t="str">
            <v>MP</v>
          </cell>
        </row>
        <row r="130">
          <cell r="A130" t="str">
            <v>992311-SLR</v>
          </cell>
          <cell r="B130">
            <v>10159</v>
          </cell>
          <cell r="C130">
            <v>235.45</v>
          </cell>
          <cell r="D130">
            <v>14.86</v>
          </cell>
          <cell r="E130">
            <v>495.3</v>
          </cell>
          <cell r="F130">
            <v>236.49</v>
          </cell>
          <cell r="G130">
            <v>649.88</v>
          </cell>
          <cell r="H130">
            <v>1631.98</v>
          </cell>
          <cell r="I130">
            <v>4391.66</v>
          </cell>
          <cell r="J130">
            <v>91814</v>
          </cell>
          <cell r="K130" t="str">
            <v>MP</v>
          </cell>
        </row>
        <row r="131">
          <cell r="A131" t="str">
            <v>992312-SLR</v>
          </cell>
          <cell r="B131">
            <v>9812</v>
          </cell>
          <cell r="C131">
            <v>175.1</v>
          </cell>
          <cell r="D131">
            <v>11.34</v>
          </cell>
          <cell r="E131">
            <v>500.28</v>
          </cell>
          <cell r="F131">
            <v>211.29</v>
          </cell>
          <cell r="G131">
            <v>669.11</v>
          </cell>
          <cell r="H131">
            <v>1567.12</v>
          </cell>
          <cell r="I131">
            <v>3335.2</v>
          </cell>
          <cell r="J131">
            <v>90390</v>
          </cell>
          <cell r="K131" t="str">
            <v>MP</v>
          </cell>
        </row>
        <row r="132">
          <cell r="A132" t="str">
            <v>992314-SLR</v>
          </cell>
          <cell r="B132">
            <v>9944</v>
          </cell>
          <cell r="C132">
            <v>160.05000000000001</v>
          </cell>
          <cell r="D132">
            <v>41.24</v>
          </cell>
          <cell r="E132">
            <v>505.41</v>
          </cell>
          <cell r="F132">
            <v>545.99</v>
          </cell>
          <cell r="G132">
            <v>1804.07</v>
          </cell>
          <cell r="H132">
            <v>3056.76</v>
          </cell>
          <cell r="I132">
            <v>12684.95</v>
          </cell>
          <cell r="J132">
            <v>91147</v>
          </cell>
          <cell r="K132" t="str">
            <v>MP</v>
          </cell>
        </row>
        <row r="133">
          <cell r="A133" t="str">
            <v>992316-SLR</v>
          </cell>
          <cell r="B133">
            <v>9836</v>
          </cell>
          <cell r="C133">
            <v>158.41999999999999</v>
          </cell>
          <cell r="D133">
            <v>12.56</v>
          </cell>
          <cell r="E133">
            <v>500.28</v>
          </cell>
          <cell r="F133">
            <v>220.32</v>
          </cell>
          <cell r="G133">
            <v>549.23</v>
          </cell>
          <cell r="H133">
            <v>1440.81</v>
          </cell>
          <cell r="I133">
            <v>3752.1</v>
          </cell>
          <cell r="J133">
            <v>90485</v>
          </cell>
          <cell r="K133" t="str">
            <v>MP</v>
          </cell>
        </row>
        <row r="134">
          <cell r="A134" t="str">
            <v>992318-SLR</v>
          </cell>
          <cell r="B134">
            <v>9832</v>
          </cell>
          <cell r="C134">
            <v>133.41</v>
          </cell>
          <cell r="D134">
            <v>7.29</v>
          </cell>
          <cell r="E134">
            <v>500.28</v>
          </cell>
          <cell r="F134">
            <v>182.92</v>
          </cell>
          <cell r="G134">
            <v>474.84</v>
          </cell>
          <cell r="H134">
            <v>1298.74</v>
          </cell>
          <cell r="I134">
            <v>2120.44</v>
          </cell>
          <cell r="J134">
            <v>91983</v>
          </cell>
          <cell r="K134" t="str">
            <v>MP</v>
          </cell>
        </row>
        <row r="135">
          <cell r="A135" t="str">
            <v>992319-SLR</v>
          </cell>
          <cell r="B135">
            <v>9814</v>
          </cell>
          <cell r="C135">
            <v>183.44</v>
          </cell>
          <cell r="D135">
            <v>21.36</v>
          </cell>
          <cell r="E135">
            <v>500.28</v>
          </cell>
          <cell r="F135">
            <v>304.08999999999997</v>
          </cell>
          <cell r="G135">
            <v>1268.25</v>
          </cell>
          <cell r="H135">
            <v>2277.42</v>
          </cell>
          <cell r="I135">
            <v>6470.29</v>
          </cell>
          <cell r="J135">
            <v>91978</v>
          </cell>
          <cell r="K135" t="str">
            <v>MP</v>
          </cell>
        </row>
        <row r="136">
          <cell r="A136" t="str">
            <v>992320-SLR</v>
          </cell>
          <cell r="B136">
            <v>9815</v>
          </cell>
          <cell r="C136">
            <v>183.44</v>
          </cell>
          <cell r="D136">
            <v>1.23</v>
          </cell>
          <cell r="E136">
            <v>500.28</v>
          </cell>
          <cell r="F136">
            <v>140.75</v>
          </cell>
          <cell r="G136">
            <v>11.6</v>
          </cell>
          <cell r="H136">
            <v>837.3</v>
          </cell>
          <cell r="I136">
            <v>202.11</v>
          </cell>
          <cell r="J136">
            <v>91589</v>
          </cell>
          <cell r="K136" t="str">
            <v>MP</v>
          </cell>
        </row>
        <row r="137">
          <cell r="A137" t="str">
            <v>992321-SLR</v>
          </cell>
          <cell r="B137">
            <v>9816</v>
          </cell>
          <cell r="C137">
            <v>133.41</v>
          </cell>
          <cell r="D137">
            <v>2.5499999999999998</v>
          </cell>
          <cell r="E137">
            <v>500.28</v>
          </cell>
          <cell r="F137">
            <v>149.97</v>
          </cell>
          <cell r="G137">
            <v>111.49</v>
          </cell>
          <cell r="H137">
            <v>897.7</v>
          </cell>
          <cell r="I137">
            <v>660.37</v>
          </cell>
          <cell r="J137">
            <v>92327</v>
          </cell>
          <cell r="K137" t="str">
            <v>MP</v>
          </cell>
        </row>
        <row r="138">
          <cell r="A138" t="str">
            <v>992323-SLR</v>
          </cell>
          <cell r="B138">
            <v>9895</v>
          </cell>
          <cell r="C138">
            <v>667.14</v>
          </cell>
          <cell r="D138">
            <v>20.25</v>
          </cell>
          <cell r="E138">
            <v>502.05</v>
          </cell>
          <cell r="F138">
            <v>204.87</v>
          </cell>
          <cell r="G138">
            <v>601.88</v>
          </cell>
          <cell r="H138">
            <v>1996.19</v>
          </cell>
          <cell r="I138">
            <v>2549.13</v>
          </cell>
          <cell r="J138">
            <v>91553</v>
          </cell>
          <cell r="K138" t="str">
            <v>MP</v>
          </cell>
        </row>
        <row r="139">
          <cell r="A139" t="str">
            <v>992324-SLR</v>
          </cell>
          <cell r="B139">
            <v>9907</v>
          </cell>
          <cell r="C139">
            <v>439.04</v>
          </cell>
          <cell r="D139">
            <v>10.11</v>
          </cell>
          <cell r="E139">
            <v>502.05</v>
          </cell>
          <cell r="F139">
            <v>178.35</v>
          </cell>
          <cell r="G139">
            <v>370.42</v>
          </cell>
          <cell r="H139">
            <v>1499.97</v>
          </cell>
          <cell r="I139">
            <v>1608.73</v>
          </cell>
          <cell r="J139">
            <v>93082</v>
          </cell>
          <cell r="K139" t="str">
            <v>MP</v>
          </cell>
        </row>
        <row r="140">
          <cell r="A140" t="str">
            <v>992325-SLR</v>
          </cell>
          <cell r="B140">
            <v>9818</v>
          </cell>
          <cell r="C140">
            <v>158.41999999999999</v>
          </cell>
          <cell r="D140">
            <v>2.65</v>
          </cell>
          <cell r="E140">
            <v>500.28</v>
          </cell>
          <cell r="F140">
            <v>150.63</v>
          </cell>
          <cell r="G140">
            <v>115.94</v>
          </cell>
          <cell r="H140">
            <v>927.91999999999985</v>
          </cell>
          <cell r="I140">
            <v>667.04</v>
          </cell>
          <cell r="J140">
            <v>90061</v>
          </cell>
          <cell r="K140" t="str">
            <v>MP</v>
          </cell>
        </row>
        <row r="141">
          <cell r="A141" t="str">
            <v>992326-SLR</v>
          </cell>
          <cell r="B141">
            <v>10088</v>
          </cell>
          <cell r="C141">
            <v>239.53</v>
          </cell>
          <cell r="D141">
            <v>118.82</v>
          </cell>
          <cell r="E141">
            <v>494.04</v>
          </cell>
          <cell r="F141">
            <v>349</v>
          </cell>
          <cell r="G141">
            <v>7054.96</v>
          </cell>
          <cell r="H141">
            <v>8256.35</v>
          </cell>
          <cell r="I141">
            <v>36773.040000000001</v>
          </cell>
          <cell r="J141">
            <v>93043</v>
          </cell>
          <cell r="K141" t="str">
            <v>MP</v>
          </cell>
        </row>
        <row r="142">
          <cell r="A142" t="str">
            <v>992327-SLR</v>
          </cell>
          <cell r="B142">
            <v>9963</v>
          </cell>
          <cell r="C142">
            <v>142.19999999999999</v>
          </cell>
          <cell r="D142">
            <v>30.53</v>
          </cell>
          <cell r="E142">
            <v>501.87</v>
          </cell>
          <cell r="F142">
            <v>431.62</v>
          </cell>
          <cell r="G142">
            <v>1335.74</v>
          </cell>
          <cell r="H142">
            <v>2441.96</v>
          </cell>
          <cell r="I142">
            <v>9368.24</v>
          </cell>
          <cell r="J142">
            <v>90097</v>
          </cell>
          <cell r="K142" t="str">
            <v>MP</v>
          </cell>
        </row>
        <row r="143">
          <cell r="A143" t="str">
            <v>992328-SLR</v>
          </cell>
          <cell r="B143">
            <v>10214</v>
          </cell>
          <cell r="C143">
            <v>464.65</v>
          </cell>
          <cell r="D143">
            <v>7.27</v>
          </cell>
          <cell r="E143">
            <v>500.1</v>
          </cell>
          <cell r="F143">
            <v>169.01</v>
          </cell>
          <cell r="G143">
            <v>312.14</v>
          </cell>
          <cell r="H143">
            <v>1453.17</v>
          </cell>
          <cell r="I143">
            <v>1170.92</v>
          </cell>
          <cell r="J143">
            <v>93013</v>
          </cell>
          <cell r="K143" t="str">
            <v>MP</v>
          </cell>
        </row>
        <row r="144">
          <cell r="A144" t="str">
            <v>992329-SLR</v>
          </cell>
          <cell r="B144">
            <v>9918</v>
          </cell>
          <cell r="C144">
            <v>439.04</v>
          </cell>
          <cell r="D144">
            <v>40.15</v>
          </cell>
          <cell r="E144">
            <v>502.05</v>
          </cell>
          <cell r="F144">
            <v>292.64</v>
          </cell>
          <cell r="G144">
            <v>1219.3699999999999</v>
          </cell>
          <cell r="H144">
            <v>2493.25</v>
          </cell>
          <cell r="I144">
            <v>5938.54</v>
          </cell>
          <cell r="J144">
            <v>92416</v>
          </cell>
          <cell r="K144" t="str">
            <v>MP</v>
          </cell>
        </row>
        <row r="145">
          <cell r="A145" t="str">
            <v>992330-SLR</v>
          </cell>
          <cell r="B145">
            <v>9896</v>
          </cell>
          <cell r="C145">
            <v>439.04</v>
          </cell>
          <cell r="D145">
            <v>93.9</v>
          </cell>
          <cell r="E145">
            <v>502.05</v>
          </cell>
          <cell r="F145">
            <v>595.21</v>
          </cell>
          <cell r="G145">
            <v>2864</v>
          </cell>
          <cell r="H145">
            <v>4494.2</v>
          </cell>
          <cell r="I145">
            <v>14540.72</v>
          </cell>
          <cell r="J145">
            <v>93020</v>
          </cell>
          <cell r="K145" t="str">
            <v>MP</v>
          </cell>
        </row>
        <row r="146">
          <cell r="A146" t="str">
            <v>992331-SLR</v>
          </cell>
          <cell r="B146">
            <v>9897</v>
          </cell>
          <cell r="C146">
            <v>252.2</v>
          </cell>
          <cell r="D146">
            <v>22.46</v>
          </cell>
          <cell r="E146">
            <v>502.05</v>
          </cell>
          <cell r="F146">
            <v>212.53</v>
          </cell>
          <cell r="G146">
            <v>679.59</v>
          </cell>
          <cell r="H146">
            <v>1668.83</v>
          </cell>
          <cell r="I146">
            <v>3302.15</v>
          </cell>
          <cell r="J146">
            <v>91868</v>
          </cell>
          <cell r="K146" t="str">
            <v>MP</v>
          </cell>
        </row>
        <row r="147">
          <cell r="A147" t="str">
            <v>992332-SLR</v>
          </cell>
          <cell r="B147">
            <v>9911</v>
          </cell>
          <cell r="C147">
            <v>252.2</v>
          </cell>
          <cell r="D147">
            <v>3.55</v>
          </cell>
          <cell r="E147">
            <v>502.05</v>
          </cell>
          <cell r="F147">
            <v>144.74</v>
          </cell>
          <cell r="G147">
            <v>107.13</v>
          </cell>
          <cell r="H147">
            <v>1009.67</v>
          </cell>
          <cell r="I147">
            <v>308.11</v>
          </cell>
          <cell r="J147">
            <v>90662</v>
          </cell>
          <cell r="K147" t="str">
            <v>MP</v>
          </cell>
        </row>
        <row r="148">
          <cell r="A148" t="str">
            <v>992333-SLR</v>
          </cell>
          <cell r="B148">
            <v>9819</v>
          </cell>
          <cell r="C148">
            <v>544.55999999999995</v>
          </cell>
          <cell r="D148">
            <v>38.119999999999997</v>
          </cell>
          <cell r="E148">
            <v>500.28</v>
          </cell>
          <cell r="F148">
            <v>274.55</v>
          </cell>
          <cell r="G148">
            <v>1202.27</v>
          </cell>
          <cell r="H148">
            <v>2559.7799999999997</v>
          </cell>
          <cell r="I148">
            <v>5428.69</v>
          </cell>
          <cell r="J148">
            <v>92336</v>
          </cell>
          <cell r="K148" t="str">
            <v>MP</v>
          </cell>
        </row>
        <row r="149">
          <cell r="A149" t="str">
            <v>992334-SLR</v>
          </cell>
          <cell r="B149">
            <v>9785</v>
          </cell>
          <cell r="C149">
            <v>5576.76</v>
          </cell>
          <cell r="D149">
            <v>138.28</v>
          </cell>
          <cell r="E149">
            <v>500.28</v>
          </cell>
          <cell r="F149">
            <v>756.69</v>
          </cell>
          <cell r="G149">
            <v>4005.1</v>
          </cell>
          <cell r="H149">
            <v>10977.11</v>
          </cell>
          <cell r="I149">
            <v>16535.5</v>
          </cell>
          <cell r="J149">
            <v>92093</v>
          </cell>
          <cell r="K149" t="str">
            <v>MP</v>
          </cell>
        </row>
        <row r="150">
          <cell r="A150" t="str">
            <v>992335-SLR</v>
          </cell>
          <cell r="B150">
            <v>9917</v>
          </cell>
          <cell r="C150">
            <v>252.2</v>
          </cell>
          <cell r="D150">
            <v>13.94</v>
          </cell>
          <cell r="E150">
            <v>502.05</v>
          </cell>
          <cell r="F150">
            <v>181.96</v>
          </cell>
          <cell r="G150">
            <v>465.81</v>
          </cell>
          <cell r="H150">
            <v>1415.96</v>
          </cell>
          <cell r="I150">
            <v>1952.02</v>
          </cell>
          <cell r="J150">
            <v>92020</v>
          </cell>
          <cell r="K150" t="str">
            <v>MP</v>
          </cell>
        </row>
        <row r="151">
          <cell r="A151" t="str">
            <v>992336-SLR</v>
          </cell>
          <cell r="B151">
            <v>9898</v>
          </cell>
          <cell r="C151">
            <v>252.2</v>
          </cell>
          <cell r="D151">
            <v>3.5</v>
          </cell>
          <cell r="E151">
            <v>502.05</v>
          </cell>
          <cell r="F151">
            <v>144.63999999999999</v>
          </cell>
          <cell r="G151">
            <v>106.33</v>
          </cell>
          <cell r="H151">
            <v>1008.72</v>
          </cell>
          <cell r="I151">
            <v>303.95</v>
          </cell>
          <cell r="J151">
            <v>91163</v>
          </cell>
          <cell r="K151" t="str">
            <v>MP</v>
          </cell>
        </row>
        <row r="152">
          <cell r="A152" t="str">
            <v>992337-SLR</v>
          </cell>
          <cell r="B152">
            <v>10321</v>
          </cell>
          <cell r="C152">
            <v>364.96</v>
          </cell>
          <cell r="D152">
            <v>150.18</v>
          </cell>
          <cell r="E152">
            <v>505.02</v>
          </cell>
          <cell r="F152">
            <v>799.73</v>
          </cell>
          <cell r="G152">
            <v>3141.26</v>
          </cell>
          <cell r="H152">
            <v>4961.1499999999996</v>
          </cell>
          <cell r="I152">
            <v>23648.36</v>
          </cell>
          <cell r="J152">
            <v>92109</v>
          </cell>
          <cell r="K152" t="str">
            <v>MP</v>
          </cell>
        </row>
        <row r="153">
          <cell r="A153" t="str">
            <v>992338-SLR</v>
          </cell>
          <cell r="B153">
            <v>9879</v>
          </cell>
          <cell r="C153">
            <v>190.36</v>
          </cell>
          <cell r="D153">
            <v>80.180000000000007</v>
          </cell>
          <cell r="E153">
            <v>500.28</v>
          </cell>
          <cell r="F153">
            <v>544.80999999999995</v>
          </cell>
          <cell r="G153">
            <v>1796.76</v>
          </cell>
          <cell r="H153">
            <v>3112.39</v>
          </cell>
          <cell r="I153">
            <v>12563.49</v>
          </cell>
          <cell r="J153">
            <v>90686</v>
          </cell>
          <cell r="K153" t="str">
            <v>MP</v>
          </cell>
        </row>
        <row r="154">
          <cell r="A154" t="str">
            <v>992339-SLR</v>
          </cell>
          <cell r="B154">
            <v>9912</v>
          </cell>
          <cell r="C154">
            <v>154.09</v>
          </cell>
          <cell r="D154">
            <v>3.8</v>
          </cell>
          <cell r="E154">
            <v>502.05</v>
          </cell>
          <cell r="F154">
            <v>139.55000000000001</v>
          </cell>
          <cell r="G154">
            <v>63.34</v>
          </cell>
          <cell r="H154">
            <v>862.83</v>
          </cell>
          <cell r="I154">
            <v>0</v>
          </cell>
          <cell r="J154">
            <v>93013</v>
          </cell>
          <cell r="K154" t="str">
            <v>MP</v>
          </cell>
        </row>
        <row r="155">
          <cell r="A155" t="str">
            <v>992340-SLR</v>
          </cell>
          <cell r="B155">
            <v>9891</v>
          </cell>
          <cell r="C155">
            <v>154.09</v>
          </cell>
          <cell r="D155">
            <v>47.14</v>
          </cell>
          <cell r="E155">
            <v>502.05</v>
          </cell>
          <cell r="F155">
            <v>353.28</v>
          </cell>
          <cell r="G155">
            <v>1089.27</v>
          </cell>
          <cell r="H155">
            <v>2145.83</v>
          </cell>
          <cell r="I155">
            <v>7579.28</v>
          </cell>
          <cell r="J155">
            <v>93010</v>
          </cell>
          <cell r="K155" t="str">
            <v>MP</v>
          </cell>
        </row>
        <row r="156">
          <cell r="A156" t="str">
            <v>992341-SLR</v>
          </cell>
          <cell r="B156">
            <v>10066</v>
          </cell>
          <cell r="C156">
            <v>347.06</v>
          </cell>
          <cell r="D156">
            <v>32.49</v>
          </cell>
          <cell r="E156">
            <v>494.04</v>
          </cell>
          <cell r="F156">
            <v>250.85</v>
          </cell>
          <cell r="G156">
            <v>1108.83</v>
          </cell>
          <cell r="H156">
            <v>2233.27</v>
          </cell>
          <cell r="I156">
            <v>4900.58</v>
          </cell>
          <cell r="J156">
            <v>90424</v>
          </cell>
          <cell r="K156" t="str">
            <v>MP</v>
          </cell>
        </row>
        <row r="157">
          <cell r="A157" t="str">
            <v>992342-SLR</v>
          </cell>
          <cell r="B157">
            <v>9962</v>
          </cell>
          <cell r="C157">
            <v>551.46</v>
          </cell>
          <cell r="D157">
            <v>77.7</v>
          </cell>
          <cell r="E157">
            <v>505.41</v>
          </cell>
          <cell r="F157">
            <v>539.71</v>
          </cell>
          <cell r="G157">
            <v>2544.1</v>
          </cell>
          <cell r="H157">
            <v>4218.38</v>
          </cell>
          <cell r="I157">
            <v>11978.06</v>
          </cell>
          <cell r="J157">
            <v>92088</v>
          </cell>
          <cell r="K157" t="str">
            <v>MP</v>
          </cell>
        </row>
        <row r="158">
          <cell r="A158" t="str">
            <v>992343-SLR</v>
          </cell>
          <cell r="B158">
            <v>9945</v>
          </cell>
          <cell r="C158">
            <v>257.01</v>
          </cell>
          <cell r="D158">
            <v>2.41</v>
          </cell>
          <cell r="E158">
            <v>505.41</v>
          </cell>
          <cell r="F158">
            <v>140.82</v>
          </cell>
          <cell r="G158">
            <v>74.03</v>
          </cell>
          <cell r="H158">
            <v>979.68000000000006</v>
          </cell>
          <cell r="I158">
            <v>130.22</v>
          </cell>
          <cell r="J158">
            <v>91304</v>
          </cell>
          <cell r="K158" t="str">
            <v>MP</v>
          </cell>
        </row>
        <row r="159">
          <cell r="A159" t="str">
            <v>992344-SLR</v>
          </cell>
          <cell r="B159">
            <v>9820</v>
          </cell>
          <cell r="C159">
            <v>238</v>
          </cell>
          <cell r="D159">
            <v>25.4</v>
          </cell>
          <cell r="E159">
            <v>500.28</v>
          </cell>
          <cell r="F159">
            <v>224.63</v>
          </cell>
          <cell r="G159">
            <v>781.81</v>
          </cell>
          <cell r="H159">
            <v>1770.12</v>
          </cell>
          <cell r="I159">
            <v>3851.39</v>
          </cell>
          <cell r="J159">
            <v>92174</v>
          </cell>
          <cell r="K159" t="str">
            <v>MP</v>
          </cell>
        </row>
        <row r="160">
          <cell r="A160" t="str">
            <v>992346-SLR</v>
          </cell>
          <cell r="B160">
            <v>9833</v>
          </cell>
          <cell r="C160">
            <v>2279.0100000000002</v>
          </cell>
          <cell r="D160">
            <v>68.59</v>
          </cell>
          <cell r="E160">
            <v>500.28</v>
          </cell>
          <cell r="F160">
            <v>497.72</v>
          </cell>
          <cell r="G160">
            <v>2315.5500000000002</v>
          </cell>
          <cell r="H160">
            <v>5661.1500000000005</v>
          </cell>
          <cell r="I160">
            <v>8678.82</v>
          </cell>
          <cell r="J160">
            <v>91375</v>
          </cell>
          <cell r="K160" t="str">
            <v>MP</v>
          </cell>
        </row>
        <row r="161">
          <cell r="A161" t="str">
            <v>992348-SLR</v>
          </cell>
          <cell r="B161">
            <v>9821</v>
          </cell>
          <cell r="C161">
            <v>140.11000000000001</v>
          </cell>
          <cell r="D161">
            <v>2.85</v>
          </cell>
          <cell r="E161">
            <v>500.28</v>
          </cell>
          <cell r="F161">
            <v>142.36000000000001</v>
          </cell>
          <cell r="G161">
            <v>87.06</v>
          </cell>
          <cell r="H161">
            <v>872.66000000000008</v>
          </cell>
          <cell r="I161">
            <v>315.25</v>
          </cell>
          <cell r="J161">
            <v>91177</v>
          </cell>
          <cell r="K161" t="str">
            <v>MP</v>
          </cell>
        </row>
        <row r="162">
          <cell r="A162" t="str">
            <v>992349-SLR</v>
          </cell>
          <cell r="B162">
            <v>10246</v>
          </cell>
          <cell r="C162">
            <v>220.71</v>
          </cell>
          <cell r="D162">
            <v>42.29</v>
          </cell>
          <cell r="E162">
            <v>500.1</v>
          </cell>
          <cell r="F162">
            <v>409</v>
          </cell>
          <cell r="G162">
            <v>1291.55</v>
          </cell>
          <cell r="H162">
            <v>2463.6499999999996</v>
          </cell>
          <cell r="I162">
            <v>6534.64</v>
          </cell>
          <cell r="J162">
            <v>91462</v>
          </cell>
          <cell r="K162" t="str">
            <v>MP</v>
          </cell>
        </row>
        <row r="163">
          <cell r="A163" t="str">
            <v>992350-SLR</v>
          </cell>
          <cell r="B163">
            <v>10012</v>
          </cell>
          <cell r="C163">
            <v>340.81</v>
          </cell>
          <cell r="D163">
            <v>17.29</v>
          </cell>
          <cell r="E163">
            <v>505.41</v>
          </cell>
          <cell r="F163">
            <v>253.54</v>
          </cell>
          <cell r="G163">
            <v>1025.92</v>
          </cell>
          <cell r="H163">
            <v>2142.9700000000003</v>
          </cell>
          <cell r="I163">
            <v>5041.46</v>
          </cell>
          <cell r="J163">
            <v>91591</v>
          </cell>
          <cell r="K163" t="str">
            <v>MP</v>
          </cell>
        </row>
        <row r="164">
          <cell r="A164" t="str">
            <v>992351-SLR</v>
          </cell>
          <cell r="B164">
            <v>9834</v>
          </cell>
          <cell r="C164">
            <v>317.02999999999997</v>
          </cell>
          <cell r="D164">
            <v>5.2</v>
          </cell>
          <cell r="E164">
            <v>500.28</v>
          </cell>
          <cell r="F164">
            <v>150.79</v>
          </cell>
          <cell r="G164">
            <v>158.26</v>
          </cell>
          <cell r="H164">
            <v>1131.56</v>
          </cell>
          <cell r="I164">
            <v>510.7</v>
          </cell>
          <cell r="J164">
            <v>90257</v>
          </cell>
          <cell r="K164" t="str">
            <v>MP</v>
          </cell>
        </row>
        <row r="165">
          <cell r="A165" t="str">
            <v>992354-SLR</v>
          </cell>
          <cell r="B165">
            <v>10048</v>
          </cell>
          <cell r="C165">
            <v>200.91</v>
          </cell>
          <cell r="D165">
            <v>2.83</v>
          </cell>
          <cell r="E165">
            <v>494.04</v>
          </cell>
          <cell r="F165">
            <v>142.27000000000001</v>
          </cell>
          <cell r="G165">
            <v>86.29</v>
          </cell>
          <cell r="H165">
            <v>926.33999999999992</v>
          </cell>
          <cell r="I165">
            <v>250.43</v>
          </cell>
          <cell r="J165">
            <v>90322</v>
          </cell>
          <cell r="K165" t="str">
            <v>MP</v>
          </cell>
        </row>
        <row r="166">
          <cell r="A166" t="str">
            <v>992355-SLR</v>
          </cell>
          <cell r="B166">
            <v>10258</v>
          </cell>
          <cell r="C166">
            <v>191.58</v>
          </cell>
          <cell r="D166">
            <v>87.33</v>
          </cell>
          <cell r="E166">
            <v>499.77</v>
          </cell>
          <cell r="F166">
            <v>876.29</v>
          </cell>
          <cell r="G166">
            <v>3859.29</v>
          </cell>
          <cell r="H166">
            <v>5514.26</v>
          </cell>
          <cell r="I166">
            <v>27287.439999999999</v>
          </cell>
          <cell r="J166">
            <v>90121</v>
          </cell>
          <cell r="K166" t="str">
            <v>MP</v>
          </cell>
        </row>
        <row r="167">
          <cell r="A167" t="str">
            <v>992356-SLR</v>
          </cell>
          <cell r="B167">
            <v>10347</v>
          </cell>
          <cell r="C167">
            <v>212.04</v>
          </cell>
          <cell r="D167">
            <v>71.62</v>
          </cell>
          <cell r="E167">
            <v>508.89</v>
          </cell>
          <cell r="F167">
            <v>759.55</v>
          </cell>
          <cell r="G167">
            <v>3132.92</v>
          </cell>
          <cell r="H167">
            <v>4685.0200000000004</v>
          </cell>
          <cell r="I167">
            <v>22094.31</v>
          </cell>
          <cell r="J167">
            <v>90496</v>
          </cell>
          <cell r="K167" t="str">
            <v>MP</v>
          </cell>
        </row>
        <row r="168">
          <cell r="A168" t="str">
            <v>992357-SLR</v>
          </cell>
          <cell r="B168">
            <v>10068</v>
          </cell>
          <cell r="C168">
            <v>282.02</v>
          </cell>
          <cell r="D168">
            <v>211.34</v>
          </cell>
          <cell r="E168">
            <v>501.36</v>
          </cell>
          <cell r="F168">
            <v>1748.35</v>
          </cell>
          <cell r="G168">
            <v>7374.1</v>
          </cell>
          <cell r="H168">
            <v>10117.17</v>
          </cell>
          <cell r="I168">
            <v>65763.89</v>
          </cell>
          <cell r="J168">
            <v>90062</v>
          </cell>
          <cell r="K168" t="str">
            <v>MP</v>
          </cell>
        </row>
        <row r="169">
          <cell r="A169" t="str">
            <v>992358-SLR</v>
          </cell>
          <cell r="B169">
            <v>9786</v>
          </cell>
          <cell r="C169">
            <v>277.24</v>
          </cell>
          <cell r="D169">
            <v>200.36</v>
          </cell>
          <cell r="E169">
            <v>500.28</v>
          </cell>
          <cell r="F169">
            <v>1664.83</v>
          </cell>
          <cell r="G169">
            <v>8765.73</v>
          </cell>
          <cell r="H169">
            <v>11408.439999999999</v>
          </cell>
          <cell r="I169">
            <v>62134.78</v>
          </cell>
          <cell r="J169">
            <v>93023</v>
          </cell>
          <cell r="K169" t="str">
            <v>MP</v>
          </cell>
        </row>
        <row r="170">
          <cell r="A170" t="str">
            <v>992359-SLR</v>
          </cell>
          <cell r="B170">
            <v>10014</v>
          </cell>
          <cell r="C170">
            <v>541.6</v>
          </cell>
          <cell r="D170">
            <v>125.94</v>
          </cell>
          <cell r="E170">
            <v>501.87</v>
          </cell>
          <cell r="F170">
            <v>1144.43</v>
          </cell>
          <cell r="G170">
            <v>2490.9</v>
          </cell>
          <cell r="H170">
            <v>4804.74</v>
          </cell>
          <cell r="I170">
            <v>38816.300000000003</v>
          </cell>
          <cell r="J170">
            <v>90061</v>
          </cell>
          <cell r="K170" t="str">
            <v>MP</v>
          </cell>
        </row>
        <row r="171">
          <cell r="A171" t="str">
            <v>992361-SLR</v>
          </cell>
          <cell r="B171">
            <v>9822</v>
          </cell>
          <cell r="C171">
            <v>2998.18</v>
          </cell>
          <cell r="D171">
            <v>36.4</v>
          </cell>
          <cell r="E171">
            <v>500.28</v>
          </cell>
          <cell r="F171">
            <v>267.5</v>
          </cell>
          <cell r="G171">
            <v>1112.04</v>
          </cell>
          <cell r="H171">
            <v>4914.3999999999996</v>
          </cell>
          <cell r="I171">
            <v>2818.24</v>
          </cell>
          <cell r="J171">
            <v>93016</v>
          </cell>
          <cell r="K171" t="str">
            <v>MP</v>
          </cell>
        </row>
        <row r="172">
          <cell r="A172" t="str">
            <v>992362-SLR</v>
          </cell>
          <cell r="B172">
            <v>9783</v>
          </cell>
          <cell r="C172">
            <v>1032.6400000000001</v>
          </cell>
          <cell r="D172">
            <v>27.42</v>
          </cell>
          <cell r="E172">
            <v>500.28</v>
          </cell>
          <cell r="F172">
            <v>231.24</v>
          </cell>
          <cell r="G172">
            <v>925.81</v>
          </cell>
          <cell r="H172">
            <v>2717.3900000000003</v>
          </cell>
          <cell r="I172">
            <v>3348.54</v>
          </cell>
          <cell r="J172">
            <v>91375</v>
          </cell>
          <cell r="K172" t="str">
            <v>MP</v>
          </cell>
        </row>
        <row r="173">
          <cell r="A173" t="str">
            <v>992363-SLR</v>
          </cell>
          <cell r="B173">
            <v>9835</v>
          </cell>
          <cell r="C173">
            <v>165.44</v>
          </cell>
          <cell r="D173">
            <v>24.68</v>
          </cell>
          <cell r="E173">
            <v>500.28</v>
          </cell>
          <cell r="F173">
            <v>221.37</v>
          </cell>
          <cell r="G173">
            <v>555.80999999999995</v>
          </cell>
          <cell r="H173">
            <v>1467.58</v>
          </cell>
          <cell r="I173">
            <v>3779.93</v>
          </cell>
          <cell r="J173">
            <v>90086</v>
          </cell>
          <cell r="K173" t="str">
            <v>MP</v>
          </cell>
        </row>
        <row r="174">
          <cell r="A174" t="str">
            <v>992364-SLR</v>
          </cell>
          <cell r="B174">
            <v>9823</v>
          </cell>
          <cell r="C174">
            <v>868.68</v>
          </cell>
          <cell r="D174">
            <v>46.99</v>
          </cell>
          <cell r="E174">
            <v>500.28</v>
          </cell>
          <cell r="F174">
            <v>347.07</v>
          </cell>
          <cell r="G174">
            <v>1451.78</v>
          </cell>
          <cell r="H174">
            <v>3214.7999999999997</v>
          </cell>
          <cell r="I174">
            <v>6725.28</v>
          </cell>
          <cell r="J174">
            <v>91177</v>
          </cell>
          <cell r="K174" t="str">
            <v>MP</v>
          </cell>
        </row>
        <row r="175">
          <cell r="A175" t="str">
            <v>992365-SLR</v>
          </cell>
          <cell r="B175">
            <v>9914</v>
          </cell>
          <cell r="C175">
            <v>139.12</v>
          </cell>
          <cell r="D175">
            <v>0.95</v>
          </cell>
          <cell r="E175">
            <v>502.05</v>
          </cell>
          <cell r="F175">
            <v>525.27</v>
          </cell>
          <cell r="G175">
            <v>1675.14</v>
          </cell>
          <cell r="H175">
            <v>2842.5299999999997</v>
          </cell>
          <cell r="I175">
            <v>11825.2</v>
          </cell>
          <cell r="J175">
            <v>90614</v>
          </cell>
          <cell r="K175" t="str">
            <v>MP</v>
          </cell>
        </row>
        <row r="176">
          <cell r="A176" t="str">
            <v>992367-SLR</v>
          </cell>
          <cell r="B176">
            <v>9899</v>
          </cell>
          <cell r="C176">
            <v>154.09</v>
          </cell>
          <cell r="D176">
            <v>97.62</v>
          </cell>
          <cell r="E176">
            <v>502.05</v>
          </cell>
          <cell r="F176">
            <v>609.23</v>
          </cell>
          <cell r="G176">
            <v>2197.59</v>
          </cell>
          <cell r="H176">
            <v>3560.58</v>
          </cell>
          <cell r="I176">
            <v>15445.35</v>
          </cell>
          <cell r="J176">
            <v>90086</v>
          </cell>
          <cell r="K176" t="str">
            <v>MP</v>
          </cell>
        </row>
        <row r="177">
          <cell r="A177" t="str">
            <v>992368-SLR</v>
          </cell>
          <cell r="B177">
            <v>9946</v>
          </cell>
          <cell r="C177">
            <v>235.84</v>
          </cell>
          <cell r="D177">
            <v>23.3</v>
          </cell>
          <cell r="E177">
            <v>505.41</v>
          </cell>
          <cell r="F177">
            <v>332.12</v>
          </cell>
          <cell r="G177">
            <v>365.25</v>
          </cell>
          <cell r="H177">
            <v>1461.92</v>
          </cell>
          <cell r="I177">
            <v>7045.95</v>
          </cell>
          <cell r="J177">
            <v>90379</v>
          </cell>
          <cell r="K177" t="str">
            <v>MP</v>
          </cell>
        </row>
        <row r="178">
          <cell r="A178" t="str">
            <v>992369-SLR</v>
          </cell>
          <cell r="B178">
            <v>9831</v>
          </cell>
          <cell r="C178">
            <v>1158.42</v>
          </cell>
          <cell r="D178">
            <v>54.46</v>
          </cell>
          <cell r="E178">
            <v>500.28</v>
          </cell>
          <cell r="F178">
            <v>397.98</v>
          </cell>
          <cell r="G178">
            <v>1669.17</v>
          </cell>
          <cell r="H178">
            <v>3780.3100000000004</v>
          </cell>
          <cell r="I178">
            <v>7572.24</v>
          </cell>
          <cell r="J178">
            <v>90219</v>
          </cell>
          <cell r="K178" t="str">
            <v>MP</v>
          </cell>
        </row>
        <row r="179">
          <cell r="A179" t="str">
            <v>992371-SLR</v>
          </cell>
          <cell r="B179">
            <v>9824</v>
          </cell>
          <cell r="C179">
            <v>147.16999999999999</v>
          </cell>
          <cell r="D179">
            <v>7.75</v>
          </cell>
          <cell r="E179">
            <v>500.28</v>
          </cell>
          <cell r="F179">
            <v>186.19</v>
          </cell>
          <cell r="G179">
            <v>360.93</v>
          </cell>
          <cell r="H179">
            <v>1202.32</v>
          </cell>
          <cell r="I179">
            <v>2251.2600000000002</v>
          </cell>
          <cell r="J179">
            <v>92282</v>
          </cell>
          <cell r="K179" t="str">
            <v>MP</v>
          </cell>
        </row>
        <row r="180">
          <cell r="A180" t="str">
            <v>992372-SLR</v>
          </cell>
          <cell r="B180">
            <v>9825</v>
          </cell>
          <cell r="C180">
            <v>323.75</v>
          </cell>
          <cell r="D180">
            <v>35.049999999999997</v>
          </cell>
          <cell r="E180">
            <v>500.28</v>
          </cell>
          <cell r="F180">
            <v>258.89</v>
          </cell>
          <cell r="G180">
            <v>1014.74</v>
          </cell>
          <cell r="H180">
            <v>2132.71</v>
          </cell>
          <cell r="I180">
            <v>5278.64</v>
          </cell>
          <cell r="J180">
            <v>91403</v>
          </cell>
          <cell r="K180" t="str">
            <v>MP</v>
          </cell>
        </row>
        <row r="181">
          <cell r="A181" t="str">
            <v>992373-SLR</v>
          </cell>
          <cell r="B181">
            <v>9854</v>
          </cell>
          <cell r="C181">
            <v>251.7</v>
          </cell>
          <cell r="D181">
            <v>7.66</v>
          </cell>
          <cell r="E181">
            <v>498.21</v>
          </cell>
          <cell r="F181">
            <v>165.61</v>
          </cell>
          <cell r="G181">
            <v>208.82</v>
          </cell>
          <cell r="H181">
            <v>1132</v>
          </cell>
          <cell r="I181">
            <v>1232.24</v>
          </cell>
          <cell r="J181">
            <v>93018</v>
          </cell>
          <cell r="K181" t="str">
            <v>MP</v>
          </cell>
        </row>
        <row r="182">
          <cell r="A182" t="str">
            <v>992374-SLR</v>
          </cell>
          <cell r="B182">
            <v>10089</v>
          </cell>
          <cell r="C182">
            <v>1932.89</v>
          </cell>
          <cell r="D182">
            <v>784.77</v>
          </cell>
          <cell r="E182">
            <v>494.04</v>
          </cell>
          <cell r="F182">
            <v>349</v>
          </cell>
          <cell r="G182">
            <v>16403.810000000001</v>
          </cell>
          <cell r="H182">
            <v>19964.510000000002</v>
          </cell>
          <cell r="I182">
            <v>123465.54</v>
          </cell>
          <cell r="J182">
            <v>92107</v>
          </cell>
          <cell r="K182" t="str">
            <v>MP</v>
          </cell>
        </row>
        <row r="183">
          <cell r="A183" t="str">
            <v>992375-SLR</v>
          </cell>
          <cell r="B183">
            <v>9784</v>
          </cell>
          <cell r="C183">
            <v>229.66</v>
          </cell>
          <cell r="D183">
            <v>5.19</v>
          </cell>
          <cell r="E183">
            <v>500.28</v>
          </cell>
          <cell r="F183">
            <v>150.84</v>
          </cell>
          <cell r="G183">
            <v>116.93</v>
          </cell>
          <cell r="H183">
            <v>1002.9000000000001</v>
          </cell>
          <cell r="I183">
            <v>600.34</v>
          </cell>
          <cell r="J183">
            <v>91814</v>
          </cell>
          <cell r="K183" t="str">
            <v>MP</v>
          </cell>
        </row>
        <row r="184">
          <cell r="A184" t="str">
            <v>992377-SLR</v>
          </cell>
          <cell r="B184">
            <v>10259</v>
          </cell>
          <cell r="C184">
            <v>139.94</v>
          </cell>
          <cell r="D184">
            <v>52.59</v>
          </cell>
          <cell r="E184">
            <v>499.77</v>
          </cell>
          <cell r="F184">
            <v>625.84</v>
          </cell>
          <cell r="G184">
            <v>493.05</v>
          </cell>
          <cell r="H184">
            <v>1811.1899999999998</v>
          </cell>
          <cell r="I184">
            <v>16242.53</v>
          </cell>
          <cell r="J184">
            <v>93195</v>
          </cell>
          <cell r="K184" t="str">
            <v>MP</v>
          </cell>
        </row>
        <row r="185">
          <cell r="A185" t="str">
            <v>992380-SLR</v>
          </cell>
          <cell r="B185">
            <v>9826</v>
          </cell>
          <cell r="C185">
            <v>158.41999999999999</v>
          </cell>
          <cell r="D185">
            <v>24.23</v>
          </cell>
          <cell r="E185">
            <v>500.28</v>
          </cell>
          <cell r="F185">
            <v>343.91</v>
          </cell>
          <cell r="G185">
            <v>1059.82</v>
          </cell>
          <cell r="H185">
            <v>2086.66</v>
          </cell>
          <cell r="I185">
            <v>7387.47</v>
          </cell>
          <cell r="J185">
            <v>91682</v>
          </cell>
          <cell r="K185" t="str">
            <v>MP</v>
          </cell>
        </row>
        <row r="186">
          <cell r="A186" t="str">
            <v>992381-SLR</v>
          </cell>
          <cell r="B186">
            <v>10190</v>
          </cell>
          <cell r="C186">
            <v>15434.96</v>
          </cell>
          <cell r="D186">
            <v>361.09</v>
          </cell>
          <cell r="E186">
            <v>497.1</v>
          </cell>
          <cell r="F186">
            <v>1921.87</v>
          </cell>
          <cell r="G186">
            <v>9585.9500000000007</v>
          </cell>
          <cell r="H186">
            <v>27800.97</v>
          </cell>
          <cell r="I186">
            <v>58240.95</v>
          </cell>
          <cell r="J186">
            <v>91996</v>
          </cell>
          <cell r="K186" t="str">
            <v>MP</v>
          </cell>
        </row>
        <row r="187">
          <cell r="A187" t="str">
            <v>992382-SLR</v>
          </cell>
          <cell r="B187">
            <v>9861</v>
          </cell>
          <cell r="C187">
            <v>6692.62</v>
          </cell>
          <cell r="D187">
            <v>81.260000000000005</v>
          </cell>
          <cell r="E187">
            <v>498.21</v>
          </cell>
          <cell r="F187">
            <v>823.89</v>
          </cell>
          <cell r="G187">
            <v>3028.49</v>
          </cell>
          <cell r="H187">
            <v>11124.470000000001</v>
          </cell>
          <cell r="I187">
            <v>18463.5</v>
          </cell>
          <cell r="J187">
            <v>92315</v>
          </cell>
          <cell r="K187" t="str">
            <v>MP</v>
          </cell>
        </row>
        <row r="188">
          <cell r="A188" t="str">
            <v>992383-SLR</v>
          </cell>
          <cell r="B188">
            <v>9998</v>
          </cell>
          <cell r="C188">
            <v>380.42</v>
          </cell>
          <cell r="D188">
            <v>191.23</v>
          </cell>
          <cell r="E188">
            <v>1351.62</v>
          </cell>
          <cell r="F188">
            <v>754.41</v>
          </cell>
          <cell r="G188">
            <v>8366.24</v>
          </cell>
          <cell r="H188">
            <v>11043.92</v>
          </cell>
          <cell r="I188">
            <v>59187.199999999997</v>
          </cell>
          <cell r="J188">
            <v>90097</v>
          </cell>
          <cell r="K188" t="str">
            <v>MP</v>
          </cell>
        </row>
        <row r="189">
          <cell r="A189" t="str">
            <v>992384-SLR</v>
          </cell>
          <cell r="B189">
            <v>9867</v>
          </cell>
          <cell r="C189">
            <v>117.59</v>
          </cell>
          <cell r="D189">
            <v>7.62</v>
          </cell>
          <cell r="E189">
            <v>498.21</v>
          </cell>
          <cell r="F189">
            <v>185.31</v>
          </cell>
          <cell r="G189">
            <v>449.76</v>
          </cell>
          <cell r="H189">
            <v>1258.49</v>
          </cell>
          <cell r="I189">
            <v>2241.9499999999998</v>
          </cell>
          <cell r="J189">
            <v>93158</v>
          </cell>
          <cell r="K189" t="str">
            <v>MP</v>
          </cell>
        </row>
        <row r="190">
          <cell r="A190" t="str">
            <v>992385-SLR</v>
          </cell>
          <cell r="B190">
            <v>9787</v>
          </cell>
          <cell r="C190">
            <v>169.33</v>
          </cell>
          <cell r="D190">
            <v>6</v>
          </cell>
          <cell r="E190">
            <v>500.28</v>
          </cell>
          <cell r="F190">
            <v>177.61</v>
          </cell>
          <cell r="G190">
            <v>384.71</v>
          </cell>
          <cell r="H190">
            <v>1237.93</v>
          </cell>
          <cell r="I190">
            <v>1849.45</v>
          </cell>
          <cell r="J190">
            <v>91984</v>
          </cell>
          <cell r="K190" t="str">
            <v>MP</v>
          </cell>
        </row>
        <row r="191">
          <cell r="A191" t="str">
            <v>992386-SLR</v>
          </cell>
          <cell r="B191">
            <v>9828</v>
          </cell>
          <cell r="C191">
            <v>267.45999999999998</v>
          </cell>
          <cell r="D191">
            <v>38.07</v>
          </cell>
          <cell r="E191">
            <v>500.28</v>
          </cell>
          <cell r="F191">
            <v>281.63</v>
          </cell>
          <cell r="G191">
            <v>802.16</v>
          </cell>
          <cell r="H191">
            <v>1889.6</v>
          </cell>
          <cell r="I191">
            <v>5864.92</v>
          </cell>
          <cell r="J191">
            <v>91431</v>
          </cell>
          <cell r="K191" t="str">
            <v>MP</v>
          </cell>
        </row>
        <row r="192">
          <cell r="A192" t="str">
            <v>992387-SLR</v>
          </cell>
          <cell r="B192">
            <v>10127</v>
          </cell>
          <cell r="C192">
            <v>282.44</v>
          </cell>
          <cell r="D192">
            <v>639.77</v>
          </cell>
          <cell r="E192">
            <v>498.42</v>
          </cell>
          <cell r="F192">
            <v>2577.8200000000002</v>
          </cell>
          <cell r="G192">
            <v>15087.43</v>
          </cell>
          <cell r="H192">
            <v>19085.88</v>
          </cell>
          <cell r="I192">
            <v>102267.48</v>
          </cell>
          <cell r="J192">
            <v>92172</v>
          </cell>
          <cell r="K192" t="str">
            <v>MP</v>
          </cell>
        </row>
        <row r="193">
          <cell r="A193" t="str">
            <v>992390-SLR</v>
          </cell>
          <cell r="B193">
            <v>9829</v>
          </cell>
          <cell r="C193">
            <v>175.1</v>
          </cell>
          <cell r="D193">
            <v>4.0199999999999996</v>
          </cell>
          <cell r="E193">
            <v>500.28</v>
          </cell>
          <cell r="F193">
            <v>146.59</v>
          </cell>
          <cell r="G193">
            <v>122.75</v>
          </cell>
          <cell r="H193">
            <v>948.74</v>
          </cell>
          <cell r="I193">
            <v>466.93</v>
          </cell>
          <cell r="J193">
            <v>92249</v>
          </cell>
          <cell r="K193" t="str">
            <v>MP</v>
          </cell>
        </row>
        <row r="194">
          <cell r="A194" t="str">
            <v>992391-SLR</v>
          </cell>
          <cell r="B194">
            <v>10192</v>
          </cell>
          <cell r="C194">
            <v>15434.96</v>
          </cell>
          <cell r="D194">
            <v>106.2</v>
          </cell>
          <cell r="E194">
            <v>497.1</v>
          </cell>
          <cell r="F194">
            <v>991.12</v>
          </cell>
          <cell r="G194">
            <v>5880.53</v>
          </cell>
          <cell r="H194">
            <v>22909.91</v>
          </cell>
          <cell r="I194">
            <v>17128.48</v>
          </cell>
          <cell r="J194">
            <v>91996</v>
          </cell>
          <cell r="K194" t="str">
            <v>MP</v>
          </cell>
        </row>
        <row r="195">
          <cell r="A195" t="str">
            <v>992392-SLR</v>
          </cell>
          <cell r="B195">
            <v>10193</v>
          </cell>
          <cell r="C195">
            <v>15434.96</v>
          </cell>
          <cell r="D195">
            <v>106.2</v>
          </cell>
          <cell r="E195">
            <v>497.1</v>
          </cell>
          <cell r="F195">
            <v>991.12</v>
          </cell>
          <cell r="G195">
            <v>5880.54</v>
          </cell>
          <cell r="H195">
            <v>22909.920000000002</v>
          </cell>
          <cell r="I195">
            <v>17128.48</v>
          </cell>
          <cell r="J195">
            <v>91996</v>
          </cell>
          <cell r="K195" t="str">
            <v>MP</v>
          </cell>
        </row>
        <row r="196">
          <cell r="A196" t="str">
            <v>992393-SLR</v>
          </cell>
          <cell r="B196">
            <v>9855</v>
          </cell>
          <cell r="C196">
            <v>2812.65</v>
          </cell>
          <cell r="D196">
            <v>862.72</v>
          </cell>
          <cell r="E196">
            <v>498.21</v>
          </cell>
          <cell r="F196">
            <v>3446.56</v>
          </cell>
          <cell r="G196">
            <v>20206.8</v>
          </cell>
          <cell r="H196">
            <v>27826.94</v>
          </cell>
          <cell r="I196">
            <v>138125.42000000001</v>
          </cell>
          <cell r="J196">
            <v>93020</v>
          </cell>
          <cell r="K196" t="str">
            <v>MP</v>
          </cell>
        </row>
        <row r="197">
          <cell r="A197" t="str">
            <v>992394-SLR</v>
          </cell>
          <cell r="B197">
            <v>9908</v>
          </cell>
          <cell r="C197">
            <v>351.32</v>
          </cell>
          <cell r="D197">
            <v>10.23</v>
          </cell>
          <cell r="E197">
            <v>502.05</v>
          </cell>
          <cell r="F197">
            <v>169.03</v>
          </cell>
          <cell r="G197">
            <v>345.12</v>
          </cell>
          <cell r="H197">
            <v>1377.75</v>
          </cell>
          <cell r="I197">
            <v>1281.9000000000001</v>
          </cell>
          <cell r="J197">
            <v>91375</v>
          </cell>
          <cell r="K197" t="str">
            <v>MP</v>
          </cell>
        </row>
        <row r="198">
          <cell r="A198" t="str">
            <v>992395-SLR</v>
          </cell>
          <cell r="B198">
            <v>9900</v>
          </cell>
          <cell r="C198">
            <v>163.16999999999999</v>
          </cell>
          <cell r="D198">
            <v>5.96</v>
          </cell>
          <cell r="E198">
            <v>502.05</v>
          </cell>
          <cell r="F198">
            <v>173.98</v>
          </cell>
          <cell r="G198">
            <v>260.89999999999998</v>
          </cell>
          <cell r="H198">
            <v>1106.06</v>
          </cell>
          <cell r="I198">
            <v>1694.42</v>
          </cell>
          <cell r="J198">
            <v>90121</v>
          </cell>
          <cell r="K198" t="str">
            <v>MP</v>
          </cell>
        </row>
        <row r="199">
          <cell r="A199" t="str">
            <v>992396-SLR</v>
          </cell>
          <cell r="B199">
            <v>9901</v>
          </cell>
          <cell r="C199">
            <v>163.16999999999999</v>
          </cell>
          <cell r="D199">
            <v>16.48</v>
          </cell>
          <cell r="E199">
            <v>502.05</v>
          </cell>
          <cell r="F199">
            <v>247.92</v>
          </cell>
          <cell r="G199">
            <v>1081.49</v>
          </cell>
          <cell r="H199">
            <v>2011.1100000000001</v>
          </cell>
          <cell r="I199">
            <v>4970.3</v>
          </cell>
          <cell r="J199">
            <v>90506</v>
          </cell>
          <cell r="K199" t="str">
            <v>MP</v>
          </cell>
        </row>
        <row r="200">
          <cell r="A200" t="str">
            <v>992397-SLR</v>
          </cell>
          <cell r="B200">
            <v>9930</v>
          </cell>
          <cell r="C200">
            <v>138.6</v>
          </cell>
          <cell r="D200">
            <v>6.16</v>
          </cell>
          <cell r="E200">
            <v>502.02</v>
          </cell>
          <cell r="F200">
            <v>154.02000000000001</v>
          </cell>
          <cell r="G200">
            <v>136.69</v>
          </cell>
          <cell r="H200">
            <v>937.49</v>
          </cell>
          <cell r="I200">
            <v>831.6</v>
          </cell>
          <cell r="J200">
            <v>90614</v>
          </cell>
          <cell r="K200" t="str">
            <v>MP</v>
          </cell>
        </row>
        <row r="201">
          <cell r="A201" t="str">
            <v>992398-SLR</v>
          </cell>
          <cell r="B201">
            <v>10034</v>
          </cell>
          <cell r="C201">
            <v>108.63</v>
          </cell>
          <cell r="D201">
            <v>40.590000000000003</v>
          </cell>
          <cell r="E201">
            <v>501.36</v>
          </cell>
          <cell r="F201">
            <v>541.71</v>
          </cell>
          <cell r="G201">
            <v>1775.65</v>
          </cell>
          <cell r="H201">
            <v>2967.94</v>
          </cell>
          <cell r="I201">
            <v>12534</v>
          </cell>
          <cell r="J201">
            <v>91979</v>
          </cell>
          <cell r="K201" t="str">
            <v>MP</v>
          </cell>
        </row>
        <row r="202">
          <cell r="A202" t="str">
            <v>992400-SLR</v>
          </cell>
          <cell r="B202">
            <v>10091</v>
          </cell>
          <cell r="C202">
            <v>189.3</v>
          </cell>
          <cell r="D202">
            <v>2.35</v>
          </cell>
          <cell r="E202">
            <v>494.04</v>
          </cell>
          <cell r="F202">
            <v>225</v>
          </cell>
          <cell r="G202">
            <v>139.94</v>
          </cell>
          <cell r="H202">
            <v>1050.6300000000001</v>
          </cell>
          <cell r="I202">
            <v>544.89</v>
          </cell>
          <cell r="J202">
            <v>90379</v>
          </cell>
          <cell r="K202" t="str">
            <v>MP</v>
          </cell>
        </row>
        <row r="203">
          <cell r="A203" t="str">
            <v>992401-SLR</v>
          </cell>
          <cell r="B203">
            <v>9947</v>
          </cell>
          <cell r="C203">
            <v>243.82</v>
          </cell>
          <cell r="D203">
            <v>37.69</v>
          </cell>
          <cell r="E203">
            <v>505.41</v>
          </cell>
          <cell r="F203">
            <v>292.48</v>
          </cell>
          <cell r="G203">
            <v>1218.71</v>
          </cell>
          <cell r="H203">
            <v>2298.11</v>
          </cell>
          <cell r="I203">
            <v>6132.76</v>
          </cell>
          <cell r="J203">
            <v>92174</v>
          </cell>
          <cell r="K203" t="str">
            <v>MP</v>
          </cell>
        </row>
        <row r="204">
          <cell r="A204" t="str">
            <v>992402-SLR</v>
          </cell>
          <cell r="B204">
            <v>9931</v>
          </cell>
          <cell r="C204">
            <v>163.16</v>
          </cell>
          <cell r="D204">
            <v>1.57</v>
          </cell>
          <cell r="E204">
            <v>502.02</v>
          </cell>
          <cell r="F204">
            <v>146.77000000000001</v>
          </cell>
          <cell r="G204">
            <v>124.3</v>
          </cell>
          <cell r="H204">
            <v>937.81999999999994</v>
          </cell>
          <cell r="I204">
            <v>489.47</v>
          </cell>
          <cell r="J204">
            <v>91178</v>
          </cell>
          <cell r="K204" t="str">
            <v>MP</v>
          </cell>
        </row>
        <row r="205">
          <cell r="A205" t="str">
            <v>992403-SLR</v>
          </cell>
          <cell r="B205">
            <v>10016</v>
          </cell>
          <cell r="C205">
            <v>256.97000000000003</v>
          </cell>
          <cell r="D205">
            <v>44.16</v>
          </cell>
          <cell r="E205">
            <v>501.87</v>
          </cell>
          <cell r="F205">
            <v>336.47</v>
          </cell>
          <cell r="G205">
            <v>1406.49</v>
          </cell>
          <cell r="H205">
            <v>2545.96</v>
          </cell>
          <cell r="I205">
            <v>7101.46</v>
          </cell>
          <cell r="J205">
            <v>92199</v>
          </cell>
          <cell r="K205" t="str">
            <v>MP</v>
          </cell>
        </row>
        <row r="206">
          <cell r="A206" t="str">
            <v>992405-SLR</v>
          </cell>
          <cell r="B206">
            <v>9933</v>
          </cell>
          <cell r="C206">
            <v>1521.96</v>
          </cell>
          <cell r="D206">
            <v>2.79</v>
          </cell>
          <cell r="E206">
            <v>502.02</v>
          </cell>
          <cell r="F206">
            <v>176.47</v>
          </cell>
          <cell r="G206">
            <v>414.56</v>
          </cell>
          <cell r="H206">
            <v>2617.7999999999997</v>
          </cell>
          <cell r="I206">
            <v>449.3</v>
          </cell>
          <cell r="J206">
            <v>91066</v>
          </cell>
          <cell r="K206" t="str">
            <v>MP</v>
          </cell>
        </row>
        <row r="207">
          <cell r="A207" t="str">
            <v>992406-SLR</v>
          </cell>
          <cell r="B207">
            <v>9929</v>
          </cell>
          <cell r="C207">
            <v>291.7</v>
          </cell>
          <cell r="D207">
            <v>0.72</v>
          </cell>
          <cell r="E207">
            <v>502.02</v>
          </cell>
          <cell r="F207">
            <v>141.24</v>
          </cell>
          <cell r="G207">
            <v>77.599999999999994</v>
          </cell>
          <cell r="H207">
            <v>1013.2800000000001</v>
          </cell>
          <cell r="I207">
            <v>116.01</v>
          </cell>
          <cell r="J207">
            <v>91163</v>
          </cell>
          <cell r="K207" t="str">
            <v>MP</v>
          </cell>
        </row>
        <row r="208">
          <cell r="A208" t="str">
            <v>992407-SLR</v>
          </cell>
          <cell r="B208">
            <v>9886</v>
          </cell>
          <cell r="C208">
            <v>163.16999999999999</v>
          </cell>
          <cell r="D208">
            <v>2.36</v>
          </cell>
          <cell r="E208">
            <v>502.05</v>
          </cell>
          <cell r="F208">
            <v>148.65</v>
          </cell>
          <cell r="G208">
            <v>22.14</v>
          </cell>
          <cell r="H208">
            <v>838.37</v>
          </cell>
          <cell r="I208">
            <v>572.34</v>
          </cell>
          <cell r="J208">
            <v>90236</v>
          </cell>
          <cell r="K208" t="str">
            <v>MP</v>
          </cell>
        </row>
        <row r="209">
          <cell r="A209" t="str">
            <v>992408-SLR</v>
          </cell>
          <cell r="B209">
            <v>10017</v>
          </cell>
          <cell r="C209">
            <v>163.11000000000001</v>
          </cell>
          <cell r="D209">
            <v>70.13</v>
          </cell>
          <cell r="E209">
            <v>501.87</v>
          </cell>
          <cell r="F209">
            <v>749.12</v>
          </cell>
          <cell r="G209">
            <v>3067.96</v>
          </cell>
          <cell r="H209">
            <v>4552.1900000000005</v>
          </cell>
          <cell r="I209">
            <v>21680.78</v>
          </cell>
          <cell r="J209">
            <v>93023</v>
          </cell>
          <cell r="K209" t="str">
            <v>MP</v>
          </cell>
        </row>
        <row r="210">
          <cell r="A210" t="str">
            <v>992409-SLR</v>
          </cell>
          <cell r="B210">
            <v>9887</v>
          </cell>
          <cell r="C210">
            <v>177.47</v>
          </cell>
          <cell r="D210">
            <v>21.79</v>
          </cell>
          <cell r="E210">
            <v>502.05</v>
          </cell>
          <cell r="F210">
            <v>210.08</v>
          </cell>
          <cell r="G210">
            <v>658.9</v>
          </cell>
          <cell r="H210">
            <v>1570.29</v>
          </cell>
          <cell r="I210">
            <v>3268.62</v>
          </cell>
          <cell r="J210">
            <v>93003</v>
          </cell>
          <cell r="K210" t="str">
            <v>MP</v>
          </cell>
        </row>
        <row r="211">
          <cell r="A211" t="str">
            <v>992413-SLR</v>
          </cell>
          <cell r="B211">
            <v>10047</v>
          </cell>
          <cell r="C211">
            <v>320.42</v>
          </cell>
          <cell r="D211">
            <v>255.88</v>
          </cell>
          <cell r="E211">
            <v>495.54</v>
          </cell>
          <cell r="F211">
            <v>225</v>
          </cell>
          <cell r="G211">
            <v>533.17999999999995</v>
          </cell>
          <cell r="H211">
            <v>1830.02</v>
          </cell>
          <cell r="I211">
            <v>2229.9299999999998</v>
          </cell>
          <cell r="J211">
            <v>91567</v>
          </cell>
          <cell r="K211" t="str">
            <v>MP</v>
          </cell>
        </row>
        <row r="212">
          <cell r="A212" t="str">
            <v>992414-SLR</v>
          </cell>
          <cell r="B212">
            <v>10387</v>
          </cell>
          <cell r="C212">
            <v>471.52</v>
          </cell>
          <cell r="D212">
            <v>328.73</v>
          </cell>
          <cell r="E212">
            <v>524.4</v>
          </cell>
          <cell r="F212">
            <v>2574.86</v>
          </cell>
          <cell r="G212">
            <v>3091.75</v>
          </cell>
          <cell r="H212">
            <v>6991.26</v>
          </cell>
          <cell r="I212">
            <v>102258</v>
          </cell>
          <cell r="J212">
            <v>93195</v>
          </cell>
          <cell r="K212" t="str">
            <v>MP</v>
          </cell>
        </row>
        <row r="213">
          <cell r="A213" t="str">
            <v>992415-SLR</v>
          </cell>
          <cell r="B213">
            <v>9830</v>
          </cell>
          <cell r="C213">
            <v>160.09</v>
          </cell>
          <cell r="D213">
            <v>15.18</v>
          </cell>
          <cell r="E213">
            <v>500.28</v>
          </cell>
          <cell r="F213">
            <v>238.05</v>
          </cell>
          <cell r="G213">
            <v>141.33000000000001</v>
          </cell>
          <cell r="H213">
            <v>1054.9299999999998</v>
          </cell>
          <cell r="I213">
            <v>4535.87</v>
          </cell>
          <cell r="J213">
            <v>91841</v>
          </cell>
          <cell r="K213" t="str">
            <v>MP</v>
          </cell>
        </row>
        <row r="214">
          <cell r="A214" t="str">
            <v>992416-SLR</v>
          </cell>
          <cell r="B214">
            <v>10018</v>
          </cell>
          <cell r="C214">
            <v>128.81</v>
          </cell>
          <cell r="D214">
            <v>7.46</v>
          </cell>
          <cell r="E214">
            <v>501.87</v>
          </cell>
          <cell r="F214">
            <v>159.1</v>
          </cell>
          <cell r="G214">
            <v>252.46</v>
          </cell>
          <cell r="H214">
            <v>1049.7</v>
          </cell>
          <cell r="I214">
            <v>1065.92</v>
          </cell>
          <cell r="J214">
            <v>91983</v>
          </cell>
          <cell r="K214" t="str">
            <v>MP</v>
          </cell>
        </row>
        <row r="215">
          <cell r="A215" t="str">
            <v>992417-SLR</v>
          </cell>
          <cell r="B215">
            <v>9839</v>
          </cell>
          <cell r="C215">
            <v>786.16</v>
          </cell>
          <cell r="D215">
            <v>70.97</v>
          </cell>
          <cell r="E215">
            <v>500.28</v>
          </cell>
          <cell r="F215">
            <v>512.80999999999995</v>
          </cell>
          <cell r="G215">
            <v>1583.57</v>
          </cell>
          <cell r="H215">
            <v>3453.79</v>
          </cell>
          <cell r="I215">
            <v>10554.24</v>
          </cell>
          <cell r="J215">
            <v>92287</v>
          </cell>
          <cell r="K215" t="str">
            <v>MP</v>
          </cell>
        </row>
        <row r="216">
          <cell r="A216" t="str">
            <v>992418-SLR</v>
          </cell>
          <cell r="B216">
            <v>9885</v>
          </cell>
          <cell r="C216">
            <v>396.88</v>
          </cell>
          <cell r="D216">
            <v>31.02</v>
          </cell>
          <cell r="E216">
            <v>500.28</v>
          </cell>
          <cell r="F216">
            <v>200</v>
          </cell>
          <cell r="G216">
            <v>947.62</v>
          </cell>
          <cell r="H216">
            <v>2075.7999999999997</v>
          </cell>
          <cell r="I216">
            <v>4559.55</v>
          </cell>
          <cell r="J216">
            <v>93035</v>
          </cell>
          <cell r="K216" t="str">
            <v>MP</v>
          </cell>
        </row>
        <row r="217">
          <cell r="A217" t="str">
            <v>992420-SLR</v>
          </cell>
          <cell r="B217">
            <v>9780</v>
          </cell>
          <cell r="C217">
            <v>81.709999999999994</v>
          </cell>
          <cell r="D217">
            <v>3.89</v>
          </cell>
          <cell r="E217">
            <v>500.28</v>
          </cell>
          <cell r="F217">
            <v>148.05000000000001</v>
          </cell>
          <cell r="G217">
            <v>99.53</v>
          </cell>
          <cell r="H217">
            <v>833.46</v>
          </cell>
          <cell r="I217">
            <v>625.35</v>
          </cell>
          <cell r="J217">
            <v>91969</v>
          </cell>
          <cell r="K217" t="str">
            <v>MP</v>
          </cell>
        </row>
        <row r="218">
          <cell r="A218" t="str">
            <v>992421-SLR</v>
          </cell>
          <cell r="B218">
            <v>9841</v>
          </cell>
          <cell r="C218">
            <v>91.72</v>
          </cell>
          <cell r="D218">
            <v>3.8</v>
          </cell>
          <cell r="E218">
            <v>500.28</v>
          </cell>
          <cell r="F218">
            <v>145.83000000000001</v>
          </cell>
          <cell r="G218">
            <v>55.12</v>
          </cell>
          <cell r="H218">
            <v>796.75</v>
          </cell>
          <cell r="I218">
            <v>516.96</v>
          </cell>
          <cell r="J218">
            <v>93098</v>
          </cell>
          <cell r="K218" t="str">
            <v>MP</v>
          </cell>
        </row>
        <row r="219">
          <cell r="A219" t="str">
            <v>992422-SLR</v>
          </cell>
          <cell r="B219">
            <v>10038</v>
          </cell>
          <cell r="C219">
            <v>963.61</v>
          </cell>
          <cell r="D219">
            <v>86.18</v>
          </cell>
          <cell r="E219">
            <v>501.36</v>
          </cell>
          <cell r="F219">
            <v>569.15</v>
          </cell>
          <cell r="G219">
            <v>1750.59</v>
          </cell>
          <cell r="H219">
            <v>3870.8900000000003</v>
          </cell>
          <cell r="I219">
            <v>12851.9</v>
          </cell>
          <cell r="J219">
            <v>92316</v>
          </cell>
          <cell r="K219" t="str">
            <v>MP</v>
          </cell>
        </row>
        <row r="220">
          <cell r="A220" t="str">
            <v>992423-SLR</v>
          </cell>
          <cell r="B220">
            <v>10194</v>
          </cell>
          <cell r="C220">
            <v>401.57</v>
          </cell>
          <cell r="D220">
            <v>1435.04</v>
          </cell>
          <cell r="E220">
            <v>497.1</v>
          </cell>
          <cell r="F220">
            <v>5505.18</v>
          </cell>
          <cell r="G220">
            <v>32661.23</v>
          </cell>
          <cell r="H220">
            <v>40500.120000000003</v>
          </cell>
          <cell r="I220">
            <v>231458.05</v>
          </cell>
          <cell r="J220">
            <v>90097</v>
          </cell>
          <cell r="K220" t="str">
            <v>MP</v>
          </cell>
        </row>
        <row r="221">
          <cell r="A221" t="str">
            <v>992424-SLR</v>
          </cell>
          <cell r="B221">
            <v>10136</v>
          </cell>
          <cell r="C221">
            <v>1793.4</v>
          </cell>
          <cell r="D221">
            <v>664.79</v>
          </cell>
          <cell r="E221">
            <v>498.42</v>
          </cell>
          <cell r="F221">
            <v>4945.37</v>
          </cell>
          <cell r="G221">
            <v>26256.03</v>
          </cell>
          <cell r="H221">
            <v>34158.009999999995</v>
          </cell>
          <cell r="I221">
            <v>205956.28</v>
          </cell>
          <cell r="J221">
            <v>90061</v>
          </cell>
          <cell r="K221" t="str">
            <v>MP</v>
          </cell>
        </row>
        <row r="222">
          <cell r="A222" t="str">
            <v>992425-SLR</v>
          </cell>
          <cell r="B222">
            <v>9948</v>
          </cell>
          <cell r="C222">
            <v>345.36</v>
          </cell>
          <cell r="D222">
            <v>27.56</v>
          </cell>
          <cell r="E222">
            <v>505.41</v>
          </cell>
          <cell r="F222">
            <v>390.31</v>
          </cell>
          <cell r="G222">
            <v>1032.28</v>
          </cell>
          <cell r="H222">
            <v>2300.92</v>
          </cell>
          <cell r="I222">
            <v>8239.8700000000008</v>
          </cell>
          <cell r="J222">
            <v>90083</v>
          </cell>
          <cell r="K222" t="str">
            <v>MP</v>
          </cell>
        </row>
        <row r="223">
          <cell r="A223" t="str">
            <v>992426-SLR</v>
          </cell>
          <cell r="B223">
            <v>9950</v>
          </cell>
          <cell r="C223">
            <v>269.55</v>
          </cell>
          <cell r="D223">
            <v>21.6</v>
          </cell>
          <cell r="E223">
            <v>505.41</v>
          </cell>
          <cell r="F223">
            <v>217.01</v>
          </cell>
          <cell r="G223">
            <v>717.47</v>
          </cell>
          <cell r="H223">
            <v>1731.04</v>
          </cell>
          <cell r="I223">
            <v>3485.03</v>
          </cell>
          <cell r="J223">
            <v>90424</v>
          </cell>
          <cell r="K223" t="str">
            <v>MP</v>
          </cell>
        </row>
        <row r="224">
          <cell r="A224" t="str">
            <v>992427-SLR</v>
          </cell>
          <cell r="B224">
            <v>9924</v>
          </cell>
          <cell r="C224">
            <v>269.42</v>
          </cell>
          <cell r="D224">
            <v>2.86</v>
          </cell>
          <cell r="E224">
            <v>502.02</v>
          </cell>
          <cell r="F224">
            <v>142.44999999999999</v>
          </cell>
          <cell r="G224">
            <v>87.83</v>
          </cell>
          <cell r="H224">
            <v>1004.58</v>
          </cell>
          <cell r="I224">
            <v>189.99</v>
          </cell>
          <cell r="J224">
            <v>90424</v>
          </cell>
          <cell r="K224" t="str">
            <v>MP</v>
          </cell>
        </row>
        <row r="225">
          <cell r="A225" t="str">
            <v>992428-SLR</v>
          </cell>
          <cell r="B225">
            <v>9951</v>
          </cell>
          <cell r="C225">
            <v>269.55</v>
          </cell>
          <cell r="D225">
            <v>13.51</v>
          </cell>
          <cell r="E225">
            <v>505.41</v>
          </cell>
          <cell r="F225">
            <v>181.98</v>
          </cell>
          <cell r="G225">
            <v>421.65</v>
          </cell>
          <cell r="H225">
            <v>1392.1</v>
          </cell>
          <cell r="I225">
            <v>1936.13</v>
          </cell>
          <cell r="J225">
            <v>90424</v>
          </cell>
          <cell r="K225" t="str">
            <v>MP</v>
          </cell>
        </row>
        <row r="226">
          <cell r="A226" t="str">
            <v>992429-SLR</v>
          </cell>
          <cell r="B226">
            <v>10323</v>
          </cell>
          <cell r="C226">
            <v>1124.72</v>
          </cell>
          <cell r="D226">
            <v>127.59</v>
          </cell>
          <cell r="E226">
            <v>497</v>
          </cell>
          <cell r="F226">
            <v>717.45</v>
          </cell>
          <cell r="G226">
            <v>3896.26</v>
          </cell>
          <cell r="H226">
            <v>6363.02</v>
          </cell>
          <cell r="I226">
            <v>19254.34</v>
          </cell>
          <cell r="J226">
            <v>93166</v>
          </cell>
          <cell r="K226" t="str">
            <v>MP</v>
          </cell>
        </row>
        <row r="227">
          <cell r="A227" t="str">
            <v>992430-SLR</v>
          </cell>
          <cell r="B227">
            <v>9922</v>
          </cell>
          <cell r="C227">
            <v>318.27</v>
          </cell>
          <cell r="D227">
            <v>3763.13</v>
          </cell>
          <cell r="E227">
            <v>502.02</v>
          </cell>
          <cell r="F227">
            <v>1884.4</v>
          </cell>
          <cell r="G227">
            <v>3618.57</v>
          </cell>
          <cell r="H227">
            <v>10086.39</v>
          </cell>
          <cell r="I227">
            <v>71607.09</v>
          </cell>
          <cell r="J227">
            <v>90570</v>
          </cell>
          <cell r="K227" t="str">
            <v>MP</v>
          </cell>
        </row>
        <row r="228">
          <cell r="A228" t="str">
            <v>992431-SLR</v>
          </cell>
          <cell r="B228">
            <v>9915</v>
          </cell>
          <cell r="C228">
            <v>117.15</v>
          </cell>
          <cell r="D228">
            <v>3.33</v>
          </cell>
          <cell r="E228">
            <v>502.05</v>
          </cell>
          <cell r="F228">
            <v>155.47</v>
          </cell>
          <cell r="G228">
            <v>93.68</v>
          </cell>
          <cell r="H228">
            <v>871.68000000000006</v>
          </cell>
          <cell r="I228">
            <v>920.43</v>
          </cell>
          <cell r="J228">
            <v>90121</v>
          </cell>
          <cell r="K228" t="str">
            <v>MP</v>
          </cell>
        </row>
        <row r="229">
          <cell r="A229" t="str">
            <v>992433-SLR</v>
          </cell>
          <cell r="B229">
            <v>10032</v>
          </cell>
          <cell r="C229">
            <v>163.11000000000001</v>
          </cell>
          <cell r="D229">
            <v>10.19</v>
          </cell>
          <cell r="E229">
            <v>505.41</v>
          </cell>
          <cell r="F229">
            <v>203.7</v>
          </cell>
          <cell r="G229">
            <v>445.83</v>
          </cell>
          <cell r="H229">
            <v>1328.24</v>
          </cell>
          <cell r="I229">
            <v>3011.22</v>
          </cell>
          <cell r="J229">
            <v>90121</v>
          </cell>
          <cell r="K229" t="str">
            <v>MP</v>
          </cell>
        </row>
        <row r="230">
          <cell r="A230" t="str">
            <v>992434-SLR</v>
          </cell>
          <cell r="B230">
            <v>9902</v>
          </cell>
          <cell r="C230">
            <v>175.72</v>
          </cell>
          <cell r="D230">
            <v>20.62</v>
          </cell>
          <cell r="E230">
            <v>502.05</v>
          </cell>
          <cell r="F230">
            <v>206.88</v>
          </cell>
          <cell r="G230">
            <v>631.9</v>
          </cell>
          <cell r="H230">
            <v>1537.17</v>
          </cell>
          <cell r="I230">
            <v>3129.45</v>
          </cell>
          <cell r="J230">
            <v>90390</v>
          </cell>
          <cell r="K230" t="str">
            <v>MP</v>
          </cell>
        </row>
        <row r="231">
          <cell r="A231" t="str">
            <v>992435-SLR</v>
          </cell>
          <cell r="B231">
            <v>9903</v>
          </cell>
          <cell r="C231">
            <v>175.72</v>
          </cell>
          <cell r="D231">
            <v>22.81</v>
          </cell>
          <cell r="E231">
            <v>502.05</v>
          </cell>
          <cell r="F231">
            <v>214.84</v>
          </cell>
          <cell r="G231">
            <v>110.38</v>
          </cell>
          <cell r="H231">
            <v>1025.8000000000002</v>
          </cell>
          <cell r="I231">
            <v>3480.88</v>
          </cell>
          <cell r="J231">
            <v>92360</v>
          </cell>
          <cell r="K231" t="str">
            <v>MP</v>
          </cell>
        </row>
        <row r="232">
          <cell r="A232" t="str">
            <v>992436-SLR</v>
          </cell>
          <cell r="B232">
            <v>9916</v>
          </cell>
          <cell r="C232">
            <v>175.72</v>
          </cell>
          <cell r="D232">
            <v>18.68</v>
          </cell>
          <cell r="E232">
            <v>502.05</v>
          </cell>
          <cell r="F232">
            <v>204.2</v>
          </cell>
          <cell r="G232">
            <v>609.27</v>
          </cell>
          <cell r="H232">
            <v>1509.92</v>
          </cell>
          <cell r="I232">
            <v>3012.3</v>
          </cell>
          <cell r="J232">
            <v>90390</v>
          </cell>
          <cell r="K232" t="str">
            <v>MP</v>
          </cell>
        </row>
        <row r="233">
          <cell r="A233" t="str">
            <v>992437-SLR</v>
          </cell>
          <cell r="B233">
            <v>9952</v>
          </cell>
          <cell r="C233">
            <v>179.67</v>
          </cell>
          <cell r="D233">
            <v>40.11</v>
          </cell>
          <cell r="E233">
            <v>505.41</v>
          </cell>
          <cell r="F233">
            <v>294.95999999999998</v>
          </cell>
          <cell r="G233">
            <v>905.8</v>
          </cell>
          <cell r="H233">
            <v>1925.95</v>
          </cell>
          <cell r="I233">
            <v>6250.24</v>
          </cell>
          <cell r="J233">
            <v>90097</v>
          </cell>
          <cell r="K233" t="str">
            <v>MP</v>
          </cell>
        </row>
        <row r="234">
          <cell r="A234" t="str">
            <v>992438-SLR</v>
          </cell>
          <cell r="B234">
            <v>10288</v>
          </cell>
          <cell r="C234">
            <v>1995.52</v>
          </cell>
          <cell r="D234">
            <v>25.6</v>
          </cell>
          <cell r="E234">
            <v>499.08</v>
          </cell>
          <cell r="F234">
            <v>280.22000000000003</v>
          </cell>
          <cell r="G234">
            <v>1166.32</v>
          </cell>
          <cell r="H234">
            <v>3966.74</v>
          </cell>
          <cell r="I234">
            <v>4117.41</v>
          </cell>
          <cell r="J234">
            <v>93202</v>
          </cell>
          <cell r="K234" t="str">
            <v>MP</v>
          </cell>
        </row>
        <row r="235">
          <cell r="A235" t="str">
            <v>992439-SLR</v>
          </cell>
          <cell r="B235">
            <v>9953</v>
          </cell>
          <cell r="C235">
            <v>257.01</v>
          </cell>
          <cell r="D235">
            <v>7.75</v>
          </cell>
          <cell r="E235">
            <v>505.41</v>
          </cell>
          <cell r="F235">
            <v>166.06</v>
          </cell>
          <cell r="G235">
            <v>287.17</v>
          </cell>
          <cell r="H235">
            <v>1223.4000000000001</v>
          </cell>
          <cell r="I235">
            <v>1246.68</v>
          </cell>
          <cell r="J235">
            <v>93039</v>
          </cell>
          <cell r="K235" t="str">
            <v>MP</v>
          </cell>
        </row>
        <row r="236">
          <cell r="A236" t="str">
            <v>992440-SLR</v>
          </cell>
          <cell r="B236">
            <v>9910</v>
          </cell>
          <cell r="C236">
            <v>551.41</v>
          </cell>
          <cell r="D236">
            <v>77.8</v>
          </cell>
          <cell r="E236">
            <v>502.05</v>
          </cell>
          <cell r="F236">
            <v>535.92999999999995</v>
          </cell>
          <cell r="G236">
            <v>2239.04</v>
          </cell>
          <cell r="H236">
            <v>3906.23</v>
          </cell>
          <cell r="I236">
            <v>11809.93</v>
          </cell>
          <cell r="J236">
            <v>92088</v>
          </cell>
          <cell r="K236" t="str">
            <v>MP</v>
          </cell>
        </row>
        <row r="237">
          <cell r="A237" t="str">
            <v>992441-SLR</v>
          </cell>
          <cell r="B237">
            <v>10251</v>
          </cell>
          <cell r="C237">
            <v>943.13</v>
          </cell>
          <cell r="D237">
            <v>43.3</v>
          </cell>
          <cell r="E237">
            <v>497.1</v>
          </cell>
          <cell r="F237">
            <v>316.3</v>
          </cell>
          <cell r="G237">
            <v>1320.42</v>
          </cell>
          <cell r="H237">
            <v>3120.25</v>
          </cell>
          <cell r="I237">
            <v>5963.14</v>
          </cell>
          <cell r="J237">
            <v>93006</v>
          </cell>
          <cell r="K237" t="str">
            <v>MP</v>
          </cell>
        </row>
        <row r="238">
          <cell r="A238" t="str">
            <v>992442-SLR</v>
          </cell>
          <cell r="B238">
            <v>10161</v>
          </cell>
          <cell r="C238">
            <v>251.28</v>
          </cell>
          <cell r="D238">
            <v>7.74</v>
          </cell>
          <cell r="E238">
            <v>495.3</v>
          </cell>
          <cell r="F238">
            <v>160.1</v>
          </cell>
          <cell r="G238">
            <v>224.39</v>
          </cell>
          <cell r="H238">
            <v>1138.81</v>
          </cell>
          <cell r="I238">
            <v>987.61</v>
          </cell>
          <cell r="J238">
            <v>93075</v>
          </cell>
          <cell r="K238" t="str">
            <v>MP</v>
          </cell>
        </row>
        <row r="239">
          <cell r="A239" t="str">
            <v>992444-SLR</v>
          </cell>
          <cell r="B239">
            <v>9964</v>
          </cell>
          <cell r="C239">
            <v>194</v>
          </cell>
          <cell r="D239">
            <v>189.49</v>
          </cell>
          <cell r="E239">
            <v>501.87</v>
          </cell>
          <cell r="F239">
            <v>638.16</v>
          </cell>
          <cell r="G239">
            <v>3226.69</v>
          </cell>
          <cell r="H239">
            <v>4750.21</v>
          </cell>
          <cell r="I239">
            <v>16683.919999999998</v>
          </cell>
          <cell r="J239">
            <v>90686</v>
          </cell>
          <cell r="K239" t="str">
            <v>MP</v>
          </cell>
        </row>
        <row r="240">
          <cell r="A240" t="str">
            <v>992445-SLR</v>
          </cell>
          <cell r="B240">
            <v>9999</v>
          </cell>
          <cell r="C240">
            <v>157.05000000000001</v>
          </cell>
          <cell r="D240">
            <v>1.77</v>
          </cell>
          <cell r="E240">
            <v>13.47</v>
          </cell>
          <cell r="F240">
            <v>630.41</v>
          </cell>
          <cell r="G240">
            <v>54.22</v>
          </cell>
          <cell r="H240">
            <v>856.92000000000007</v>
          </cell>
          <cell r="I240">
            <v>126.56</v>
          </cell>
          <cell r="J240">
            <v>93013</v>
          </cell>
          <cell r="K240" t="str">
            <v>MP</v>
          </cell>
        </row>
        <row r="241">
          <cell r="A241" t="str">
            <v>992446-SLR</v>
          </cell>
          <cell r="B241">
            <v>9965</v>
          </cell>
          <cell r="C241">
            <v>157.05000000000001</v>
          </cell>
          <cell r="D241">
            <v>21.33</v>
          </cell>
          <cell r="E241">
            <v>501.87</v>
          </cell>
          <cell r="F241">
            <v>210.28</v>
          </cell>
          <cell r="G241">
            <v>660.64</v>
          </cell>
          <cell r="H241">
            <v>1551.17</v>
          </cell>
          <cell r="I241">
            <v>3298.68</v>
          </cell>
          <cell r="J241">
            <v>90424</v>
          </cell>
          <cell r="K241" t="str">
            <v>MP</v>
          </cell>
        </row>
        <row r="242">
          <cell r="A242" t="str">
            <v>992447-SLR</v>
          </cell>
          <cell r="B242">
            <v>9954</v>
          </cell>
          <cell r="C242">
            <v>185.32</v>
          </cell>
          <cell r="D242">
            <v>37.450000000000003</v>
          </cell>
          <cell r="E242">
            <v>505.41</v>
          </cell>
          <cell r="F242">
            <v>519.39</v>
          </cell>
          <cell r="G242">
            <v>2457.84</v>
          </cell>
          <cell r="H242">
            <v>3705.4100000000003</v>
          </cell>
          <cell r="I242">
            <v>11481.23</v>
          </cell>
          <cell r="J242">
            <v>91981</v>
          </cell>
          <cell r="K242" t="str">
            <v>MP</v>
          </cell>
        </row>
        <row r="243">
          <cell r="A243" t="str">
            <v>992448-SLR</v>
          </cell>
          <cell r="B243">
            <v>10260</v>
          </cell>
          <cell r="C243">
            <v>7230.86</v>
          </cell>
          <cell r="D243">
            <v>224.75</v>
          </cell>
          <cell r="E243">
            <v>4997.7700000000004</v>
          </cell>
          <cell r="F243">
            <v>1051.44</v>
          </cell>
          <cell r="G243">
            <v>7070.17</v>
          </cell>
          <cell r="H243">
            <v>20574.990000000002</v>
          </cell>
          <cell r="I243">
            <v>27895.27</v>
          </cell>
          <cell r="J243">
            <v>92418</v>
          </cell>
          <cell r="K243" t="str">
            <v>MP</v>
          </cell>
        </row>
        <row r="244">
          <cell r="A244" t="str">
            <v>992449-SLR</v>
          </cell>
          <cell r="B244">
            <v>10128</v>
          </cell>
          <cell r="C244">
            <v>510.3</v>
          </cell>
          <cell r="D244">
            <v>19.97</v>
          </cell>
          <cell r="E244">
            <v>498.42</v>
          </cell>
          <cell r="F244">
            <v>204.3</v>
          </cell>
          <cell r="G244">
            <v>610.14</v>
          </cell>
          <cell r="H244">
            <v>1843.13</v>
          </cell>
          <cell r="I244">
            <v>2673.02</v>
          </cell>
          <cell r="J244">
            <v>93006</v>
          </cell>
          <cell r="K244" t="str">
            <v>MP</v>
          </cell>
        </row>
        <row r="245">
          <cell r="A245" t="str">
            <v>992452-SLR</v>
          </cell>
          <cell r="B245">
            <v>10374</v>
          </cell>
          <cell r="C245">
            <v>628.89</v>
          </cell>
          <cell r="D245">
            <v>324.57</v>
          </cell>
          <cell r="E245">
            <v>509.55</v>
          </cell>
          <cell r="F245">
            <v>249</v>
          </cell>
          <cell r="G245">
            <v>10349.709999999999</v>
          </cell>
          <cell r="H245">
            <v>12061.72</v>
          </cell>
          <cell r="I245">
            <v>50795.1</v>
          </cell>
          <cell r="J245">
            <v>92353</v>
          </cell>
          <cell r="K245" t="str">
            <v>MP</v>
          </cell>
        </row>
        <row r="246">
          <cell r="A246" t="str">
            <v>992454-SLR</v>
          </cell>
          <cell r="B246">
            <v>10131</v>
          </cell>
          <cell r="C246">
            <v>1678.61</v>
          </cell>
          <cell r="D246">
            <v>390.08</v>
          </cell>
          <cell r="E246">
            <v>498.42</v>
          </cell>
          <cell r="F246">
            <v>1667.24</v>
          </cell>
          <cell r="G246">
            <v>8153.57</v>
          </cell>
          <cell r="H246">
            <v>12387.92</v>
          </cell>
          <cell r="I246">
            <v>60651.07</v>
          </cell>
          <cell r="J246">
            <v>92107</v>
          </cell>
          <cell r="K246" t="str">
            <v>MP</v>
          </cell>
        </row>
        <row r="247">
          <cell r="A247" t="str">
            <v>992455-SLR</v>
          </cell>
          <cell r="B247">
            <v>10019</v>
          </cell>
          <cell r="C247">
            <v>659.03</v>
          </cell>
          <cell r="D247">
            <v>32.97</v>
          </cell>
          <cell r="E247">
            <v>501.87</v>
          </cell>
          <cell r="F247">
            <v>253.03</v>
          </cell>
          <cell r="G247">
            <v>1129.2</v>
          </cell>
          <cell r="H247">
            <v>2576.1</v>
          </cell>
          <cell r="I247">
            <v>4685.16</v>
          </cell>
          <cell r="J247">
            <v>93055</v>
          </cell>
          <cell r="K247" t="str">
            <v>MP</v>
          </cell>
        </row>
        <row r="248">
          <cell r="A248" t="str">
            <v>992456-SLR</v>
          </cell>
          <cell r="B248">
            <v>10040</v>
          </cell>
          <cell r="C248">
            <v>849.07</v>
          </cell>
          <cell r="D248">
            <v>742.1</v>
          </cell>
          <cell r="E248">
            <v>501.36</v>
          </cell>
          <cell r="F248">
            <v>2959.9</v>
          </cell>
          <cell r="G248">
            <v>7021.29</v>
          </cell>
          <cell r="H248">
            <v>12073.720000000001</v>
          </cell>
          <cell r="I248">
            <v>118458</v>
          </cell>
          <cell r="J248">
            <v>93018</v>
          </cell>
          <cell r="K248" t="str">
            <v>MP</v>
          </cell>
        </row>
        <row r="249">
          <cell r="A249" t="str">
            <v>992457-SLR</v>
          </cell>
          <cell r="B249">
            <v>10092</v>
          </cell>
          <cell r="C249">
            <v>759.59</v>
          </cell>
          <cell r="D249">
            <v>69.97</v>
          </cell>
          <cell r="E249">
            <v>494.04</v>
          </cell>
          <cell r="F249">
            <v>349</v>
          </cell>
          <cell r="G249">
            <v>3061.1</v>
          </cell>
          <cell r="H249">
            <v>4733.7</v>
          </cell>
          <cell r="I249">
            <v>21035.4</v>
          </cell>
          <cell r="J249">
            <v>90061</v>
          </cell>
          <cell r="K249" t="str">
            <v>MP</v>
          </cell>
        </row>
        <row r="250">
          <cell r="A250" t="str">
            <v>992458-SLR</v>
          </cell>
          <cell r="B250">
            <v>9934</v>
          </cell>
          <cell r="C250">
            <v>166.02</v>
          </cell>
          <cell r="D250">
            <v>42.14</v>
          </cell>
          <cell r="E250">
            <v>502.02</v>
          </cell>
          <cell r="F250">
            <v>310.10000000000002</v>
          </cell>
          <cell r="G250">
            <v>953.41</v>
          </cell>
          <cell r="H250">
            <v>1973.69</v>
          </cell>
          <cell r="I250">
            <v>6601.93</v>
          </cell>
          <cell r="J250">
            <v>90086</v>
          </cell>
          <cell r="K250" t="str">
            <v>MP</v>
          </cell>
        </row>
        <row r="251">
          <cell r="A251" t="str">
            <v>992459-SLR</v>
          </cell>
          <cell r="B251">
            <v>10000</v>
          </cell>
          <cell r="C251">
            <v>956.4</v>
          </cell>
          <cell r="D251">
            <v>86.2</v>
          </cell>
          <cell r="E251">
            <v>613.17999999999995</v>
          </cell>
          <cell r="F251">
            <v>754.41</v>
          </cell>
          <cell r="G251">
            <v>5657.21</v>
          </cell>
          <cell r="H251">
            <v>8067.4</v>
          </cell>
          <cell r="I251">
            <v>25896.49</v>
          </cell>
          <cell r="J251">
            <v>90506</v>
          </cell>
          <cell r="K251" t="str">
            <v>MP</v>
          </cell>
        </row>
        <row r="252">
          <cell r="A252" t="str">
            <v>992460-SLR</v>
          </cell>
          <cell r="B252">
            <v>10001</v>
          </cell>
          <cell r="C252">
            <v>920.04</v>
          </cell>
          <cell r="D252">
            <v>80.55</v>
          </cell>
          <cell r="E252">
            <v>573.39</v>
          </cell>
          <cell r="F252">
            <v>754.41</v>
          </cell>
          <cell r="G252">
            <v>5285.84</v>
          </cell>
          <cell r="H252">
            <v>7614.23</v>
          </cell>
          <cell r="I252">
            <v>24170.06</v>
          </cell>
          <cell r="J252">
            <v>90506</v>
          </cell>
          <cell r="K252" t="str">
            <v>MP</v>
          </cell>
        </row>
        <row r="253">
          <cell r="A253" t="str">
            <v>992461-SLR</v>
          </cell>
          <cell r="B253">
            <v>10074</v>
          </cell>
          <cell r="C253">
            <v>13746.28</v>
          </cell>
          <cell r="D253">
            <v>1598.05</v>
          </cell>
          <cell r="E253">
            <v>495</v>
          </cell>
          <cell r="F253">
            <v>6129.46</v>
          </cell>
          <cell r="G253">
            <v>36137.21</v>
          </cell>
          <cell r="H253">
            <v>58106</v>
          </cell>
          <cell r="I253">
            <v>242405.81</v>
          </cell>
          <cell r="J253">
            <v>92003</v>
          </cell>
          <cell r="K253" t="str">
            <v>MP</v>
          </cell>
        </row>
        <row r="254">
          <cell r="A254" t="str">
            <v>992462-SLR</v>
          </cell>
          <cell r="B254">
            <v>9955</v>
          </cell>
          <cell r="C254">
            <v>176.89</v>
          </cell>
          <cell r="D254">
            <v>4.58</v>
          </cell>
          <cell r="E254">
            <v>505.41</v>
          </cell>
          <cell r="F254">
            <v>148.69999999999999</v>
          </cell>
          <cell r="G254">
            <v>103.59</v>
          </cell>
          <cell r="H254">
            <v>939.17</v>
          </cell>
          <cell r="I254">
            <v>558.48</v>
          </cell>
          <cell r="J254">
            <v>90463</v>
          </cell>
          <cell r="K254" t="str">
            <v>MP</v>
          </cell>
        </row>
        <row r="255">
          <cell r="A255" t="str">
            <v>992464-SLR</v>
          </cell>
          <cell r="B255">
            <v>10020</v>
          </cell>
          <cell r="C255">
            <v>158.84</v>
          </cell>
          <cell r="D255">
            <v>5.92</v>
          </cell>
          <cell r="E255">
            <v>501.87</v>
          </cell>
          <cell r="F255">
            <v>177.27</v>
          </cell>
          <cell r="G255">
            <v>381.87</v>
          </cell>
          <cell r="H255">
            <v>1225.77</v>
          </cell>
          <cell r="I255">
            <v>1844.61</v>
          </cell>
          <cell r="J255">
            <v>90379</v>
          </cell>
          <cell r="K255" t="str">
            <v>MP</v>
          </cell>
        </row>
        <row r="256">
          <cell r="A256" t="str">
            <v>992465-SLR</v>
          </cell>
          <cell r="B256">
            <v>10042</v>
          </cell>
          <cell r="C256">
            <v>346.77</v>
          </cell>
          <cell r="D256">
            <v>145.97999999999999</v>
          </cell>
          <cell r="E256">
            <v>501.36</v>
          </cell>
          <cell r="F256">
            <v>1284.1600000000001</v>
          </cell>
          <cell r="G256">
            <v>6386.67</v>
          </cell>
          <cell r="H256">
            <v>8664.94</v>
          </cell>
          <cell r="I256">
            <v>45126.31</v>
          </cell>
          <cell r="J256">
            <v>90062</v>
          </cell>
          <cell r="K256" t="str">
            <v>MP</v>
          </cell>
        </row>
        <row r="257">
          <cell r="A257" t="str">
            <v>992466-SLR</v>
          </cell>
          <cell r="B257">
            <v>9956</v>
          </cell>
          <cell r="C257">
            <v>164.26</v>
          </cell>
          <cell r="D257">
            <v>2.56</v>
          </cell>
          <cell r="E257">
            <v>505.41</v>
          </cell>
          <cell r="F257">
            <v>150.02000000000001</v>
          </cell>
          <cell r="G257">
            <v>111.8</v>
          </cell>
          <cell r="H257">
            <v>934.05</v>
          </cell>
          <cell r="I257">
            <v>631.76</v>
          </cell>
          <cell r="J257">
            <v>91672</v>
          </cell>
          <cell r="K257" t="str">
            <v>MP</v>
          </cell>
        </row>
        <row r="258">
          <cell r="A258" t="str">
            <v>992467-SLR</v>
          </cell>
          <cell r="B258">
            <v>10348</v>
          </cell>
          <cell r="C258">
            <v>377.43</v>
          </cell>
          <cell r="D258">
            <v>130.94999999999999</v>
          </cell>
          <cell r="E258">
            <v>508.89</v>
          </cell>
          <cell r="F258">
            <v>1185.43</v>
          </cell>
          <cell r="G258">
            <v>5782.79</v>
          </cell>
          <cell r="H258">
            <v>7985.49</v>
          </cell>
          <cell r="I258">
            <v>40796.019999999997</v>
          </cell>
          <cell r="J258">
            <v>90496</v>
          </cell>
          <cell r="K258" t="str">
            <v>MP</v>
          </cell>
        </row>
        <row r="259">
          <cell r="A259" t="str">
            <v>992469-SLR</v>
          </cell>
          <cell r="B259">
            <v>10215</v>
          </cell>
          <cell r="C259">
            <v>179.2</v>
          </cell>
          <cell r="D259">
            <v>8.07</v>
          </cell>
          <cell r="E259">
            <v>500.1</v>
          </cell>
          <cell r="F259">
            <v>188.77</v>
          </cell>
          <cell r="G259">
            <v>529.42999999999995</v>
          </cell>
          <cell r="H259">
            <v>1405.57</v>
          </cell>
          <cell r="I259">
            <v>2333.8000000000002</v>
          </cell>
          <cell r="J259">
            <v>91681</v>
          </cell>
          <cell r="K259" t="str">
            <v>MP</v>
          </cell>
        </row>
        <row r="260">
          <cell r="A260" t="str">
            <v>992470-SLR</v>
          </cell>
          <cell r="B260">
            <v>10021</v>
          </cell>
          <cell r="C260">
            <v>179.84</v>
          </cell>
          <cell r="D260">
            <v>9.3800000000000008</v>
          </cell>
          <cell r="E260">
            <v>501.87</v>
          </cell>
          <cell r="F260">
            <v>198.04</v>
          </cell>
          <cell r="G260">
            <v>615.88</v>
          </cell>
          <cell r="H260">
            <v>1505.01</v>
          </cell>
          <cell r="I260">
            <v>2743.56</v>
          </cell>
          <cell r="J260">
            <v>91681</v>
          </cell>
          <cell r="K260" t="str">
            <v>MP</v>
          </cell>
        </row>
        <row r="261">
          <cell r="A261" t="str">
            <v>992471-SLR</v>
          </cell>
          <cell r="B261">
            <v>9957</v>
          </cell>
          <cell r="C261">
            <v>557.70000000000005</v>
          </cell>
          <cell r="D261">
            <v>67.05</v>
          </cell>
          <cell r="E261">
            <v>505.41</v>
          </cell>
          <cell r="F261">
            <v>488.26</v>
          </cell>
          <cell r="G261">
            <v>1297.6600000000001</v>
          </cell>
          <cell r="H261">
            <v>2916.08</v>
          </cell>
          <cell r="I261">
            <v>10189.07</v>
          </cell>
          <cell r="J261">
            <v>92001</v>
          </cell>
          <cell r="K261" t="str">
            <v>MP</v>
          </cell>
        </row>
        <row r="262">
          <cell r="A262" t="str">
            <v>992472-SLR</v>
          </cell>
          <cell r="B262">
            <v>10002</v>
          </cell>
          <cell r="C262">
            <v>587.27</v>
          </cell>
          <cell r="D262">
            <v>18.690000000000001</v>
          </cell>
          <cell r="E262">
            <v>74.89</v>
          </cell>
          <cell r="F262">
            <v>630.41</v>
          </cell>
          <cell r="G262">
            <v>572.84</v>
          </cell>
          <cell r="H262">
            <v>1884.1</v>
          </cell>
          <cell r="I262">
            <v>2408.98</v>
          </cell>
          <cell r="J262">
            <v>91990</v>
          </cell>
          <cell r="K262" t="str">
            <v>MP</v>
          </cell>
        </row>
        <row r="263">
          <cell r="A263" t="str">
            <v>992473-SLR</v>
          </cell>
          <cell r="B263">
            <v>9890</v>
          </cell>
          <cell r="C263">
            <v>133.88</v>
          </cell>
          <cell r="D263">
            <v>40.450000000000003</v>
          </cell>
          <cell r="E263">
            <v>502.05</v>
          </cell>
          <cell r="F263">
            <v>297.43</v>
          </cell>
          <cell r="G263">
            <v>195.76</v>
          </cell>
          <cell r="H263">
            <v>1169.57</v>
          </cell>
          <cell r="I263">
            <v>6350.93</v>
          </cell>
          <cell r="J263">
            <v>92259</v>
          </cell>
          <cell r="K263" t="str">
            <v>MP</v>
          </cell>
        </row>
        <row r="264">
          <cell r="A264" t="str">
            <v>992484-SLR</v>
          </cell>
          <cell r="B264">
            <v>10329</v>
          </cell>
          <cell r="C264">
            <v>0</v>
          </cell>
          <cell r="D264">
            <v>0</v>
          </cell>
          <cell r="E264">
            <v>0</v>
          </cell>
          <cell r="F264">
            <v>17.05</v>
          </cell>
          <cell r="G264">
            <v>410.42</v>
          </cell>
          <cell r="H264">
            <v>427.47</v>
          </cell>
          <cell r="I264">
            <v>684.04</v>
          </cell>
          <cell r="J264">
            <v>92259</v>
          </cell>
          <cell r="K264" t="str">
            <v>MP</v>
          </cell>
        </row>
        <row r="265">
          <cell r="A265" t="str">
            <v>992486-SLR</v>
          </cell>
          <cell r="B265">
            <v>10332</v>
          </cell>
          <cell r="C265">
            <v>0</v>
          </cell>
          <cell r="D265">
            <v>0</v>
          </cell>
          <cell r="E265">
            <v>0.01</v>
          </cell>
          <cell r="F265">
            <v>16.75</v>
          </cell>
          <cell r="G265">
            <v>51.4</v>
          </cell>
          <cell r="H265">
            <v>68.16</v>
          </cell>
          <cell r="I265">
            <v>85.67</v>
          </cell>
          <cell r="J265">
            <v>91975</v>
          </cell>
          <cell r="K265" t="str">
            <v>MP</v>
          </cell>
        </row>
        <row r="266">
          <cell r="A266" t="str">
            <v>992487-SLR</v>
          </cell>
          <cell r="B266">
            <v>9880</v>
          </cell>
          <cell r="C266">
            <v>417.68</v>
          </cell>
          <cell r="D266">
            <v>2.69</v>
          </cell>
          <cell r="E266">
            <v>498.21</v>
          </cell>
          <cell r="F266">
            <v>151.01</v>
          </cell>
          <cell r="G266">
            <v>160.09</v>
          </cell>
          <cell r="H266">
            <v>1229.6799999999998</v>
          </cell>
          <cell r="I266">
            <v>422.19</v>
          </cell>
          <cell r="J266">
            <v>90257</v>
          </cell>
          <cell r="K266" t="str">
            <v>MP</v>
          </cell>
        </row>
        <row r="267">
          <cell r="A267" t="str">
            <v>992489-SLR</v>
          </cell>
          <cell r="B267">
            <v>9909</v>
          </cell>
          <cell r="C267">
            <v>80.34</v>
          </cell>
          <cell r="D267">
            <v>0.9</v>
          </cell>
          <cell r="E267">
            <v>502.05</v>
          </cell>
          <cell r="F267">
            <v>135.33000000000001</v>
          </cell>
          <cell r="G267">
            <v>27.73</v>
          </cell>
          <cell r="H267">
            <v>746.35</v>
          </cell>
          <cell r="I267">
            <v>64.72</v>
          </cell>
          <cell r="J267">
            <v>90338</v>
          </cell>
          <cell r="K267" t="str">
            <v>MP</v>
          </cell>
        </row>
        <row r="268">
          <cell r="A268" t="str">
            <v>992490-SLR</v>
          </cell>
          <cell r="B268">
            <v>9919</v>
          </cell>
          <cell r="C268">
            <v>184.09</v>
          </cell>
          <cell r="D268">
            <v>0.67</v>
          </cell>
          <cell r="E268">
            <v>502.05</v>
          </cell>
          <cell r="F268">
            <v>136.77000000000001</v>
          </cell>
          <cell r="G268">
            <v>39.869999999999997</v>
          </cell>
          <cell r="H268">
            <v>863.44999999999993</v>
          </cell>
          <cell r="I268">
            <v>25.1</v>
          </cell>
          <cell r="J268">
            <v>91591</v>
          </cell>
          <cell r="K268" t="str">
            <v>MP</v>
          </cell>
        </row>
        <row r="269">
          <cell r="A269" t="str">
            <v>992491-SLR</v>
          </cell>
          <cell r="B269">
            <v>9904</v>
          </cell>
          <cell r="C269">
            <v>142.25</v>
          </cell>
          <cell r="D269">
            <v>4.6500000000000004</v>
          </cell>
          <cell r="E269">
            <v>502.05</v>
          </cell>
          <cell r="F269">
            <v>148.91</v>
          </cell>
          <cell r="G269">
            <v>104.91</v>
          </cell>
          <cell r="H269">
            <v>902.77</v>
          </cell>
          <cell r="I269">
            <v>602.46</v>
          </cell>
          <cell r="J269">
            <v>90097</v>
          </cell>
          <cell r="K269" t="str">
            <v>MP</v>
          </cell>
        </row>
        <row r="270">
          <cell r="A270" t="str">
            <v>992492-SLR</v>
          </cell>
          <cell r="B270">
            <v>9920</v>
          </cell>
          <cell r="C270">
            <v>217.25</v>
          </cell>
          <cell r="D270">
            <v>21.42</v>
          </cell>
          <cell r="E270">
            <v>502.05</v>
          </cell>
          <cell r="F270">
            <v>204.23</v>
          </cell>
          <cell r="G270">
            <v>609.55999999999995</v>
          </cell>
          <cell r="H270">
            <v>1554.51</v>
          </cell>
          <cell r="I270">
            <v>2969.56</v>
          </cell>
          <cell r="J270">
            <v>92092</v>
          </cell>
          <cell r="K270" t="str">
            <v>MP</v>
          </cell>
        </row>
        <row r="271">
          <cell r="A271" t="str">
            <v>992493-SLR</v>
          </cell>
          <cell r="B271">
            <v>10064</v>
          </cell>
          <cell r="C271">
            <v>131.74</v>
          </cell>
          <cell r="D271">
            <v>29.82</v>
          </cell>
          <cell r="E271">
            <v>494.04</v>
          </cell>
          <cell r="F271">
            <v>421.69</v>
          </cell>
          <cell r="G271">
            <v>1677.2</v>
          </cell>
          <cell r="H271">
            <v>2754.49</v>
          </cell>
          <cell r="I271">
            <v>9156.2099999999991</v>
          </cell>
          <cell r="J271">
            <v>92015</v>
          </cell>
          <cell r="K271" t="str">
            <v>MP</v>
          </cell>
        </row>
        <row r="272">
          <cell r="A272" t="str">
            <v>992494-SLR</v>
          </cell>
          <cell r="B272">
            <v>10062</v>
          </cell>
          <cell r="C272">
            <v>131.74</v>
          </cell>
          <cell r="D272">
            <v>17.649999999999999</v>
          </cell>
          <cell r="E272">
            <v>594.04</v>
          </cell>
          <cell r="F272">
            <v>259.54000000000002</v>
          </cell>
          <cell r="G272">
            <v>793.26</v>
          </cell>
          <cell r="H272">
            <v>1796.23</v>
          </cell>
          <cell r="I272">
            <v>5516.78</v>
          </cell>
          <cell r="J272">
            <v>92235</v>
          </cell>
          <cell r="K272" t="str">
            <v>MP</v>
          </cell>
        </row>
        <row r="273">
          <cell r="A273" t="str">
            <v>992495-SLR</v>
          </cell>
          <cell r="B273">
            <v>10057</v>
          </cell>
          <cell r="C273">
            <v>181.7</v>
          </cell>
          <cell r="D273">
            <v>29.22</v>
          </cell>
          <cell r="E273">
            <v>495.54</v>
          </cell>
          <cell r="F273">
            <v>413.36</v>
          </cell>
          <cell r="G273">
            <v>1734.82</v>
          </cell>
          <cell r="H273">
            <v>2854.6400000000003</v>
          </cell>
          <cell r="I273">
            <v>8919.7199999999993</v>
          </cell>
          <cell r="J273">
            <v>91978</v>
          </cell>
          <cell r="K273" t="str">
            <v>MP</v>
          </cell>
        </row>
        <row r="274">
          <cell r="A274" t="str">
            <v>992496-SLR</v>
          </cell>
          <cell r="B274">
            <v>10049</v>
          </cell>
          <cell r="C274">
            <v>661.81</v>
          </cell>
          <cell r="D274">
            <v>26.25</v>
          </cell>
          <cell r="E274">
            <v>501.36</v>
          </cell>
          <cell r="F274">
            <v>228.32</v>
          </cell>
          <cell r="G274">
            <v>812.13</v>
          </cell>
          <cell r="H274">
            <v>2229.87</v>
          </cell>
          <cell r="I274">
            <v>3586.28</v>
          </cell>
          <cell r="J274">
            <v>91869</v>
          </cell>
          <cell r="K274" t="str">
            <v>MP</v>
          </cell>
        </row>
        <row r="275">
          <cell r="A275" t="str">
            <v>992497-SLR</v>
          </cell>
          <cell r="B275">
            <v>10138</v>
          </cell>
          <cell r="C275">
            <v>300.70999999999998</v>
          </cell>
          <cell r="D275">
            <v>85.96</v>
          </cell>
          <cell r="E275">
            <v>498.42</v>
          </cell>
          <cell r="F275">
            <v>860.46</v>
          </cell>
          <cell r="G275">
            <v>3760.77</v>
          </cell>
          <cell r="H275">
            <v>5506.32</v>
          </cell>
          <cell r="I275">
            <v>26475.94</v>
          </cell>
          <cell r="J275">
            <v>91750</v>
          </cell>
          <cell r="K275" t="str">
            <v>MP</v>
          </cell>
        </row>
        <row r="276">
          <cell r="A276" t="str">
            <v>992498-SLR</v>
          </cell>
          <cell r="B276">
            <v>10148</v>
          </cell>
          <cell r="C276">
            <v>254.23</v>
          </cell>
          <cell r="D276">
            <v>249.58</v>
          </cell>
          <cell r="E276">
            <v>495.3</v>
          </cell>
          <cell r="F276">
            <v>1164.5</v>
          </cell>
          <cell r="G276">
            <v>5652.56</v>
          </cell>
          <cell r="H276">
            <v>7816.17</v>
          </cell>
          <cell r="I276">
            <v>39871.65</v>
          </cell>
          <cell r="J276">
            <v>90117</v>
          </cell>
          <cell r="K276" t="str">
            <v>MP</v>
          </cell>
        </row>
        <row r="277">
          <cell r="A277" t="str">
            <v>992500-SLR</v>
          </cell>
          <cell r="B277">
            <v>9932</v>
          </cell>
          <cell r="C277">
            <v>160.65</v>
          </cell>
          <cell r="D277">
            <v>66.77</v>
          </cell>
          <cell r="E277">
            <v>502.02</v>
          </cell>
          <cell r="F277">
            <v>486.31</v>
          </cell>
          <cell r="G277">
            <v>1507.78</v>
          </cell>
          <cell r="H277">
            <v>2723.5299999999997</v>
          </cell>
          <cell r="I277">
            <v>10542.42</v>
          </cell>
          <cell r="J277">
            <v>91874</v>
          </cell>
          <cell r="K277" t="str">
            <v>MP</v>
          </cell>
        </row>
        <row r="278">
          <cell r="A278" t="str">
            <v>992501-SLR</v>
          </cell>
          <cell r="B278">
            <v>10022</v>
          </cell>
          <cell r="C278">
            <v>530.96</v>
          </cell>
          <cell r="D278">
            <v>24.49</v>
          </cell>
          <cell r="E278">
            <v>501.87</v>
          </cell>
          <cell r="F278">
            <v>220.96</v>
          </cell>
          <cell r="G278">
            <v>474.17</v>
          </cell>
          <cell r="H278">
            <v>1752.4500000000003</v>
          </cell>
          <cell r="I278">
            <v>3395.99</v>
          </cell>
          <cell r="J278">
            <v>92251</v>
          </cell>
          <cell r="K278" t="str">
            <v>MP</v>
          </cell>
        </row>
        <row r="279">
          <cell r="A279" t="str">
            <v>992502-SLR</v>
          </cell>
          <cell r="B279">
            <v>10023</v>
          </cell>
          <cell r="C279">
            <v>6049.86</v>
          </cell>
          <cell r="D279">
            <v>67.77</v>
          </cell>
          <cell r="E279">
            <v>501.87</v>
          </cell>
          <cell r="F279">
            <v>491.88</v>
          </cell>
          <cell r="G279">
            <v>1307.4000000000001</v>
          </cell>
          <cell r="H279">
            <v>8418.7800000000007</v>
          </cell>
          <cell r="I279">
            <v>4777.3999999999996</v>
          </cell>
          <cell r="J279">
            <v>92315</v>
          </cell>
          <cell r="K279" t="str">
            <v>MP</v>
          </cell>
        </row>
        <row r="280">
          <cell r="A280" t="str">
            <v>992503-SLR</v>
          </cell>
          <cell r="B280">
            <v>10024</v>
          </cell>
          <cell r="C280">
            <v>160.6</v>
          </cell>
          <cell r="D280">
            <v>66.75</v>
          </cell>
          <cell r="E280">
            <v>501.87</v>
          </cell>
          <cell r="F280">
            <v>486.17</v>
          </cell>
          <cell r="G280">
            <v>1507.33</v>
          </cell>
          <cell r="H280">
            <v>2722.7200000000003</v>
          </cell>
          <cell r="I280">
            <v>10539.27</v>
          </cell>
          <cell r="J280">
            <v>91874</v>
          </cell>
          <cell r="K280" t="str">
            <v>MP</v>
          </cell>
        </row>
        <row r="281">
          <cell r="A281" t="str">
            <v>992504-SLR</v>
          </cell>
          <cell r="B281">
            <v>10025</v>
          </cell>
          <cell r="C281">
            <v>327.89</v>
          </cell>
          <cell r="D281">
            <v>33.520000000000003</v>
          </cell>
          <cell r="E281">
            <v>501.87</v>
          </cell>
          <cell r="F281">
            <v>253.69</v>
          </cell>
          <cell r="G281">
            <v>919.06</v>
          </cell>
          <cell r="H281">
            <v>2036.03</v>
          </cell>
          <cell r="I281">
            <v>5044.8</v>
          </cell>
          <cell r="J281">
            <v>92300</v>
          </cell>
          <cell r="K281" t="str">
            <v>MP</v>
          </cell>
        </row>
        <row r="282">
          <cell r="A282" t="str">
            <v>992506-SLR</v>
          </cell>
          <cell r="B282">
            <v>10094</v>
          </cell>
          <cell r="C282">
            <v>722.81</v>
          </cell>
          <cell r="D282">
            <v>50.66</v>
          </cell>
          <cell r="E282">
            <v>494.04</v>
          </cell>
          <cell r="F282">
            <v>279.20999999999998</v>
          </cell>
          <cell r="G282">
            <v>1059.01</v>
          </cell>
          <cell r="H282">
            <v>2605.73</v>
          </cell>
          <cell r="I282">
            <v>7372.72</v>
          </cell>
          <cell r="J282">
            <v>92107</v>
          </cell>
          <cell r="K282" t="str">
            <v>MP</v>
          </cell>
        </row>
        <row r="283">
          <cell r="A283" t="str">
            <v>992507-SLR</v>
          </cell>
          <cell r="B283">
            <v>10095</v>
          </cell>
          <cell r="C283">
            <v>251.51</v>
          </cell>
          <cell r="D283">
            <v>2.31</v>
          </cell>
          <cell r="E283">
            <v>494.04</v>
          </cell>
          <cell r="F283">
            <v>225</v>
          </cell>
          <cell r="G283">
            <v>70.680000000000007</v>
          </cell>
          <cell r="H283">
            <v>1043.54</v>
          </cell>
          <cell r="I283">
            <v>118.17</v>
          </cell>
          <cell r="J283">
            <v>92096</v>
          </cell>
          <cell r="K283" t="str">
            <v>MP</v>
          </cell>
        </row>
        <row r="284">
          <cell r="A284" t="str">
            <v>992508-SLR</v>
          </cell>
          <cell r="B284">
            <v>10097</v>
          </cell>
          <cell r="C284">
            <v>251.51</v>
          </cell>
          <cell r="D284">
            <v>3.1</v>
          </cell>
          <cell r="E284">
            <v>494.04</v>
          </cell>
          <cell r="F284">
            <v>225</v>
          </cell>
          <cell r="G284">
            <v>104.65</v>
          </cell>
          <cell r="H284">
            <v>1078.3</v>
          </cell>
          <cell r="I284">
            <v>243.73</v>
          </cell>
          <cell r="J284">
            <v>93055</v>
          </cell>
          <cell r="K284" t="str">
            <v>MP</v>
          </cell>
        </row>
        <row r="285">
          <cell r="A285" t="str">
            <v>992509-SLR</v>
          </cell>
          <cell r="B285">
            <v>10096</v>
          </cell>
          <cell r="C285">
            <v>437.82</v>
          </cell>
          <cell r="D285">
            <v>7.77</v>
          </cell>
          <cell r="E285">
            <v>494.04</v>
          </cell>
          <cell r="F285">
            <v>225</v>
          </cell>
          <cell r="G285">
            <v>225.36</v>
          </cell>
          <cell r="H285">
            <v>1389.9900000000002</v>
          </cell>
          <cell r="I285">
            <v>806.4</v>
          </cell>
          <cell r="J285">
            <v>91868</v>
          </cell>
          <cell r="K285" t="str">
            <v>MP</v>
          </cell>
        </row>
        <row r="286">
          <cell r="A286" t="str">
            <v>992510-SLR</v>
          </cell>
          <cell r="B286">
            <v>10216</v>
          </cell>
          <cell r="C286">
            <v>1539.71</v>
          </cell>
          <cell r="D286">
            <v>889.69</v>
          </cell>
          <cell r="E286">
            <v>500.1</v>
          </cell>
          <cell r="F286">
            <v>3421.76</v>
          </cell>
          <cell r="G286">
            <v>19697.78</v>
          </cell>
          <cell r="H286">
            <v>26049.040000000001</v>
          </cell>
          <cell r="I286">
            <v>138269.01</v>
          </cell>
          <cell r="J286">
            <v>93020</v>
          </cell>
          <cell r="K286" t="str">
            <v>MP</v>
          </cell>
        </row>
        <row r="287">
          <cell r="A287" t="str">
            <v>992511-SLR</v>
          </cell>
          <cell r="B287">
            <v>10098</v>
          </cell>
          <cell r="C287">
            <v>15737.25</v>
          </cell>
          <cell r="D287">
            <v>130.13</v>
          </cell>
          <cell r="E287">
            <v>494.04</v>
          </cell>
          <cell r="F287">
            <v>349</v>
          </cell>
          <cell r="G287">
            <v>4399.24</v>
          </cell>
          <cell r="H287">
            <v>21109.659999999996</v>
          </cell>
          <cell r="I287">
            <v>5081.3599999999997</v>
          </cell>
          <cell r="J287">
            <v>91066</v>
          </cell>
          <cell r="K287" t="str">
            <v>MP</v>
          </cell>
        </row>
        <row r="288">
          <cell r="A288" t="str">
            <v>992512-SLR</v>
          </cell>
          <cell r="B288">
            <v>10282</v>
          </cell>
          <cell r="C288">
            <v>216.72</v>
          </cell>
          <cell r="D288">
            <v>21.24</v>
          </cell>
          <cell r="E288">
            <v>497.1</v>
          </cell>
          <cell r="F288">
            <v>225</v>
          </cell>
          <cell r="G288">
            <v>608.05999999999995</v>
          </cell>
          <cell r="H288">
            <v>1568.12</v>
          </cell>
          <cell r="I288">
            <v>2962.37</v>
          </cell>
          <cell r="J288">
            <v>92092</v>
          </cell>
          <cell r="K288" t="str">
            <v>MP</v>
          </cell>
        </row>
        <row r="289">
          <cell r="A289" t="str">
            <v>992513-SLR</v>
          </cell>
          <cell r="B289">
            <v>10120</v>
          </cell>
          <cell r="C289">
            <v>1930.05</v>
          </cell>
          <cell r="D289">
            <v>115.74</v>
          </cell>
          <cell r="E289">
            <v>494.04</v>
          </cell>
          <cell r="F289">
            <v>677.35</v>
          </cell>
          <cell r="G289">
            <v>3557.66</v>
          </cell>
          <cell r="H289">
            <v>6774.84</v>
          </cell>
          <cell r="I289">
            <v>16678.75</v>
          </cell>
          <cell r="J289">
            <v>92339</v>
          </cell>
          <cell r="K289" t="str">
            <v>MP</v>
          </cell>
        </row>
        <row r="290">
          <cell r="A290" t="str">
            <v>992514-SLR</v>
          </cell>
          <cell r="B290">
            <v>10140</v>
          </cell>
          <cell r="C290">
            <v>311.08</v>
          </cell>
          <cell r="D290">
            <v>5.53</v>
          </cell>
          <cell r="E290">
            <v>498.42</v>
          </cell>
          <cell r="F290">
            <v>151.88</v>
          </cell>
          <cell r="G290">
            <v>167.48</v>
          </cell>
          <cell r="H290">
            <v>1134.3899999999999</v>
          </cell>
          <cell r="I290">
            <v>564.88</v>
          </cell>
          <cell r="J290">
            <v>93035</v>
          </cell>
          <cell r="K290" t="str">
            <v>MP</v>
          </cell>
        </row>
        <row r="291">
          <cell r="A291" t="str">
            <v>992515-SLR</v>
          </cell>
          <cell r="B291">
            <v>10044</v>
          </cell>
          <cell r="C291">
            <v>420.66</v>
          </cell>
          <cell r="D291">
            <v>277419.2</v>
          </cell>
          <cell r="E291">
            <v>501.36</v>
          </cell>
          <cell r="F291">
            <v>327.33999999999997</v>
          </cell>
          <cell r="G291">
            <v>1649.11</v>
          </cell>
          <cell r="H291">
            <v>280317.67</v>
          </cell>
          <cell r="I291">
            <v>8222.2999999999993</v>
          </cell>
          <cell r="J291">
            <v>91934</v>
          </cell>
          <cell r="K291" t="str">
            <v>MP</v>
          </cell>
        </row>
        <row r="292">
          <cell r="A292" t="str">
            <v>992516-SLR</v>
          </cell>
          <cell r="B292">
            <v>9966</v>
          </cell>
          <cell r="C292">
            <v>272.19</v>
          </cell>
          <cell r="D292">
            <v>18.52</v>
          </cell>
          <cell r="E292">
            <v>501.87</v>
          </cell>
          <cell r="F292">
            <v>199.15</v>
          </cell>
          <cell r="G292">
            <v>417.51</v>
          </cell>
          <cell r="H292">
            <v>1409.2399999999998</v>
          </cell>
          <cell r="I292">
            <v>2691.53</v>
          </cell>
          <cell r="J292">
            <v>90335</v>
          </cell>
          <cell r="K292" t="str">
            <v>MP</v>
          </cell>
        </row>
        <row r="293">
          <cell r="A293" t="str">
            <v>992517-SLR</v>
          </cell>
          <cell r="B293">
            <v>10132</v>
          </cell>
          <cell r="C293">
            <v>720.31</v>
          </cell>
          <cell r="D293">
            <v>1759.69</v>
          </cell>
          <cell r="E293">
            <v>494.04</v>
          </cell>
          <cell r="F293">
            <v>349</v>
          </cell>
          <cell r="G293">
            <v>14233.34</v>
          </cell>
          <cell r="H293">
            <v>17556.38</v>
          </cell>
          <cell r="I293">
            <v>282186.78999999998</v>
          </cell>
          <cell r="J293">
            <v>91578</v>
          </cell>
          <cell r="K293" t="str">
            <v>MP</v>
          </cell>
        </row>
        <row r="294">
          <cell r="A294" t="str">
            <v>992518-SLR</v>
          </cell>
          <cell r="B294">
            <v>10026</v>
          </cell>
          <cell r="C294">
            <v>234.21</v>
          </cell>
          <cell r="D294">
            <v>1.52</v>
          </cell>
          <cell r="E294">
            <v>501.87</v>
          </cell>
          <cell r="F294">
            <v>142.72</v>
          </cell>
          <cell r="G294">
            <v>90.08</v>
          </cell>
          <cell r="H294">
            <v>970.40000000000009</v>
          </cell>
          <cell r="I294">
            <v>0</v>
          </cell>
          <cell r="J294">
            <v>91591</v>
          </cell>
          <cell r="K294" t="str">
            <v>MP</v>
          </cell>
        </row>
        <row r="295">
          <cell r="A295" t="str">
            <v>992519-SLR</v>
          </cell>
          <cell r="B295">
            <v>9958</v>
          </cell>
          <cell r="C295">
            <v>160.05000000000001</v>
          </cell>
          <cell r="D295">
            <v>37.5</v>
          </cell>
          <cell r="E295">
            <v>505.41</v>
          </cell>
          <cell r="F295">
            <v>519.77</v>
          </cell>
          <cell r="G295">
            <v>1640.83</v>
          </cell>
          <cell r="H295">
            <v>2863.56</v>
          </cell>
          <cell r="I295">
            <v>11523.35</v>
          </cell>
          <cell r="J295">
            <v>90061</v>
          </cell>
          <cell r="K295" t="str">
            <v>MP</v>
          </cell>
        </row>
        <row r="296">
          <cell r="A296" t="str">
            <v>992520-SLR</v>
          </cell>
          <cell r="B296">
            <v>9926</v>
          </cell>
          <cell r="C296">
            <v>82.73</v>
          </cell>
          <cell r="D296">
            <v>2.41</v>
          </cell>
          <cell r="E296">
            <v>502.02</v>
          </cell>
          <cell r="F296">
            <v>148.85</v>
          </cell>
          <cell r="G296">
            <v>141.83000000000001</v>
          </cell>
          <cell r="H296">
            <v>877.84</v>
          </cell>
          <cell r="I296">
            <v>661.33</v>
          </cell>
          <cell r="J296">
            <v>92003</v>
          </cell>
          <cell r="K296" t="str">
            <v>MP</v>
          </cell>
        </row>
        <row r="297">
          <cell r="A297" t="str">
            <v>992521-SLR</v>
          </cell>
          <cell r="B297">
            <v>9927</v>
          </cell>
          <cell r="C297">
            <v>659.74</v>
          </cell>
          <cell r="D297">
            <v>32.01</v>
          </cell>
          <cell r="E297">
            <v>502.02</v>
          </cell>
          <cell r="F297">
            <v>247.41</v>
          </cell>
          <cell r="G297">
            <v>974.12</v>
          </cell>
          <cell r="H297">
            <v>2415.3000000000002</v>
          </cell>
          <cell r="I297">
            <v>4435.2</v>
          </cell>
          <cell r="J297">
            <v>91177</v>
          </cell>
          <cell r="K297" t="str">
            <v>MP</v>
          </cell>
        </row>
        <row r="298">
          <cell r="A298" t="str">
            <v>992522-SLR</v>
          </cell>
          <cell r="B298">
            <v>10045</v>
          </cell>
          <cell r="C298">
            <v>242.32</v>
          </cell>
          <cell r="D298">
            <v>9.6300000000000008</v>
          </cell>
          <cell r="E298">
            <v>501.36</v>
          </cell>
          <cell r="F298">
            <v>199.83</v>
          </cell>
          <cell r="G298">
            <v>421.32</v>
          </cell>
          <cell r="H298">
            <v>1374.46</v>
          </cell>
          <cell r="I298">
            <v>2757.48</v>
          </cell>
          <cell r="J298">
            <v>90061</v>
          </cell>
          <cell r="K298" t="str">
            <v>MP</v>
          </cell>
        </row>
        <row r="299">
          <cell r="A299" t="str">
            <v>992524-SLR</v>
          </cell>
          <cell r="B299">
            <v>10027</v>
          </cell>
          <cell r="C299">
            <v>267.66000000000003</v>
          </cell>
          <cell r="D299">
            <v>11.74</v>
          </cell>
          <cell r="E299">
            <v>501.87</v>
          </cell>
          <cell r="F299">
            <v>175.17</v>
          </cell>
          <cell r="G299">
            <v>364.16</v>
          </cell>
          <cell r="H299">
            <v>1320.6</v>
          </cell>
          <cell r="I299">
            <v>1637.21</v>
          </cell>
          <cell r="J299">
            <v>90424</v>
          </cell>
          <cell r="K299" t="str">
            <v>MP</v>
          </cell>
        </row>
        <row r="300">
          <cell r="A300" t="str">
            <v>992525-SLR</v>
          </cell>
          <cell r="B300">
            <v>10003</v>
          </cell>
          <cell r="C300">
            <v>267.66000000000003</v>
          </cell>
          <cell r="D300">
            <v>14.15</v>
          </cell>
          <cell r="E300">
            <v>58.9</v>
          </cell>
          <cell r="F300">
            <v>630.41</v>
          </cell>
          <cell r="G300">
            <v>437.81</v>
          </cell>
          <cell r="H300">
            <v>1408.9299999999998</v>
          </cell>
          <cell r="I300">
            <v>2022.44</v>
          </cell>
          <cell r="J300">
            <v>90424</v>
          </cell>
          <cell r="K300" t="str">
            <v>MP</v>
          </cell>
        </row>
        <row r="301">
          <cell r="A301" t="str">
            <v>992526-SLR</v>
          </cell>
          <cell r="B301">
            <v>10004</v>
          </cell>
          <cell r="C301">
            <v>267.66000000000003</v>
          </cell>
          <cell r="D301">
            <v>16.53</v>
          </cell>
          <cell r="E301">
            <v>67.62</v>
          </cell>
          <cell r="F301">
            <v>630.41</v>
          </cell>
          <cell r="G301">
            <v>511.45</v>
          </cell>
          <cell r="H301">
            <v>1493.67</v>
          </cell>
          <cell r="I301">
            <v>2407.67</v>
          </cell>
          <cell r="J301">
            <v>90424</v>
          </cell>
          <cell r="K301" t="str">
            <v>MP</v>
          </cell>
        </row>
        <row r="302">
          <cell r="A302" t="str">
            <v>992527-SLR</v>
          </cell>
          <cell r="B302">
            <v>10005</v>
          </cell>
          <cell r="C302">
            <v>267.66000000000003</v>
          </cell>
          <cell r="D302">
            <v>7.61</v>
          </cell>
          <cell r="E302">
            <v>34.909999999999997</v>
          </cell>
          <cell r="F302">
            <v>630.41</v>
          </cell>
          <cell r="G302">
            <v>235.29</v>
          </cell>
          <cell r="H302">
            <v>1175.8800000000001</v>
          </cell>
          <cell r="I302">
            <v>963.07</v>
          </cell>
          <cell r="J302">
            <v>90424</v>
          </cell>
          <cell r="K302" t="str">
            <v>MP</v>
          </cell>
        </row>
        <row r="303">
          <cell r="A303" t="str">
            <v>992528-SLR</v>
          </cell>
          <cell r="B303">
            <v>10099</v>
          </cell>
          <cell r="C303">
            <v>263.49</v>
          </cell>
          <cell r="D303">
            <v>2.83</v>
          </cell>
          <cell r="E303">
            <v>594.04</v>
          </cell>
          <cell r="F303">
            <v>225</v>
          </cell>
          <cell r="G303">
            <v>86.39</v>
          </cell>
          <cell r="H303">
            <v>1171.75</v>
          </cell>
          <cell r="I303">
            <v>188.38</v>
          </cell>
          <cell r="J303">
            <v>90424</v>
          </cell>
          <cell r="K303" t="str">
            <v>MP</v>
          </cell>
        </row>
        <row r="304">
          <cell r="A304" t="str">
            <v>992529-SLR</v>
          </cell>
          <cell r="B304">
            <v>10100</v>
          </cell>
          <cell r="C304">
            <v>263.49</v>
          </cell>
          <cell r="D304">
            <v>22.36</v>
          </cell>
          <cell r="E304">
            <v>494.04</v>
          </cell>
          <cell r="F304">
            <v>225</v>
          </cell>
          <cell r="G304">
            <v>680.68</v>
          </cell>
          <cell r="H304">
            <v>1685.5700000000002</v>
          </cell>
          <cell r="I304">
            <v>3296.65</v>
          </cell>
          <cell r="J304">
            <v>90424</v>
          </cell>
          <cell r="K304" t="str">
            <v>MP</v>
          </cell>
        </row>
        <row r="305">
          <cell r="A305" t="str">
            <v>992530-SLR</v>
          </cell>
          <cell r="B305">
            <v>10028</v>
          </cell>
          <cell r="C305">
            <v>267.66000000000003</v>
          </cell>
          <cell r="D305">
            <v>27.23</v>
          </cell>
          <cell r="E305">
            <v>501.87</v>
          </cell>
          <cell r="F305">
            <v>231.86</v>
          </cell>
          <cell r="G305">
            <v>842.85</v>
          </cell>
          <cell r="H305">
            <v>1871.4699999999998</v>
          </cell>
          <cell r="I305">
            <v>4141.1899999999996</v>
          </cell>
          <cell r="J305">
            <v>90424</v>
          </cell>
          <cell r="K305" t="str">
            <v>MP</v>
          </cell>
        </row>
        <row r="306">
          <cell r="A306" t="str">
            <v>992531-SLR</v>
          </cell>
          <cell r="B306">
            <v>10059</v>
          </cell>
          <cell r="C306">
            <v>230.92</v>
          </cell>
          <cell r="D306">
            <v>16.010000000000002</v>
          </cell>
          <cell r="E306">
            <v>495.54</v>
          </cell>
          <cell r="F306">
            <v>244.64</v>
          </cell>
          <cell r="G306">
            <v>1050.8599999999999</v>
          </cell>
          <cell r="H306">
            <v>2037.9699999999998</v>
          </cell>
          <cell r="I306">
            <v>4757.18</v>
          </cell>
          <cell r="J306">
            <v>90639</v>
          </cell>
          <cell r="K306" t="str">
            <v>MP</v>
          </cell>
        </row>
        <row r="307">
          <cell r="A307" t="str">
            <v>992532-SLR</v>
          </cell>
          <cell r="B307">
            <v>10029</v>
          </cell>
          <cell r="C307">
            <v>163.11000000000001</v>
          </cell>
          <cell r="D307">
            <v>8.9499999999999993</v>
          </cell>
          <cell r="E307">
            <v>501.87</v>
          </cell>
          <cell r="F307">
            <v>195</v>
          </cell>
          <cell r="G307">
            <v>391.68</v>
          </cell>
          <cell r="H307">
            <v>1260.6100000000001</v>
          </cell>
          <cell r="I307">
            <v>2625.62</v>
          </cell>
          <cell r="J307">
            <v>90349</v>
          </cell>
          <cell r="K307" t="str">
            <v>MP</v>
          </cell>
        </row>
        <row r="308">
          <cell r="A308" t="str">
            <v>992533-SLR</v>
          </cell>
          <cell r="B308">
            <v>10116</v>
          </cell>
          <cell r="C308">
            <v>160.56</v>
          </cell>
          <cell r="D308">
            <v>2.73</v>
          </cell>
          <cell r="E308">
            <v>494.04</v>
          </cell>
          <cell r="F308">
            <v>151.22999999999999</v>
          </cell>
          <cell r="G308">
            <v>119.35</v>
          </cell>
          <cell r="H308">
            <v>927.91000000000008</v>
          </cell>
          <cell r="I308">
            <v>689.19</v>
          </cell>
          <cell r="J308">
            <v>90236</v>
          </cell>
          <cell r="K308" t="str">
            <v>MP</v>
          </cell>
        </row>
        <row r="309">
          <cell r="A309" t="str">
            <v>992534-SLR</v>
          </cell>
          <cell r="B309">
            <v>10141</v>
          </cell>
          <cell r="C309">
            <v>174.45</v>
          </cell>
          <cell r="D309">
            <v>14.27</v>
          </cell>
          <cell r="E309">
            <v>498.42</v>
          </cell>
          <cell r="F309">
            <v>232.37</v>
          </cell>
          <cell r="G309">
            <v>936.29</v>
          </cell>
          <cell r="H309">
            <v>1855.8</v>
          </cell>
          <cell r="I309">
            <v>4269.8</v>
          </cell>
          <cell r="J309">
            <v>91681</v>
          </cell>
          <cell r="K309" t="str">
            <v>MP</v>
          </cell>
        </row>
        <row r="310">
          <cell r="A310" t="str">
            <v>992535-SLR</v>
          </cell>
          <cell r="B310">
            <v>10162</v>
          </cell>
          <cell r="C310">
            <v>181.61</v>
          </cell>
          <cell r="D310">
            <v>30.48</v>
          </cell>
          <cell r="E310">
            <v>495.3</v>
          </cell>
          <cell r="F310">
            <v>430.97</v>
          </cell>
          <cell r="G310">
            <v>1714.75</v>
          </cell>
          <cell r="H310">
            <v>2853.11</v>
          </cell>
          <cell r="I310">
            <v>9314.2800000000007</v>
          </cell>
          <cell r="J310">
            <v>90379</v>
          </cell>
          <cell r="K310" t="str">
            <v>MP</v>
          </cell>
        </row>
        <row r="311">
          <cell r="A311" t="str">
            <v>992536-SLR</v>
          </cell>
          <cell r="B311">
            <v>10330</v>
          </cell>
          <cell r="C311">
            <v>0</v>
          </cell>
          <cell r="D311">
            <v>0</v>
          </cell>
          <cell r="E311">
            <v>0</v>
          </cell>
          <cell r="F311">
            <v>17.07</v>
          </cell>
          <cell r="G311">
            <v>44.31</v>
          </cell>
          <cell r="H311">
            <v>61.38</v>
          </cell>
          <cell r="I311">
            <v>73.849999999999994</v>
          </cell>
          <cell r="J311">
            <v>91591</v>
          </cell>
          <cell r="K311" t="str">
            <v>MP</v>
          </cell>
        </row>
        <row r="312">
          <cell r="A312" t="str">
            <v>992538-SLR</v>
          </cell>
          <cell r="B312">
            <v>9928</v>
          </cell>
          <cell r="C312">
            <v>160.65</v>
          </cell>
          <cell r="D312">
            <v>13.84</v>
          </cell>
          <cell r="E312">
            <v>502.02</v>
          </cell>
          <cell r="F312">
            <v>182.29</v>
          </cell>
          <cell r="G312">
            <v>66.98</v>
          </cell>
          <cell r="H312">
            <v>925.78</v>
          </cell>
          <cell r="I312">
            <v>2058.2800000000002</v>
          </cell>
          <cell r="J312">
            <v>90468</v>
          </cell>
          <cell r="K312" t="str">
            <v>MP</v>
          </cell>
        </row>
        <row r="313">
          <cell r="A313" t="str">
            <v>992539-SLR</v>
          </cell>
          <cell r="B313">
            <v>9925</v>
          </cell>
          <cell r="C313">
            <v>160.65</v>
          </cell>
          <cell r="D313">
            <v>98.76</v>
          </cell>
          <cell r="E313">
            <v>502.02</v>
          </cell>
          <cell r="F313">
            <v>614.47</v>
          </cell>
          <cell r="G313">
            <v>477.89</v>
          </cell>
          <cell r="H313">
            <v>1853.79</v>
          </cell>
          <cell r="I313">
            <v>15670.39</v>
          </cell>
          <cell r="J313">
            <v>90468</v>
          </cell>
          <cell r="K313" t="str">
            <v>MP</v>
          </cell>
        </row>
        <row r="314">
          <cell r="A314" t="str">
            <v>992541-SLR</v>
          </cell>
          <cell r="B314">
            <v>10263</v>
          </cell>
          <cell r="C314">
            <v>7879.71</v>
          </cell>
          <cell r="D314">
            <v>245.17</v>
          </cell>
          <cell r="E314">
            <v>499.77</v>
          </cell>
          <cell r="F314">
            <v>1325.71</v>
          </cell>
          <cell r="G314">
            <v>7536.7</v>
          </cell>
          <cell r="H314">
            <v>17487.060000000001</v>
          </cell>
          <cell r="I314">
            <v>39415.54</v>
          </cell>
          <cell r="J314">
            <v>92315</v>
          </cell>
          <cell r="K314" t="str">
            <v>MP</v>
          </cell>
        </row>
        <row r="315">
          <cell r="A315" t="str">
            <v>992542-SLR</v>
          </cell>
          <cell r="B315">
            <v>10142</v>
          </cell>
          <cell r="C315">
            <v>7966.41</v>
          </cell>
          <cell r="D315">
            <v>128.94</v>
          </cell>
          <cell r="E315">
            <v>498.42</v>
          </cell>
          <cell r="F315">
            <v>906.14</v>
          </cell>
          <cell r="G315">
            <v>3467.12</v>
          </cell>
          <cell r="H315">
            <v>12967.029999999999</v>
          </cell>
          <cell r="I315">
            <v>20797.34</v>
          </cell>
          <cell r="J315">
            <v>91996</v>
          </cell>
          <cell r="K315" t="str">
            <v>MP</v>
          </cell>
        </row>
        <row r="316">
          <cell r="A316" t="str">
            <v>992544-SLR</v>
          </cell>
          <cell r="B316">
            <v>10265</v>
          </cell>
          <cell r="C316">
            <v>899.59</v>
          </cell>
          <cell r="D316">
            <v>32.39</v>
          </cell>
          <cell r="E316">
            <v>499.77</v>
          </cell>
          <cell r="F316">
            <v>249.57</v>
          </cell>
          <cell r="G316">
            <v>992.43</v>
          </cell>
          <cell r="H316">
            <v>2673.75</v>
          </cell>
          <cell r="I316">
            <v>4291.3599999999997</v>
          </cell>
          <cell r="J316">
            <v>92251</v>
          </cell>
          <cell r="K316" t="str">
            <v>MP</v>
          </cell>
        </row>
        <row r="317">
          <cell r="A317" t="str">
            <v>992545-SLR</v>
          </cell>
          <cell r="B317">
            <v>10070</v>
          </cell>
          <cell r="C317">
            <v>314.06</v>
          </cell>
          <cell r="D317">
            <v>96.29</v>
          </cell>
          <cell r="E317">
            <v>494.04</v>
          </cell>
          <cell r="F317">
            <v>604.30999999999995</v>
          </cell>
          <cell r="G317">
            <v>2829.81</v>
          </cell>
          <cell r="H317">
            <v>4338.51</v>
          </cell>
          <cell r="I317">
            <v>15068.22</v>
          </cell>
          <cell r="J317">
            <v>90593</v>
          </cell>
          <cell r="K317" t="str">
            <v>MP</v>
          </cell>
        </row>
        <row r="318">
          <cell r="A318" t="str">
            <v>992547-SLR</v>
          </cell>
          <cell r="B318">
            <v>10337</v>
          </cell>
          <cell r="C318">
            <v>0</v>
          </cell>
          <cell r="D318">
            <v>0</v>
          </cell>
          <cell r="E318">
            <v>0</v>
          </cell>
          <cell r="F318">
            <v>0</v>
          </cell>
          <cell r="G318">
            <v>497.03</v>
          </cell>
          <cell r="H318">
            <v>497.03</v>
          </cell>
          <cell r="I318">
            <v>828.38</v>
          </cell>
          <cell r="J318">
            <v>93157</v>
          </cell>
          <cell r="K318" t="str">
            <v>MP</v>
          </cell>
        </row>
        <row r="319">
          <cell r="A319" t="str">
            <v>992548-SLR</v>
          </cell>
          <cell r="B319">
            <v>10124</v>
          </cell>
          <cell r="C319">
            <v>205.85</v>
          </cell>
          <cell r="D319">
            <v>15.18</v>
          </cell>
          <cell r="E319">
            <v>494.04</v>
          </cell>
          <cell r="F319">
            <v>187.16</v>
          </cell>
          <cell r="G319">
            <v>465.34</v>
          </cell>
          <cell r="H319">
            <v>1367.57</v>
          </cell>
          <cell r="I319">
            <v>2228.12</v>
          </cell>
          <cell r="J319">
            <v>92172</v>
          </cell>
          <cell r="K319" t="str">
            <v>MP</v>
          </cell>
        </row>
        <row r="320">
          <cell r="A320" t="str">
            <v>992549-SLR</v>
          </cell>
          <cell r="B320">
            <v>10125</v>
          </cell>
          <cell r="C320">
            <v>159.99</v>
          </cell>
          <cell r="D320">
            <v>96.46</v>
          </cell>
          <cell r="E320">
            <v>498.42</v>
          </cell>
          <cell r="F320">
            <v>606.1</v>
          </cell>
          <cell r="G320">
            <v>2178.11</v>
          </cell>
          <cell r="H320">
            <v>3539.08</v>
          </cell>
          <cell r="I320">
            <v>15301.49</v>
          </cell>
          <cell r="J320">
            <v>90097</v>
          </cell>
          <cell r="K320" t="str">
            <v>MP</v>
          </cell>
        </row>
        <row r="321">
          <cell r="A321" t="str">
            <v>992551-SLR</v>
          </cell>
          <cell r="B321">
            <v>10035</v>
          </cell>
          <cell r="C321">
            <v>181.74</v>
          </cell>
          <cell r="D321">
            <v>44.96</v>
          </cell>
          <cell r="E321">
            <v>501.36</v>
          </cell>
          <cell r="F321">
            <v>420.41</v>
          </cell>
          <cell r="G321">
            <v>700.36</v>
          </cell>
          <cell r="H321">
            <v>1848.83</v>
          </cell>
          <cell r="I321">
            <v>7071.01</v>
          </cell>
          <cell r="J321">
            <v>92166</v>
          </cell>
          <cell r="K321" t="str">
            <v>MP</v>
          </cell>
        </row>
        <row r="322">
          <cell r="A322" t="str">
            <v>992552-SLR</v>
          </cell>
          <cell r="B322">
            <v>10046</v>
          </cell>
          <cell r="C322">
            <v>133.69999999999999</v>
          </cell>
          <cell r="D322">
            <v>0.65</v>
          </cell>
          <cell r="E322">
            <v>501.36</v>
          </cell>
          <cell r="F322">
            <v>136.66</v>
          </cell>
          <cell r="G322">
            <v>34.81</v>
          </cell>
          <cell r="H322">
            <v>807.18000000000006</v>
          </cell>
          <cell r="I322">
            <v>70.19</v>
          </cell>
          <cell r="J322">
            <v>90466</v>
          </cell>
          <cell r="K322" t="str">
            <v>MP</v>
          </cell>
        </row>
        <row r="323">
          <cell r="A323" t="str">
            <v>992553-SLR</v>
          </cell>
          <cell r="B323">
            <v>10006</v>
          </cell>
          <cell r="C323">
            <v>163</v>
          </cell>
          <cell r="D323">
            <v>19.39</v>
          </cell>
          <cell r="E323">
            <v>77.209999999999994</v>
          </cell>
          <cell r="F323">
            <v>630.41</v>
          </cell>
          <cell r="G323">
            <v>654.85</v>
          </cell>
          <cell r="H323">
            <v>1544.8600000000001</v>
          </cell>
          <cell r="I323">
            <v>2935.94</v>
          </cell>
          <cell r="J323">
            <v>91839</v>
          </cell>
          <cell r="K323" t="str">
            <v>MP</v>
          </cell>
        </row>
        <row r="324">
          <cell r="A324" t="str">
            <v>992554-SLR</v>
          </cell>
          <cell r="B324">
            <v>10030</v>
          </cell>
          <cell r="C324">
            <v>97</v>
          </cell>
          <cell r="D324">
            <v>6.41</v>
          </cell>
          <cell r="E324">
            <v>501.87</v>
          </cell>
          <cell r="F324">
            <v>155.22999999999999</v>
          </cell>
          <cell r="G324">
            <v>178.36</v>
          </cell>
          <cell r="H324">
            <v>938.87</v>
          </cell>
          <cell r="I324">
            <v>926.8</v>
          </cell>
          <cell r="J324">
            <v>93105</v>
          </cell>
          <cell r="K324" t="str">
            <v>MP</v>
          </cell>
        </row>
        <row r="325">
          <cell r="A325" t="str">
            <v>992555-SLR</v>
          </cell>
          <cell r="B325">
            <v>10163</v>
          </cell>
          <cell r="C325">
            <v>181.61</v>
          </cell>
          <cell r="D325">
            <v>0.71</v>
          </cell>
          <cell r="E325">
            <v>495.3</v>
          </cell>
          <cell r="F325">
            <v>136.99</v>
          </cell>
          <cell r="G325">
            <v>41.7</v>
          </cell>
          <cell r="H325">
            <v>856.31000000000006</v>
          </cell>
          <cell r="I325">
            <v>37.15</v>
          </cell>
          <cell r="J325">
            <v>91591</v>
          </cell>
          <cell r="K325" t="str">
            <v>MP</v>
          </cell>
        </row>
        <row r="326">
          <cell r="A326" t="str">
            <v>992556-SLR</v>
          </cell>
          <cell r="B326">
            <v>10101</v>
          </cell>
          <cell r="C326">
            <v>229.56</v>
          </cell>
          <cell r="D326">
            <v>19.12</v>
          </cell>
          <cell r="E326">
            <v>494.04</v>
          </cell>
          <cell r="F326">
            <v>231.4</v>
          </cell>
          <cell r="G326">
            <v>1134.8599999999999</v>
          </cell>
          <cell r="H326">
            <v>2108.98</v>
          </cell>
          <cell r="I326">
            <v>5724.28</v>
          </cell>
          <cell r="J326">
            <v>90402</v>
          </cell>
          <cell r="K326" t="str">
            <v>MP</v>
          </cell>
        </row>
        <row r="327">
          <cell r="A327" t="str">
            <v>992557-SLR</v>
          </cell>
          <cell r="B327">
            <v>10218</v>
          </cell>
          <cell r="C327">
            <v>141.69999999999999</v>
          </cell>
          <cell r="D327">
            <v>65.36</v>
          </cell>
          <cell r="E327">
            <v>500.1</v>
          </cell>
          <cell r="F327">
            <v>476.19</v>
          </cell>
          <cell r="G327">
            <v>1475.94</v>
          </cell>
          <cell r="H327">
            <v>2659.29</v>
          </cell>
          <cell r="I327">
            <v>10335.4</v>
          </cell>
          <cell r="J327">
            <v>90097</v>
          </cell>
          <cell r="K327" t="str">
            <v>MP</v>
          </cell>
        </row>
        <row r="328">
          <cell r="A328" t="str">
            <v>992558-SLR</v>
          </cell>
          <cell r="B328">
            <v>10102</v>
          </cell>
          <cell r="C328">
            <v>3155.27</v>
          </cell>
          <cell r="D328">
            <v>113.55</v>
          </cell>
          <cell r="E328">
            <v>494.04</v>
          </cell>
          <cell r="F328">
            <v>349</v>
          </cell>
          <cell r="G328">
            <v>2555.84</v>
          </cell>
          <cell r="H328">
            <v>6667.7000000000007</v>
          </cell>
          <cell r="I328">
            <v>14987.2</v>
          </cell>
          <cell r="J328">
            <v>91250</v>
          </cell>
          <cell r="K328" t="str">
            <v>MP</v>
          </cell>
        </row>
        <row r="329">
          <cell r="A329" t="str">
            <v>992559-SLR</v>
          </cell>
          <cell r="B329">
            <v>10322</v>
          </cell>
          <cell r="C329">
            <v>4342.6400000000003</v>
          </cell>
          <cell r="D329">
            <v>1989.51</v>
          </cell>
          <cell r="E329">
            <v>505.02</v>
          </cell>
          <cell r="F329">
            <v>7451.92</v>
          </cell>
          <cell r="G329">
            <v>41576.160000000003</v>
          </cell>
          <cell r="H329">
            <v>55865.25</v>
          </cell>
          <cell r="I329">
            <v>313484.43</v>
          </cell>
          <cell r="J329">
            <v>92107</v>
          </cell>
          <cell r="K329" t="str">
            <v>MP</v>
          </cell>
        </row>
        <row r="330">
          <cell r="A330" t="str">
            <v>992560-SLR</v>
          </cell>
          <cell r="B330">
            <v>10143</v>
          </cell>
          <cell r="C330">
            <v>252.19</v>
          </cell>
          <cell r="D330">
            <v>3.97</v>
          </cell>
          <cell r="E330">
            <v>498.42</v>
          </cell>
          <cell r="F330">
            <v>142.26</v>
          </cell>
          <cell r="G330">
            <v>86.23</v>
          </cell>
          <cell r="H330">
            <v>983.07</v>
          </cell>
          <cell r="I330">
            <v>197.68</v>
          </cell>
          <cell r="J330">
            <v>91304</v>
          </cell>
          <cell r="K330" t="str">
            <v>MP</v>
          </cell>
        </row>
        <row r="331">
          <cell r="A331" t="str">
            <v>992561-SLR</v>
          </cell>
          <cell r="B331">
            <v>10164</v>
          </cell>
          <cell r="C331">
            <v>374.12</v>
          </cell>
          <cell r="D331">
            <v>172.02</v>
          </cell>
          <cell r="E331">
            <v>495.3</v>
          </cell>
          <cell r="F331">
            <v>890.56</v>
          </cell>
          <cell r="G331">
            <v>3948.05</v>
          </cell>
          <cell r="H331">
            <v>5880.05</v>
          </cell>
          <cell r="I331">
            <v>27654.25</v>
          </cell>
          <cell r="J331">
            <v>92271</v>
          </cell>
          <cell r="K331" t="str">
            <v>MP</v>
          </cell>
        </row>
        <row r="332">
          <cell r="A332" t="str">
            <v>992562-SLR</v>
          </cell>
          <cell r="B332">
            <v>10118</v>
          </cell>
          <cell r="C332">
            <v>495.53</v>
          </cell>
          <cell r="D332">
            <v>13.5</v>
          </cell>
          <cell r="E332">
            <v>494.04</v>
          </cell>
          <cell r="F332">
            <v>180.98</v>
          </cell>
          <cell r="G332">
            <v>391.48</v>
          </cell>
          <cell r="H332">
            <v>1575.53</v>
          </cell>
          <cell r="I332">
            <v>1665.84</v>
          </cell>
          <cell r="J332">
            <v>91553</v>
          </cell>
          <cell r="K332" t="str">
            <v>MP</v>
          </cell>
        </row>
        <row r="333">
          <cell r="A333" t="str">
            <v>992563-SLR</v>
          </cell>
          <cell r="B333">
            <v>10112</v>
          </cell>
          <cell r="C333">
            <v>437.82</v>
          </cell>
          <cell r="D333">
            <v>67.209999999999994</v>
          </cell>
          <cell r="E333">
            <v>494.04</v>
          </cell>
          <cell r="F333">
            <v>485.27</v>
          </cell>
          <cell r="G333">
            <v>1934.38</v>
          </cell>
          <cell r="H333">
            <v>3418.7200000000003</v>
          </cell>
          <cell r="I333">
            <v>10241.5</v>
          </cell>
          <cell r="J333">
            <v>92093</v>
          </cell>
          <cell r="K333" t="str">
            <v>MP</v>
          </cell>
        </row>
        <row r="334">
          <cell r="A334" t="str">
            <v>992564-SLR</v>
          </cell>
          <cell r="B334">
            <v>10196</v>
          </cell>
          <cell r="C334">
            <v>132.56</v>
          </cell>
          <cell r="D334">
            <v>6.71</v>
          </cell>
          <cell r="E334">
            <v>497.1</v>
          </cell>
          <cell r="F334">
            <v>1141.17</v>
          </cell>
          <cell r="G334">
            <v>193.07</v>
          </cell>
          <cell r="H334">
            <v>1970.61</v>
          </cell>
          <cell r="I334">
            <v>876.92</v>
          </cell>
          <cell r="J334">
            <v>90442</v>
          </cell>
          <cell r="K334" t="str">
            <v>MP</v>
          </cell>
        </row>
        <row r="335">
          <cell r="A335" t="str">
            <v>992565-SLR</v>
          </cell>
          <cell r="B335">
            <v>10113</v>
          </cell>
          <cell r="C335">
            <v>160.56</v>
          </cell>
          <cell r="D335">
            <v>44.92</v>
          </cell>
          <cell r="E335">
            <v>494.04</v>
          </cell>
          <cell r="F335">
            <v>571.91999999999996</v>
          </cell>
          <cell r="G335">
            <v>1965.4</v>
          </cell>
          <cell r="H335">
            <v>3236.84</v>
          </cell>
          <cell r="I335">
            <v>13833.12</v>
          </cell>
          <cell r="J335">
            <v>90468</v>
          </cell>
          <cell r="K335" t="str">
            <v>MP</v>
          </cell>
        </row>
        <row r="336">
          <cell r="A336" t="str">
            <v>992566-SLR</v>
          </cell>
          <cell r="B336">
            <v>10267</v>
          </cell>
          <cell r="C336">
            <v>787.14</v>
          </cell>
          <cell r="D336">
            <v>125.59</v>
          </cell>
          <cell r="E336">
            <v>499.77</v>
          </cell>
          <cell r="F336">
            <v>1139.1199999999999</v>
          </cell>
          <cell r="G336">
            <v>2574.69</v>
          </cell>
          <cell r="H336">
            <v>5126.3099999999995</v>
          </cell>
          <cell r="I336">
            <v>38334.86</v>
          </cell>
          <cell r="J336">
            <v>90061</v>
          </cell>
          <cell r="K336" t="str">
            <v>MP</v>
          </cell>
        </row>
        <row r="337">
          <cell r="A337" t="str">
            <v>992567-SLR</v>
          </cell>
          <cell r="B337">
            <v>10165</v>
          </cell>
          <cell r="C337">
            <v>306.92</v>
          </cell>
          <cell r="D337">
            <v>7.64</v>
          </cell>
          <cell r="E337">
            <v>495.3</v>
          </cell>
          <cell r="F337">
            <v>159.78</v>
          </cell>
          <cell r="G337">
            <v>221.83</v>
          </cell>
          <cell r="H337">
            <v>1191.47</v>
          </cell>
          <cell r="I337">
            <v>917.81</v>
          </cell>
          <cell r="J337">
            <v>93021</v>
          </cell>
          <cell r="K337" t="str">
            <v>MP</v>
          </cell>
        </row>
        <row r="338">
          <cell r="A338" t="str">
            <v>992568-SLR</v>
          </cell>
          <cell r="B338">
            <v>10166</v>
          </cell>
          <cell r="C338">
            <v>1011.99</v>
          </cell>
          <cell r="D338">
            <v>80.47</v>
          </cell>
          <cell r="E338">
            <v>495.3</v>
          </cell>
          <cell r="F338">
            <v>547.67999999999995</v>
          </cell>
          <cell r="G338">
            <v>2462.65</v>
          </cell>
          <cell r="H338">
            <v>4598.09</v>
          </cell>
          <cell r="I338">
            <v>11868.85</v>
          </cell>
          <cell r="J338">
            <v>93006</v>
          </cell>
          <cell r="K338" t="str">
            <v>MP</v>
          </cell>
        </row>
        <row r="339">
          <cell r="A339" t="str">
            <v>992570-SLR</v>
          </cell>
          <cell r="B339">
            <v>10114</v>
          </cell>
          <cell r="C339">
            <v>160.56</v>
          </cell>
          <cell r="D339">
            <v>3.16</v>
          </cell>
          <cell r="E339">
            <v>494.04</v>
          </cell>
          <cell r="F339">
            <v>154.22999999999999</v>
          </cell>
          <cell r="G339">
            <v>187.32</v>
          </cell>
          <cell r="H339">
            <v>999.31</v>
          </cell>
          <cell r="I339">
            <v>822.16</v>
          </cell>
          <cell r="J339">
            <v>91178</v>
          </cell>
          <cell r="K339" t="str">
            <v>MP</v>
          </cell>
        </row>
        <row r="340">
          <cell r="A340" t="str">
            <v>992571-SLR</v>
          </cell>
          <cell r="B340">
            <v>10056</v>
          </cell>
          <cell r="C340">
            <v>153.6</v>
          </cell>
          <cell r="D340">
            <v>1.4</v>
          </cell>
          <cell r="E340">
            <v>494.04</v>
          </cell>
          <cell r="F340">
            <v>137.12</v>
          </cell>
          <cell r="G340">
            <v>42.84</v>
          </cell>
          <cell r="H340">
            <v>829</v>
          </cell>
          <cell r="I340">
            <v>70.47</v>
          </cell>
          <cell r="J340">
            <v>93030</v>
          </cell>
          <cell r="K340" t="str">
            <v>MP</v>
          </cell>
        </row>
        <row r="341">
          <cell r="A341" t="str">
            <v>992572-SLR</v>
          </cell>
          <cell r="B341">
            <v>10144</v>
          </cell>
          <cell r="C341">
            <v>297.98</v>
          </cell>
          <cell r="D341">
            <v>67.599999999999994</v>
          </cell>
          <cell r="E341">
            <v>498.42</v>
          </cell>
          <cell r="F341">
            <v>485.69</v>
          </cell>
          <cell r="G341">
            <v>537.79999999999995</v>
          </cell>
          <cell r="H341">
            <v>1887.49</v>
          </cell>
          <cell r="I341">
            <v>10390.43</v>
          </cell>
          <cell r="J341">
            <v>90424</v>
          </cell>
          <cell r="K341" t="str">
            <v>MP</v>
          </cell>
        </row>
        <row r="342">
          <cell r="A342" t="str">
            <v>992573-SLR</v>
          </cell>
          <cell r="B342">
            <v>10147</v>
          </cell>
          <cell r="C342">
            <v>189.74</v>
          </cell>
          <cell r="D342">
            <v>85.06</v>
          </cell>
          <cell r="E342">
            <v>494.04</v>
          </cell>
          <cell r="F342">
            <v>382</v>
          </cell>
          <cell r="G342">
            <v>1915.58</v>
          </cell>
          <cell r="H342">
            <v>3066.42</v>
          </cell>
          <cell r="I342">
            <v>13407.94</v>
          </cell>
          <cell r="J342">
            <v>93190</v>
          </cell>
          <cell r="K342" t="str">
            <v>MP</v>
          </cell>
        </row>
        <row r="343">
          <cell r="A343" t="str">
            <v>992574-SLR</v>
          </cell>
          <cell r="B343">
            <v>10060</v>
          </cell>
          <cell r="C343">
            <v>395.83</v>
          </cell>
          <cell r="D343">
            <v>97.39</v>
          </cell>
          <cell r="E343">
            <v>494.04</v>
          </cell>
          <cell r="F343">
            <v>608.26</v>
          </cell>
          <cell r="G343">
            <v>2191.52</v>
          </cell>
          <cell r="H343">
            <v>3787.04</v>
          </cell>
          <cell r="I343">
            <v>15160.52</v>
          </cell>
          <cell r="J343">
            <v>90503</v>
          </cell>
          <cell r="K343" t="str">
            <v>MP</v>
          </cell>
        </row>
        <row r="344">
          <cell r="A344" t="str">
            <v>992575-SLR</v>
          </cell>
          <cell r="B344">
            <v>10007</v>
          </cell>
          <cell r="C344">
            <v>194.36</v>
          </cell>
          <cell r="D344">
            <v>12.23</v>
          </cell>
          <cell r="E344">
            <v>51.68</v>
          </cell>
          <cell r="F344">
            <v>630</v>
          </cell>
          <cell r="G344">
            <v>376.89</v>
          </cell>
          <cell r="H344">
            <v>1265.1599999999999</v>
          </cell>
          <cell r="I344">
            <v>1777.02</v>
          </cell>
          <cell r="J344">
            <v>91177</v>
          </cell>
          <cell r="K344" t="str">
            <v>MP</v>
          </cell>
        </row>
        <row r="345">
          <cell r="A345" t="str">
            <v>992576-SLR</v>
          </cell>
          <cell r="B345">
            <v>10115</v>
          </cell>
          <cell r="C345">
            <v>156.44999999999999</v>
          </cell>
          <cell r="D345">
            <v>20.170000000000002</v>
          </cell>
          <cell r="E345">
            <v>494.04</v>
          </cell>
          <cell r="F345">
            <v>148.86000000000001</v>
          </cell>
          <cell r="G345">
            <v>882.38</v>
          </cell>
          <cell r="H345">
            <v>1701.9</v>
          </cell>
          <cell r="I345">
            <v>6126.1</v>
          </cell>
          <cell r="J345">
            <v>90061</v>
          </cell>
          <cell r="K345" t="str">
            <v>MP</v>
          </cell>
        </row>
        <row r="346">
          <cell r="A346" t="str">
            <v>992578=SLR</v>
          </cell>
          <cell r="B346">
            <v>10104</v>
          </cell>
          <cell r="C346">
            <v>575.48</v>
          </cell>
          <cell r="D346">
            <v>13.64</v>
          </cell>
          <cell r="E346">
            <v>494.04</v>
          </cell>
          <cell r="F346">
            <v>225</v>
          </cell>
          <cell r="G346">
            <v>410.14</v>
          </cell>
          <cell r="H346">
            <v>1718.3000000000002</v>
          </cell>
          <cell r="I346">
            <v>1569.52</v>
          </cell>
          <cell r="J346">
            <v>90257</v>
          </cell>
          <cell r="K346" t="str">
            <v>MP</v>
          </cell>
        </row>
        <row r="347">
          <cell r="A347" t="str">
            <v>992579-SLR</v>
          </cell>
          <cell r="B347">
            <v>10247</v>
          </cell>
          <cell r="C347">
            <v>133.36000000000001</v>
          </cell>
          <cell r="D347">
            <v>48.48</v>
          </cell>
          <cell r="E347">
            <v>500.1</v>
          </cell>
          <cell r="F347">
            <v>596.89</v>
          </cell>
          <cell r="G347">
            <v>1915.47</v>
          </cell>
          <cell r="H347">
            <v>3194.3</v>
          </cell>
          <cell r="I347">
            <v>14966.43</v>
          </cell>
          <cell r="J347">
            <v>92235</v>
          </cell>
          <cell r="K347" t="str">
            <v>MP</v>
          </cell>
        </row>
        <row r="348">
          <cell r="A348" t="str">
            <v>992581-SLR</v>
          </cell>
          <cell r="B348">
            <v>10262</v>
          </cell>
          <cell r="C348">
            <v>397.98</v>
          </cell>
          <cell r="D348">
            <v>286.08999999999997</v>
          </cell>
          <cell r="E348">
            <v>499.77</v>
          </cell>
          <cell r="F348">
            <v>1294.27</v>
          </cell>
          <cell r="G348">
            <v>6460.04</v>
          </cell>
          <cell r="H348">
            <v>8938.15</v>
          </cell>
          <cell r="I348">
            <v>45459.08</v>
          </cell>
          <cell r="J348">
            <v>90097</v>
          </cell>
          <cell r="K348" t="str">
            <v>MP</v>
          </cell>
        </row>
        <row r="349">
          <cell r="A349" t="str">
            <v>992583-SLR</v>
          </cell>
          <cell r="B349">
            <v>10248</v>
          </cell>
          <cell r="C349">
            <v>193.46</v>
          </cell>
          <cell r="D349">
            <v>7.18</v>
          </cell>
          <cell r="E349">
            <v>500.01</v>
          </cell>
          <cell r="F349">
            <v>182.58</v>
          </cell>
          <cell r="G349">
            <v>426.71</v>
          </cell>
          <cell r="H349">
            <v>1309.94</v>
          </cell>
          <cell r="I349">
            <v>2045.21</v>
          </cell>
          <cell r="J349">
            <v>90379</v>
          </cell>
          <cell r="K349" t="str">
            <v>MP</v>
          </cell>
        </row>
        <row r="350">
          <cell r="A350" t="str">
            <v>992584-SLR</v>
          </cell>
          <cell r="B350">
            <v>10219</v>
          </cell>
          <cell r="C350">
            <v>162.53</v>
          </cell>
          <cell r="D350">
            <v>16.45</v>
          </cell>
          <cell r="E350">
            <v>500.1</v>
          </cell>
          <cell r="F350">
            <v>247.7</v>
          </cell>
          <cell r="G350">
            <v>719.6</v>
          </cell>
          <cell r="H350">
            <v>1646.38</v>
          </cell>
          <cell r="I350">
            <v>4960.99</v>
          </cell>
          <cell r="J350">
            <v>90083</v>
          </cell>
          <cell r="K350" t="str">
            <v>MP</v>
          </cell>
        </row>
        <row r="351">
          <cell r="A351" t="str">
            <v>992586-SLR</v>
          </cell>
          <cell r="B351">
            <v>10176</v>
          </cell>
          <cell r="C351">
            <v>105.23</v>
          </cell>
          <cell r="D351">
            <v>10.97</v>
          </cell>
          <cell r="E351">
            <v>497.1</v>
          </cell>
          <cell r="F351">
            <v>169.45</v>
          </cell>
          <cell r="G351">
            <v>315.83</v>
          </cell>
          <cell r="H351">
            <v>1098.58</v>
          </cell>
          <cell r="I351">
            <v>1546.07</v>
          </cell>
          <cell r="J351">
            <v>90809</v>
          </cell>
          <cell r="K351" t="str">
            <v>MP</v>
          </cell>
        </row>
        <row r="352">
          <cell r="A352" t="str">
            <v>992587-SLR</v>
          </cell>
          <cell r="B352">
            <v>10177</v>
          </cell>
          <cell r="C352">
            <v>134.91</v>
          </cell>
          <cell r="D352">
            <v>6.31</v>
          </cell>
          <cell r="E352">
            <v>497.1</v>
          </cell>
          <cell r="F352">
            <v>153.44</v>
          </cell>
          <cell r="G352">
            <v>133.1</v>
          </cell>
          <cell r="H352">
            <v>924.86</v>
          </cell>
          <cell r="I352">
            <v>809.46</v>
          </cell>
          <cell r="J352">
            <v>90614</v>
          </cell>
          <cell r="K352" t="str">
            <v>MP</v>
          </cell>
        </row>
        <row r="353">
          <cell r="A353" t="str">
            <v>992589-SLR</v>
          </cell>
          <cell r="B353">
            <v>10036</v>
          </cell>
          <cell r="C353">
            <v>133.69999999999999</v>
          </cell>
          <cell r="D353">
            <v>29.76</v>
          </cell>
          <cell r="E353">
            <v>501.36</v>
          </cell>
          <cell r="F353">
            <v>240.18</v>
          </cell>
          <cell r="G353">
            <v>672.15</v>
          </cell>
          <cell r="H353">
            <v>1577.15</v>
          </cell>
          <cell r="I353">
            <v>4637.58</v>
          </cell>
          <cell r="J353">
            <v>92259</v>
          </cell>
          <cell r="K353" t="str">
            <v>MP</v>
          </cell>
        </row>
        <row r="354">
          <cell r="A354" t="str">
            <v>992590-SLR</v>
          </cell>
          <cell r="B354">
            <v>10073</v>
          </cell>
          <cell r="C354">
            <v>139.97999999999999</v>
          </cell>
          <cell r="D354">
            <v>23.4</v>
          </cell>
          <cell r="E354">
            <v>494.04</v>
          </cell>
          <cell r="F354">
            <v>332.37</v>
          </cell>
          <cell r="G354">
            <v>1023.47</v>
          </cell>
          <cell r="H354">
            <v>2013.2600000000002</v>
          </cell>
          <cell r="I354">
            <v>7147.11</v>
          </cell>
          <cell r="J354">
            <v>90097</v>
          </cell>
          <cell r="K354" t="str">
            <v>MP</v>
          </cell>
        </row>
        <row r="355">
          <cell r="A355" t="str">
            <v>992591-SLR</v>
          </cell>
          <cell r="B355">
            <v>10129</v>
          </cell>
          <cell r="C355">
            <v>207.68</v>
          </cell>
          <cell r="D355">
            <v>34.47</v>
          </cell>
          <cell r="E355">
            <v>498.42</v>
          </cell>
          <cell r="F355">
            <v>486.56</v>
          </cell>
          <cell r="G355">
            <v>2047.33</v>
          </cell>
          <cell r="H355">
            <v>3274.46</v>
          </cell>
          <cell r="I355">
            <v>10533.28</v>
          </cell>
          <cell r="J355">
            <v>91978</v>
          </cell>
          <cell r="K355" t="str">
            <v>MP</v>
          </cell>
        </row>
        <row r="356">
          <cell r="A356" t="str">
            <v>992592-SLR</v>
          </cell>
          <cell r="B356">
            <v>10400</v>
          </cell>
          <cell r="C356">
            <v>139.97999999999999</v>
          </cell>
          <cell r="D356">
            <v>14.37</v>
          </cell>
          <cell r="E356">
            <v>524.4</v>
          </cell>
          <cell r="F356">
            <v>183.98</v>
          </cell>
          <cell r="G356">
            <v>323.10000000000002</v>
          </cell>
          <cell r="H356">
            <v>1185.83</v>
          </cell>
          <cell r="I356">
            <v>2153.54</v>
          </cell>
          <cell r="J356">
            <v>93196</v>
          </cell>
          <cell r="K356" t="str">
            <v>MP</v>
          </cell>
        </row>
        <row r="357">
          <cell r="A357" t="str">
            <v>992593-SLR</v>
          </cell>
          <cell r="B357">
            <v>10117</v>
          </cell>
          <cell r="C357">
            <v>160.56</v>
          </cell>
          <cell r="D357">
            <v>36.67</v>
          </cell>
          <cell r="E357">
            <v>494.04</v>
          </cell>
          <cell r="F357">
            <v>513.92999999999995</v>
          </cell>
          <cell r="G357">
            <v>2406.88</v>
          </cell>
          <cell r="H357">
            <v>3612.08</v>
          </cell>
          <cell r="I357">
            <v>11264.11</v>
          </cell>
          <cell r="J357">
            <v>90506</v>
          </cell>
          <cell r="K357" t="str">
            <v>MP</v>
          </cell>
        </row>
        <row r="358">
          <cell r="A358" t="str">
            <v>992594-SLR</v>
          </cell>
          <cell r="B358">
            <v>10105</v>
          </cell>
          <cell r="C358">
            <v>172.91</v>
          </cell>
          <cell r="D358">
            <v>6.75</v>
          </cell>
          <cell r="E358">
            <v>494.04</v>
          </cell>
          <cell r="F358">
            <v>225</v>
          </cell>
          <cell r="G358">
            <v>152.53</v>
          </cell>
          <cell r="H358">
            <v>1051.23</v>
          </cell>
          <cell r="I358">
            <v>909.86</v>
          </cell>
          <cell r="J358">
            <v>90463</v>
          </cell>
          <cell r="K358" t="str">
            <v>MP</v>
          </cell>
        </row>
        <row r="359">
          <cell r="A359" t="str">
            <v>992595-SLR</v>
          </cell>
          <cell r="B359">
            <v>10106</v>
          </cell>
          <cell r="C359">
            <v>172.91</v>
          </cell>
          <cell r="D359">
            <v>22.36</v>
          </cell>
          <cell r="E359">
            <v>494.04</v>
          </cell>
          <cell r="F359">
            <v>225</v>
          </cell>
          <cell r="G359">
            <v>682.91</v>
          </cell>
          <cell r="H359">
            <v>1597.2199999999998</v>
          </cell>
          <cell r="I359">
            <v>3399</v>
          </cell>
          <cell r="J359">
            <v>93016</v>
          </cell>
          <cell r="K359" t="str">
            <v>MP</v>
          </cell>
        </row>
        <row r="360">
          <cell r="A360" t="str">
            <v>992596-SLR</v>
          </cell>
          <cell r="B360">
            <v>10168</v>
          </cell>
          <cell r="C360">
            <v>173.36</v>
          </cell>
          <cell r="D360">
            <v>52.45</v>
          </cell>
          <cell r="E360">
            <v>495.3</v>
          </cell>
          <cell r="F360">
            <v>383.56</v>
          </cell>
          <cell r="G360">
            <v>1607.59</v>
          </cell>
          <cell r="H360">
            <v>2712.26</v>
          </cell>
          <cell r="I360">
            <v>8235.19</v>
          </cell>
          <cell r="J360">
            <v>92372</v>
          </cell>
          <cell r="K360" t="str">
            <v>MP</v>
          </cell>
        </row>
        <row r="361">
          <cell r="A361" t="str">
            <v>992598-SLR</v>
          </cell>
          <cell r="B361">
            <v>10315</v>
          </cell>
          <cell r="C361">
            <v>751.13</v>
          </cell>
          <cell r="D361">
            <v>6.36</v>
          </cell>
          <cell r="E361">
            <v>505.02</v>
          </cell>
          <cell r="F361">
            <v>155.06</v>
          </cell>
          <cell r="G361">
            <v>143.16999999999999</v>
          </cell>
          <cell r="H361">
            <v>1560.74</v>
          </cell>
          <cell r="I361">
            <v>265.14</v>
          </cell>
          <cell r="J361">
            <v>93228</v>
          </cell>
          <cell r="K361" t="str">
            <v>MP</v>
          </cell>
        </row>
        <row r="362">
          <cell r="A362" t="str">
            <v>992599-SLR</v>
          </cell>
          <cell r="B362">
            <v>10324</v>
          </cell>
          <cell r="C362">
            <v>437.08</v>
          </cell>
          <cell r="D362">
            <v>39.31</v>
          </cell>
          <cell r="E362">
            <v>495.3</v>
          </cell>
          <cell r="F362">
            <v>274.49</v>
          </cell>
          <cell r="G362">
            <v>1329.45</v>
          </cell>
          <cell r="H362">
            <v>2575.63</v>
          </cell>
          <cell r="I362">
            <v>5854.3</v>
          </cell>
          <cell r="J362">
            <v>92088</v>
          </cell>
          <cell r="K362" t="str">
            <v>MP</v>
          </cell>
        </row>
        <row r="363">
          <cell r="A363" t="str">
            <v>992600-SLR</v>
          </cell>
          <cell r="B363">
            <v>10284</v>
          </cell>
          <cell r="C363">
            <v>1194.3499999999999</v>
          </cell>
          <cell r="D363">
            <v>6838.56</v>
          </cell>
          <cell r="E363">
            <v>499.08</v>
          </cell>
          <cell r="F363">
            <v>3200.07</v>
          </cell>
          <cell r="G363">
            <v>17895.79</v>
          </cell>
          <cell r="H363">
            <v>29627.85</v>
          </cell>
          <cell r="I363">
            <v>128842.55</v>
          </cell>
          <cell r="J363">
            <v>90570</v>
          </cell>
          <cell r="K363" t="str">
            <v>MP</v>
          </cell>
        </row>
        <row r="364">
          <cell r="A364" t="str">
            <v>992602-SLR</v>
          </cell>
          <cell r="B364">
            <v>10169</v>
          </cell>
          <cell r="C364">
            <v>251.08</v>
          </cell>
          <cell r="D364">
            <v>13.41</v>
          </cell>
          <cell r="E364">
            <v>495.3</v>
          </cell>
          <cell r="F364">
            <v>178.4</v>
          </cell>
          <cell r="G364">
            <v>391.37</v>
          </cell>
          <cell r="H364">
            <v>1329.56</v>
          </cell>
          <cell r="I364">
            <v>1795.36</v>
          </cell>
          <cell r="J364">
            <v>90662</v>
          </cell>
          <cell r="K364" t="str">
            <v>MP</v>
          </cell>
        </row>
        <row r="365">
          <cell r="A365" t="str">
            <v>992603-SLR</v>
          </cell>
          <cell r="B365">
            <v>10268</v>
          </cell>
          <cell r="C365">
            <v>774.65</v>
          </cell>
          <cell r="D365">
            <v>42.72</v>
          </cell>
          <cell r="E365">
            <v>494.04</v>
          </cell>
          <cell r="F365">
            <v>201.55</v>
          </cell>
          <cell r="G365">
            <v>661.36</v>
          </cell>
          <cell r="H365">
            <v>2174.3200000000002</v>
          </cell>
          <cell r="I365">
            <v>6071.75</v>
          </cell>
          <cell r="J365">
            <v>93001</v>
          </cell>
          <cell r="K365" t="str">
            <v>MP</v>
          </cell>
        </row>
        <row r="366">
          <cell r="A366" t="str">
            <v>992604-SLR</v>
          </cell>
          <cell r="B366">
            <v>10107</v>
          </cell>
          <cell r="C366">
            <v>24914.37</v>
          </cell>
          <cell r="D366">
            <v>251.02</v>
          </cell>
          <cell r="E366">
            <v>494.04</v>
          </cell>
          <cell r="F366">
            <v>349</v>
          </cell>
          <cell r="G366">
            <v>4580.22</v>
          </cell>
          <cell r="H366">
            <v>30588.65</v>
          </cell>
          <cell r="I366">
            <v>13003.13</v>
          </cell>
          <cell r="J366">
            <v>93086</v>
          </cell>
          <cell r="K366" t="str">
            <v>MP</v>
          </cell>
        </row>
        <row r="367">
          <cell r="A367" t="str">
            <v>992605-SLR</v>
          </cell>
          <cell r="B367">
            <v>10289</v>
          </cell>
          <cell r="C367">
            <v>2496.91</v>
          </cell>
          <cell r="D367">
            <v>17.5</v>
          </cell>
          <cell r="E367">
            <v>499.08</v>
          </cell>
          <cell r="F367">
            <v>529.91</v>
          </cell>
          <cell r="G367">
            <v>2190.87</v>
          </cell>
          <cell r="H367">
            <v>5734.2699999999995</v>
          </cell>
          <cell r="I367">
            <v>9657.08</v>
          </cell>
          <cell r="J367">
            <v>92158</v>
          </cell>
          <cell r="K367" t="str">
            <v>MP</v>
          </cell>
        </row>
        <row r="368">
          <cell r="A368" t="str">
            <v>992606-SLR</v>
          </cell>
          <cell r="B368">
            <v>10108</v>
          </cell>
          <cell r="C368">
            <v>7384.15</v>
          </cell>
          <cell r="D368">
            <v>66.599999999999994</v>
          </cell>
          <cell r="E368">
            <v>494.04</v>
          </cell>
          <cell r="F368">
            <v>335.52</v>
          </cell>
          <cell r="G368">
            <v>1284.68</v>
          </cell>
          <cell r="H368">
            <v>9564.99</v>
          </cell>
          <cell r="I368">
            <v>3254.93</v>
          </cell>
          <cell r="J368">
            <v>91996</v>
          </cell>
          <cell r="K368" t="str">
            <v>MP</v>
          </cell>
        </row>
        <row r="369">
          <cell r="A369" t="str">
            <v>992607-SLR</v>
          </cell>
          <cell r="B369">
            <v>10067</v>
          </cell>
          <cell r="C369">
            <v>88.63</v>
          </cell>
          <cell r="D369">
            <v>22.63</v>
          </cell>
          <cell r="E369">
            <v>494.04</v>
          </cell>
          <cell r="F369">
            <v>213.88</v>
          </cell>
          <cell r="G369">
            <v>662.09</v>
          </cell>
          <cell r="H369">
            <v>1481.27</v>
          </cell>
          <cell r="I369">
            <v>3525.8</v>
          </cell>
          <cell r="J369">
            <v>90593</v>
          </cell>
          <cell r="K369" t="str">
            <v>MP</v>
          </cell>
        </row>
        <row r="370">
          <cell r="A370" t="str">
            <v>992608-SLR</v>
          </cell>
          <cell r="B370">
            <v>10130</v>
          </cell>
          <cell r="C370">
            <v>102.99</v>
          </cell>
          <cell r="D370">
            <v>7.43</v>
          </cell>
          <cell r="E370">
            <v>498.42</v>
          </cell>
          <cell r="F370">
            <v>183.88</v>
          </cell>
          <cell r="G370">
            <v>437.66</v>
          </cell>
          <cell r="H370">
            <v>1230.3800000000001</v>
          </cell>
          <cell r="I370">
            <v>2193.0500000000002</v>
          </cell>
          <cell r="J370">
            <v>93158</v>
          </cell>
          <cell r="K370" t="str">
            <v>MP</v>
          </cell>
        </row>
        <row r="371">
          <cell r="A371" t="str">
            <v>992609-SLR</v>
          </cell>
          <cell r="B371">
            <v>10220</v>
          </cell>
          <cell r="C371">
            <v>182.87</v>
          </cell>
          <cell r="D371">
            <v>0.73</v>
          </cell>
          <cell r="E371">
            <v>500.1</v>
          </cell>
          <cell r="F371">
            <v>137.16</v>
          </cell>
          <cell r="G371">
            <v>43.12</v>
          </cell>
          <cell r="H371">
            <v>863.98</v>
          </cell>
          <cell r="I371">
            <v>43.34</v>
          </cell>
          <cell r="J371">
            <v>90402</v>
          </cell>
          <cell r="K371" t="str">
            <v>MP</v>
          </cell>
        </row>
        <row r="372">
          <cell r="A372" t="str">
            <v>992610-SLR</v>
          </cell>
          <cell r="B372">
            <v>10249</v>
          </cell>
          <cell r="C372">
            <v>141.69999999999999</v>
          </cell>
          <cell r="D372">
            <v>5.58</v>
          </cell>
          <cell r="E372">
            <v>500.1</v>
          </cell>
          <cell r="F372">
            <v>171.29</v>
          </cell>
          <cell r="G372">
            <v>244.17</v>
          </cell>
          <cell r="H372">
            <v>1062.8399999999999</v>
          </cell>
          <cell r="I372">
            <v>1596.79</v>
          </cell>
          <cell r="J372">
            <v>90097</v>
          </cell>
          <cell r="K372" t="str">
            <v>MP</v>
          </cell>
        </row>
        <row r="373">
          <cell r="A373" t="str">
            <v>992611-SLR</v>
          </cell>
          <cell r="B373">
            <v>10109</v>
          </cell>
          <cell r="C373">
            <v>237.22</v>
          </cell>
          <cell r="D373">
            <v>39.130000000000003</v>
          </cell>
          <cell r="E373">
            <v>494.04</v>
          </cell>
          <cell r="F373">
            <v>237.35</v>
          </cell>
          <cell r="G373">
            <v>1186.23</v>
          </cell>
          <cell r="H373">
            <v>2193.9700000000003</v>
          </cell>
          <cell r="I373">
            <v>5966.99</v>
          </cell>
          <cell r="J373">
            <v>92174</v>
          </cell>
          <cell r="K373" t="str">
            <v>MP</v>
          </cell>
        </row>
        <row r="374">
          <cell r="A374" t="str">
            <v>992612-SLR</v>
          </cell>
          <cell r="B374">
            <v>10110</v>
          </cell>
          <cell r="C374">
            <v>156.44999999999999</v>
          </cell>
          <cell r="D374">
            <v>1.96</v>
          </cell>
          <cell r="E374">
            <v>494.04</v>
          </cell>
          <cell r="F374">
            <v>225</v>
          </cell>
          <cell r="G374">
            <v>85.46</v>
          </cell>
          <cell r="H374">
            <v>962.91000000000008</v>
          </cell>
          <cell r="I374">
            <v>452.05</v>
          </cell>
          <cell r="J374">
            <v>90061</v>
          </cell>
          <cell r="K374" t="str">
            <v>MP</v>
          </cell>
        </row>
        <row r="375">
          <cell r="A375" t="str">
            <v>992614=SLR</v>
          </cell>
          <cell r="B375">
            <v>10149</v>
          </cell>
          <cell r="C375">
            <v>2951.64</v>
          </cell>
          <cell r="D375">
            <v>2041.15</v>
          </cell>
          <cell r="E375">
            <v>495.3</v>
          </cell>
          <cell r="F375">
            <v>7685.7</v>
          </cell>
          <cell r="G375">
            <v>16510.349999999999</v>
          </cell>
          <cell r="H375">
            <v>29684.14</v>
          </cell>
          <cell r="I375">
            <v>325214.11</v>
          </cell>
          <cell r="J375">
            <v>91578</v>
          </cell>
          <cell r="K375" t="str">
            <v>MP</v>
          </cell>
        </row>
        <row r="376">
          <cell r="A376" t="str">
            <v>992615-SLR</v>
          </cell>
          <cell r="B376">
            <v>10145</v>
          </cell>
          <cell r="C376">
            <v>347.44</v>
          </cell>
          <cell r="D376">
            <v>38.93</v>
          </cell>
          <cell r="E376">
            <v>498.42</v>
          </cell>
          <cell r="F376">
            <v>285.37</v>
          </cell>
          <cell r="G376">
            <v>875.62</v>
          </cell>
          <cell r="H376">
            <v>2045.7799999999997</v>
          </cell>
          <cell r="I376">
            <v>5868.06</v>
          </cell>
          <cell r="J376">
            <v>92348</v>
          </cell>
          <cell r="K376" t="str">
            <v>MP</v>
          </cell>
        </row>
        <row r="377">
          <cell r="A377" t="str">
            <v>992618-SLR</v>
          </cell>
          <cell r="B377">
            <v>10221</v>
          </cell>
          <cell r="C377">
            <v>158.37</v>
          </cell>
          <cell r="D377">
            <v>18.97</v>
          </cell>
          <cell r="E377">
            <v>500.1</v>
          </cell>
          <cell r="F377">
            <v>270.87</v>
          </cell>
          <cell r="G377">
            <v>829.99</v>
          </cell>
          <cell r="H377">
            <v>1778.3000000000002</v>
          </cell>
          <cell r="I377">
            <v>5751.15</v>
          </cell>
          <cell r="J377">
            <v>92167</v>
          </cell>
          <cell r="K377" t="str">
            <v>MP</v>
          </cell>
        </row>
        <row r="378">
          <cell r="A378" t="str">
            <v>992619-SLR</v>
          </cell>
          <cell r="B378">
            <v>10170</v>
          </cell>
          <cell r="C378">
            <v>310.23</v>
          </cell>
          <cell r="D378">
            <v>38.15</v>
          </cell>
          <cell r="E378">
            <v>495.3</v>
          </cell>
          <cell r="F378">
            <v>280.06</v>
          </cell>
          <cell r="G378">
            <v>842.93</v>
          </cell>
          <cell r="H378">
            <v>1966.67</v>
          </cell>
          <cell r="I378">
            <v>5786.76</v>
          </cell>
          <cell r="J378">
            <v>90503</v>
          </cell>
          <cell r="K378" t="str">
            <v>MP</v>
          </cell>
        </row>
        <row r="379">
          <cell r="A379" t="str">
            <v>992620-SLR</v>
          </cell>
          <cell r="B379">
            <v>10222</v>
          </cell>
          <cell r="C379">
            <v>182.87</v>
          </cell>
          <cell r="D379">
            <v>1.33</v>
          </cell>
          <cell r="E379">
            <v>500.1</v>
          </cell>
          <cell r="F379">
            <v>141.44999999999999</v>
          </cell>
          <cell r="G379">
            <v>79.34</v>
          </cell>
          <cell r="H379">
            <v>905.09</v>
          </cell>
          <cell r="I379">
            <v>233.38</v>
          </cell>
          <cell r="J379">
            <v>90402</v>
          </cell>
          <cell r="K379" t="str">
            <v>MP</v>
          </cell>
        </row>
        <row r="380">
          <cell r="A380" t="str">
            <v>992621-SLR</v>
          </cell>
          <cell r="B380">
            <v>10223</v>
          </cell>
          <cell r="C380">
            <v>208.38</v>
          </cell>
          <cell r="D380">
            <v>8.5399999999999991</v>
          </cell>
          <cell r="E380">
            <v>500.1</v>
          </cell>
          <cell r="F380">
            <v>163</v>
          </cell>
          <cell r="G380">
            <v>261.33999999999997</v>
          </cell>
          <cell r="H380">
            <v>1141.3599999999999</v>
          </cell>
          <cell r="I380">
            <v>1158.57</v>
          </cell>
          <cell r="J380">
            <v>91349</v>
          </cell>
          <cell r="K380" t="str">
            <v>MP</v>
          </cell>
        </row>
        <row r="381">
          <cell r="A381" t="str">
            <v>992622-SLR</v>
          </cell>
          <cell r="B381">
            <v>10291</v>
          </cell>
          <cell r="C381">
            <v>193.06</v>
          </cell>
          <cell r="D381">
            <v>6.35</v>
          </cell>
          <cell r="E381">
            <v>499.08</v>
          </cell>
          <cell r="F381">
            <v>176.72</v>
          </cell>
          <cell r="G381">
            <v>377.21</v>
          </cell>
          <cell r="H381">
            <v>1252.42</v>
          </cell>
          <cell r="I381">
            <v>1785.91</v>
          </cell>
          <cell r="J381">
            <v>90379</v>
          </cell>
          <cell r="K381" t="str">
            <v>MP</v>
          </cell>
        </row>
        <row r="382">
          <cell r="A382" t="str">
            <v>992624-SLR</v>
          </cell>
          <cell r="B382">
            <v>10311</v>
          </cell>
          <cell r="C382">
            <v>172.55</v>
          </cell>
          <cell r="D382">
            <v>34.659999999999997</v>
          </cell>
          <cell r="E382">
            <v>505.02</v>
          </cell>
          <cell r="F382">
            <v>489.11</v>
          </cell>
          <cell r="G382">
            <v>1022.49</v>
          </cell>
          <cell r="H382">
            <v>2223.83</v>
          </cell>
          <cell r="I382">
            <v>10625.62</v>
          </cell>
          <cell r="J382">
            <v>90083</v>
          </cell>
          <cell r="K382" t="str">
            <v>MP</v>
          </cell>
        </row>
        <row r="383">
          <cell r="A383" t="str">
            <v>992625-SLR</v>
          </cell>
          <cell r="B383">
            <v>10360</v>
          </cell>
          <cell r="C383">
            <v>161.36000000000001</v>
          </cell>
          <cell r="D383">
            <v>3.14</v>
          </cell>
          <cell r="E383">
            <v>509.55</v>
          </cell>
          <cell r="F383">
            <v>154.1</v>
          </cell>
          <cell r="G383">
            <v>137.16999999999999</v>
          </cell>
          <cell r="H383">
            <v>965.31999999999994</v>
          </cell>
          <cell r="I383">
            <v>815.28</v>
          </cell>
          <cell r="J383">
            <v>90061</v>
          </cell>
          <cell r="K383" t="str">
            <v>MP</v>
          </cell>
        </row>
        <row r="384">
          <cell r="A384" t="str">
            <v>992626-SLR</v>
          </cell>
          <cell r="B384">
            <v>10292</v>
          </cell>
          <cell r="C384">
            <v>155.01</v>
          </cell>
          <cell r="D384">
            <v>98.54</v>
          </cell>
          <cell r="E384">
            <v>499.08</v>
          </cell>
          <cell r="F384">
            <v>487.34</v>
          </cell>
          <cell r="G384">
            <v>2210.6999999999998</v>
          </cell>
          <cell r="H384">
            <v>3450.67</v>
          </cell>
          <cell r="I384">
            <v>15537.17</v>
          </cell>
          <cell r="J384">
            <v>93081</v>
          </cell>
          <cell r="K384" t="str">
            <v>MP</v>
          </cell>
        </row>
        <row r="385">
          <cell r="A385" t="str">
            <v>992627-SLR</v>
          </cell>
          <cell r="B385">
            <v>10224</v>
          </cell>
          <cell r="C385">
            <v>162.53</v>
          </cell>
          <cell r="D385">
            <v>6.95</v>
          </cell>
          <cell r="E385">
            <v>500.1</v>
          </cell>
          <cell r="F385">
            <v>180.87</v>
          </cell>
          <cell r="G385">
            <v>303.77999999999997</v>
          </cell>
          <cell r="H385">
            <v>1154.23</v>
          </cell>
          <cell r="I385">
            <v>2000.4</v>
          </cell>
          <cell r="J385">
            <v>91672</v>
          </cell>
          <cell r="K385" t="str">
            <v>MP</v>
          </cell>
        </row>
        <row r="386">
          <cell r="A386" t="str">
            <v>992628-SLR</v>
          </cell>
          <cell r="B386">
            <v>10225</v>
          </cell>
          <cell r="C386">
            <v>133.36000000000001</v>
          </cell>
          <cell r="D386">
            <v>43.48</v>
          </cell>
          <cell r="E386">
            <v>500.1</v>
          </cell>
          <cell r="F386">
            <v>319.06</v>
          </cell>
          <cell r="G386">
            <v>981.62</v>
          </cell>
          <cell r="H386">
            <v>1977.62</v>
          </cell>
          <cell r="I386">
            <v>6834.7</v>
          </cell>
          <cell r="J386">
            <v>90242</v>
          </cell>
          <cell r="K386" t="str">
            <v>MP</v>
          </cell>
        </row>
        <row r="387">
          <cell r="A387" t="str">
            <v>992629-SLR</v>
          </cell>
          <cell r="B387">
            <v>10226</v>
          </cell>
          <cell r="C387">
            <v>173.97</v>
          </cell>
          <cell r="D387">
            <v>78.650000000000006</v>
          </cell>
          <cell r="E387">
            <v>500.1</v>
          </cell>
          <cell r="F387">
            <v>809.04</v>
          </cell>
          <cell r="G387">
            <v>4669.72</v>
          </cell>
          <cell r="H387">
            <v>6231.4800000000005</v>
          </cell>
          <cell r="I387">
            <v>24324.86</v>
          </cell>
          <cell r="J387">
            <v>90856</v>
          </cell>
          <cell r="K387" t="str">
            <v>MP</v>
          </cell>
        </row>
        <row r="388">
          <cell r="A388" t="str">
            <v>992630-SLR</v>
          </cell>
          <cell r="B388">
            <v>10227</v>
          </cell>
          <cell r="C388">
            <v>191.71</v>
          </cell>
          <cell r="D388">
            <v>0.72</v>
          </cell>
          <cell r="E388">
            <v>500.1</v>
          </cell>
          <cell r="F388">
            <v>137.09</v>
          </cell>
          <cell r="G388">
            <v>42.58</v>
          </cell>
          <cell r="H388">
            <v>872.2</v>
          </cell>
          <cell r="I388">
            <v>31.67</v>
          </cell>
          <cell r="J388">
            <v>90856</v>
          </cell>
          <cell r="K388" t="str">
            <v>MP</v>
          </cell>
        </row>
        <row r="389">
          <cell r="A389" t="str">
            <v>992632-SLR</v>
          </cell>
          <cell r="B389">
            <v>10228</v>
          </cell>
          <cell r="C389">
            <v>136.28</v>
          </cell>
          <cell r="D389">
            <v>1.23</v>
          </cell>
          <cell r="E389">
            <v>500.1</v>
          </cell>
          <cell r="F389">
            <v>140.77000000000001</v>
          </cell>
          <cell r="G389">
            <v>54.26</v>
          </cell>
          <cell r="H389">
            <v>832.64</v>
          </cell>
          <cell r="I389">
            <v>250.05</v>
          </cell>
          <cell r="J389">
            <v>90485</v>
          </cell>
          <cell r="K389" t="str">
            <v>MP</v>
          </cell>
        </row>
        <row r="390">
          <cell r="A390" t="str">
            <v>992633-SLR</v>
          </cell>
          <cell r="B390">
            <v>10229</v>
          </cell>
          <cell r="C390">
            <v>1073.55</v>
          </cell>
          <cell r="D390">
            <v>31.54</v>
          </cell>
          <cell r="E390">
            <v>500.1</v>
          </cell>
          <cell r="F390">
            <v>445.68</v>
          </cell>
          <cell r="G390">
            <v>1675.66</v>
          </cell>
          <cell r="H390">
            <v>3726.5299999999997</v>
          </cell>
          <cell r="I390">
            <v>8751.75</v>
          </cell>
          <cell r="J390">
            <v>91491</v>
          </cell>
          <cell r="K390" t="str">
            <v>MP</v>
          </cell>
        </row>
        <row r="391">
          <cell r="A391" t="str">
            <v>992635-SLR</v>
          </cell>
          <cell r="B391">
            <v>10269</v>
          </cell>
          <cell r="C391">
            <v>89.03</v>
          </cell>
          <cell r="D391">
            <v>33.880000000000003</v>
          </cell>
          <cell r="E391">
            <v>499.77</v>
          </cell>
          <cell r="F391">
            <v>254.61</v>
          </cell>
          <cell r="G391">
            <v>1108.6099999999999</v>
          </cell>
          <cell r="H391">
            <v>1985.8999999999999</v>
          </cell>
          <cell r="I391">
            <v>5324.1</v>
          </cell>
          <cell r="J391">
            <v>90593</v>
          </cell>
          <cell r="K391" t="str">
            <v>MP</v>
          </cell>
        </row>
        <row r="392">
          <cell r="A392" t="str">
            <v>992636-SLR</v>
          </cell>
          <cell r="B392">
            <v>10230</v>
          </cell>
          <cell r="C392">
            <v>1088.48</v>
          </cell>
          <cell r="D392">
            <v>25.29</v>
          </cell>
          <cell r="E392">
            <v>500.1</v>
          </cell>
          <cell r="F392">
            <v>248.44</v>
          </cell>
          <cell r="G392">
            <v>879.38</v>
          </cell>
          <cell r="H392">
            <v>2741.69</v>
          </cell>
          <cell r="I392">
            <v>4059.05</v>
          </cell>
          <cell r="J392">
            <v>91290</v>
          </cell>
          <cell r="K392" t="str">
            <v>MP</v>
          </cell>
        </row>
        <row r="393">
          <cell r="A393" t="str">
            <v>992637-SLR</v>
          </cell>
          <cell r="B393">
            <v>10111</v>
          </cell>
          <cell r="C393">
            <v>83.33</v>
          </cell>
          <cell r="D393">
            <v>50.34</v>
          </cell>
          <cell r="E393">
            <v>494.04</v>
          </cell>
          <cell r="F393">
            <v>278.64999999999998</v>
          </cell>
          <cell r="G393">
            <v>1136.8900000000001</v>
          </cell>
          <cell r="H393">
            <v>2043.25</v>
          </cell>
          <cell r="I393">
            <v>7986.98</v>
          </cell>
          <cell r="J393">
            <v>92240</v>
          </cell>
          <cell r="K393" t="str">
            <v>MP</v>
          </cell>
        </row>
        <row r="394">
          <cell r="A394" t="str">
            <v>992638-SLR</v>
          </cell>
          <cell r="B394">
            <v>10178</v>
          </cell>
          <cell r="C394">
            <v>310.08</v>
          </cell>
          <cell r="D394">
            <v>16.739999999999998</v>
          </cell>
          <cell r="E394">
            <v>497.1</v>
          </cell>
          <cell r="F394">
            <v>185.54</v>
          </cell>
          <cell r="G394">
            <v>499.24</v>
          </cell>
          <cell r="H394">
            <v>1508.7</v>
          </cell>
          <cell r="I394">
            <v>2050.54</v>
          </cell>
          <cell r="J394">
            <v>90071</v>
          </cell>
          <cell r="K394" t="str">
            <v>MP</v>
          </cell>
        </row>
        <row r="395">
          <cell r="A395" t="str">
            <v>992639-SLR</v>
          </cell>
          <cell r="B395">
            <v>10179</v>
          </cell>
          <cell r="C395">
            <v>97.43</v>
          </cell>
          <cell r="D395">
            <v>8.35</v>
          </cell>
          <cell r="E395">
            <v>495.3</v>
          </cell>
          <cell r="F395">
            <v>162</v>
          </cell>
          <cell r="G395">
            <v>188.8</v>
          </cell>
          <cell r="H395">
            <v>951.88000000000011</v>
          </cell>
          <cell r="I395">
            <v>1242.75</v>
          </cell>
          <cell r="J395">
            <v>91468</v>
          </cell>
          <cell r="K395" t="str">
            <v>MP</v>
          </cell>
        </row>
        <row r="396">
          <cell r="A396" t="str">
            <v>992641-SLR</v>
          </cell>
          <cell r="B396">
            <v>10231</v>
          </cell>
          <cell r="C396">
            <v>326.35000000000002</v>
          </cell>
          <cell r="D396">
            <v>4.9000000000000004</v>
          </cell>
          <cell r="E396">
            <v>500.1</v>
          </cell>
          <cell r="F396">
            <v>149.78</v>
          </cell>
          <cell r="G396">
            <v>118.41</v>
          </cell>
          <cell r="H396">
            <v>1099.54</v>
          </cell>
          <cell r="I396">
            <v>456.89</v>
          </cell>
          <cell r="J396">
            <v>91250</v>
          </cell>
          <cell r="K396" t="str">
            <v>MP</v>
          </cell>
        </row>
        <row r="397">
          <cell r="A397" t="str">
            <v>992643-SLR</v>
          </cell>
          <cell r="B397">
            <v>10232</v>
          </cell>
          <cell r="C397">
            <v>326.35000000000002</v>
          </cell>
          <cell r="D397">
            <v>9.8699999999999992</v>
          </cell>
          <cell r="E397">
            <v>500.1</v>
          </cell>
          <cell r="F397">
            <v>167.75</v>
          </cell>
          <cell r="G397">
            <v>333.16</v>
          </cell>
          <cell r="H397">
            <v>1337.23</v>
          </cell>
          <cell r="I397">
            <v>1250.25</v>
          </cell>
          <cell r="J397">
            <v>93055</v>
          </cell>
          <cell r="K397" t="str">
            <v>MP</v>
          </cell>
        </row>
        <row r="398">
          <cell r="A398" t="str">
            <v>992644-SLR</v>
          </cell>
          <cell r="B398">
            <v>10233</v>
          </cell>
          <cell r="C398">
            <v>343.96</v>
          </cell>
          <cell r="D398">
            <v>43.94</v>
          </cell>
          <cell r="E398">
            <v>500.1</v>
          </cell>
          <cell r="F398">
            <v>338.89</v>
          </cell>
          <cell r="G398">
            <v>1416.85</v>
          </cell>
          <cell r="H398">
            <v>2643.74</v>
          </cell>
          <cell r="I398">
            <v>7069.2</v>
          </cell>
          <cell r="J398">
            <v>93020</v>
          </cell>
          <cell r="K398" t="str">
            <v>MP</v>
          </cell>
        </row>
        <row r="399">
          <cell r="A399" t="str">
            <v>992645-SLR</v>
          </cell>
          <cell r="B399">
            <v>10234</v>
          </cell>
          <cell r="C399">
            <v>256.08999999999997</v>
          </cell>
          <cell r="D399">
            <v>32.97</v>
          </cell>
          <cell r="E399">
            <v>500.1</v>
          </cell>
          <cell r="F399">
            <v>257.67</v>
          </cell>
          <cell r="G399">
            <v>1060.78</v>
          </cell>
          <cell r="H399">
            <v>2107.6099999999997</v>
          </cell>
          <cell r="I399">
            <v>5293.99</v>
          </cell>
          <cell r="J399">
            <v>93021</v>
          </cell>
          <cell r="K399" t="str">
            <v>MP</v>
          </cell>
        </row>
        <row r="400">
          <cell r="A400" t="str">
            <v>992646-SLR</v>
          </cell>
          <cell r="B400">
            <v>10272</v>
          </cell>
          <cell r="C400">
            <v>646.77</v>
          </cell>
          <cell r="D400">
            <v>29.12</v>
          </cell>
          <cell r="E400">
            <v>499.77</v>
          </cell>
          <cell r="F400">
            <v>237.28</v>
          </cell>
          <cell r="G400">
            <v>888.67</v>
          </cell>
          <cell r="H400">
            <v>2301.6099999999997</v>
          </cell>
          <cell r="I400">
            <v>4001.29</v>
          </cell>
          <cell r="J400">
            <v>91975</v>
          </cell>
          <cell r="K400" t="str">
            <v>MP</v>
          </cell>
        </row>
        <row r="401">
          <cell r="A401" t="str">
            <v>992647-SLR</v>
          </cell>
          <cell r="B401">
            <v>10309</v>
          </cell>
          <cell r="C401">
            <v>2096.88</v>
          </cell>
          <cell r="D401">
            <v>81.069999999999993</v>
          </cell>
          <cell r="E401">
            <v>499.08</v>
          </cell>
          <cell r="F401">
            <v>549.29</v>
          </cell>
          <cell r="G401">
            <v>2476.2600000000002</v>
          </cell>
          <cell r="H401">
            <v>5702.58</v>
          </cell>
          <cell r="I401">
            <v>10854.99</v>
          </cell>
          <cell r="J401">
            <v>92007</v>
          </cell>
          <cell r="K401" t="str">
            <v>MP</v>
          </cell>
        </row>
        <row r="402">
          <cell r="A402" t="str">
            <v>992649-SLR</v>
          </cell>
          <cell r="B402">
            <v>10173</v>
          </cell>
          <cell r="C402">
            <v>299.19</v>
          </cell>
          <cell r="D402">
            <v>11.85</v>
          </cell>
          <cell r="E402">
            <v>495.3</v>
          </cell>
          <cell r="F402">
            <v>214.83</v>
          </cell>
          <cell r="G402">
            <v>516.94000000000005</v>
          </cell>
          <cell r="H402">
            <v>1538.1100000000001</v>
          </cell>
          <cell r="I402">
            <v>3368.04</v>
          </cell>
          <cell r="J402">
            <v>93027</v>
          </cell>
          <cell r="K402" t="str">
            <v>MP</v>
          </cell>
        </row>
        <row r="403">
          <cell r="A403" t="str">
            <v>992650-SLR</v>
          </cell>
          <cell r="B403">
            <v>10325</v>
          </cell>
          <cell r="C403">
            <v>853.22</v>
          </cell>
          <cell r="D403">
            <v>47.2</v>
          </cell>
          <cell r="E403">
            <v>509.55</v>
          </cell>
          <cell r="F403">
            <v>344.72</v>
          </cell>
          <cell r="G403">
            <v>1593.54</v>
          </cell>
          <cell r="H403">
            <v>3348.23</v>
          </cell>
          <cell r="I403">
            <v>6687.84</v>
          </cell>
          <cell r="J403">
            <v>90487</v>
          </cell>
          <cell r="K403" t="str">
            <v>MP</v>
          </cell>
        </row>
        <row r="404">
          <cell r="A404" t="str">
            <v>992652-SLR</v>
          </cell>
          <cell r="B404">
            <v>10361</v>
          </cell>
          <cell r="C404">
            <v>8033.91</v>
          </cell>
          <cell r="D404">
            <v>130.21</v>
          </cell>
          <cell r="E404">
            <v>509.55</v>
          </cell>
          <cell r="F404">
            <v>912.24</v>
          </cell>
          <cell r="G404">
            <v>3499.7</v>
          </cell>
          <cell r="H404">
            <v>13085.61</v>
          </cell>
          <cell r="I404">
            <v>21000.05</v>
          </cell>
          <cell r="J404">
            <v>92315</v>
          </cell>
          <cell r="K404" t="str">
            <v>MP</v>
          </cell>
        </row>
        <row r="405">
          <cell r="A405" t="str">
            <v>992653-SLR</v>
          </cell>
          <cell r="B405">
            <v>10235</v>
          </cell>
          <cell r="C405">
            <v>183.37</v>
          </cell>
          <cell r="D405">
            <v>12.1</v>
          </cell>
          <cell r="E405">
            <v>500.1</v>
          </cell>
          <cell r="F405">
            <v>217.09</v>
          </cell>
          <cell r="G405">
            <v>529.13</v>
          </cell>
          <cell r="H405">
            <v>1441.79</v>
          </cell>
          <cell r="I405">
            <v>3584.05</v>
          </cell>
          <cell r="J405">
            <v>93162</v>
          </cell>
          <cell r="K405" t="str">
            <v>MP</v>
          </cell>
        </row>
        <row r="406">
          <cell r="A406" t="str">
            <v>992654-SLR</v>
          </cell>
          <cell r="B406">
            <v>10197</v>
          </cell>
          <cell r="C406">
            <v>141.91999999999999</v>
          </cell>
          <cell r="D406">
            <v>3.7</v>
          </cell>
          <cell r="E406">
            <v>497.1</v>
          </cell>
          <cell r="F406">
            <v>158.03</v>
          </cell>
          <cell r="G406">
            <v>242.49</v>
          </cell>
          <cell r="H406">
            <v>1043.24</v>
          </cell>
          <cell r="I406">
            <v>1009.11</v>
          </cell>
          <cell r="J406">
            <v>92217</v>
          </cell>
          <cell r="K406" t="str">
            <v>MP</v>
          </cell>
        </row>
        <row r="407">
          <cell r="A407" t="str">
            <v>992655-SLR</v>
          </cell>
          <cell r="B407">
            <v>10273</v>
          </cell>
          <cell r="C407">
            <v>208.24</v>
          </cell>
          <cell r="D407">
            <v>94.91</v>
          </cell>
          <cell r="E407">
            <v>499.77</v>
          </cell>
          <cell r="F407">
            <v>923.31</v>
          </cell>
          <cell r="G407">
            <v>4321.91</v>
          </cell>
          <cell r="H407">
            <v>6048.1399999999994</v>
          </cell>
          <cell r="I407">
            <v>29352.74</v>
          </cell>
          <cell r="J407">
            <v>93157</v>
          </cell>
          <cell r="K407" t="str">
            <v>MP</v>
          </cell>
        </row>
        <row r="408">
          <cell r="A408" t="str">
            <v>992656-SLR</v>
          </cell>
          <cell r="B408">
            <v>10308</v>
          </cell>
          <cell r="C408">
            <v>195.37</v>
          </cell>
          <cell r="D408">
            <v>51.66</v>
          </cell>
          <cell r="E408">
            <v>500.1</v>
          </cell>
          <cell r="F408">
            <v>349</v>
          </cell>
          <cell r="G408">
            <v>2260.33</v>
          </cell>
          <cell r="H408">
            <v>3356.46</v>
          </cell>
          <cell r="I408">
            <v>15898.18</v>
          </cell>
          <cell r="J408">
            <v>93227</v>
          </cell>
          <cell r="K408" t="str">
            <v>MP</v>
          </cell>
        </row>
        <row r="409">
          <cell r="A409" t="str">
            <v>992657-SLR</v>
          </cell>
          <cell r="B409">
            <v>10293</v>
          </cell>
          <cell r="C409">
            <v>162.19999999999999</v>
          </cell>
          <cell r="D409">
            <v>1.56</v>
          </cell>
          <cell r="E409">
            <v>499.08</v>
          </cell>
          <cell r="F409">
            <v>143.03</v>
          </cell>
          <cell r="G409">
            <v>92.75</v>
          </cell>
          <cell r="H409">
            <v>898.61999999999989</v>
          </cell>
          <cell r="I409">
            <v>324.39999999999998</v>
          </cell>
          <cell r="J409">
            <v>91178</v>
          </cell>
          <cell r="K409" t="str">
            <v>MP</v>
          </cell>
        </row>
        <row r="410">
          <cell r="A410" t="str">
            <v>992658-SLR</v>
          </cell>
          <cell r="B410">
            <v>10275</v>
          </cell>
          <cell r="C410">
            <v>5995.89</v>
          </cell>
          <cell r="D410">
            <v>70.22</v>
          </cell>
          <cell r="E410">
            <v>499.77</v>
          </cell>
          <cell r="F410">
            <v>749.75</v>
          </cell>
          <cell r="G410">
            <v>4169.01</v>
          </cell>
          <cell r="H410">
            <v>11484.640000000001</v>
          </cell>
          <cell r="I410">
            <v>15876.03</v>
          </cell>
          <cell r="J410">
            <v>93011</v>
          </cell>
          <cell r="K410" t="str">
            <v>MP</v>
          </cell>
        </row>
        <row r="411">
          <cell r="A411" t="str">
            <v>992659-SLR</v>
          </cell>
          <cell r="B411">
            <v>10294</v>
          </cell>
          <cell r="C411">
            <v>99.82</v>
          </cell>
          <cell r="D411">
            <v>20.76</v>
          </cell>
          <cell r="E411">
            <v>499.08</v>
          </cell>
          <cell r="F411">
            <v>207.38</v>
          </cell>
          <cell r="G411">
            <v>468.71</v>
          </cell>
          <cell r="H411">
            <v>1295.75</v>
          </cell>
          <cell r="I411">
            <v>3227.38</v>
          </cell>
          <cell r="J411">
            <v>90097</v>
          </cell>
          <cell r="K411" t="str">
            <v>MP</v>
          </cell>
        </row>
        <row r="412">
          <cell r="A412" t="str">
            <v>992661-SLR</v>
          </cell>
          <cell r="B412">
            <v>10316</v>
          </cell>
          <cell r="C412">
            <v>193.59</v>
          </cell>
          <cell r="D412">
            <v>8.4</v>
          </cell>
          <cell r="E412">
            <v>505.02</v>
          </cell>
          <cell r="F412">
            <v>191.14</v>
          </cell>
          <cell r="G412">
            <v>498.96</v>
          </cell>
          <cell r="H412">
            <v>1397.11</v>
          </cell>
          <cell r="I412">
            <v>2424.1</v>
          </cell>
          <cell r="J412">
            <v>90856</v>
          </cell>
          <cell r="K412" t="str">
            <v>MP</v>
          </cell>
        </row>
        <row r="413">
          <cell r="A413" t="str">
            <v>992662-SLR</v>
          </cell>
          <cell r="B413">
            <v>10254</v>
          </cell>
          <cell r="C413">
            <v>239.35</v>
          </cell>
          <cell r="D413">
            <v>26.03</v>
          </cell>
          <cell r="E413">
            <v>497.1</v>
          </cell>
          <cell r="F413">
            <v>234.81</v>
          </cell>
          <cell r="G413">
            <v>867.75</v>
          </cell>
          <cell r="H413">
            <v>1865.04</v>
          </cell>
          <cell r="I413">
            <v>4301.74</v>
          </cell>
          <cell r="J413">
            <v>90342</v>
          </cell>
          <cell r="K413" t="str">
            <v>MP</v>
          </cell>
        </row>
        <row r="414">
          <cell r="A414" t="str">
            <v>992663-SLR</v>
          </cell>
          <cell r="B414">
            <v>10295</v>
          </cell>
          <cell r="C414">
            <v>191.48</v>
          </cell>
          <cell r="D414">
            <v>82.18</v>
          </cell>
          <cell r="E414">
            <v>499.08</v>
          </cell>
          <cell r="F414">
            <v>575.27</v>
          </cell>
          <cell r="G414">
            <v>2695.69</v>
          </cell>
          <cell r="H414">
            <v>4043.7</v>
          </cell>
          <cell r="I414">
            <v>13914.16</v>
          </cell>
          <cell r="J414">
            <v>90686</v>
          </cell>
          <cell r="K414" t="str">
            <v>MP</v>
          </cell>
        </row>
        <row r="415">
          <cell r="A415" t="str">
            <v>992664-SLR</v>
          </cell>
          <cell r="B415">
            <v>10296</v>
          </cell>
          <cell r="C415">
            <v>155.01</v>
          </cell>
          <cell r="D415">
            <v>1.05</v>
          </cell>
          <cell r="E415">
            <v>499.08</v>
          </cell>
          <cell r="F415">
            <v>135.83000000000001</v>
          </cell>
          <cell r="G415">
            <v>31.9</v>
          </cell>
          <cell r="H415">
            <v>822.87</v>
          </cell>
          <cell r="I415">
            <v>11.85</v>
          </cell>
          <cell r="J415">
            <v>93030</v>
          </cell>
          <cell r="K415" t="str">
            <v>MP</v>
          </cell>
        </row>
        <row r="416">
          <cell r="A416" t="str">
            <v>992665-SLR</v>
          </cell>
          <cell r="B416">
            <v>10297</v>
          </cell>
          <cell r="C416">
            <v>375.82</v>
          </cell>
          <cell r="D416">
            <v>72.28</v>
          </cell>
          <cell r="E416">
            <v>499.08</v>
          </cell>
          <cell r="F416">
            <v>517.52</v>
          </cell>
          <cell r="G416">
            <v>2440.4299999999998</v>
          </cell>
          <cell r="H416">
            <v>3905.13</v>
          </cell>
          <cell r="I416">
            <v>11173</v>
          </cell>
          <cell r="J416">
            <v>92335</v>
          </cell>
          <cell r="K416" t="str">
            <v>MP</v>
          </cell>
        </row>
        <row r="417">
          <cell r="A417" t="str">
            <v>992666-SLR</v>
          </cell>
          <cell r="B417">
            <v>10236</v>
          </cell>
          <cell r="C417">
            <v>240.72</v>
          </cell>
          <cell r="D417">
            <v>18.27</v>
          </cell>
          <cell r="E417">
            <v>500.1</v>
          </cell>
          <cell r="F417">
            <v>202.77</v>
          </cell>
          <cell r="G417">
            <v>597.20000000000005</v>
          </cell>
          <cell r="H417">
            <v>1559.06</v>
          </cell>
          <cell r="I417">
            <v>2884.18</v>
          </cell>
          <cell r="J417">
            <v>90342</v>
          </cell>
          <cell r="K417" t="str">
            <v>MP</v>
          </cell>
        </row>
        <row r="418">
          <cell r="A418" t="str">
            <v>992667-SLR</v>
          </cell>
          <cell r="B418">
            <v>10253</v>
          </cell>
          <cell r="C418">
            <v>471.86</v>
          </cell>
          <cell r="D418">
            <v>76.47</v>
          </cell>
          <cell r="E418">
            <v>497.1</v>
          </cell>
          <cell r="F418">
            <v>532.21</v>
          </cell>
          <cell r="G418">
            <v>2209.3000000000002</v>
          </cell>
          <cell r="H418">
            <v>3786.9400000000005</v>
          </cell>
          <cell r="I418">
            <v>11725.53</v>
          </cell>
          <cell r="J418">
            <v>92088</v>
          </cell>
          <cell r="K418" t="str">
            <v>MP</v>
          </cell>
        </row>
        <row r="419">
          <cell r="A419" t="str">
            <v>992668-SLR</v>
          </cell>
          <cell r="B419">
            <v>10237</v>
          </cell>
          <cell r="C419">
            <v>326.35000000000002</v>
          </cell>
          <cell r="D419">
            <v>82.47</v>
          </cell>
          <cell r="E419">
            <v>500.1</v>
          </cell>
          <cell r="F419">
            <v>554.36</v>
          </cell>
          <cell r="G419">
            <v>2519.0300000000002</v>
          </cell>
          <cell r="H419">
            <v>3982.3100000000004</v>
          </cell>
          <cell r="I419">
            <v>12849.24</v>
          </cell>
          <cell r="J419">
            <v>92090</v>
          </cell>
          <cell r="K419" t="str">
            <v>MP</v>
          </cell>
        </row>
        <row r="420">
          <cell r="A420" t="str">
            <v>992669-SLR</v>
          </cell>
          <cell r="B420">
            <v>10238</v>
          </cell>
          <cell r="C420">
            <v>446.67</v>
          </cell>
          <cell r="D420">
            <v>26.99</v>
          </cell>
          <cell r="E420">
            <v>500.1</v>
          </cell>
          <cell r="F420">
            <v>229.54</v>
          </cell>
          <cell r="G420">
            <v>823.24</v>
          </cell>
          <cell r="H420">
            <v>2026.54</v>
          </cell>
          <cell r="I420">
            <v>3859.17</v>
          </cell>
          <cell r="J420">
            <v>93006</v>
          </cell>
          <cell r="K420" t="str">
            <v>MP</v>
          </cell>
        </row>
        <row r="421">
          <cell r="A421" t="str">
            <v>992670-SLR</v>
          </cell>
          <cell r="B421">
            <v>10180</v>
          </cell>
          <cell r="C421">
            <v>2000.72</v>
          </cell>
          <cell r="D421">
            <v>15.49</v>
          </cell>
          <cell r="E421">
            <v>497.1</v>
          </cell>
          <cell r="F421">
            <v>188.08</v>
          </cell>
          <cell r="G421">
            <v>472.18</v>
          </cell>
          <cell r="H421">
            <v>3173.5699999999997</v>
          </cell>
          <cell r="I421">
            <v>474.03</v>
          </cell>
          <cell r="J421">
            <v>91416</v>
          </cell>
          <cell r="K421" t="str">
            <v>MP</v>
          </cell>
        </row>
        <row r="422">
          <cell r="A422" t="str">
            <v>992671-SLR</v>
          </cell>
          <cell r="B422">
            <v>10172</v>
          </cell>
          <cell r="C422">
            <v>180.54</v>
          </cell>
          <cell r="D422">
            <v>14.38</v>
          </cell>
          <cell r="E422">
            <v>495.3</v>
          </cell>
          <cell r="F422">
            <v>184.22</v>
          </cell>
          <cell r="G422">
            <v>278.25</v>
          </cell>
          <cell r="H422">
            <v>1152.69</v>
          </cell>
          <cell r="I422">
            <v>2123.85</v>
          </cell>
          <cell r="J422">
            <v>92001</v>
          </cell>
          <cell r="K422" t="str">
            <v>MP</v>
          </cell>
        </row>
        <row r="423">
          <cell r="A423" t="str">
            <v>992672-SLR</v>
          </cell>
          <cell r="B423">
            <v>10239</v>
          </cell>
          <cell r="C423">
            <v>6088.73</v>
          </cell>
          <cell r="D423">
            <v>30.24</v>
          </cell>
          <cell r="E423">
            <v>500.1</v>
          </cell>
          <cell r="F423">
            <v>424.84</v>
          </cell>
          <cell r="G423">
            <v>1783.83</v>
          </cell>
          <cell r="H423">
            <v>8827.74</v>
          </cell>
          <cell r="I423">
            <v>3269.64</v>
          </cell>
          <cell r="J423">
            <v>92003</v>
          </cell>
          <cell r="K423" t="str">
            <v>MP</v>
          </cell>
        </row>
        <row r="424">
          <cell r="A424" t="str">
            <v>992673-SLR</v>
          </cell>
          <cell r="B424">
            <v>10181</v>
          </cell>
          <cell r="C424">
            <v>412.56</v>
          </cell>
          <cell r="D424">
            <v>8.5</v>
          </cell>
          <cell r="E424">
            <v>497.1</v>
          </cell>
          <cell r="F424">
            <v>287.64</v>
          </cell>
          <cell r="G424">
            <v>259.68</v>
          </cell>
          <cell r="H424">
            <v>1465.4800000000002</v>
          </cell>
          <cell r="I424">
            <v>945.69</v>
          </cell>
          <cell r="J424">
            <v>93006</v>
          </cell>
          <cell r="K424" t="str">
            <v>MP</v>
          </cell>
        </row>
        <row r="425">
          <cell r="A425" t="str">
            <v>992674-SLR</v>
          </cell>
          <cell r="B425">
            <v>10182</v>
          </cell>
          <cell r="C425">
            <v>412.56</v>
          </cell>
          <cell r="D425">
            <v>8.42</v>
          </cell>
          <cell r="E425">
            <v>497.1</v>
          </cell>
          <cell r="F425">
            <v>162.5</v>
          </cell>
          <cell r="G425">
            <v>256.33999999999997</v>
          </cell>
          <cell r="H425">
            <v>1336.9199999999998</v>
          </cell>
          <cell r="I425">
            <v>932.39</v>
          </cell>
          <cell r="J425">
            <v>93053</v>
          </cell>
          <cell r="K425" t="str">
            <v>MP</v>
          </cell>
        </row>
        <row r="426">
          <cell r="A426" t="str">
            <v>992679-SLR</v>
          </cell>
          <cell r="B426">
            <v>10378</v>
          </cell>
          <cell r="C426">
            <v>315.02</v>
          </cell>
          <cell r="D426">
            <v>12.86</v>
          </cell>
          <cell r="E426">
            <v>499</v>
          </cell>
          <cell r="F426">
            <v>181.73</v>
          </cell>
          <cell r="G426">
            <v>435.68</v>
          </cell>
          <cell r="H426">
            <v>1444.29</v>
          </cell>
          <cell r="I426">
            <v>1746.78</v>
          </cell>
          <cell r="J426">
            <v>93230</v>
          </cell>
          <cell r="K426" t="str">
            <v>MP</v>
          </cell>
        </row>
        <row r="427">
          <cell r="A427" t="str">
            <v>992680-SLR</v>
          </cell>
          <cell r="B427">
            <v>10240</v>
          </cell>
          <cell r="C427">
            <v>193.46</v>
          </cell>
          <cell r="D427">
            <v>13.47</v>
          </cell>
          <cell r="E427">
            <v>500.1</v>
          </cell>
          <cell r="F427">
            <v>226.72</v>
          </cell>
          <cell r="G427">
            <v>589.08000000000004</v>
          </cell>
          <cell r="H427">
            <v>1522.83</v>
          </cell>
          <cell r="I427">
            <v>4000.8</v>
          </cell>
          <cell r="J427">
            <v>90379</v>
          </cell>
          <cell r="K427" t="str">
            <v>MP</v>
          </cell>
        </row>
        <row r="428">
          <cell r="A428" t="str">
            <v>992681-SLR</v>
          </cell>
          <cell r="B428">
            <v>10362</v>
          </cell>
          <cell r="C428">
            <v>373.67</v>
          </cell>
          <cell r="D428">
            <v>353.32</v>
          </cell>
          <cell r="E428">
            <v>509.55</v>
          </cell>
          <cell r="F428">
            <v>2756.72</v>
          </cell>
          <cell r="G428">
            <v>13716.57</v>
          </cell>
          <cell r="H428">
            <v>17709.829999999998</v>
          </cell>
          <cell r="I428">
            <v>110413.95</v>
          </cell>
          <cell r="J428">
            <v>90062</v>
          </cell>
          <cell r="K428" t="str">
            <v>MP</v>
          </cell>
        </row>
        <row r="429">
          <cell r="A429" t="str">
            <v>992683-SLR</v>
          </cell>
          <cell r="B429">
            <v>10318</v>
          </cell>
          <cell r="C429">
            <v>417.96</v>
          </cell>
          <cell r="D429">
            <v>2.64</v>
          </cell>
          <cell r="E429">
            <v>505.02</v>
          </cell>
          <cell r="F429">
            <v>150.97</v>
          </cell>
          <cell r="G429">
            <v>159.78</v>
          </cell>
          <cell r="H429">
            <v>1236.3699999999999</v>
          </cell>
          <cell r="I429">
            <v>420.36</v>
          </cell>
          <cell r="J429">
            <v>93030</v>
          </cell>
          <cell r="K429" t="str">
            <v>MP</v>
          </cell>
        </row>
        <row r="430">
          <cell r="A430" t="str">
            <v>992685-SLR</v>
          </cell>
          <cell r="B430">
            <v>10277</v>
          </cell>
          <cell r="C430">
            <v>174.92</v>
          </cell>
          <cell r="D430">
            <v>14.08</v>
          </cell>
          <cell r="E430">
            <v>499.77</v>
          </cell>
          <cell r="F430">
            <v>183.16</v>
          </cell>
          <cell r="G430">
            <v>317.99</v>
          </cell>
          <cell r="H430">
            <v>1189.92</v>
          </cell>
          <cell r="I430">
            <v>2082.38</v>
          </cell>
          <cell r="J430">
            <v>92066</v>
          </cell>
          <cell r="K430" t="str">
            <v>MP</v>
          </cell>
        </row>
        <row r="431">
          <cell r="A431" t="str">
            <v>992686-SLR</v>
          </cell>
          <cell r="B431">
            <v>10298</v>
          </cell>
          <cell r="C431">
            <v>174.68</v>
          </cell>
          <cell r="D431">
            <v>7.55</v>
          </cell>
          <cell r="E431">
            <v>499.08</v>
          </cell>
          <cell r="F431">
            <v>159.44999999999999</v>
          </cell>
          <cell r="G431">
            <v>170.5</v>
          </cell>
          <cell r="H431">
            <v>1011.26</v>
          </cell>
          <cell r="I431">
            <v>1035.5899999999999</v>
          </cell>
          <cell r="J431">
            <v>92166</v>
          </cell>
          <cell r="K431" t="str">
            <v>MP</v>
          </cell>
        </row>
        <row r="432">
          <cell r="A432" t="str">
            <v>992688-SLR</v>
          </cell>
          <cell r="B432">
            <v>10364</v>
          </cell>
          <cell r="C432">
            <v>581.74</v>
          </cell>
          <cell r="D432">
            <v>59.91</v>
          </cell>
          <cell r="E432">
            <v>509.55</v>
          </cell>
          <cell r="F432">
            <v>677.23</v>
          </cell>
          <cell r="G432">
            <v>1659.03</v>
          </cell>
          <cell r="H432">
            <v>3487.46</v>
          </cell>
          <cell r="I432">
            <v>18077.48</v>
          </cell>
          <cell r="J432">
            <v>90061</v>
          </cell>
          <cell r="K432" t="str">
            <v>MP</v>
          </cell>
        </row>
        <row r="433">
          <cell r="A433" t="str">
            <v>992689-SLR</v>
          </cell>
          <cell r="B433">
            <v>10299</v>
          </cell>
          <cell r="C433">
            <v>404.99</v>
          </cell>
          <cell r="D433">
            <v>36.58</v>
          </cell>
          <cell r="E433">
            <v>499.08</v>
          </cell>
          <cell r="F433">
            <v>513.33000000000004</v>
          </cell>
          <cell r="G433">
            <v>2401.27</v>
          </cell>
          <cell r="H433">
            <v>3855.25</v>
          </cell>
          <cell r="I433">
            <v>10993.07</v>
          </cell>
          <cell r="J433">
            <v>90506</v>
          </cell>
          <cell r="K433" t="str">
            <v>MP</v>
          </cell>
        </row>
        <row r="434">
          <cell r="A434" t="str">
            <v>992692-SLR</v>
          </cell>
          <cell r="B434">
            <v>10326</v>
          </cell>
          <cell r="C434">
            <v>155.69</v>
          </cell>
          <cell r="D434">
            <v>1.1299999999999999</v>
          </cell>
          <cell r="E434">
            <v>505.02</v>
          </cell>
          <cell r="F434">
            <v>136.11000000000001</v>
          </cell>
          <cell r="G434">
            <v>34.32</v>
          </cell>
          <cell r="H434">
            <v>832.27</v>
          </cell>
          <cell r="I434">
            <v>23.81</v>
          </cell>
          <cell r="J434">
            <v>93030</v>
          </cell>
          <cell r="K434" t="str">
            <v>MP</v>
          </cell>
        </row>
        <row r="435">
          <cell r="A435" t="str">
            <v>992695-SLR</v>
          </cell>
          <cell r="B435">
            <v>10319</v>
          </cell>
          <cell r="C435">
            <v>210.43</v>
          </cell>
          <cell r="D435">
            <v>51.63</v>
          </cell>
          <cell r="E435">
            <v>505.02</v>
          </cell>
          <cell r="F435">
            <v>443.39</v>
          </cell>
          <cell r="G435">
            <v>1582.01</v>
          </cell>
          <cell r="H435">
            <v>2792.4799999999996</v>
          </cell>
          <cell r="I435">
            <v>8064.33</v>
          </cell>
          <cell r="J435">
            <v>90392</v>
          </cell>
          <cell r="K435" t="str">
            <v>MP</v>
          </cell>
        </row>
        <row r="436">
          <cell r="A436" t="str">
            <v>992696-SLR</v>
          </cell>
          <cell r="B436">
            <v>10379</v>
          </cell>
          <cell r="C436">
            <v>135.69999999999999</v>
          </cell>
          <cell r="D436">
            <v>23.22</v>
          </cell>
          <cell r="E436">
            <v>508.89</v>
          </cell>
          <cell r="F436">
            <v>216.35</v>
          </cell>
          <cell r="G436">
            <v>524.52</v>
          </cell>
          <cell r="H436">
            <v>1408.6799999999998</v>
          </cell>
          <cell r="I436">
            <v>3587.67</v>
          </cell>
          <cell r="J436">
            <v>93098</v>
          </cell>
          <cell r="K436" t="str">
            <v>MP</v>
          </cell>
        </row>
        <row r="437">
          <cell r="A437" t="str">
            <v>992698-SLR</v>
          </cell>
          <cell r="B437">
            <v>10349</v>
          </cell>
          <cell r="C437">
            <v>135.69999999999999</v>
          </cell>
          <cell r="D437">
            <v>9.48</v>
          </cell>
          <cell r="E437">
            <v>508.89</v>
          </cell>
          <cell r="F437">
            <v>166.46</v>
          </cell>
          <cell r="G437">
            <v>214.11</v>
          </cell>
          <cell r="H437">
            <v>1034.6399999999999</v>
          </cell>
          <cell r="I437">
            <v>1384.18</v>
          </cell>
          <cell r="J437">
            <v>90971</v>
          </cell>
          <cell r="K437" t="str">
            <v>MP</v>
          </cell>
        </row>
        <row r="438">
          <cell r="A438" t="str">
            <v>992700-SLR</v>
          </cell>
          <cell r="B438">
            <v>10250</v>
          </cell>
          <cell r="C438">
            <v>183.37</v>
          </cell>
          <cell r="D438">
            <v>2.27</v>
          </cell>
          <cell r="E438">
            <v>500.1</v>
          </cell>
          <cell r="F438">
            <v>148.04</v>
          </cell>
          <cell r="G438">
            <v>135.04</v>
          </cell>
          <cell r="H438">
            <v>968.81999999999994</v>
          </cell>
          <cell r="I438">
            <v>525.11</v>
          </cell>
          <cell r="J438">
            <v>91591</v>
          </cell>
          <cell r="K438" t="str">
            <v>MP</v>
          </cell>
        </row>
        <row r="439">
          <cell r="A439" t="str">
            <v>992701-SLR</v>
          </cell>
          <cell r="B439">
            <v>10241</v>
          </cell>
          <cell r="C439">
            <v>133.36000000000001</v>
          </cell>
          <cell r="D439">
            <v>10.6</v>
          </cell>
          <cell r="E439">
            <v>500.1</v>
          </cell>
          <cell r="F439">
            <v>173.73</v>
          </cell>
          <cell r="G439">
            <v>259.37</v>
          </cell>
          <cell r="H439">
            <v>1077.1600000000001</v>
          </cell>
          <cell r="I439">
            <v>1708.68</v>
          </cell>
          <cell r="J439">
            <v>90242</v>
          </cell>
          <cell r="K439" t="str">
            <v>MP</v>
          </cell>
        </row>
        <row r="440">
          <cell r="A440" t="str">
            <v>992703-SLR</v>
          </cell>
          <cell r="B440">
            <v>10252</v>
          </cell>
          <cell r="C440">
            <v>223.41</v>
          </cell>
          <cell r="D440">
            <v>41.29</v>
          </cell>
          <cell r="E440">
            <v>497.1</v>
          </cell>
          <cell r="F440">
            <v>282.99</v>
          </cell>
          <cell r="G440">
            <v>1178.1400000000001</v>
          </cell>
          <cell r="H440">
            <v>2222.9300000000003</v>
          </cell>
          <cell r="I440">
            <v>5936.04</v>
          </cell>
          <cell r="J440">
            <v>90558</v>
          </cell>
          <cell r="K440" t="str">
            <v>MP</v>
          </cell>
        </row>
        <row r="441">
          <cell r="A441" t="str">
            <v>992704-SLR</v>
          </cell>
          <cell r="B441">
            <v>10300</v>
          </cell>
          <cell r="C441">
            <v>138.41</v>
          </cell>
          <cell r="D441">
            <v>3.59</v>
          </cell>
          <cell r="E441">
            <v>499.08</v>
          </cell>
          <cell r="F441">
            <v>145.03</v>
          </cell>
          <cell r="G441">
            <v>109.62</v>
          </cell>
          <cell r="H441">
            <v>895.7299999999999</v>
          </cell>
          <cell r="I441">
            <v>434.93</v>
          </cell>
          <cell r="J441">
            <v>91869</v>
          </cell>
          <cell r="K441" t="str">
            <v>MP</v>
          </cell>
        </row>
        <row r="442">
          <cell r="A442" t="str">
            <v>992705-SLR</v>
          </cell>
          <cell r="B442">
            <v>10301</v>
          </cell>
          <cell r="C442">
            <v>118.75</v>
          </cell>
          <cell r="D442">
            <v>2.1</v>
          </cell>
          <cell r="E442">
            <v>499.08</v>
          </cell>
          <cell r="F442">
            <v>139.63999999999999</v>
          </cell>
          <cell r="G442">
            <v>64.11</v>
          </cell>
          <cell r="H442">
            <v>823.68</v>
          </cell>
          <cell r="I442">
            <v>216.55</v>
          </cell>
          <cell r="J442">
            <v>91869</v>
          </cell>
          <cell r="K442" t="str">
            <v>MP</v>
          </cell>
        </row>
        <row r="443">
          <cell r="A443" t="str">
            <v>992707-SLR</v>
          </cell>
          <cell r="B443">
            <v>10242</v>
          </cell>
          <cell r="C443">
            <v>73.430000000000007</v>
          </cell>
          <cell r="D443">
            <v>0.5</v>
          </cell>
          <cell r="E443">
            <v>500.1</v>
          </cell>
          <cell r="F443">
            <v>137.15</v>
          </cell>
          <cell r="G443">
            <v>43.1</v>
          </cell>
          <cell r="H443">
            <v>754.28</v>
          </cell>
          <cell r="I443">
            <v>152.94999999999999</v>
          </cell>
          <cell r="J443">
            <v>92003</v>
          </cell>
          <cell r="K443" t="str">
            <v>MP</v>
          </cell>
        </row>
        <row r="444">
          <cell r="A444" t="str">
            <v>992708-SLR</v>
          </cell>
          <cell r="B444">
            <v>10278</v>
          </cell>
          <cell r="C444">
            <v>241.12</v>
          </cell>
          <cell r="D444">
            <v>17.91</v>
          </cell>
          <cell r="E444">
            <v>499.77</v>
          </cell>
          <cell r="F444">
            <v>201.64</v>
          </cell>
          <cell r="G444">
            <v>584.41999999999996</v>
          </cell>
          <cell r="H444">
            <v>1544.86</v>
          </cell>
          <cell r="I444">
            <v>2833.46</v>
          </cell>
          <cell r="J444">
            <v>90342</v>
          </cell>
          <cell r="K444" t="str">
            <v>MP</v>
          </cell>
        </row>
        <row r="445">
          <cell r="A445" t="str">
            <v>992711-SLR</v>
          </cell>
          <cell r="B445">
            <v>10243</v>
          </cell>
          <cell r="C445">
            <v>133.36000000000001</v>
          </cell>
          <cell r="D445">
            <v>29.66</v>
          </cell>
          <cell r="E445">
            <v>500.1</v>
          </cell>
          <cell r="F445">
            <v>307.49</v>
          </cell>
          <cell r="G445">
            <v>1697.68</v>
          </cell>
          <cell r="H445">
            <v>2668.29</v>
          </cell>
          <cell r="I445">
            <v>9268.52</v>
          </cell>
          <cell r="J445">
            <v>92015</v>
          </cell>
          <cell r="K445" t="str">
            <v>MP</v>
          </cell>
        </row>
        <row r="446">
          <cell r="A446" t="str">
            <v>992712-SLR</v>
          </cell>
          <cell r="B446">
            <v>10244</v>
          </cell>
          <cell r="C446">
            <v>191.71</v>
          </cell>
          <cell r="D446">
            <v>3.95</v>
          </cell>
          <cell r="E446">
            <v>500.1</v>
          </cell>
          <cell r="F446">
            <v>159.85</v>
          </cell>
          <cell r="G446">
            <v>160.6</v>
          </cell>
          <cell r="H446">
            <v>1016.21</v>
          </cell>
          <cell r="I446">
            <v>1039.71</v>
          </cell>
          <cell r="J446">
            <v>90013</v>
          </cell>
          <cell r="K446" t="str">
            <v>MP</v>
          </cell>
        </row>
        <row r="447">
          <cell r="A447" t="str">
            <v>992715-SLR</v>
          </cell>
          <cell r="B447">
            <v>10350</v>
          </cell>
          <cell r="C447">
            <v>182.86</v>
          </cell>
          <cell r="D447">
            <v>65.819999999999993</v>
          </cell>
          <cell r="E447">
            <v>508.89</v>
          </cell>
          <cell r="F447">
            <v>498.92</v>
          </cell>
          <cell r="G447">
            <v>1486.33</v>
          </cell>
          <cell r="H447">
            <v>2742.8199999999997</v>
          </cell>
          <cell r="I447">
            <v>10367.99</v>
          </cell>
          <cell r="J447">
            <v>90097</v>
          </cell>
          <cell r="K447" t="str">
            <v>MP</v>
          </cell>
        </row>
        <row r="448">
          <cell r="A448" t="str">
            <v>992717-SLR</v>
          </cell>
          <cell r="B448">
            <v>10410</v>
          </cell>
          <cell r="C448">
            <v>2401.5100000000002</v>
          </cell>
          <cell r="D448">
            <v>28271.9</v>
          </cell>
          <cell r="E448">
            <v>515.58000000000004</v>
          </cell>
          <cell r="F448">
            <v>12225.18</v>
          </cell>
          <cell r="G448">
            <v>49406.81</v>
          </cell>
          <cell r="H448">
            <v>92820.98000000001</v>
          </cell>
          <cell r="I448">
            <v>526271.85</v>
          </cell>
          <cell r="J448">
            <v>93020</v>
          </cell>
          <cell r="K448" t="str">
            <v>MP</v>
          </cell>
        </row>
        <row r="449">
          <cell r="A449" t="str">
            <v>992718-SLR</v>
          </cell>
          <cell r="B449">
            <v>10401</v>
          </cell>
          <cell r="C449">
            <v>263.27999999999997</v>
          </cell>
          <cell r="D449">
            <v>4.4400000000000004</v>
          </cell>
          <cell r="E449">
            <v>524.4</v>
          </cell>
          <cell r="F449">
            <v>148.09</v>
          </cell>
          <cell r="G449">
            <v>135.47999999999999</v>
          </cell>
          <cell r="H449">
            <v>1075.6899999999998</v>
          </cell>
          <cell r="I449">
            <v>445.33</v>
          </cell>
          <cell r="J449">
            <v>91868</v>
          </cell>
          <cell r="K449" t="str">
            <v>MP</v>
          </cell>
        </row>
        <row r="450">
          <cell r="A450" t="str">
            <v>992719-SLR</v>
          </cell>
          <cell r="B450">
            <v>10388</v>
          </cell>
          <cell r="C450">
            <v>6084.49</v>
          </cell>
          <cell r="D450">
            <v>80.78</v>
          </cell>
          <cell r="E450">
            <v>524.4</v>
          </cell>
          <cell r="F450">
            <v>547.94000000000005</v>
          </cell>
          <cell r="G450">
            <v>2464.83</v>
          </cell>
          <cell r="H450">
            <v>9702.4399999999987</v>
          </cell>
          <cell r="I450">
            <v>6807.53</v>
          </cell>
          <cell r="J450">
            <v>92336</v>
          </cell>
          <cell r="K450" t="str">
            <v>MP</v>
          </cell>
        </row>
        <row r="451">
          <cell r="A451" t="str">
            <v>992720-SLR</v>
          </cell>
          <cell r="B451">
            <v>10279</v>
          </cell>
          <cell r="C451">
            <v>245.89</v>
          </cell>
          <cell r="D451">
            <v>6.56</v>
          </cell>
          <cell r="E451">
            <v>499.77</v>
          </cell>
          <cell r="F451">
            <v>178.21</v>
          </cell>
          <cell r="G451">
            <v>389.81</v>
          </cell>
          <cell r="H451">
            <v>1320.24</v>
          </cell>
          <cell r="I451">
            <v>1799.17</v>
          </cell>
          <cell r="J451">
            <v>91591</v>
          </cell>
          <cell r="K451" t="str">
            <v>MP</v>
          </cell>
        </row>
        <row r="452">
          <cell r="A452" t="str">
            <v>992722-SLR</v>
          </cell>
          <cell r="B452">
            <v>10307</v>
          </cell>
          <cell r="C452">
            <v>256.43</v>
          </cell>
          <cell r="D452">
            <v>0.15</v>
          </cell>
          <cell r="E452">
            <v>505.02</v>
          </cell>
          <cell r="F452">
            <v>138.36000000000001</v>
          </cell>
          <cell r="G452">
            <v>53.27</v>
          </cell>
          <cell r="H452">
            <v>953.2299999999999</v>
          </cell>
          <cell r="I452">
            <v>23.81</v>
          </cell>
          <cell r="J452">
            <v>93030</v>
          </cell>
          <cell r="K452" t="str">
            <v>MP</v>
          </cell>
        </row>
        <row r="453">
          <cell r="A453" t="str">
            <v>992724-SLR</v>
          </cell>
          <cell r="B453">
            <v>10314</v>
          </cell>
          <cell r="C453">
            <v>134.66999999999999</v>
          </cell>
          <cell r="D453">
            <v>10.029999999999999</v>
          </cell>
          <cell r="E453">
            <v>505.02</v>
          </cell>
          <cell r="F453">
            <v>168.45</v>
          </cell>
          <cell r="G453">
            <v>307.36</v>
          </cell>
          <cell r="H453">
            <v>1125.5300000000002</v>
          </cell>
          <cell r="I453">
            <v>1472.98</v>
          </cell>
          <cell r="J453">
            <v>92259</v>
          </cell>
          <cell r="K453" t="str">
            <v>MP</v>
          </cell>
        </row>
        <row r="454">
          <cell r="A454" t="str">
            <v>992725-SLR</v>
          </cell>
          <cell r="B454">
            <v>10327</v>
          </cell>
          <cell r="C454">
            <v>478.91</v>
          </cell>
          <cell r="D454">
            <v>123.71</v>
          </cell>
          <cell r="E454">
            <v>508.89</v>
          </cell>
          <cell r="F454">
            <v>622.9</v>
          </cell>
          <cell r="G454">
            <v>3187.62</v>
          </cell>
          <cell r="H454">
            <v>4922.03</v>
          </cell>
          <cell r="I454">
            <v>15701.97</v>
          </cell>
          <cell r="J454">
            <v>93018</v>
          </cell>
          <cell r="K454" t="str">
            <v>MP</v>
          </cell>
        </row>
        <row r="455">
          <cell r="A455" t="str">
            <v>992727-SLR</v>
          </cell>
          <cell r="B455">
            <v>10402</v>
          </cell>
          <cell r="C455">
            <v>253.12</v>
          </cell>
          <cell r="D455">
            <v>23.91</v>
          </cell>
          <cell r="E455">
            <v>524.4</v>
          </cell>
          <cell r="F455">
            <v>220.17</v>
          </cell>
          <cell r="G455">
            <v>744.11</v>
          </cell>
          <cell r="H455">
            <v>1765.71</v>
          </cell>
          <cell r="I455">
            <v>3639.36</v>
          </cell>
          <cell r="J455">
            <v>90342</v>
          </cell>
          <cell r="K455" t="str">
            <v>MP</v>
          </cell>
        </row>
        <row r="456">
          <cell r="A456" t="str">
            <v>992728-SLR</v>
          </cell>
          <cell r="B456">
            <v>10351</v>
          </cell>
          <cell r="C456">
            <v>168.7</v>
          </cell>
          <cell r="D456">
            <v>4.75</v>
          </cell>
          <cell r="E456">
            <v>508.89</v>
          </cell>
          <cell r="F456">
            <v>48.62</v>
          </cell>
          <cell r="G456">
            <v>92.06</v>
          </cell>
          <cell r="H456">
            <v>823.02</v>
          </cell>
          <cell r="I456">
            <v>593.71</v>
          </cell>
          <cell r="J456">
            <v>93140</v>
          </cell>
          <cell r="K456" t="str">
            <v>MP</v>
          </cell>
        </row>
        <row r="457">
          <cell r="A457" t="str">
            <v>992729-SLR</v>
          </cell>
          <cell r="B457">
            <v>10302</v>
          </cell>
          <cell r="C457">
            <v>146.81</v>
          </cell>
          <cell r="D457">
            <v>7.07</v>
          </cell>
          <cell r="E457">
            <v>499.08</v>
          </cell>
          <cell r="F457">
            <v>161.16999999999999</v>
          </cell>
          <cell r="G457">
            <v>245.89</v>
          </cell>
          <cell r="H457">
            <v>1060.02</v>
          </cell>
          <cell r="I457">
            <v>1140.3</v>
          </cell>
          <cell r="J457">
            <v>92285</v>
          </cell>
          <cell r="K457" t="str">
            <v>MP</v>
          </cell>
        </row>
        <row r="458">
          <cell r="A458" t="str">
            <v>992731-SLR</v>
          </cell>
          <cell r="B458">
            <v>10303</v>
          </cell>
          <cell r="C458">
            <v>294.56</v>
          </cell>
          <cell r="D458">
            <v>13.82</v>
          </cell>
          <cell r="E458">
            <v>499.08</v>
          </cell>
          <cell r="F458">
            <v>182.17</v>
          </cell>
          <cell r="G458">
            <v>311.88</v>
          </cell>
          <cell r="H458">
            <v>1301.51</v>
          </cell>
          <cell r="I458">
            <v>1919.35</v>
          </cell>
          <cell r="J458">
            <v>90982</v>
          </cell>
          <cell r="K458" t="str">
            <v>MP</v>
          </cell>
        </row>
        <row r="459">
          <cell r="A459" t="str">
            <v>992734-SLR</v>
          </cell>
          <cell r="B459">
            <v>10403</v>
          </cell>
          <cell r="C459">
            <v>191.76</v>
          </cell>
          <cell r="D459">
            <v>5.21</v>
          </cell>
          <cell r="E459">
            <v>524.4</v>
          </cell>
          <cell r="F459">
            <v>168.73</v>
          </cell>
          <cell r="G459">
            <v>309.76</v>
          </cell>
          <cell r="H459">
            <v>1199.8600000000001</v>
          </cell>
          <cell r="I459">
            <v>1433.36</v>
          </cell>
          <cell r="J459">
            <v>90402</v>
          </cell>
          <cell r="K459" t="str">
            <v>MP</v>
          </cell>
        </row>
        <row r="460">
          <cell r="A460" t="str">
            <v>992735-SLR</v>
          </cell>
          <cell r="B460">
            <v>10375</v>
          </cell>
          <cell r="C460">
            <v>292.79000000000002</v>
          </cell>
          <cell r="D460">
            <v>64.290000000000006</v>
          </cell>
          <cell r="E460">
            <v>524.4</v>
          </cell>
          <cell r="F460">
            <v>708.12</v>
          </cell>
          <cell r="G460">
            <v>3817.48</v>
          </cell>
          <cell r="H460">
            <v>5407.08</v>
          </cell>
          <cell r="I460">
            <v>19734.919999999998</v>
          </cell>
          <cell r="J460">
            <v>90953</v>
          </cell>
          <cell r="K460" t="str">
            <v>MP</v>
          </cell>
        </row>
        <row r="461">
          <cell r="A461" t="str">
            <v>992736-SLR</v>
          </cell>
          <cell r="B461">
            <v>10393</v>
          </cell>
          <cell r="C461">
            <v>499.68</v>
          </cell>
          <cell r="D461">
            <v>15.16</v>
          </cell>
          <cell r="E461">
            <v>524.4</v>
          </cell>
          <cell r="F461">
            <v>186.9</v>
          </cell>
          <cell r="G461">
            <v>414.4</v>
          </cell>
          <cell r="H461">
            <v>1640.54</v>
          </cell>
          <cell r="I461">
            <v>1922.8</v>
          </cell>
          <cell r="J461">
            <v>92309</v>
          </cell>
          <cell r="K461" t="str">
            <v>MP</v>
          </cell>
        </row>
        <row r="462">
          <cell r="A462" t="str">
            <v>992738-SLR</v>
          </cell>
          <cell r="B462">
            <v>10372</v>
          </cell>
          <cell r="C462">
            <v>445.79</v>
          </cell>
          <cell r="D462">
            <v>54.11</v>
          </cell>
          <cell r="E462">
            <v>509.55</v>
          </cell>
          <cell r="F462">
            <v>453.98</v>
          </cell>
          <cell r="G462">
            <v>1847.39</v>
          </cell>
          <cell r="H462">
            <v>3310.82</v>
          </cell>
          <cell r="I462">
            <v>8297.2199999999993</v>
          </cell>
          <cell r="J462">
            <v>92088</v>
          </cell>
          <cell r="K462" t="str">
            <v>MP</v>
          </cell>
        </row>
        <row r="463">
          <cell r="A463" t="str">
            <v>992740-SLR</v>
          </cell>
          <cell r="B463">
            <v>10389</v>
          </cell>
          <cell r="C463">
            <v>285.13</v>
          </cell>
          <cell r="D463">
            <v>8.6</v>
          </cell>
          <cell r="E463">
            <v>524.4</v>
          </cell>
          <cell r="F463">
            <v>163.13</v>
          </cell>
          <cell r="G463">
            <v>262.44</v>
          </cell>
          <cell r="H463">
            <v>1243.7</v>
          </cell>
          <cell r="I463">
            <v>1087.52</v>
          </cell>
          <cell r="J463">
            <v>91975</v>
          </cell>
          <cell r="K463" t="str">
            <v>MP</v>
          </cell>
        </row>
        <row r="464">
          <cell r="A464" t="str">
            <v>992742-SLR</v>
          </cell>
          <cell r="B464">
            <v>10286</v>
          </cell>
          <cell r="C464">
            <v>487.97</v>
          </cell>
          <cell r="D464">
            <v>42.77</v>
          </cell>
          <cell r="E464">
            <v>499.08</v>
          </cell>
          <cell r="F464">
            <v>564.75</v>
          </cell>
          <cell r="G464">
            <v>1783.66</v>
          </cell>
          <cell r="H464">
            <v>3378.23</v>
          </cell>
          <cell r="I464">
            <v>13189.24</v>
          </cell>
          <cell r="J464">
            <v>92076</v>
          </cell>
          <cell r="K464" t="str">
            <v>MP</v>
          </cell>
        </row>
        <row r="465">
          <cell r="A465" t="str">
            <v>992743-SLR</v>
          </cell>
          <cell r="B465">
            <v>10352</v>
          </cell>
          <cell r="C465">
            <v>480.9</v>
          </cell>
          <cell r="D465">
            <v>13.52</v>
          </cell>
          <cell r="E465">
            <v>508.89</v>
          </cell>
          <cell r="F465">
            <v>181.1</v>
          </cell>
          <cell r="G465">
            <v>261.58</v>
          </cell>
          <cell r="H465">
            <v>1445.9899999999998</v>
          </cell>
          <cell r="I465">
            <v>1685.44</v>
          </cell>
          <cell r="J465">
            <v>92280</v>
          </cell>
          <cell r="K465" t="str">
            <v>MP</v>
          </cell>
        </row>
        <row r="466">
          <cell r="A466" t="str">
            <v>992744-SLR</v>
          </cell>
          <cell r="B466">
            <v>10353</v>
          </cell>
          <cell r="C466">
            <v>372.23</v>
          </cell>
          <cell r="D466">
            <v>22.78</v>
          </cell>
          <cell r="E466">
            <v>508.89</v>
          </cell>
          <cell r="F466">
            <v>214.84</v>
          </cell>
          <cell r="G466">
            <v>699.09</v>
          </cell>
          <cell r="H466">
            <v>1817.83</v>
          </cell>
          <cell r="I466">
            <v>3284.4</v>
          </cell>
          <cell r="J466">
            <v>91177</v>
          </cell>
          <cell r="K466" t="str">
            <v>MP</v>
          </cell>
        </row>
        <row r="467">
          <cell r="A467" t="str">
            <v>992745-SLR</v>
          </cell>
          <cell r="B467">
            <v>10390</v>
          </cell>
          <cell r="C467">
            <v>148.58000000000001</v>
          </cell>
          <cell r="D467">
            <v>14.02</v>
          </cell>
          <cell r="E467">
            <v>524.4</v>
          </cell>
          <cell r="F467">
            <v>182.9</v>
          </cell>
          <cell r="G467">
            <v>316.43</v>
          </cell>
          <cell r="H467">
            <v>1186.33</v>
          </cell>
          <cell r="I467">
            <v>2097.6</v>
          </cell>
          <cell r="J467">
            <v>90097</v>
          </cell>
          <cell r="K467" t="str">
            <v>MP</v>
          </cell>
        </row>
        <row r="468">
          <cell r="A468" t="str">
            <v>992747-SLR</v>
          </cell>
          <cell r="B468">
            <v>10404</v>
          </cell>
          <cell r="C468">
            <v>148.58000000000001</v>
          </cell>
          <cell r="D468">
            <v>68.540000000000006</v>
          </cell>
          <cell r="E468">
            <v>524.4</v>
          </cell>
          <cell r="F468">
            <v>498.98</v>
          </cell>
          <cell r="G468">
            <v>1547.66</v>
          </cell>
          <cell r="H468">
            <v>2788.16</v>
          </cell>
          <cell r="I468">
            <v>10837.6</v>
          </cell>
          <cell r="J468">
            <v>90097</v>
          </cell>
          <cell r="K468" t="str">
            <v>MP</v>
          </cell>
        </row>
        <row r="469">
          <cell r="A469" t="str">
            <v>992749-SLR</v>
          </cell>
          <cell r="B469">
            <v>10366</v>
          </cell>
          <cell r="C469">
            <v>212.31</v>
          </cell>
          <cell r="D469">
            <v>41.68</v>
          </cell>
          <cell r="E469">
            <v>509.55</v>
          </cell>
          <cell r="F469">
            <v>436.45</v>
          </cell>
          <cell r="G469">
            <v>1203.71</v>
          </cell>
          <cell r="H469">
            <v>2403.6999999999998</v>
          </cell>
          <cell r="I469">
            <v>7763.84</v>
          </cell>
          <cell r="J469">
            <v>92172</v>
          </cell>
          <cell r="K469" t="str">
            <v>MP</v>
          </cell>
        </row>
        <row r="470">
          <cell r="A470" t="str">
            <v>992751-SLR</v>
          </cell>
          <cell r="B470">
            <v>10405</v>
          </cell>
          <cell r="C470">
            <v>192.28</v>
          </cell>
          <cell r="D470">
            <v>8.48</v>
          </cell>
          <cell r="E470">
            <v>524.4</v>
          </cell>
          <cell r="F470">
            <v>191.63</v>
          </cell>
          <cell r="G470">
            <v>503.11</v>
          </cell>
          <cell r="H470">
            <v>1419.9</v>
          </cell>
          <cell r="I470">
            <v>2447.1999999999998</v>
          </cell>
          <cell r="J470">
            <v>91978</v>
          </cell>
          <cell r="K470" t="str">
            <v>MP</v>
          </cell>
        </row>
        <row r="471">
          <cell r="A471" t="str">
            <v>992753-SLR</v>
          </cell>
          <cell r="B471">
            <v>10354</v>
          </cell>
          <cell r="C471">
            <v>4720.21</v>
          </cell>
          <cell r="D471">
            <v>60.34</v>
          </cell>
          <cell r="E471">
            <v>508.89</v>
          </cell>
          <cell r="F471">
            <v>475</v>
          </cell>
          <cell r="G471">
            <v>1167.75</v>
          </cell>
          <cell r="H471">
            <v>6932.1900000000005</v>
          </cell>
          <cell r="I471">
            <v>4950.6899999999996</v>
          </cell>
          <cell r="J471">
            <v>92253</v>
          </cell>
          <cell r="K471" t="str">
            <v>MP</v>
          </cell>
        </row>
        <row r="472">
          <cell r="A472" t="str">
            <v>992755-SLR</v>
          </cell>
          <cell r="B472">
            <v>10406</v>
          </cell>
          <cell r="C472">
            <v>243.67</v>
          </cell>
          <cell r="D472">
            <v>8.7899999999999991</v>
          </cell>
          <cell r="E472">
            <v>524.4</v>
          </cell>
          <cell r="F472">
            <v>193.81</v>
          </cell>
          <cell r="G472">
            <v>521.57000000000005</v>
          </cell>
          <cell r="H472">
            <v>1492.2399999999998</v>
          </cell>
          <cell r="I472">
            <v>2492.65</v>
          </cell>
          <cell r="J472">
            <v>90402</v>
          </cell>
          <cell r="K472" t="str">
            <v>MP</v>
          </cell>
        </row>
        <row r="473">
          <cell r="A473" t="str">
            <v>992757-SLR</v>
          </cell>
          <cell r="B473">
            <v>10369</v>
          </cell>
          <cell r="C473">
            <v>135.88</v>
          </cell>
          <cell r="D473">
            <v>12.06</v>
          </cell>
          <cell r="E473">
            <v>509.55</v>
          </cell>
          <cell r="F473">
            <v>175.83</v>
          </cell>
          <cell r="G473">
            <v>272.06</v>
          </cell>
          <cell r="H473">
            <v>1105.3800000000001</v>
          </cell>
          <cell r="I473">
            <v>1797.86</v>
          </cell>
          <cell r="J473">
            <v>90349</v>
          </cell>
          <cell r="K473" t="str">
            <v>MP</v>
          </cell>
        </row>
        <row r="474">
          <cell r="A474" t="str">
            <v>992758-SLR</v>
          </cell>
          <cell r="B474">
            <v>10394</v>
          </cell>
          <cell r="C474">
            <v>521.4</v>
          </cell>
          <cell r="D474">
            <v>18.579999999999998</v>
          </cell>
          <cell r="E474">
            <v>524.4</v>
          </cell>
          <cell r="F474">
            <v>199.26</v>
          </cell>
          <cell r="G474">
            <v>551.41</v>
          </cell>
          <cell r="H474">
            <v>1815.0500000000002</v>
          </cell>
          <cell r="I474">
            <v>2447.1999999999998</v>
          </cell>
          <cell r="J474">
            <v>93024</v>
          </cell>
          <cell r="K474" t="str">
            <v>MP</v>
          </cell>
        </row>
        <row r="475">
          <cell r="A475" t="str">
            <v>992763-SLR</v>
          </cell>
          <cell r="B475">
            <v>10407</v>
          </cell>
          <cell r="C475">
            <v>5785.13</v>
          </cell>
          <cell r="D475">
            <v>143.49</v>
          </cell>
          <cell r="E475">
            <v>524.4</v>
          </cell>
          <cell r="F475">
            <v>775.39</v>
          </cell>
          <cell r="G475">
            <v>4154.75</v>
          </cell>
          <cell r="H475">
            <v>11383.16</v>
          </cell>
          <cell r="I475">
            <v>17153.34</v>
          </cell>
          <cell r="J475">
            <v>92093</v>
          </cell>
          <cell r="K475" t="str">
            <v>MP</v>
          </cell>
        </row>
        <row r="476">
          <cell r="A476" t="str">
            <v>992771-SLR</v>
          </cell>
          <cell r="B476">
            <v>10304</v>
          </cell>
          <cell r="C476">
            <v>158.04</v>
          </cell>
          <cell r="D476">
            <v>13.77</v>
          </cell>
          <cell r="E476">
            <v>499.08</v>
          </cell>
          <cell r="F476">
            <v>228.85</v>
          </cell>
          <cell r="G476">
            <v>129.07</v>
          </cell>
          <cell r="H476">
            <v>1028.81</v>
          </cell>
          <cell r="I476">
            <v>4130.59</v>
          </cell>
          <cell r="J476">
            <v>90061</v>
          </cell>
          <cell r="K476" t="str">
            <v>MP</v>
          </cell>
        </row>
        <row r="477">
          <cell r="A477" t="str">
            <v>992773-SLR</v>
          </cell>
          <cell r="B477">
            <v>10384</v>
          </cell>
          <cell r="C477">
            <v>241.51</v>
          </cell>
          <cell r="D477">
            <v>5.22</v>
          </cell>
          <cell r="E477">
            <v>508.89</v>
          </cell>
          <cell r="F477">
            <v>156.15</v>
          </cell>
          <cell r="G477">
            <v>203.49</v>
          </cell>
          <cell r="H477">
            <v>1115.26</v>
          </cell>
          <cell r="I477">
            <v>822.76</v>
          </cell>
          <cell r="J477">
            <v>92174</v>
          </cell>
          <cell r="K477" t="str">
            <v>MP</v>
          </cell>
        </row>
        <row r="478">
          <cell r="A478" t="str">
            <v>992774-SLR</v>
          </cell>
          <cell r="B478">
            <v>10305</v>
          </cell>
          <cell r="C478">
            <v>626.65</v>
          </cell>
          <cell r="D478">
            <v>31.11</v>
          </cell>
          <cell r="E478">
            <v>499.08</v>
          </cell>
          <cell r="F478">
            <v>243.26</v>
          </cell>
          <cell r="G478">
            <v>939.09</v>
          </cell>
          <cell r="H478">
            <v>2339.19</v>
          </cell>
          <cell r="I478">
            <v>4284.8</v>
          </cell>
          <cell r="J478">
            <v>91177</v>
          </cell>
          <cell r="K478" t="str">
            <v>MP</v>
          </cell>
        </row>
        <row r="479">
          <cell r="A479" t="str">
            <v>992775-SLR</v>
          </cell>
          <cell r="B479">
            <v>10367</v>
          </cell>
          <cell r="C479">
            <v>535.63</v>
          </cell>
          <cell r="D479">
            <v>102.76</v>
          </cell>
          <cell r="E479">
            <v>509.55</v>
          </cell>
          <cell r="F479">
            <v>627.85</v>
          </cell>
          <cell r="G479">
            <v>3355.79</v>
          </cell>
          <cell r="H479">
            <v>5131.58</v>
          </cell>
          <cell r="I479">
            <v>15886.07</v>
          </cell>
          <cell r="J479">
            <v>93018</v>
          </cell>
          <cell r="K479" t="str">
            <v>MP</v>
          </cell>
        </row>
        <row r="480">
          <cell r="A480" t="str">
            <v>992777-SLR</v>
          </cell>
          <cell r="B480">
            <v>10409</v>
          </cell>
          <cell r="C480">
            <v>672.63</v>
          </cell>
          <cell r="D480">
            <v>20.96</v>
          </cell>
          <cell r="E480">
            <v>514.11</v>
          </cell>
          <cell r="F480">
            <v>178.51</v>
          </cell>
          <cell r="G480">
            <v>1135.95</v>
          </cell>
          <cell r="H480">
            <v>2522.16</v>
          </cell>
          <cell r="I480">
            <v>7420.32</v>
          </cell>
          <cell r="J480">
            <v>90061</v>
          </cell>
          <cell r="K480" t="str">
            <v>MP</v>
          </cell>
        </row>
        <row r="481">
          <cell r="A481" t="str">
            <v>992779-SLR</v>
          </cell>
          <cell r="B481">
            <v>10380</v>
          </cell>
          <cell r="C481">
            <v>201.02</v>
          </cell>
          <cell r="D481">
            <v>84.67</v>
          </cell>
          <cell r="E481">
            <v>524.4</v>
          </cell>
          <cell r="F481">
            <v>563.35</v>
          </cell>
          <cell r="G481">
            <v>1912.1</v>
          </cell>
          <cell r="H481">
            <v>3285.54</v>
          </cell>
          <cell r="I481">
            <v>13372.2</v>
          </cell>
          <cell r="J481">
            <v>90512</v>
          </cell>
          <cell r="K481" t="str">
            <v>MP</v>
          </cell>
        </row>
        <row r="482">
          <cell r="A482" t="str">
            <v>992789-SLR</v>
          </cell>
          <cell r="B482">
            <v>10396</v>
          </cell>
          <cell r="C482">
            <v>227.24</v>
          </cell>
          <cell r="D482">
            <v>10.14</v>
          </cell>
          <cell r="E482">
            <v>524.4</v>
          </cell>
          <cell r="F482">
            <v>168.85</v>
          </cell>
          <cell r="G482">
            <v>310.8</v>
          </cell>
          <cell r="H482">
            <v>1241.43</v>
          </cell>
          <cell r="I482">
            <v>1398.4</v>
          </cell>
          <cell r="J482">
            <v>90390</v>
          </cell>
          <cell r="K482" t="str">
            <v>MP</v>
          </cell>
        </row>
        <row r="483">
          <cell r="A483" t="str">
            <v>992790-SLR</v>
          </cell>
          <cell r="B483">
            <v>10355</v>
          </cell>
          <cell r="C483">
            <v>65.31</v>
          </cell>
          <cell r="D483">
            <v>1.17</v>
          </cell>
          <cell r="E483">
            <v>508.89</v>
          </cell>
          <cell r="F483">
            <v>140.26</v>
          </cell>
          <cell r="G483">
            <v>69.36</v>
          </cell>
          <cell r="H483">
            <v>784.99</v>
          </cell>
          <cell r="I483">
            <v>298.55</v>
          </cell>
          <cell r="J483">
            <v>93157</v>
          </cell>
          <cell r="K483" t="str">
            <v>MP</v>
          </cell>
        </row>
        <row r="484">
          <cell r="A484" t="str">
            <v>992791-SLR</v>
          </cell>
          <cell r="B484">
            <v>10408</v>
          </cell>
          <cell r="C484">
            <v>169.12</v>
          </cell>
          <cell r="D484">
            <v>6.71</v>
          </cell>
          <cell r="E484">
            <v>524.4</v>
          </cell>
          <cell r="F484">
            <v>179.27</v>
          </cell>
          <cell r="G484">
            <v>293.81</v>
          </cell>
          <cell r="H484">
            <v>1173.31</v>
          </cell>
          <cell r="I484">
            <v>1922.8</v>
          </cell>
          <cell r="J484">
            <v>90485</v>
          </cell>
          <cell r="K484" t="str">
            <v>MP</v>
          </cell>
        </row>
        <row r="485">
          <cell r="A485" t="str">
            <v>992794-SLR</v>
          </cell>
          <cell r="B485">
            <v>10391</v>
          </cell>
          <cell r="C485">
            <v>183.54</v>
          </cell>
          <cell r="D485">
            <v>3.81</v>
          </cell>
          <cell r="E485">
            <v>524.4</v>
          </cell>
          <cell r="F485">
            <v>145.9</v>
          </cell>
          <cell r="G485">
            <v>86.19</v>
          </cell>
          <cell r="H485">
            <v>943.83999999999992</v>
          </cell>
          <cell r="I485">
            <v>428.26</v>
          </cell>
          <cell r="J485">
            <v>92166</v>
          </cell>
          <cell r="K485" t="str">
            <v>MP</v>
          </cell>
        </row>
        <row r="486">
          <cell r="A486" t="str">
            <v>992795-SLR</v>
          </cell>
          <cell r="B486">
            <v>10398</v>
          </cell>
          <cell r="C486">
            <v>302.01</v>
          </cell>
          <cell r="D486">
            <v>15.28</v>
          </cell>
          <cell r="E486">
            <v>515.58000000000004</v>
          </cell>
          <cell r="F486">
            <v>188.2</v>
          </cell>
          <cell r="G486">
            <v>499.15</v>
          </cell>
          <cell r="H486">
            <v>1520.2199999999998</v>
          </cell>
          <cell r="I486">
            <v>2178.48</v>
          </cell>
          <cell r="J486">
            <v>93210</v>
          </cell>
          <cell r="K486" t="str">
            <v>MP</v>
          </cell>
        </row>
        <row r="487">
          <cell r="A487" t="str">
            <v>992807-SLR</v>
          </cell>
          <cell r="B487">
            <v>10392</v>
          </cell>
          <cell r="C487">
            <v>221.31</v>
          </cell>
          <cell r="D487">
            <v>9.1199999999999992</v>
          </cell>
          <cell r="E487">
            <v>524.4</v>
          </cell>
          <cell r="F487">
            <v>196.23</v>
          </cell>
          <cell r="G487">
            <v>85.57</v>
          </cell>
          <cell r="H487">
            <v>1036.6299999999999</v>
          </cell>
          <cell r="I487">
            <v>2622</v>
          </cell>
          <cell r="J487">
            <v>93162</v>
          </cell>
          <cell r="K487" t="str">
            <v>MP</v>
          </cell>
        </row>
        <row r="488">
          <cell r="A488" t="str">
            <v>992813-SLR</v>
          </cell>
          <cell r="B488">
            <v>10371</v>
          </cell>
          <cell r="C488">
            <v>82.04</v>
          </cell>
          <cell r="D488">
            <v>2.19</v>
          </cell>
          <cell r="E488">
            <v>509.55</v>
          </cell>
          <cell r="F488">
            <v>147.4</v>
          </cell>
          <cell r="G488">
            <v>129.6</v>
          </cell>
          <cell r="H488">
            <v>870.78</v>
          </cell>
          <cell r="I488">
            <v>597.87</v>
          </cell>
          <cell r="J488">
            <v>93157</v>
          </cell>
          <cell r="K488" t="str">
            <v>MP</v>
          </cell>
        </row>
        <row r="489">
          <cell r="A489" t="str">
            <v>992823-SLR</v>
          </cell>
          <cell r="B489">
            <v>10397</v>
          </cell>
          <cell r="C489">
            <v>139.84</v>
          </cell>
          <cell r="D489">
            <v>20.5</v>
          </cell>
          <cell r="E489">
            <v>524.4</v>
          </cell>
          <cell r="F489">
            <v>206.45</v>
          </cell>
          <cell r="G489">
            <v>628.28</v>
          </cell>
          <cell r="H489">
            <v>1519.47</v>
          </cell>
          <cell r="I489">
            <v>3146.4</v>
          </cell>
          <cell r="J489">
            <v>90242</v>
          </cell>
          <cell r="K489" t="str">
            <v>MP</v>
          </cell>
        </row>
        <row r="490">
          <cell r="A490" t="str">
            <v>992846-SLR</v>
          </cell>
          <cell r="B490">
            <v>10356</v>
          </cell>
          <cell r="C490">
            <v>0</v>
          </cell>
          <cell r="D490">
            <v>0</v>
          </cell>
          <cell r="E490">
            <v>0</v>
          </cell>
          <cell r="F490">
            <v>17.100000000000001</v>
          </cell>
          <cell r="G490">
            <v>35</v>
          </cell>
          <cell r="H490">
            <v>52.1</v>
          </cell>
          <cell r="I490">
            <v>59.37</v>
          </cell>
          <cell r="J490">
            <v>92202</v>
          </cell>
          <cell r="K490" t="str">
            <v>MP</v>
          </cell>
        </row>
        <row r="491">
          <cell r="A491" t="str">
            <v>992857-SLR</v>
          </cell>
          <cell r="B491">
            <v>10383</v>
          </cell>
          <cell r="C491">
            <v>0</v>
          </cell>
          <cell r="D491">
            <v>0</v>
          </cell>
          <cell r="E491">
            <v>0</v>
          </cell>
          <cell r="F491">
            <v>16.649999999999999</v>
          </cell>
          <cell r="G491">
            <v>51</v>
          </cell>
          <cell r="H491">
            <v>67.650000000000006</v>
          </cell>
          <cell r="I491">
            <v>86.62</v>
          </cell>
          <cell r="J491">
            <v>90257</v>
          </cell>
          <cell r="K491" t="str">
            <v>MP</v>
          </cell>
        </row>
        <row r="492">
          <cell r="A492" t="str">
            <v>992869-SLR</v>
          </cell>
          <cell r="B492">
            <v>10382</v>
          </cell>
          <cell r="C492">
            <v>0</v>
          </cell>
          <cell r="D492">
            <v>0</v>
          </cell>
          <cell r="E492">
            <v>0</v>
          </cell>
          <cell r="F492">
            <v>17.55</v>
          </cell>
          <cell r="G492">
            <v>259.87</v>
          </cell>
          <cell r="H492">
            <v>277.42</v>
          </cell>
          <cell r="I492">
            <v>433.12</v>
          </cell>
          <cell r="J492">
            <v>92172</v>
          </cell>
          <cell r="K492" t="str">
            <v>MP</v>
          </cell>
        </row>
        <row r="493">
          <cell r="A493" t="str">
            <v>992870-SLR</v>
          </cell>
          <cell r="B493">
            <v>0</v>
          </cell>
          <cell r="C493">
            <v>0</v>
          </cell>
          <cell r="D493">
            <v>0</v>
          </cell>
          <cell r="E493">
            <v>0</v>
          </cell>
          <cell r="F493">
            <v>17.55</v>
          </cell>
          <cell r="G493">
            <v>60.13</v>
          </cell>
          <cell r="H493">
            <v>77.680000000000007</v>
          </cell>
          <cell r="I493">
            <v>100.21</v>
          </cell>
          <cell r="J493">
            <v>91814</v>
          </cell>
          <cell r="K493" t="str">
            <v>MP</v>
          </cell>
        </row>
        <row r="495">
          <cell r="H495">
            <v>0</v>
          </cell>
        </row>
        <row r="496">
          <cell r="A496" t="str">
            <v>TOTAIS</v>
          </cell>
          <cell r="C496">
            <v>763169.57000000053</v>
          </cell>
          <cell r="D496">
            <v>395548.4499999999</v>
          </cell>
          <cell r="E496">
            <v>241929.16999999978</v>
          </cell>
          <cell r="F496">
            <v>414891.8999999995</v>
          </cell>
          <cell r="G496">
            <v>1918523.0500000024</v>
          </cell>
          <cell r="H496">
            <v>3734062.14</v>
          </cell>
          <cell r="I496">
            <v>14074419.559999987</v>
          </cell>
        </row>
        <row r="499">
          <cell r="A499" t="str">
            <v>ATIVO FIXO - LOCAL 91</v>
          </cell>
        </row>
        <row r="500">
          <cell r="A500" t="str">
            <v>PROC</v>
          </cell>
          <cell r="B500" t="str">
            <v>NF</v>
          </cell>
          <cell r="C500" t="str">
            <v>FRETE</v>
          </cell>
          <cell r="D500" t="str">
            <v>SEG</v>
          </cell>
          <cell r="E500" t="str">
            <v>COM</v>
          </cell>
          <cell r="F500" t="str">
            <v>ALF</v>
          </cell>
          <cell r="G500" t="str">
            <v>IMP</v>
          </cell>
          <cell r="H500" t="str">
            <v>TOTAL</v>
          </cell>
          <cell r="I500" t="str">
            <v>FOB</v>
          </cell>
          <cell r="J500" t="str">
            <v>FORN</v>
          </cell>
          <cell r="K500" t="str">
            <v>TIPO</v>
          </cell>
          <cell r="L500" t="str">
            <v>ICMS</v>
          </cell>
          <cell r="N500" t="str">
            <v>IPI</v>
          </cell>
        </row>
        <row r="501">
          <cell r="A501" t="str">
            <v>991170-SLR</v>
          </cell>
          <cell r="B501">
            <v>10146</v>
          </cell>
          <cell r="C501">
            <v>44803.14</v>
          </cell>
          <cell r="D501">
            <v>4589.3900000000003</v>
          </cell>
          <cell r="E501">
            <v>519.41999999999996</v>
          </cell>
          <cell r="F501">
            <v>249</v>
          </cell>
          <cell r="G501">
            <v>38561.69</v>
          </cell>
          <cell r="H501">
            <v>88722.64</v>
          </cell>
          <cell r="I501">
            <v>721841.29</v>
          </cell>
          <cell r="J501">
            <v>91953</v>
          </cell>
          <cell r="K501" t="str">
            <v>AF</v>
          </cell>
        </row>
        <row r="502">
          <cell r="A502" t="str">
            <v>991622-SLR</v>
          </cell>
          <cell r="B502">
            <v>9778</v>
          </cell>
          <cell r="C502">
            <v>38496.959999999999</v>
          </cell>
          <cell r="D502">
            <v>475.96</v>
          </cell>
          <cell r="E502">
            <v>509.34</v>
          </cell>
          <cell r="F502">
            <v>2854.63</v>
          </cell>
          <cell r="G502">
            <v>22313.07</v>
          </cell>
          <cell r="H502">
            <v>64649.959999999992</v>
          </cell>
          <cell r="I502">
            <v>76520.02</v>
          </cell>
          <cell r="J502">
            <v>91873</v>
          </cell>
          <cell r="K502" t="str">
            <v>AF</v>
          </cell>
        </row>
        <row r="503">
          <cell r="A503" t="str">
            <v>991705-SLR</v>
          </cell>
          <cell r="B503">
            <v>10287</v>
          </cell>
          <cell r="C503">
            <v>21465.03</v>
          </cell>
          <cell r="D503">
            <v>976.78</v>
          </cell>
          <cell r="E503">
            <v>499.08</v>
          </cell>
          <cell r="F503">
            <v>7628.95</v>
          </cell>
          <cell r="G503">
            <v>62260.08</v>
          </cell>
          <cell r="H503">
            <v>92829.92</v>
          </cell>
          <cell r="I503">
            <v>305242.82</v>
          </cell>
          <cell r="J503">
            <v>91915</v>
          </cell>
          <cell r="K503" t="str">
            <v>AF</v>
          </cell>
        </row>
        <row r="504">
          <cell r="A504" t="str">
            <v>991752-SLR</v>
          </cell>
          <cell r="B504">
            <v>10126</v>
          </cell>
          <cell r="C504">
            <v>17669.37</v>
          </cell>
          <cell r="D504">
            <v>795.51</v>
          </cell>
          <cell r="E504">
            <v>498.42</v>
          </cell>
          <cell r="F504">
            <v>5867.39</v>
          </cell>
          <cell r="G504">
            <v>12469.64</v>
          </cell>
          <cell r="H504">
            <v>37300.329999999994</v>
          </cell>
          <cell r="I504">
            <v>230927.95</v>
          </cell>
          <cell r="J504">
            <v>91952</v>
          </cell>
          <cell r="K504" t="str">
            <v>AF</v>
          </cell>
        </row>
        <row r="505">
          <cell r="A505" t="str">
            <v>992389-SLR</v>
          </cell>
          <cell r="B505">
            <v>10358</v>
          </cell>
          <cell r="C505">
            <v>199.47</v>
          </cell>
          <cell r="D505">
            <v>8.4600000000000009</v>
          </cell>
          <cell r="E505">
            <v>509.55</v>
          </cell>
          <cell r="F505">
            <v>162.76</v>
          </cell>
          <cell r="G505">
            <v>256.18</v>
          </cell>
          <cell r="H505">
            <v>1136.42</v>
          </cell>
          <cell r="I505">
            <v>1157.0999999999999</v>
          </cell>
          <cell r="J505">
            <v>95005</v>
          </cell>
          <cell r="K505" t="str">
            <v>AF</v>
          </cell>
        </row>
        <row r="506">
          <cell r="A506" t="str">
            <v>992432-SLR</v>
          </cell>
          <cell r="B506">
            <v>10160</v>
          </cell>
          <cell r="C506">
            <v>160.97</v>
          </cell>
          <cell r="D506">
            <v>3.43</v>
          </cell>
          <cell r="E506">
            <v>495.3</v>
          </cell>
          <cell r="F506">
            <v>156.18</v>
          </cell>
          <cell r="G506">
            <v>214.49</v>
          </cell>
          <cell r="H506">
            <v>1030.3700000000001</v>
          </cell>
          <cell r="I506">
            <v>908.05</v>
          </cell>
          <cell r="J506">
            <v>92346</v>
          </cell>
          <cell r="K506" t="str">
            <v>AF</v>
          </cell>
        </row>
        <row r="507">
          <cell r="A507" t="str">
            <v>992616-SLR</v>
          </cell>
          <cell r="B507">
            <v>10290</v>
          </cell>
          <cell r="C507">
            <v>133.09</v>
          </cell>
          <cell r="D507">
            <v>140.62</v>
          </cell>
          <cell r="E507">
            <v>499.08</v>
          </cell>
          <cell r="F507">
            <v>772.56</v>
          </cell>
          <cell r="G507">
            <v>688.68</v>
          </cell>
          <cell r="H507">
            <v>2234.0299999999997</v>
          </cell>
          <cell r="I507">
            <v>22682.35</v>
          </cell>
          <cell r="J507">
            <v>92004</v>
          </cell>
          <cell r="K507" t="str">
            <v>AF</v>
          </cell>
        </row>
        <row r="509">
          <cell r="H509">
            <v>0</v>
          </cell>
        </row>
        <row r="510">
          <cell r="A510" t="str">
            <v>TOTAIS</v>
          </cell>
          <cell r="C510">
            <v>122928.03</v>
          </cell>
          <cell r="D510">
            <v>6990.1500000000005</v>
          </cell>
          <cell r="E510">
            <v>3530.19</v>
          </cell>
          <cell r="F510">
            <v>17691.47</v>
          </cell>
          <cell r="G510">
            <v>136763.82999999996</v>
          </cell>
          <cell r="H510">
            <v>287903.67</v>
          </cell>
          <cell r="I510">
            <v>1359279.5800000003</v>
          </cell>
          <cell r="L510">
            <v>0</v>
          </cell>
          <cell r="N510">
            <v>0</v>
          </cell>
        </row>
        <row r="513">
          <cell r="A513" t="str">
            <v>MATERIAL DE CONSUMO - LOCAL 91</v>
          </cell>
        </row>
        <row r="514">
          <cell r="A514" t="str">
            <v>PROC</v>
          </cell>
          <cell r="B514" t="str">
            <v>NF</v>
          </cell>
          <cell r="C514" t="str">
            <v>FRETE</v>
          </cell>
          <cell r="D514" t="str">
            <v>SEG</v>
          </cell>
          <cell r="E514" t="str">
            <v>COM</v>
          </cell>
          <cell r="F514" t="str">
            <v>ALF</v>
          </cell>
          <cell r="G514" t="str">
            <v>IMP</v>
          </cell>
          <cell r="H514" t="str">
            <v>TOTAL</v>
          </cell>
          <cell r="I514" t="str">
            <v>FOB</v>
          </cell>
          <cell r="J514" t="str">
            <v>FORN</v>
          </cell>
          <cell r="K514" t="str">
            <v>TIPO</v>
          </cell>
          <cell r="L514" t="str">
            <v>DESP</v>
          </cell>
          <cell r="M514" t="str">
            <v>CC</v>
          </cell>
          <cell r="N514" t="str">
            <v>IPI</v>
          </cell>
          <cell r="O514" t="str">
            <v>ICMS</v>
          </cell>
        </row>
        <row r="515">
          <cell r="A515" t="str">
            <v>991552-SLR</v>
          </cell>
          <cell r="B515">
            <v>10150</v>
          </cell>
          <cell r="C515">
            <v>206.38</v>
          </cell>
          <cell r="D515">
            <v>26.32</v>
          </cell>
          <cell r="E515">
            <v>495.3</v>
          </cell>
          <cell r="F515">
            <v>227.58</v>
          </cell>
          <cell r="G515">
            <v>806.73</v>
          </cell>
          <cell r="H515">
            <v>1762.31</v>
          </cell>
          <cell r="I515">
            <v>4013.25</v>
          </cell>
          <cell r="J515">
            <v>91330</v>
          </cell>
          <cell r="K515" t="str">
            <v>MC</v>
          </cell>
        </row>
        <row r="516">
          <cell r="A516" t="str">
            <v>992264=SLR</v>
          </cell>
          <cell r="B516">
            <v>10306</v>
          </cell>
          <cell r="C516">
            <v>1934.45</v>
          </cell>
          <cell r="D516">
            <v>25.36</v>
          </cell>
          <cell r="E516">
            <v>500.1</v>
          </cell>
          <cell r="F516">
            <v>0</v>
          </cell>
          <cell r="G516">
            <v>1663.83</v>
          </cell>
          <cell r="H516">
            <v>4123.74</v>
          </cell>
          <cell r="I516">
            <v>5963.19</v>
          </cell>
          <cell r="J516">
            <v>91946</v>
          </cell>
          <cell r="K516" t="str">
            <v>MC</v>
          </cell>
        </row>
        <row r="517">
          <cell r="A517" t="str">
            <v>992475-SLR</v>
          </cell>
          <cell r="B517">
            <v>10261</v>
          </cell>
          <cell r="C517">
            <v>281.69</v>
          </cell>
          <cell r="D517">
            <v>59.75</v>
          </cell>
          <cell r="E517">
            <v>497.1</v>
          </cell>
          <cell r="F517">
            <v>435.97</v>
          </cell>
          <cell r="G517">
            <v>1831.34</v>
          </cell>
          <cell r="H517">
            <v>3105.85</v>
          </cell>
          <cell r="I517">
            <v>9297.2000000000007</v>
          </cell>
          <cell r="J517">
            <v>91330</v>
          </cell>
          <cell r="K517" t="str">
            <v>MC</v>
          </cell>
        </row>
        <row r="518">
          <cell r="A518" t="str">
            <v>992577-SLR</v>
          </cell>
          <cell r="B518">
            <v>10280</v>
          </cell>
          <cell r="C518">
            <v>206.38</v>
          </cell>
          <cell r="D518">
            <v>5.0199999999999996</v>
          </cell>
          <cell r="E518">
            <v>495.3</v>
          </cell>
          <cell r="F518">
            <v>154.91</v>
          </cell>
          <cell r="G518">
            <v>191.33</v>
          </cell>
          <cell r="H518">
            <v>1052.94</v>
          </cell>
          <cell r="I518">
            <v>803.54</v>
          </cell>
          <cell r="J518">
            <v>91330</v>
          </cell>
          <cell r="K518" t="str">
            <v>MC</v>
          </cell>
        </row>
        <row r="519">
          <cell r="A519" t="str">
            <v>992588-SLR</v>
          </cell>
          <cell r="B519">
            <v>10167</v>
          </cell>
          <cell r="C519">
            <v>160.97</v>
          </cell>
          <cell r="D519">
            <v>14.38</v>
          </cell>
          <cell r="E519">
            <v>495.3</v>
          </cell>
          <cell r="F519">
            <v>233.2</v>
          </cell>
          <cell r="G519">
            <v>584.44000000000005</v>
          </cell>
          <cell r="H519">
            <v>1488.29</v>
          </cell>
          <cell r="I519">
            <v>4320.32</v>
          </cell>
          <cell r="J519">
            <v>91922</v>
          </cell>
          <cell r="K519" t="str">
            <v>MC</v>
          </cell>
        </row>
        <row r="520">
          <cell r="A520" t="str">
            <v>992702-SLR</v>
          </cell>
          <cell r="B520">
            <v>10376</v>
          </cell>
          <cell r="C520">
            <v>212.31</v>
          </cell>
          <cell r="D520">
            <v>9.7799999999999994</v>
          </cell>
          <cell r="E520">
            <v>509.55</v>
          </cell>
          <cell r="F520">
            <v>167.57</v>
          </cell>
          <cell r="G520">
            <v>300</v>
          </cell>
          <cell r="H520">
            <v>1199.21</v>
          </cell>
          <cell r="I520">
            <v>1356.85</v>
          </cell>
          <cell r="J520">
            <v>91330</v>
          </cell>
          <cell r="K520" t="str">
            <v>MC</v>
          </cell>
        </row>
        <row r="521">
          <cell r="A521" t="str">
            <v>992780-SLR</v>
          </cell>
          <cell r="B521">
            <v>10328</v>
          </cell>
          <cell r="C521">
            <v>135.69999999999999</v>
          </cell>
          <cell r="D521">
            <v>6.62</v>
          </cell>
          <cell r="E521">
            <v>508.89</v>
          </cell>
          <cell r="F521">
            <v>136.01</v>
          </cell>
          <cell r="G521">
            <v>33.49</v>
          </cell>
          <cell r="H521">
            <v>820.71</v>
          </cell>
          <cell r="I521">
            <v>33.93</v>
          </cell>
          <cell r="J521">
            <v>91952</v>
          </cell>
          <cell r="K521" t="str">
            <v>MC</v>
          </cell>
        </row>
        <row r="523">
          <cell r="H523">
            <v>0</v>
          </cell>
        </row>
        <row r="524">
          <cell r="A524" t="str">
            <v>TOTAIS</v>
          </cell>
          <cell r="C524">
            <v>3137.8799999999997</v>
          </cell>
          <cell r="D524">
            <v>147.23000000000002</v>
          </cell>
          <cell r="E524">
            <v>3501.54</v>
          </cell>
          <cell r="F524">
            <v>1355.24</v>
          </cell>
          <cell r="G524">
            <v>5411.16</v>
          </cell>
          <cell r="H524">
            <v>13553.05</v>
          </cell>
          <cell r="I524">
            <v>25788.28</v>
          </cell>
        </row>
        <row r="527">
          <cell r="H527">
            <v>0</v>
          </cell>
          <cell r="I527">
            <v>0</v>
          </cell>
        </row>
        <row r="528">
          <cell r="G528" t="str">
            <v>PROC</v>
          </cell>
          <cell r="H528" t="str">
            <v>FOB</v>
          </cell>
          <cell r="I528" t="str">
            <v>DESP</v>
          </cell>
        </row>
        <row r="529">
          <cell r="G529" t="str">
            <v/>
          </cell>
        </row>
      </sheetData>
      <sheetData sheetId="5"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1845598.8600000022</v>
          </cell>
          <cell r="R3">
            <v>89416.239999999976</v>
          </cell>
          <cell r="S3">
            <v>318241.47999999986</v>
          </cell>
          <cell r="T3">
            <v>401783.21000000008</v>
          </cell>
          <cell r="U3">
            <v>1838140.8500000006</v>
          </cell>
          <cell r="V3">
            <v>12413621.15</v>
          </cell>
          <cell r="Y3">
            <v>36094.49</v>
          </cell>
          <cell r="Z3">
            <v>16775.22</v>
          </cell>
          <cell r="AA3">
            <v>4727.1900000000005</v>
          </cell>
          <cell r="AB3">
            <v>64696.82</v>
          </cell>
          <cell r="AC3">
            <v>150379.53</v>
          </cell>
          <cell r="AD3">
            <v>2745885.04</v>
          </cell>
        </row>
        <row r="4">
          <cell r="A4" t="str">
            <v>991215-SLR</v>
          </cell>
          <cell r="B4">
            <v>10585</v>
          </cell>
          <cell r="C4">
            <v>218.04</v>
          </cell>
          <cell r="D4">
            <v>8.75</v>
          </cell>
          <cell r="E4">
            <v>520.95000000000005</v>
          </cell>
          <cell r="F4">
            <v>165</v>
          </cell>
          <cell r="G4">
            <v>435.66</v>
          </cell>
          <cell r="I4">
            <v>2193.5300000000002</v>
          </cell>
          <cell r="J4">
            <v>92091</v>
          </cell>
          <cell r="K4" t="str">
            <v>MP</v>
          </cell>
        </row>
        <row r="5">
          <cell r="A5" t="str">
            <v>991966-SLR</v>
          </cell>
          <cell r="B5">
            <v>10506</v>
          </cell>
          <cell r="C5">
            <v>2436.0100000000002</v>
          </cell>
          <cell r="D5">
            <v>1079.7</v>
          </cell>
          <cell r="E5">
            <v>522.36</v>
          </cell>
          <cell r="F5">
            <v>4253.42</v>
          </cell>
          <cell r="G5">
            <v>35532.199999999997</v>
          </cell>
          <cell r="I5">
            <v>174145.3</v>
          </cell>
          <cell r="J5">
            <v>92224</v>
          </cell>
          <cell r="K5" t="str">
            <v>MP</v>
          </cell>
        </row>
        <row r="6">
          <cell r="A6" t="str">
            <v>991990-SLR</v>
          </cell>
          <cell r="B6">
            <v>10817</v>
          </cell>
          <cell r="C6">
            <v>0</v>
          </cell>
          <cell r="D6">
            <v>0</v>
          </cell>
          <cell r="E6">
            <v>0</v>
          </cell>
          <cell r="F6">
            <v>18.600000000000001</v>
          </cell>
          <cell r="G6">
            <v>186.46</v>
          </cell>
          <cell r="I6">
            <v>310.76</v>
          </cell>
          <cell r="J6">
            <v>92393</v>
          </cell>
          <cell r="K6" t="str">
            <v>MP</v>
          </cell>
        </row>
        <row r="7">
          <cell r="A7" t="str">
            <v>992006-SLR</v>
          </cell>
          <cell r="B7">
            <v>10433</v>
          </cell>
          <cell r="C7">
            <v>383.13</v>
          </cell>
          <cell r="D7">
            <v>209.02</v>
          </cell>
          <cell r="E7">
            <v>508.89</v>
          </cell>
          <cell r="F7">
            <v>1025.46</v>
          </cell>
          <cell r="G7">
            <v>4787.42</v>
          </cell>
          <cell r="I7">
            <v>33603.699999999997</v>
          </cell>
          <cell r="J7">
            <v>90117</v>
          </cell>
          <cell r="K7" t="str">
            <v>MP</v>
          </cell>
        </row>
        <row r="8">
          <cell r="A8" t="str">
            <v>992008-SLR</v>
          </cell>
          <cell r="B8">
            <v>10526</v>
          </cell>
          <cell r="C8">
            <v>2908.6</v>
          </cell>
          <cell r="D8">
            <v>1388.4</v>
          </cell>
          <cell r="E8">
            <v>520.95000000000005</v>
          </cell>
          <cell r="F8">
            <v>5375.11</v>
          </cell>
          <cell r="G8">
            <v>29576.77</v>
          </cell>
          <cell r="I8">
            <v>223216.66</v>
          </cell>
          <cell r="J8">
            <v>92107</v>
          </cell>
          <cell r="K8" t="str">
            <v>MP</v>
          </cell>
        </row>
        <row r="9">
          <cell r="A9" t="str">
            <v>992030-SLR</v>
          </cell>
          <cell r="B9">
            <v>10510</v>
          </cell>
          <cell r="C9">
            <v>1270.68</v>
          </cell>
          <cell r="D9">
            <v>145.32</v>
          </cell>
          <cell r="E9">
            <v>522.36</v>
          </cell>
          <cell r="F9">
            <v>1303.3800000000001</v>
          </cell>
          <cell r="G9">
            <v>8211.49</v>
          </cell>
          <cell r="I9">
            <v>45131.9</v>
          </cell>
          <cell r="J9">
            <v>92272</v>
          </cell>
          <cell r="K9" t="str">
            <v>MP</v>
          </cell>
        </row>
        <row r="10">
          <cell r="A10" t="str">
            <v>992076-SLR</v>
          </cell>
          <cell r="B10">
            <v>10509</v>
          </cell>
          <cell r="C10">
            <v>186.26</v>
          </cell>
          <cell r="D10">
            <v>109.66</v>
          </cell>
          <cell r="E10">
            <v>522.36</v>
          </cell>
          <cell r="F10">
            <v>1029.01</v>
          </cell>
          <cell r="G10">
            <v>3091.84</v>
          </cell>
          <cell r="I10">
            <v>34057.870000000003</v>
          </cell>
          <cell r="J10">
            <v>91219</v>
          </cell>
          <cell r="K10" t="str">
            <v>MP</v>
          </cell>
        </row>
        <row r="11">
          <cell r="A11" t="str">
            <v>992096-SLR</v>
          </cell>
          <cell r="B11">
            <v>10512</v>
          </cell>
          <cell r="C11">
            <v>28229.41</v>
          </cell>
          <cell r="D11">
            <v>178.79</v>
          </cell>
          <cell r="E11">
            <v>522.36</v>
          </cell>
          <cell r="F11">
            <v>1544.08</v>
          </cell>
          <cell r="G11">
            <v>6869.51</v>
          </cell>
          <cell r="I11">
            <v>28837.75</v>
          </cell>
          <cell r="J11">
            <v>92233</v>
          </cell>
          <cell r="K11" t="str">
            <v>MP</v>
          </cell>
        </row>
        <row r="12">
          <cell r="A12" t="str">
            <v>992105-SLR</v>
          </cell>
          <cell r="B12">
            <v>10464</v>
          </cell>
          <cell r="C12">
            <v>304.08999999999997</v>
          </cell>
          <cell r="D12">
            <v>344.19</v>
          </cell>
          <cell r="E12">
            <v>526.26</v>
          </cell>
          <cell r="F12">
            <v>2676.1</v>
          </cell>
          <cell r="G12">
            <v>15058.12</v>
          </cell>
          <cell r="I12">
            <v>106909.72</v>
          </cell>
          <cell r="J12">
            <v>90097</v>
          </cell>
          <cell r="K12" t="str">
            <v>MP</v>
          </cell>
        </row>
        <row r="13">
          <cell r="A13" t="str">
            <v>992152-SLR</v>
          </cell>
          <cell r="B13">
            <v>10481</v>
          </cell>
          <cell r="C13">
            <v>8373.61</v>
          </cell>
          <cell r="D13">
            <v>94.33</v>
          </cell>
          <cell r="E13">
            <v>509.55</v>
          </cell>
          <cell r="F13">
            <v>1105.73</v>
          </cell>
          <cell r="G13">
            <v>4531.62</v>
          </cell>
          <cell r="I13">
            <v>29295.58</v>
          </cell>
          <cell r="J13">
            <v>91997</v>
          </cell>
          <cell r="K13" t="str">
            <v>MP</v>
          </cell>
        </row>
        <row r="14">
          <cell r="A14" t="str">
            <v>992184-SLR</v>
          </cell>
          <cell r="B14">
            <v>10603</v>
          </cell>
          <cell r="C14">
            <v>170.42</v>
          </cell>
          <cell r="D14">
            <v>88.93</v>
          </cell>
          <cell r="E14">
            <v>524.37</v>
          </cell>
          <cell r="F14">
            <v>884.78</v>
          </cell>
          <cell r="G14">
            <v>3927.13</v>
          </cell>
          <cell r="I14">
            <v>27791.61</v>
          </cell>
          <cell r="J14">
            <v>90685</v>
          </cell>
          <cell r="K14" t="str">
            <v>MP</v>
          </cell>
        </row>
        <row r="15">
          <cell r="A15" t="str">
            <v>992189-SLR</v>
          </cell>
          <cell r="B15">
            <v>10515</v>
          </cell>
          <cell r="C15">
            <v>179.69</v>
          </cell>
          <cell r="D15">
            <v>305.51</v>
          </cell>
          <cell r="E15">
            <v>522.36</v>
          </cell>
          <cell r="F15">
            <v>1375.68</v>
          </cell>
          <cell r="G15">
            <v>6966.56</v>
          </cell>
          <cell r="I15">
            <v>49275.96</v>
          </cell>
          <cell r="J15">
            <v>90097</v>
          </cell>
          <cell r="K15" t="str">
            <v>MP</v>
          </cell>
        </row>
        <row r="16">
          <cell r="A16" t="str">
            <v>992199-SLR</v>
          </cell>
          <cell r="B16">
            <v>10669</v>
          </cell>
          <cell r="C16">
            <v>439.99</v>
          </cell>
          <cell r="D16">
            <v>291.04000000000002</v>
          </cell>
          <cell r="E16">
            <v>527.91</v>
          </cell>
          <cell r="F16">
            <v>1315.38</v>
          </cell>
          <cell r="G16">
            <v>2354.08</v>
          </cell>
          <cell r="I16">
            <v>46350.5</v>
          </cell>
          <cell r="J16">
            <v>91578</v>
          </cell>
          <cell r="K16" t="str">
            <v>MP</v>
          </cell>
        </row>
        <row r="17">
          <cell r="A17" t="str">
            <v>992203-SLR</v>
          </cell>
          <cell r="B17">
            <v>10596</v>
          </cell>
          <cell r="C17">
            <v>126.38</v>
          </cell>
          <cell r="D17">
            <v>147.56</v>
          </cell>
          <cell r="E17">
            <v>524.37</v>
          </cell>
          <cell r="F17">
            <v>791.08</v>
          </cell>
          <cell r="G17">
            <v>1193.53</v>
          </cell>
          <cell r="I17">
            <v>23596.65</v>
          </cell>
          <cell r="J17">
            <v>93005</v>
          </cell>
          <cell r="K17" t="str">
            <v>MP</v>
          </cell>
        </row>
        <row r="18">
          <cell r="A18" t="str">
            <v>992208-SLR</v>
          </cell>
          <cell r="B18">
            <v>10636</v>
          </cell>
          <cell r="C18">
            <v>1653.15</v>
          </cell>
          <cell r="D18">
            <v>1067.8399999999999</v>
          </cell>
          <cell r="E18">
            <v>524.73</v>
          </cell>
          <cell r="F18">
            <v>4028.23</v>
          </cell>
          <cell r="G18">
            <v>30202.35</v>
          </cell>
          <cell r="I18">
            <v>164931.79999999999</v>
          </cell>
          <cell r="J18">
            <v>93020</v>
          </cell>
          <cell r="K18" t="str">
            <v>MP</v>
          </cell>
        </row>
        <row r="19">
          <cell r="A19" t="str">
            <v>992215-SLR</v>
          </cell>
          <cell r="B19">
            <v>10837</v>
          </cell>
          <cell r="C19">
            <v>170.02</v>
          </cell>
          <cell r="D19">
            <v>345.83</v>
          </cell>
          <cell r="E19">
            <v>527.91</v>
          </cell>
          <cell r="F19">
            <v>1514.84</v>
          </cell>
          <cell r="G19">
            <v>2797.32</v>
          </cell>
          <cell r="I19">
            <v>55430.55</v>
          </cell>
          <cell r="J19">
            <v>93005</v>
          </cell>
          <cell r="K19" t="str">
            <v>MP</v>
          </cell>
        </row>
        <row r="20">
          <cell r="A20" t="str">
            <v>992238-SLR</v>
          </cell>
          <cell r="B20">
            <v>10638</v>
          </cell>
          <cell r="C20">
            <v>199.44</v>
          </cell>
          <cell r="D20">
            <v>258.77999999999997</v>
          </cell>
          <cell r="E20">
            <v>524.73</v>
          </cell>
          <cell r="F20">
            <v>1172.04</v>
          </cell>
          <cell r="G20">
            <v>5699.52</v>
          </cell>
          <cell r="I20">
            <v>40252.6</v>
          </cell>
          <cell r="J20">
            <v>93081</v>
          </cell>
          <cell r="K20" t="str">
            <v>MP</v>
          </cell>
        </row>
        <row r="21">
          <cell r="A21" t="str">
            <v>992253-SLR</v>
          </cell>
          <cell r="B21">
            <v>0</v>
          </cell>
          <cell r="C21">
            <v>0</v>
          </cell>
          <cell r="D21">
            <v>0</v>
          </cell>
          <cell r="E21">
            <v>0</v>
          </cell>
          <cell r="F21">
            <v>17.2</v>
          </cell>
          <cell r="G21">
            <v>66.41</v>
          </cell>
          <cell r="I21">
            <v>110.69</v>
          </cell>
          <cell r="J21">
            <v>92003</v>
          </cell>
          <cell r="K21" t="str">
            <v>MP</v>
          </cell>
        </row>
        <row r="22">
          <cell r="A22" t="str">
            <v>992259-SLR</v>
          </cell>
          <cell r="B22">
            <v>10640</v>
          </cell>
          <cell r="C22">
            <v>188.03</v>
          </cell>
          <cell r="D22">
            <v>69.680000000000007</v>
          </cell>
          <cell r="E22">
            <v>524.73</v>
          </cell>
          <cell r="F22">
            <v>751.82</v>
          </cell>
          <cell r="G22">
            <v>4627.1400000000003</v>
          </cell>
          <cell r="I22">
            <v>21776.3</v>
          </cell>
          <cell r="J22">
            <v>91681</v>
          </cell>
          <cell r="K22" t="str">
            <v>MP</v>
          </cell>
        </row>
        <row r="23">
          <cell r="A23" t="str">
            <v>992281-SLR</v>
          </cell>
          <cell r="B23">
            <v>10702</v>
          </cell>
          <cell r="C23">
            <v>207.51</v>
          </cell>
          <cell r="D23">
            <v>393</v>
          </cell>
          <cell r="E23">
            <v>531.9</v>
          </cell>
          <cell r="F23">
            <v>1707.47</v>
          </cell>
          <cell r="G23">
            <v>9031.09</v>
          </cell>
          <cell r="I23">
            <v>63907.25</v>
          </cell>
          <cell r="J23">
            <v>90614</v>
          </cell>
          <cell r="K23" t="str">
            <v>MP</v>
          </cell>
        </row>
        <row r="24">
          <cell r="A24" t="str">
            <v>992285-SLR</v>
          </cell>
          <cell r="B24">
            <v>10914</v>
          </cell>
          <cell r="C24">
            <v>1262.77</v>
          </cell>
          <cell r="D24">
            <v>221.74</v>
          </cell>
          <cell r="E24">
            <v>524.54999999999995</v>
          </cell>
          <cell r="F24">
            <v>1063.22</v>
          </cell>
          <cell r="G24">
            <v>1793.7</v>
          </cell>
          <cell r="I24">
            <v>34389.5</v>
          </cell>
          <cell r="J24">
            <v>90004</v>
          </cell>
          <cell r="K24" t="str">
            <v>MP</v>
          </cell>
        </row>
        <row r="25">
          <cell r="A25" t="str">
            <v>992287-SLR</v>
          </cell>
          <cell r="B25">
            <v>10597</v>
          </cell>
          <cell r="C25">
            <v>1825.64</v>
          </cell>
          <cell r="D25">
            <v>215.04</v>
          </cell>
          <cell r="E25">
            <v>524.37</v>
          </cell>
          <cell r="F25">
            <v>1030.48</v>
          </cell>
          <cell r="G25">
            <v>4491.71</v>
          </cell>
          <cell r="I25">
            <v>32510.94</v>
          </cell>
          <cell r="J25">
            <v>92107</v>
          </cell>
          <cell r="K25" t="str">
            <v>MP</v>
          </cell>
        </row>
        <row r="26">
          <cell r="A26" t="str">
            <v>992296-SLR</v>
          </cell>
          <cell r="B26">
            <v>10462</v>
          </cell>
          <cell r="C26">
            <v>188.58</v>
          </cell>
          <cell r="D26">
            <v>70.150000000000006</v>
          </cell>
          <cell r="E26">
            <v>526.26</v>
          </cell>
          <cell r="F26">
            <v>749.32</v>
          </cell>
          <cell r="G26">
            <v>4603.8500000000004</v>
          </cell>
          <cell r="I26">
            <v>21664.37</v>
          </cell>
          <cell r="J26">
            <v>91681</v>
          </cell>
          <cell r="K26" t="str">
            <v>MP</v>
          </cell>
        </row>
        <row r="27">
          <cell r="A27" t="str">
            <v>992302-SLR</v>
          </cell>
          <cell r="B27">
            <v>10701</v>
          </cell>
          <cell r="C27">
            <v>172.87</v>
          </cell>
          <cell r="D27">
            <v>216.86</v>
          </cell>
          <cell r="E27">
            <v>531.9</v>
          </cell>
          <cell r="F27">
            <v>1784.72</v>
          </cell>
          <cell r="G27">
            <v>10074.15</v>
          </cell>
          <cell r="I27">
            <v>67551.3</v>
          </cell>
          <cell r="J27">
            <v>90685</v>
          </cell>
          <cell r="K27" t="str">
            <v>MP</v>
          </cell>
        </row>
        <row r="28">
          <cell r="A28" t="str">
            <v>992303-SLR</v>
          </cell>
          <cell r="B28">
            <v>10901</v>
          </cell>
          <cell r="C28">
            <v>202.73</v>
          </cell>
          <cell r="D28">
            <v>222.19</v>
          </cell>
          <cell r="E28">
            <v>530.25</v>
          </cell>
          <cell r="F28">
            <v>1808.64</v>
          </cell>
          <cell r="G28">
            <v>9660.5499999999993</v>
          </cell>
          <cell r="I28">
            <v>68579</v>
          </cell>
          <cell r="J28">
            <v>90097</v>
          </cell>
          <cell r="K28" t="str">
            <v>MP</v>
          </cell>
        </row>
        <row r="29">
          <cell r="A29" t="str">
            <v>992360-SLR</v>
          </cell>
          <cell r="B29">
            <v>10915</v>
          </cell>
          <cell r="C29">
            <v>5933.03</v>
          </cell>
          <cell r="D29">
            <v>165.42</v>
          </cell>
          <cell r="E29">
            <v>531.9</v>
          </cell>
          <cell r="F29">
            <v>992.51</v>
          </cell>
          <cell r="G29">
            <v>6873.64</v>
          </cell>
          <cell r="I29">
            <v>26595</v>
          </cell>
          <cell r="J29">
            <v>91365</v>
          </cell>
          <cell r="K29" t="str">
            <v>MP</v>
          </cell>
        </row>
        <row r="30">
          <cell r="A30" t="str">
            <v>992366-SLR</v>
          </cell>
          <cell r="B30">
            <v>10706</v>
          </cell>
          <cell r="C30">
            <v>150.37</v>
          </cell>
          <cell r="D30">
            <v>199.05</v>
          </cell>
          <cell r="E30">
            <v>531.9</v>
          </cell>
          <cell r="F30">
            <v>982.87</v>
          </cell>
          <cell r="G30">
            <v>4522.43</v>
          </cell>
          <cell r="I30">
            <v>31953.63</v>
          </cell>
          <cell r="J30">
            <v>90614</v>
          </cell>
          <cell r="K30" t="str">
            <v>MP</v>
          </cell>
        </row>
        <row r="31">
          <cell r="A31" t="str">
            <v>992370-SLR</v>
          </cell>
          <cell r="B31">
            <v>10846</v>
          </cell>
          <cell r="C31">
            <v>2122.6999999999998</v>
          </cell>
          <cell r="D31">
            <v>9483.6299999999992</v>
          </cell>
          <cell r="E31">
            <v>530.25</v>
          </cell>
          <cell r="F31">
            <v>19643.02</v>
          </cell>
          <cell r="G31">
            <v>43082.15</v>
          </cell>
          <cell r="I31">
            <v>850036.6</v>
          </cell>
          <cell r="J31">
            <v>91578</v>
          </cell>
          <cell r="K31" t="str">
            <v>MP</v>
          </cell>
        </row>
        <row r="32">
          <cell r="A32" t="str">
            <v>992376-SLR</v>
          </cell>
          <cell r="B32">
            <v>10784</v>
          </cell>
          <cell r="C32">
            <v>771.22</v>
          </cell>
          <cell r="D32">
            <v>314.89999999999998</v>
          </cell>
          <cell r="E32">
            <v>531.9</v>
          </cell>
          <cell r="F32">
            <v>249.92</v>
          </cell>
          <cell r="G32">
            <v>9063.2099999999991</v>
          </cell>
          <cell r="I32">
            <v>49265.04</v>
          </cell>
          <cell r="J32">
            <v>91700</v>
          </cell>
          <cell r="K32" t="str">
            <v>MP</v>
          </cell>
        </row>
        <row r="33">
          <cell r="A33" t="str">
            <v>992378-SLR</v>
          </cell>
          <cell r="B33">
            <v>10716</v>
          </cell>
          <cell r="C33">
            <v>210.54</v>
          </cell>
          <cell r="D33">
            <v>123.38</v>
          </cell>
          <cell r="E33">
            <v>531.9</v>
          </cell>
          <cell r="F33">
            <v>1123.6500000000001</v>
          </cell>
          <cell r="G33">
            <v>5398.37</v>
          </cell>
          <cell r="I33">
            <v>38225.879999999997</v>
          </cell>
          <cell r="J33">
            <v>91982</v>
          </cell>
          <cell r="K33" t="str">
            <v>MP</v>
          </cell>
        </row>
        <row r="34">
          <cell r="A34" t="str">
            <v>992388-SLR</v>
          </cell>
          <cell r="B34">
            <v>10668</v>
          </cell>
          <cell r="C34">
            <v>213.94</v>
          </cell>
          <cell r="D34">
            <v>789.4</v>
          </cell>
          <cell r="E34">
            <v>527.91</v>
          </cell>
          <cell r="F34">
            <v>3129.34</v>
          </cell>
          <cell r="G34">
            <v>6385.09</v>
          </cell>
          <cell r="I34">
            <v>126698.4</v>
          </cell>
          <cell r="J34">
            <v>93005</v>
          </cell>
          <cell r="K34" t="str">
            <v>MP</v>
          </cell>
        </row>
        <row r="35">
          <cell r="A35" t="str">
            <v>992399-SLR</v>
          </cell>
          <cell r="B35">
            <v>10666</v>
          </cell>
          <cell r="C35">
            <v>184.19</v>
          </cell>
          <cell r="D35">
            <v>198.16</v>
          </cell>
          <cell r="E35">
            <v>527.91</v>
          </cell>
          <cell r="F35">
            <v>977.33</v>
          </cell>
          <cell r="G35">
            <v>1602.85</v>
          </cell>
          <cell r="I35">
            <v>31674.6</v>
          </cell>
          <cell r="J35">
            <v>93005</v>
          </cell>
          <cell r="K35" t="str">
            <v>MP</v>
          </cell>
        </row>
        <row r="36">
          <cell r="A36" t="str">
            <v>992404-SLR</v>
          </cell>
          <cell r="B36">
            <v>10850</v>
          </cell>
          <cell r="C36">
            <v>3866.55</v>
          </cell>
          <cell r="D36">
            <v>1180.5999999999999</v>
          </cell>
          <cell r="E36">
            <v>530.25</v>
          </cell>
          <cell r="F36">
            <v>4640.29</v>
          </cell>
          <cell r="G36">
            <v>25331.21</v>
          </cell>
          <cell r="I36">
            <v>189808.29</v>
          </cell>
          <cell r="J36">
            <v>92107</v>
          </cell>
          <cell r="K36" t="str">
            <v>MP</v>
          </cell>
        </row>
        <row r="37">
          <cell r="A37" t="str">
            <v>992410-SLR</v>
          </cell>
          <cell r="B37">
            <v>10799</v>
          </cell>
          <cell r="C37">
            <v>333.51</v>
          </cell>
          <cell r="D37">
            <v>232.43</v>
          </cell>
          <cell r="E37">
            <v>536.76</v>
          </cell>
          <cell r="F37">
            <v>1890.38</v>
          </cell>
          <cell r="G37">
            <v>15253.71</v>
          </cell>
          <cell r="I37">
            <v>72070.77</v>
          </cell>
          <cell r="J37">
            <v>92217</v>
          </cell>
          <cell r="K37" t="str">
            <v>MP</v>
          </cell>
        </row>
        <row r="38">
          <cell r="A38" t="str">
            <v>992411-SLR</v>
          </cell>
          <cell r="B38">
            <v>10463</v>
          </cell>
          <cell r="C38">
            <v>4073.74</v>
          </cell>
          <cell r="D38">
            <v>91.66</v>
          </cell>
          <cell r="E38">
            <v>526.26</v>
          </cell>
          <cell r="F38">
            <v>896.46</v>
          </cell>
          <cell r="G38">
            <v>5407.94</v>
          </cell>
          <cell r="I38">
            <v>24297.42</v>
          </cell>
          <cell r="J38">
            <v>91990</v>
          </cell>
          <cell r="K38" t="str">
            <v>MP</v>
          </cell>
        </row>
        <row r="39">
          <cell r="A39" t="str">
            <v>992412-SLR</v>
          </cell>
          <cell r="B39">
            <v>10852</v>
          </cell>
          <cell r="C39">
            <v>220.29</v>
          </cell>
          <cell r="D39">
            <v>427.56</v>
          </cell>
          <cell r="E39">
            <v>530.25</v>
          </cell>
          <cell r="F39">
            <v>1815.41</v>
          </cell>
          <cell r="G39">
            <v>14554.03</v>
          </cell>
          <cell r="I39">
            <v>68657.05</v>
          </cell>
          <cell r="J39">
            <v>90614</v>
          </cell>
          <cell r="K39" t="str">
            <v>MP</v>
          </cell>
        </row>
        <row r="40">
          <cell r="A40" t="str">
            <v>992450-SLR</v>
          </cell>
          <cell r="B40">
            <v>10439</v>
          </cell>
          <cell r="C40">
            <v>225.54</v>
          </cell>
          <cell r="D40">
            <v>7.21</v>
          </cell>
          <cell r="E40">
            <v>526.26</v>
          </cell>
          <cell r="F40">
            <v>163.37</v>
          </cell>
          <cell r="G40">
            <v>264.48</v>
          </cell>
          <cell r="I40">
            <v>1157.77</v>
          </cell>
          <cell r="J40">
            <v>91462</v>
          </cell>
          <cell r="K40" t="str">
            <v>MP</v>
          </cell>
        </row>
        <row r="41">
          <cell r="A41" t="str">
            <v>992463-SLR</v>
          </cell>
          <cell r="B41">
            <v>10539</v>
          </cell>
          <cell r="C41">
            <v>212.43</v>
          </cell>
          <cell r="D41">
            <v>0.7</v>
          </cell>
          <cell r="E41">
            <v>522.36</v>
          </cell>
          <cell r="F41">
            <v>139.38</v>
          </cell>
          <cell r="G41">
            <v>61.93</v>
          </cell>
          <cell r="I41">
            <v>112.83</v>
          </cell>
          <cell r="J41">
            <v>90322</v>
          </cell>
          <cell r="K41" t="str">
            <v>MP</v>
          </cell>
        </row>
        <row r="42">
          <cell r="A42" t="str">
            <v>992468-SLR</v>
          </cell>
          <cell r="B42">
            <v>10484</v>
          </cell>
          <cell r="C42">
            <v>164.97</v>
          </cell>
          <cell r="D42">
            <v>144.03</v>
          </cell>
          <cell r="E42">
            <v>520.95000000000005</v>
          </cell>
          <cell r="F42">
            <v>778.74</v>
          </cell>
          <cell r="G42">
            <v>3252.31</v>
          </cell>
          <cell r="I42">
            <v>22921.8</v>
          </cell>
          <cell r="J42">
            <v>92167</v>
          </cell>
          <cell r="K42" t="str">
            <v>MP</v>
          </cell>
        </row>
        <row r="43">
          <cell r="A43" t="str">
            <v>992474-SLR</v>
          </cell>
          <cell r="B43">
            <v>10485</v>
          </cell>
          <cell r="C43">
            <v>217.06</v>
          </cell>
          <cell r="D43">
            <v>267.02</v>
          </cell>
          <cell r="E43">
            <v>520.95000000000005</v>
          </cell>
          <cell r="F43">
            <v>1235.99</v>
          </cell>
          <cell r="G43">
            <v>9146.07</v>
          </cell>
          <cell r="I43">
            <v>43068.4</v>
          </cell>
          <cell r="J43">
            <v>91349</v>
          </cell>
          <cell r="K43" t="str">
            <v>MP</v>
          </cell>
        </row>
        <row r="44">
          <cell r="A44" t="str">
            <v>992523-SLR</v>
          </cell>
          <cell r="B44">
            <v>10717</v>
          </cell>
          <cell r="C44">
            <v>210.54</v>
          </cell>
          <cell r="D44">
            <v>123.38</v>
          </cell>
          <cell r="E44">
            <v>531.9</v>
          </cell>
          <cell r="F44">
            <v>1123.6500000000001</v>
          </cell>
          <cell r="G44">
            <v>5398.37</v>
          </cell>
          <cell r="I44">
            <v>38225.879999999997</v>
          </cell>
          <cell r="J44">
            <v>91982</v>
          </cell>
          <cell r="K44" t="str">
            <v>MP</v>
          </cell>
        </row>
        <row r="45">
          <cell r="A45" t="str">
            <v>992543-SLR</v>
          </cell>
          <cell r="B45">
            <v>10483</v>
          </cell>
          <cell r="C45">
            <v>4204.26</v>
          </cell>
          <cell r="D45">
            <v>216.61</v>
          </cell>
          <cell r="E45">
            <v>520.95000000000005</v>
          </cell>
          <cell r="F45">
            <v>1141.6300000000001</v>
          </cell>
          <cell r="G45">
            <v>5374.95</v>
          </cell>
          <cell r="I45">
            <v>34938.400000000001</v>
          </cell>
          <cell r="J45">
            <v>91996</v>
          </cell>
          <cell r="K45" t="str">
            <v>MP</v>
          </cell>
        </row>
        <row r="46">
          <cell r="A46" t="str">
            <v>992569-SLR</v>
          </cell>
          <cell r="B46">
            <v>10705</v>
          </cell>
          <cell r="C46">
            <v>927.92</v>
          </cell>
          <cell r="D46">
            <v>58.15</v>
          </cell>
          <cell r="E46">
            <v>531.9</v>
          </cell>
          <cell r="F46">
            <v>687.13</v>
          </cell>
          <cell r="G46">
            <v>3640.27</v>
          </cell>
          <cell r="I46">
            <v>18173.25</v>
          </cell>
          <cell r="J46">
            <v>91934</v>
          </cell>
          <cell r="K46" t="str">
            <v>MP</v>
          </cell>
        </row>
        <row r="47">
          <cell r="A47" t="str">
            <v>992582-SLR</v>
          </cell>
          <cell r="B47">
            <v>10718</v>
          </cell>
          <cell r="C47">
            <v>195.03</v>
          </cell>
          <cell r="D47">
            <v>77.319999999999993</v>
          </cell>
          <cell r="E47">
            <v>531.9</v>
          </cell>
          <cell r="F47">
            <v>799.73</v>
          </cell>
          <cell r="G47">
            <v>3382.89</v>
          </cell>
          <cell r="I47">
            <v>23891.18</v>
          </cell>
          <cell r="J47">
            <v>91982</v>
          </cell>
          <cell r="K47" t="str">
            <v>MP</v>
          </cell>
        </row>
        <row r="48">
          <cell r="A48" t="str">
            <v>992597-SLR</v>
          </cell>
          <cell r="B48">
            <v>10704</v>
          </cell>
          <cell r="C48">
            <v>280.13</v>
          </cell>
          <cell r="D48">
            <v>74.34</v>
          </cell>
          <cell r="E48">
            <v>531.9</v>
          </cell>
          <cell r="F48">
            <v>786.78</v>
          </cell>
          <cell r="G48">
            <v>4953.45</v>
          </cell>
          <cell r="I48">
            <v>23233.39</v>
          </cell>
          <cell r="J48">
            <v>90506</v>
          </cell>
          <cell r="K48" t="str">
            <v>MP</v>
          </cell>
        </row>
        <row r="49">
          <cell r="A49" t="str">
            <v>992601-SLR</v>
          </cell>
          <cell r="B49">
            <v>10703</v>
          </cell>
          <cell r="C49">
            <v>468.19</v>
          </cell>
          <cell r="D49">
            <v>187.26</v>
          </cell>
          <cell r="E49">
            <v>531.9</v>
          </cell>
          <cell r="F49">
            <v>948.17</v>
          </cell>
          <cell r="G49">
            <v>922.83</v>
          </cell>
          <cell r="I49">
            <v>30105.54</v>
          </cell>
          <cell r="J49">
            <v>90117</v>
          </cell>
          <cell r="K49" t="str">
            <v>MP</v>
          </cell>
        </row>
        <row r="50">
          <cell r="A50" t="str">
            <v>992613-SLR</v>
          </cell>
          <cell r="B50">
            <v>10731</v>
          </cell>
          <cell r="C50">
            <v>699.23</v>
          </cell>
          <cell r="D50">
            <v>61.85</v>
          </cell>
          <cell r="E50">
            <v>533.49</v>
          </cell>
          <cell r="F50">
            <v>690.9</v>
          </cell>
          <cell r="G50">
            <v>3672.04</v>
          </cell>
          <cell r="I50">
            <v>18565.45</v>
          </cell>
          <cell r="J50">
            <v>92150</v>
          </cell>
          <cell r="K50" t="str">
            <v>MP</v>
          </cell>
        </row>
        <row r="51">
          <cell r="A51" t="str">
            <v>992634-SLR</v>
          </cell>
          <cell r="B51">
            <v>10802</v>
          </cell>
          <cell r="C51">
            <v>3515.25</v>
          </cell>
          <cell r="D51">
            <v>145.11000000000001</v>
          </cell>
          <cell r="E51">
            <v>533.49</v>
          </cell>
          <cell r="F51">
            <v>301.60000000000002</v>
          </cell>
          <cell r="G51">
            <v>4388.5200000000004</v>
          </cell>
          <cell r="I51">
            <v>19437.13</v>
          </cell>
          <cell r="J51">
            <v>91553</v>
          </cell>
          <cell r="K51" t="str">
            <v>MP</v>
          </cell>
        </row>
        <row r="52">
          <cell r="A52" t="str">
            <v>992642-SLR</v>
          </cell>
          <cell r="B52">
            <v>10452</v>
          </cell>
          <cell r="C52">
            <v>3104.41</v>
          </cell>
          <cell r="D52">
            <v>1472.91</v>
          </cell>
          <cell r="E52">
            <v>526.26</v>
          </cell>
          <cell r="F52">
            <v>5687.1</v>
          </cell>
          <cell r="G52">
            <v>31379.43</v>
          </cell>
          <cell r="I52">
            <v>236802.97</v>
          </cell>
          <cell r="J52">
            <v>92107</v>
          </cell>
          <cell r="K52" t="str">
            <v>MP</v>
          </cell>
        </row>
        <row r="53">
          <cell r="A53" t="str">
            <v>992648-SLR</v>
          </cell>
          <cell r="B53">
            <v>10926</v>
          </cell>
          <cell r="C53">
            <v>34909.33</v>
          </cell>
          <cell r="D53">
            <v>3647.56</v>
          </cell>
          <cell r="E53">
            <v>524.54999999999995</v>
          </cell>
          <cell r="F53">
            <v>0</v>
          </cell>
          <cell r="G53">
            <v>95343.76</v>
          </cell>
          <cell r="I53">
            <v>547868.42000000004</v>
          </cell>
          <cell r="J53">
            <v>92376</v>
          </cell>
          <cell r="K53" t="str">
            <v>MP</v>
          </cell>
        </row>
        <row r="54">
          <cell r="A54" t="str">
            <v>992651-SLR</v>
          </cell>
          <cell r="B54">
            <v>10482</v>
          </cell>
          <cell r="C54">
            <v>8630.41</v>
          </cell>
          <cell r="D54">
            <v>168.6</v>
          </cell>
          <cell r="E54">
            <v>520.95000000000005</v>
          </cell>
          <cell r="F54">
            <v>1065.8699999999999</v>
          </cell>
          <cell r="G54">
            <v>4319.0600000000004</v>
          </cell>
          <cell r="I54">
            <v>27193.21</v>
          </cell>
          <cell r="J54">
            <v>93086</v>
          </cell>
          <cell r="K54" t="str">
            <v>MP</v>
          </cell>
        </row>
        <row r="55">
          <cell r="A55" t="str">
            <v>992682-SLR</v>
          </cell>
          <cell r="B55">
            <v>10473</v>
          </cell>
          <cell r="C55">
            <v>230.18</v>
          </cell>
          <cell r="D55">
            <v>56.79</v>
          </cell>
          <cell r="E55">
            <v>524.4</v>
          </cell>
          <cell r="F55">
            <v>229.31</v>
          </cell>
          <cell r="G55">
            <v>267.97000000000003</v>
          </cell>
          <cell r="I55">
            <v>4733.7</v>
          </cell>
          <cell r="J55">
            <v>93013</v>
          </cell>
          <cell r="K55" t="str">
            <v>MP</v>
          </cell>
        </row>
        <row r="56">
          <cell r="A56" t="str">
            <v>992684-SLR</v>
          </cell>
          <cell r="B56">
            <v>10461</v>
          </cell>
          <cell r="C56">
            <v>158.84</v>
          </cell>
          <cell r="D56">
            <v>400.71</v>
          </cell>
          <cell r="E56">
            <v>526.26</v>
          </cell>
          <cell r="F56">
            <v>1710.26</v>
          </cell>
          <cell r="G56">
            <v>9048.44</v>
          </cell>
          <cell r="I56">
            <v>64072.160000000003</v>
          </cell>
          <cell r="J56">
            <v>90097</v>
          </cell>
          <cell r="K56" t="str">
            <v>MP</v>
          </cell>
        </row>
        <row r="57">
          <cell r="A57" t="str">
            <v>992687-SLR</v>
          </cell>
          <cell r="B57">
            <v>10732</v>
          </cell>
          <cell r="C57">
            <v>253.41</v>
          </cell>
          <cell r="D57">
            <v>98.41</v>
          </cell>
          <cell r="E57">
            <v>533.49</v>
          </cell>
          <cell r="F57">
            <v>950.17</v>
          </cell>
          <cell r="G57">
            <v>1320.52</v>
          </cell>
          <cell r="I57">
            <v>30497.85</v>
          </cell>
          <cell r="J57">
            <v>90083</v>
          </cell>
          <cell r="K57" t="str">
            <v>MP</v>
          </cell>
        </row>
        <row r="58">
          <cell r="A58" t="str">
            <v>992690-SLR</v>
          </cell>
          <cell r="B58">
            <v>10806</v>
          </cell>
          <cell r="C58">
            <v>212.47</v>
          </cell>
          <cell r="D58">
            <v>124.51</v>
          </cell>
          <cell r="E58">
            <v>536.76</v>
          </cell>
          <cell r="F58">
            <v>1131.57</v>
          </cell>
          <cell r="G58">
            <v>5447.7</v>
          </cell>
          <cell r="I58">
            <v>38575.15</v>
          </cell>
          <cell r="J58">
            <v>91982</v>
          </cell>
          <cell r="K58" t="str">
            <v>MP</v>
          </cell>
        </row>
        <row r="59">
          <cell r="A59" t="str">
            <v>992691-SLR</v>
          </cell>
          <cell r="B59">
            <v>10475</v>
          </cell>
          <cell r="C59">
            <v>4001.66</v>
          </cell>
          <cell r="D59">
            <v>100.07</v>
          </cell>
          <cell r="E59">
            <v>524.4</v>
          </cell>
          <cell r="F59">
            <v>618.04</v>
          </cell>
          <cell r="G59">
            <v>3069.99</v>
          </cell>
          <cell r="I59">
            <v>11986.74</v>
          </cell>
          <cell r="J59">
            <v>91365</v>
          </cell>
          <cell r="K59" t="str">
            <v>MP</v>
          </cell>
        </row>
        <row r="60">
          <cell r="A60" t="str">
            <v>992693-SLR</v>
          </cell>
          <cell r="B60">
            <v>10773</v>
          </cell>
          <cell r="C60">
            <v>218.28</v>
          </cell>
          <cell r="D60">
            <v>3.86</v>
          </cell>
          <cell r="E60">
            <v>536.76</v>
          </cell>
          <cell r="F60">
            <v>146.04</v>
          </cell>
          <cell r="G60">
            <v>118.14</v>
          </cell>
          <cell r="I60">
            <v>399.65</v>
          </cell>
          <cell r="J60">
            <v>90322</v>
          </cell>
          <cell r="K60" t="str">
            <v>MP</v>
          </cell>
        </row>
        <row r="61">
          <cell r="A61" t="str">
            <v>992697-SLR</v>
          </cell>
          <cell r="B61">
            <v>10855</v>
          </cell>
          <cell r="C61">
            <v>220.94</v>
          </cell>
          <cell r="D61">
            <v>440.46</v>
          </cell>
          <cell r="E61">
            <v>530.25</v>
          </cell>
          <cell r="F61">
            <v>1854.52</v>
          </cell>
          <cell r="G61">
            <v>9946.06</v>
          </cell>
          <cell r="I61">
            <v>70381.850000000006</v>
          </cell>
          <cell r="J61">
            <v>91324</v>
          </cell>
          <cell r="K61" t="str">
            <v>MP</v>
          </cell>
        </row>
        <row r="62">
          <cell r="A62" t="str">
            <v>992706-SLR</v>
          </cell>
          <cell r="B62">
            <v>10707</v>
          </cell>
          <cell r="C62">
            <v>289</v>
          </cell>
          <cell r="D62">
            <v>64.94</v>
          </cell>
          <cell r="E62">
            <v>531.9</v>
          </cell>
          <cell r="F62">
            <v>720.68</v>
          </cell>
          <cell r="G62">
            <v>1860.45</v>
          </cell>
          <cell r="I62">
            <v>20296.419999999998</v>
          </cell>
          <cell r="J62">
            <v>91750</v>
          </cell>
          <cell r="K62" t="str">
            <v>MP</v>
          </cell>
        </row>
        <row r="63">
          <cell r="A63" t="str">
            <v>992713-SLR</v>
          </cell>
          <cell r="B63">
            <v>10431</v>
          </cell>
          <cell r="C63">
            <v>1619.68</v>
          </cell>
          <cell r="D63">
            <v>932.53</v>
          </cell>
          <cell r="E63">
            <v>517.20000000000005</v>
          </cell>
          <cell r="F63">
            <v>3650.33</v>
          </cell>
          <cell r="G63">
            <v>17609.66</v>
          </cell>
          <cell r="I63">
            <v>148305.38</v>
          </cell>
          <cell r="J63">
            <v>93018</v>
          </cell>
          <cell r="K63" t="str">
            <v>MP</v>
          </cell>
        </row>
        <row r="64">
          <cell r="A64" t="str">
            <v>992716-SLR</v>
          </cell>
          <cell r="B64">
            <v>10662</v>
          </cell>
          <cell r="C64">
            <v>1345.99</v>
          </cell>
          <cell r="D64">
            <v>512.79</v>
          </cell>
          <cell r="E64">
            <v>527.91</v>
          </cell>
          <cell r="F64">
            <v>2111.84</v>
          </cell>
          <cell r="G64">
            <v>10722.33</v>
          </cell>
          <cell r="I64">
            <v>80620.66</v>
          </cell>
          <cell r="J64">
            <v>92107</v>
          </cell>
          <cell r="K64" t="str">
            <v>MP</v>
          </cell>
        </row>
        <row r="65">
          <cell r="A65" t="str">
            <v>992723-SLR</v>
          </cell>
          <cell r="B65">
            <v>10470</v>
          </cell>
          <cell r="C65">
            <v>306.99</v>
          </cell>
          <cell r="D65">
            <v>67.34</v>
          </cell>
          <cell r="E65">
            <v>526.26</v>
          </cell>
          <cell r="F65">
            <v>729.62</v>
          </cell>
          <cell r="G65">
            <v>2946.66</v>
          </cell>
          <cell r="I65">
            <v>20673.25</v>
          </cell>
          <cell r="J65">
            <v>91750</v>
          </cell>
          <cell r="K65" t="str">
            <v>MP</v>
          </cell>
        </row>
        <row r="66">
          <cell r="A66" t="str">
            <v>992726-SLR</v>
          </cell>
          <cell r="B66">
            <v>10808</v>
          </cell>
          <cell r="C66">
            <v>245.48</v>
          </cell>
          <cell r="D66">
            <v>97.28</v>
          </cell>
          <cell r="E66">
            <v>536.76</v>
          </cell>
          <cell r="F66">
            <v>940.08</v>
          </cell>
          <cell r="G66">
            <v>5472.22</v>
          </cell>
          <cell r="I66">
            <v>30058.560000000001</v>
          </cell>
          <cell r="J66">
            <v>90379</v>
          </cell>
          <cell r="K66" t="str">
            <v>MP</v>
          </cell>
        </row>
        <row r="67">
          <cell r="A67" t="str">
            <v>992733-SLR</v>
          </cell>
          <cell r="B67">
            <v>10730</v>
          </cell>
          <cell r="C67">
            <v>170.72</v>
          </cell>
          <cell r="D67">
            <v>208.38</v>
          </cell>
          <cell r="E67">
            <v>533.49</v>
          </cell>
          <cell r="F67">
            <v>1020.8</v>
          </cell>
          <cell r="G67">
            <v>4758.46</v>
          </cell>
          <cell r="I67">
            <v>33609.870000000003</v>
          </cell>
          <cell r="J67">
            <v>91874</v>
          </cell>
          <cell r="K67" t="str">
            <v>MP</v>
          </cell>
        </row>
        <row r="68">
          <cell r="A68" t="str">
            <v>992737-SLR</v>
          </cell>
          <cell r="B68">
            <v>10420</v>
          </cell>
          <cell r="C68">
            <v>525.73</v>
          </cell>
          <cell r="D68">
            <v>25.26</v>
          </cell>
          <cell r="E68">
            <v>524.4</v>
          </cell>
          <cell r="F68">
            <v>223.49</v>
          </cell>
          <cell r="G68">
            <v>772.19</v>
          </cell>
          <cell r="I68">
            <v>3513.14</v>
          </cell>
          <cell r="J68">
            <v>91304</v>
          </cell>
          <cell r="K68" t="str">
            <v>MP</v>
          </cell>
        </row>
        <row r="69">
          <cell r="A69" t="str">
            <v>992739-SLR</v>
          </cell>
          <cell r="B69">
            <v>10432</v>
          </cell>
          <cell r="C69">
            <v>800.15</v>
          </cell>
          <cell r="D69">
            <v>396.31</v>
          </cell>
          <cell r="E69">
            <v>524.4</v>
          </cell>
          <cell r="F69">
            <v>1716.55</v>
          </cell>
          <cell r="G69">
            <v>7436.83</v>
          </cell>
          <cell r="I69">
            <v>63714.6</v>
          </cell>
          <cell r="J69">
            <v>92271</v>
          </cell>
          <cell r="K69" t="str">
            <v>MP</v>
          </cell>
        </row>
        <row r="70">
          <cell r="A70" t="str">
            <v>992741-SLR</v>
          </cell>
          <cell r="B70">
            <v>10542</v>
          </cell>
          <cell r="C70">
            <v>168.46</v>
          </cell>
          <cell r="D70">
            <v>17.059999999999999</v>
          </cell>
          <cell r="E70">
            <v>522.36</v>
          </cell>
          <cell r="F70">
            <v>252.04</v>
          </cell>
          <cell r="G70">
            <v>746.61</v>
          </cell>
          <cell r="I70">
            <v>5147.42</v>
          </cell>
          <cell r="J70">
            <v>90485</v>
          </cell>
          <cell r="K70" t="str">
            <v>MP</v>
          </cell>
        </row>
        <row r="71">
          <cell r="A71" t="str">
            <v>992746=SLR</v>
          </cell>
          <cell r="B71">
            <v>10602</v>
          </cell>
          <cell r="C71">
            <v>225.63</v>
          </cell>
          <cell r="D71">
            <v>5.54</v>
          </cell>
          <cell r="E71">
            <v>524.73</v>
          </cell>
          <cell r="F71">
            <v>152.15</v>
          </cell>
          <cell r="G71">
            <v>169.84</v>
          </cell>
          <cell r="I71">
            <v>662.72</v>
          </cell>
          <cell r="J71">
            <v>90322</v>
          </cell>
          <cell r="K71" t="str">
            <v>MP</v>
          </cell>
        </row>
        <row r="72">
          <cell r="A72" t="str">
            <v>992748-SLR</v>
          </cell>
          <cell r="B72">
            <v>10421</v>
          </cell>
          <cell r="C72">
            <v>183.54</v>
          </cell>
          <cell r="D72">
            <v>35.24</v>
          </cell>
          <cell r="E72">
            <v>524.4</v>
          </cell>
          <cell r="F72">
            <v>506.84</v>
          </cell>
          <cell r="G72">
            <v>1527.84</v>
          </cell>
          <cell r="I72">
            <v>11012.4</v>
          </cell>
          <cell r="J72">
            <v>92190</v>
          </cell>
          <cell r="K72" t="str">
            <v>MP</v>
          </cell>
        </row>
        <row r="73">
          <cell r="A73" t="str">
            <v>992750-SLR</v>
          </cell>
          <cell r="B73">
            <v>10422</v>
          </cell>
          <cell r="C73">
            <v>189.05</v>
          </cell>
          <cell r="D73">
            <v>5.45</v>
          </cell>
          <cell r="E73">
            <v>515.58000000000004</v>
          </cell>
          <cell r="F73">
            <v>82.87</v>
          </cell>
          <cell r="G73">
            <v>208.74</v>
          </cell>
          <cell r="I73">
            <v>1509.36</v>
          </cell>
          <cell r="J73">
            <v>91974</v>
          </cell>
          <cell r="K73" t="str">
            <v>MP</v>
          </cell>
        </row>
        <row r="74">
          <cell r="A74" t="str">
            <v>992752-SLR</v>
          </cell>
          <cell r="B74">
            <v>10656</v>
          </cell>
          <cell r="C74">
            <v>154.97</v>
          </cell>
          <cell r="D74">
            <v>2.14</v>
          </cell>
          <cell r="E74">
            <v>522.36</v>
          </cell>
          <cell r="F74">
            <v>225</v>
          </cell>
          <cell r="G74">
            <v>41.6</v>
          </cell>
          <cell r="I74">
            <v>189.53</v>
          </cell>
          <cell r="J74">
            <v>93112</v>
          </cell>
          <cell r="K74" t="str">
            <v>MP</v>
          </cell>
        </row>
        <row r="75">
          <cell r="A75" t="str">
            <v>992754-SLR</v>
          </cell>
          <cell r="B75">
            <v>10657</v>
          </cell>
          <cell r="C75">
            <v>223.87</v>
          </cell>
          <cell r="D75">
            <v>7.14</v>
          </cell>
          <cell r="E75">
            <v>522.36</v>
          </cell>
          <cell r="F75">
            <v>225</v>
          </cell>
          <cell r="G75">
            <v>138.88</v>
          </cell>
          <cell r="I75">
            <v>926.32</v>
          </cell>
          <cell r="J75">
            <v>92285</v>
          </cell>
          <cell r="K75" t="str">
            <v>MP</v>
          </cell>
        </row>
        <row r="76">
          <cell r="A76" t="str">
            <v>992759-SLR</v>
          </cell>
          <cell r="B76">
            <v>10545</v>
          </cell>
          <cell r="C76">
            <v>213.82</v>
          </cell>
          <cell r="D76">
            <v>5.73</v>
          </cell>
          <cell r="E76">
            <v>522.36</v>
          </cell>
          <cell r="F76">
            <v>152.86000000000001</v>
          </cell>
          <cell r="G76">
            <v>129.46</v>
          </cell>
          <cell r="I76">
            <v>705.19</v>
          </cell>
          <cell r="J76">
            <v>93164</v>
          </cell>
          <cell r="K76" t="str">
            <v>MP</v>
          </cell>
        </row>
        <row r="77">
          <cell r="A77" t="str">
            <v>992760-SLR</v>
          </cell>
          <cell r="B77">
            <v>10548</v>
          </cell>
          <cell r="C77">
            <v>218.91</v>
          </cell>
          <cell r="D77">
            <v>23.4</v>
          </cell>
          <cell r="E77">
            <v>522.36</v>
          </cell>
          <cell r="F77">
            <v>222.12</v>
          </cell>
          <cell r="G77">
            <v>560.46</v>
          </cell>
          <cell r="I77">
            <v>3760.99</v>
          </cell>
          <cell r="J77">
            <v>93164</v>
          </cell>
          <cell r="K77" t="str">
            <v>MP</v>
          </cell>
        </row>
        <row r="78">
          <cell r="A78" t="str">
            <v>992761-SLR</v>
          </cell>
          <cell r="B78">
            <v>10425</v>
          </cell>
          <cell r="C78">
            <v>571.89</v>
          </cell>
          <cell r="D78">
            <v>2948.58</v>
          </cell>
          <cell r="E78">
            <v>515.58000000000004</v>
          </cell>
          <cell r="F78">
            <v>1504.35</v>
          </cell>
          <cell r="G78">
            <v>3974.89</v>
          </cell>
          <cell r="I78">
            <v>54565.47</v>
          </cell>
          <cell r="J78">
            <v>93020</v>
          </cell>
          <cell r="K78" t="str">
            <v>MP</v>
          </cell>
        </row>
        <row r="79">
          <cell r="A79" t="str">
            <v>992762-SLR</v>
          </cell>
          <cell r="B79">
            <v>10451</v>
          </cell>
          <cell r="C79">
            <v>1659.45</v>
          </cell>
          <cell r="D79">
            <v>740.78</v>
          </cell>
          <cell r="E79">
            <v>526.26</v>
          </cell>
          <cell r="F79">
            <v>2990.09</v>
          </cell>
          <cell r="G79">
            <v>15796.7</v>
          </cell>
          <cell r="I79">
            <v>119097.9</v>
          </cell>
          <cell r="J79">
            <v>92107</v>
          </cell>
          <cell r="K79" t="str">
            <v>MP</v>
          </cell>
        </row>
        <row r="80">
          <cell r="A80" t="str">
            <v>992764-SLR</v>
          </cell>
          <cell r="B80">
            <v>10522</v>
          </cell>
          <cell r="C80">
            <v>222.49</v>
          </cell>
          <cell r="D80">
            <v>2.94</v>
          </cell>
          <cell r="E80">
            <v>522.36</v>
          </cell>
          <cell r="F80">
            <v>142.38999999999999</v>
          </cell>
          <cell r="G80">
            <v>87.33</v>
          </cell>
          <cell r="I80">
            <v>234.2</v>
          </cell>
          <cell r="J80">
            <v>93030</v>
          </cell>
          <cell r="K80" t="str">
            <v>MP</v>
          </cell>
        </row>
        <row r="81">
          <cell r="A81" t="str">
            <v>992765-SLR</v>
          </cell>
          <cell r="B81">
            <v>10414</v>
          </cell>
          <cell r="C81">
            <v>1380.9</v>
          </cell>
          <cell r="D81">
            <v>54.38</v>
          </cell>
          <cell r="E81">
            <v>514.11</v>
          </cell>
          <cell r="F81">
            <v>398.49</v>
          </cell>
          <cell r="G81">
            <v>1468.52</v>
          </cell>
          <cell r="I81">
            <v>7361.37</v>
          </cell>
          <cell r="J81">
            <v>92003</v>
          </cell>
          <cell r="K81" t="str">
            <v>MP</v>
          </cell>
        </row>
        <row r="82">
          <cell r="A82" t="str">
            <v>992766-SLR</v>
          </cell>
          <cell r="B82">
            <v>10478</v>
          </cell>
          <cell r="C82">
            <v>156.88999999999999</v>
          </cell>
          <cell r="D82">
            <v>4.13</v>
          </cell>
          <cell r="E82">
            <v>520.95000000000005</v>
          </cell>
          <cell r="F82">
            <v>150.12</v>
          </cell>
          <cell r="G82">
            <v>152.63</v>
          </cell>
          <cell r="I82">
            <v>642.30999999999995</v>
          </cell>
          <cell r="J82">
            <v>90424</v>
          </cell>
          <cell r="K82" t="str">
            <v>MP</v>
          </cell>
        </row>
        <row r="83">
          <cell r="A83" t="str">
            <v>992767-SLR</v>
          </cell>
          <cell r="B83">
            <v>10528</v>
          </cell>
          <cell r="C83">
            <v>193.8</v>
          </cell>
          <cell r="D83">
            <v>86.81</v>
          </cell>
          <cell r="E83">
            <v>52095</v>
          </cell>
          <cell r="F83">
            <v>570.51</v>
          </cell>
          <cell r="G83">
            <v>2655.41</v>
          </cell>
          <cell r="I83">
            <v>13695.24</v>
          </cell>
          <cell r="J83">
            <v>90686</v>
          </cell>
          <cell r="K83" t="str">
            <v>MP</v>
          </cell>
        </row>
        <row r="84">
          <cell r="A84" t="str">
            <v>992768-SLR</v>
          </cell>
          <cell r="B84">
            <v>10586</v>
          </cell>
          <cell r="C84">
            <v>198.41</v>
          </cell>
          <cell r="D84">
            <v>13.37</v>
          </cell>
          <cell r="E84">
            <v>520.95000000000005</v>
          </cell>
          <cell r="F84">
            <v>183.54</v>
          </cell>
          <cell r="G84">
            <v>434.83</v>
          </cell>
          <cell r="I84">
            <v>2076.8000000000002</v>
          </cell>
          <cell r="J84">
            <v>92109</v>
          </cell>
          <cell r="K84" t="str">
            <v>MP</v>
          </cell>
        </row>
        <row r="85">
          <cell r="A85" t="str">
            <v>992769-SLR</v>
          </cell>
          <cell r="B85">
            <v>10440</v>
          </cell>
          <cell r="C85">
            <v>91.4</v>
          </cell>
          <cell r="D85">
            <v>9.1199999999999992</v>
          </cell>
          <cell r="E85">
            <v>526.26</v>
          </cell>
          <cell r="F85">
            <v>159.57</v>
          </cell>
          <cell r="G85">
            <v>256.87</v>
          </cell>
          <cell r="I85">
            <v>1122.69</v>
          </cell>
          <cell r="J85">
            <v>90593</v>
          </cell>
          <cell r="K85" t="str">
            <v>MP</v>
          </cell>
        </row>
        <row r="86">
          <cell r="A86" t="str">
            <v>992770-SLR</v>
          </cell>
          <cell r="B86">
            <v>10523</v>
          </cell>
          <cell r="C86">
            <v>257.61</v>
          </cell>
          <cell r="D86">
            <v>22.25</v>
          </cell>
          <cell r="E86">
            <v>522.36</v>
          </cell>
          <cell r="F86">
            <v>179.66</v>
          </cell>
          <cell r="G86">
            <v>402.07</v>
          </cell>
          <cell r="I86">
            <v>1833.17</v>
          </cell>
          <cell r="J86">
            <v>93235</v>
          </cell>
          <cell r="K86" t="str">
            <v>MP</v>
          </cell>
        </row>
        <row r="87">
          <cell r="A87" t="str">
            <v>992772-SLR</v>
          </cell>
          <cell r="B87">
            <v>10423</v>
          </cell>
          <cell r="C87">
            <v>299.92</v>
          </cell>
          <cell r="D87">
            <v>4.7</v>
          </cell>
          <cell r="E87">
            <v>524.4</v>
          </cell>
          <cell r="F87">
            <v>175.35</v>
          </cell>
          <cell r="G87">
            <v>269.42</v>
          </cell>
          <cell r="I87">
            <v>1619.83</v>
          </cell>
          <cell r="J87">
            <v>93008</v>
          </cell>
          <cell r="K87" t="str">
            <v>MP</v>
          </cell>
        </row>
        <row r="88">
          <cell r="A88" t="str">
            <v>992776-SLR</v>
          </cell>
          <cell r="B88">
            <v>10434</v>
          </cell>
          <cell r="C88">
            <v>462.85</v>
          </cell>
          <cell r="D88">
            <v>32.950000000000003</v>
          </cell>
          <cell r="E88">
            <v>0</v>
          </cell>
          <cell r="F88">
            <v>0</v>
          </cell>
          <cell r="G88">
            <v>1019.71</v>
          </cell>
          <cell r="I88">
            <v>4871.08</v>
          </cell>
          <cell r="J88">
            <v>93006</v>
          </cell>
          <cell r="K88" t="str">
            <v>MP</v>
          </cell>
        </row>
        <row r="89">
          <cell r="A89" t="str">
            <v>992778-SLR</v>
          </cell>
          <cell r="B89">
            <v>10441</v>
          </cell>
          <cell r="C89">
            <v>356.1</v>
          </cell>
          <cell r="D89">
            <v>75.13</v>
          </cell>
          <cell r="E89">
            <v>526.26</v>
          </cell>
          <cell r="F89">
            <v>794.02</v>
          </cell>
          <cell r="G89">
            <v>3347.38</v>
          </cell>
          <cell r="I89">
            <v>23478.65</v>
          </cell>
          <cell r="J89">
            <v>91750</v>
          </cell>
          <cell r="K89" t="str">
            <v>MP</v>
          </cell>
        </row>
        <row r="90">
          <cell r="A90" t="str">
            <v>992781-SLR</v>
          </cell>
          <cell r="B90">
            <v>10435</v>
          </cell>
          <cell r="C90">
            <v>2114.69</v>
          </cell>
          <cell r="D90">
            <v>50.69</v>
          </cell>
          <cell r="E90">
            <v>517.20000000000005</v>
          </cell>
          <cell r="F90">
            <v>428.25</v>
          </cell>
          <cell r="G90">
            <v>1711.01</v>
          </cell>
          <cell r="I90">
            <v>5982.28</v>
          </cell>
          <cell r="J90">
            <v>93054</v>
          </cell>
          <cell r="K90" t="str">
            <v>MP</v>
          </cell>
        </row>
        <row r="91">
          <cell r="A91" t="str">
            <v>992783-SLR</v>
          </cell>
          <cell r="B91">
            <v>10426</v>
          </cell>
          <cell r="C91">
            <v>994.14</v>
          </cell>
          <cell r="D91">
            <v>201.02</v>
          </cell>
          <cell r="E91">
            <v>515.58000000000004</v>
          </cell>
          <cell r="F91">
            <v>1669.47</v>
          </cell>
          <cell r="G91">
            <v>13070.22</v>
          </cell>
          <cell r="I91">
            <v>61623.839999999997</v>
          </cell>
          <cell r="J91">
            <v>90506</v>
          </cell>
          <cell r="K91" t="str">
            <v>MP</v>
          </cell>
        </row>
        <row r="92">
          <cell r="A92" t="str">
            <v>992784-SLR</v>
          </cell>
          <cell r="B92">
            <v>10964</v>
          </cell>
          <cell r="C92">
            <v>441.61</v>
          </cell>
          <cell r="D92">
            <v>3607.85</v>
          </cell>
          <cell r="E92">
            <v>529.08000000000004</v>
          </cell>
          <cell r="F92">
            <v>13349.04</v>
          </cell>
          <cell r="G92">
            <v>81467.490000000005</v>
          </cell>
          <cell r="I92">
            <v>577861.18000000005</v>
          </cell>
          <cell r="J92">
            <v>90097</v>
          </cell>
          <cell r="K92" t="str">
            <v>MP</v>
          </cell>
        </row>
        <row r="93">
          <cell r="A93" t="str">
            <v>992785-SLR</v>
          </cell>
          <cell r="B93">
            <v>10655</v>
          </cell>
          <cell r="C93">
            <v>280.77</v>
          </cell>
          <cell r="D93">
            <v>9.6999999999999993</v>
          </cell>
          <cell r="E93">
            <v>522.36</v>
          </cell>
          <cell r="F93">
            <v>225</v>
          </cell>
          <cell r="G93">
            <v>576.24</v>
          </cell>
          <cell r="I93">
            <v>2742.39</v>
          </cell>
          <cell r="J93">
            <v>91178</v>
          </cell>
          <cell r="K93" t="str">
            <v>MP</v>
          </cell>
        </row>
        <row r="94">
          <cell r="A94" t="str">
            <v>992786-SLR</v>
          </cell>
          <cell r="B94">
            <v>10460</v>
          </cell>
          <cell r="C94">
            <v>272.74</v>
          </cell>
          <cell r="D94">
            <v>59.32</v>
          </cell>
          <cell r="E94">
            <v>517.20000000000005</v>
          </cell>
          <cell r="F94">
            <v>673.14</v>
          </cell>
          <cell r="G94">
            <v>3892.88</v>
          </cell>
          <cell r="I94">
            <v>18205.439999999999</v>
          </cell>
          <cell r="J94">
            <v>90639</v>
          </cell>
          <cell r="K94" t="str">
            <v>MP</v>
          </cell>
        </row>
        <row r="95">
          <cell r="A95" t="str">
            <v>992787-SLR</v>
          </cell>
          <cell r="B95">
            <v>10868</v>
          </cell>
          <cell r="C95">
            <v>980.22</v>
          </cell>
          <cell r="D95">
            <v>763.81</v>
          </cell>
          <cell r="E95">
            <v>528.15</v>
          </cell>
          <cell r="F95">
            <v>3044.45</v>
          </cell>
          <cell r="G95">
            <v>6196.44</v>
          </cell>
          <cell r="I95">
            <v>122184.76</v>
          </cell>
          <cell r="J95">
            <v>91578</v>
          </cell>
          <cell r="K95" t="str">
            <v>MP</v>
          </cell>
        </row>
        <row r="96">
          <cell r="A96" t="str">
            <v>992788-SLR</v>
          </cell>
          <cell r="B96">
            <v>10444</v>
          </cell>
          <cell r="C96">
            <v>162.26</v>
          </cell>
          <cell r="D96">
            <v>137.25</v>
          </cell>
          <cell r="E96">
            <v>526.26</v>
          </cell>
          <cell r="F96">
            <v>1227.8699999999999</v>
          </cell>
          <cell r="G96">
            <v>5251.03</v>
          </cell>
          <cell r="I96">
            <v>42892.15</v>
          </cell>
          <cell r="J96">
            <v>90062</v>
          </cell>
          <cell r="K96" t="str">
            <v>MP</v>
          </cell>
        </row>
        <row r="97">
          <cell r="A97" t="str">
            <v>992792-SLR</v>
          </cell>
          <cell r="B97">
            <v>10549</v>
          </cell>
          <cell r="C97">
            <v>191.53</v>
          </cell>
          <cell r="D97">
            <v>30.8</v>
          </cell>
          <cell r="E97">
            <v>522.36</v>
          </cell>
          <cell r="F97">
            <v>435.36</v>
          </cell>
          <cell r="G97">
            <v>2021.21</v>
          </cell>
          <cell r="I97">
            <v>9402.48</v>
          </cell>
          <cell r="J97">
            <v>91981</v>
          </cell>
          <cell r="K97" t="str">
            <v>MP</v>
          </cell>
        </row>
        <row r="98">
          <cell r="A98" t="str">
            <v>992793-SLR</v>
          </cell>
          <cell r="B98">
            <v>10658</v>
          </cell>
          <cell r="C98">
            <v>182.83</v>
          </cell>
          <cell r="D98">
            <v>8.9700000000000006</v>
          </cell>
          <cell r="E98">
            <v>522.36</v>
          </cell>
          <cell r="F98">
            <v>225</v>
          </cell>
          <cell r="G98">
            <v>202.36</v>
          </cell>
          <cell r="I98">
            <v>1253.6600000000001</v>
          </cell>
          <cell r="J98">
            <v>93192</v>
          </cell>
          <cell r="K98" t="str">
            <v>MP</v>
          </cell>
        </row>
        <row r="99">
          <cell r="A99" t="str">
            <v>992804-SLR</v>
          </cell>
          <cell r="B99">
            <v>10963</v>
          </cell>
          <cell r="C99">
            <v>296.89</v>
          </cell>
          <cell r="D99">
            <v>19.87</v>
          </cell>
          <cell r="E99">
            <v>520.95000000000005</v>
          </cell>
          <cell r="F99">
            <v>208.89</v>
          </cell>
          <cell r="G99">
            <v>629.54999999999995</v>
          </cell>
          <cell r="I99">
            <v>3098.33</v>
          </cell>
          <cell r="J99">
            <v>93055</v>
          </cell>
          <cell r="K99" t="str">
            <v>MP</v>
          </cell>
        </row>
        <row r="100">
          <cell r="A100" t="str">
            <v>992808-SLR</v>
          </cell>
          <cell r="B100">
            <v>10488</v>
          </cell>
          <cell r="C100">
            <v>190.49</v>
          </cell>
          <cell r="D100">
            <v>5.26</v>
          </cell>
          <cell r="E100">
            <v>520.95000000000005</v>
          </cell>
          <cell r="F100">
            <v>151.13</v>
          </cell>
          <cell r="G100">
            <v>161.15</v>
          </cell>
          <cell r="I100">
            <v>652.4</v>
          </cell>
          <cell r="J100">
            <v>90402</v>
          </cell>
          <cell r="K100" t="str">
            <v>MP</v>
          </cell>
        </row>
        <row r="101">
          <cell r="A101" t="str">
            <v>992809-SLR</v>
          </cell>
          <cell r="B101">
            <v>10527</v>
          </cell>
          <cell r="C101">
            <v>174.12</v>
          </cell>
          <cell r="D101">
            <v>29.34</v>
          </cell>
          <cell r="E101">
            <v>522.36</v>
          </cell>
          <cell r="F101">
            <v>415.14</v>
          </cell>
          <cell r="G101">
            <v>1283.8900000000001</v>
          </cell>
          <cell r="I101">
            <v>8967.18</v>
          </cell>
          <cell r="J101">
            <v>90083</v>
          </cell>
          <cell r="K101" t="str">
            <v>MP</v>
          </cell>
        </row>
        <row r="102">
          <cell r="A102" t="str">
            <v>992810-SLR</v>
          </cell>
          <cell r="B102">
            <v>10574</v>
          </cell>
          <cell r="C102">
            <v>171.94</v>
          </cell>
          <cell r="D102">
            <v>10.050000000000001</v>
          </cell>
          <cell r="E102">
            <v>522.36</v>
          </cell>
          <cell r="F102">
            <v>202.74</v>
          </cell>
          <cell r="G102">
            <v>439.88</v>
          </cell>
          <cell r="I102">
            <v>2960.04</v>
          </cell>
          <cell r="J102">
            <v>90061</v>
          </cell>
          <cell r="K102" t="str">
            <v>MP</v>
          </cell>
        </row>
        <row r="103">
          <cell r="A103" t="str">
            <v>992812-SLR</v>
          </cell>
          <cell r="B103">
            <v>10436</v>
          </cell>
          <cell r="C103">
            <v>500.94</v>
          </cell>
          <cell r="D103">
            <v>69.67</v>
          </cell>
          <cell r="E103">
            <v>517.20000000000005</v>
          </cell>
          <cell r="F103">
            <v>504.66</v>
          </cell>
          <cell r="G103">
            <v>2320.38</v>
          </cell>
          <cell r="I103">
            <v>10478.84</v>
          </cell>
          <cell r="J103">
            <v>92088</v>
          </cell>
          <cell r="K103" t="str">
            <v>MP</v>
          </cell>
        </row>
        <row r="104">
          <cell r="A104" t="str">
            <v>992814-SLR</v>
          </cell>
          <cell r="B104">
            <v>10858</v>
          </cell>
          <cell r="C104">
            <v>558.48</v>
          </cell>
          <cell r="D104">
            <v>228.71</v>
          </cell>
          <cell r="E104">
            <v>530.25</v>
          </cell>
          <cell r="F104">
            <v>1088.53</v>
          </cell>
          <cell r="G104">
            <v>1849.95</v>
          </cell>
          <cell r="I104">
            <v>36211.83</v>
          </cell>
          <cell r="J104">
            <v>91578</v>
          </cell>
          <cell r="K104" t="str">
            <v>MP</v>
          </cell>
        </row>
        <row r="105">
          <cell r="A105" t="str">
            <v>992820-SLR</v>
          </cell>
          <cell r="B105">
            <v>10818</v>
          </cell>
          <cell r="C105">
            <v>0</v>
          </cell>
          <cell r="D105">
            <v>0</v>
          </cell>
          <cell r="E105">
            <v>0</v>
          </cell>
          <cell r="F105">
            <v>16.84</v>
          </cell>
          <cell r="G105">
            <v>216.87</v>
          </cell>
          <cell r="I105">
            <v>361.45</v>
          </cell>
          <cell r="J105">
            <v>90971</v>
          </cell>
          <cell r="K105" t="str">
            <v>MP</v>
          </cell>
        </row>
        <row r="106">
          <cell r="A106" t="str">
            <v>992821-SLR</v>
          </cell>
          <cell r="B106">
            <v>10428</v>
          </cell>
          <cell r="C106">
            <v>462.97</v>
          </cell>
          <cell r="D106">
            <v>13.37</v>
          </cell>
          <cell r="E106">
            <v>514.11</v>
          </cell>
          <cell r="F106">
            <v>179.48</v>
          </cell>
          <cell r="G106">
            <v>400.51</v>
          </cell>
          <cell r="I106">
            <v>1631.63</v>
          </cell>
          <cell r="J106">
            <v>90257</v>
          </cell>
          <cell r="K106" t="str">
            <v>MP</v>
          </cell>
        </row>
        <row r="107">
          <cell r="A107" t="str">
            <v>992822-SLR</v>
          </cell>
          <cell r="B107">
            <v>10568</v>
          </cell>
          <cell r="C107">
            <v>182.83</v>
          </cell>
          <cell r="D107">
            <v>21.23</v>
          </cell>
          <cell r="E107">
            <v>522.36</v>
          </cell>
          <cell r="F107">
            <v>302.27</v>
          </cell>
          <cell r="G107">
            <v>928.8</v>
          </cell>
          <cell r="I107">
            <v>6430.25</v>
          </cell>
          <cell r="J107">
            <v>91750</v>
          </cell>
          <cell r="K107" t="str">
            <v>MP</v>
          </cell>
        </row>
        <row r="108">
          <cell r="A108" t="str">
            <v>992824-SLR</v>
          </cell>
          <cell r="B108">
            <v>10424</v>
          </cell>
          <cell r="C108">
            <v>248.75</v>
          </cell>
          <cell r="D108">
            <v>26.5</v>
          </cell>
          <cell r="E108">
            <v>524.4</v>
          </cell>
          <cell r="F108">
            <v>229.22</v>
          </cell>
          <cell r="G108">
            <v>820.54</v>
          </cell>
          <cell r="I108">
            <v>4043.38</v>
          </cell>
          <cell r="J108">
            <v>90809</v>
          </cell>
          <cell r="K108" t="str">
            <v>MP</v>
          </cell>
        </row>
        <row r="109">
          <cell r="A109" t="str">
            <v>992825-SLR</v>
          </cell>
          <cell r="B109">
            <v>10604</v>
          </cell>
          <cell r="C109">
            <v>355.7</v>
          </cell>
          <cell r="D109">
            <v>57.37</v>
          </cell>
          <cell r="E109">
            <v>524.37</v>
          </cell>
          <cell r="F109">
            <v>659.11</v>
          </cell>
          <cell r="G109">
            <v>1357.23</v>
          </cell>
          <cell r="I109">
            <v>17569.89</v>
          </cell>
          <cell r="J109">
            <v>91591</v>
          </cell>
          <cell r="K109" t="str">
            <v>MP</v>
          </cell>
        </row>
        <row r="110">
          <cell r="A110" t="str">
            <v>992826-SLR</v>
          </cell>
          <cell r="B110">
            <v>10419</v>
          </cell>
          <cell r="C110">
            <v>124807.72</v>
          </cell>
          <cell r="D110">
            <v>925.2</v>
          </cell>
          <cell r="E110">
            <v>517.20000000000005</v>
          </cell>
          <cell r="F110">
            <v>3623.72</v>
          </cell>
          <cell r="G110">
            <v>17960.89</v>
          </cell>
          <cell r="I110">
            <v>23941.15</v>
          </cell>
          <cell r="J110">
            <v>93086</v>
          </cell>
          <cell r="K110" t="str">
            <v>MP</v>
          </cell>
        </row>
        <row r="111">
          <cell r="A111" t="str">
            <v>992827-SLR</v>
          </cell>
          <cell r="B111">
            <v>10457</v>
          </cell>
          <cell r="C111">
            <v>84264.44</v>
          </cell>
          <cell r="D111">
            <v>130.83000000000001</v>
          </cell>
          <cell r="E111">
            <v>526.26</v>
          </cell>
          <cell r="F111">
            <v>2629.7</v>
          </cell>
          <cell r="G111">
            <v>12659.48</v>
          </cell>
          <cell r="I111">
            <v>21100.39</v>
          </cell>
          <cell r="J111">
            <v>93086</v>
          </cell>
          <cell r="K111" t="str">
            <v>MP</v>
          </cell>
        </row>
        <row r="112">
          <cell r="A112" t="str">
            <v>992828-SLR</v>
          </cell>
          <cell r="B112">
            <v>10458</v>
          </cell>
          <cell r="C112">
            <v>125712.65</v>
          </cell>
          <cell r="D112">
            <v>149.51</v>
          </cell>
          <cell r="E112">
            <v>526.26</v>
          </cell>
          <cell r="F112">
            <v>3630.53</v>
          </cell>
          <cell r="G112">
            <v>17997.23</v>
          </cell>
          <cell r="I112">
            <v>24114.74</v>
          </cell>
          <cell r="J112">
            <v>93086</v>
          </cell>
          <cell r="K112" t="str">
            <v>MP</v>
          </cell>
        </row>
        <row r="113">
          <cell r="A113" t="str">
            <v>992829-SLR</v>
          </cell>
          <cell r="B113">
            <v>10552</v>
          </cell>
          <cell r="C113">
            <v>514.28</v>
          </cell>
          <cell r="D113">
            <v>7.47</v>
          </cell>
          <cell r="E113">
            <v>522.36</v>
          </cell>
          <cell r="F113">
            <v>159.15</v>
          </cell>
          <cell r="G113">
            <v>144.52000000000001</v>
          </cell>
          <cell r="I113">
            <v>682.62</v>
          </cell>
          <cell r="J113">
            <v>92253</v>
          </cell>
          <cell r="K113" t="str">
            <v>MP</v>
          </cell>
        </row>
        <row r="114">
          <cell r="A114" t="str">
            <v>992830-SLR</v>
          </cell>
          <cell r="B114">
            <v>10587</v>
          </cell>
          <cell r="C114">
            <v>191.01</v>
          </cell>
          <cell r="D114">
            <v>5.59</v>
          </cell>
          <cell r="E114">
            <v>522.36</v>
          </cell>
          <cell r="F114">
            <v>171.38</v>
          </cell>
          <cell r="G114">
            <v>332.09</v>
          </cell>
          <cell r="I114">
            <v>1551.24</v>
          </cell>
          <cell r="J114">
            <v>90402</v>
          </cell>
          <cell r="K114" t="str">
            <v>MP</v>
          </cell>
        </row>
        <row r="115">
          <cell r="A115" t="str">
            <v>992831-SLR</v>
          </cell>
          <cell r="B115">
            <v>10490</v>
          </cell>
          <cell r="C115">
            <v>279.26</v>
          </cell>
          <cell r="D115">
            <v>5.7</v>
          </cell>
          <cell r="E115">
            <v>520.95000000000005</v>
          </cell>
          <cell r="F115">
            <v>152.59</v>
          </cell>
          <cell r="G115">
            <v>118.66</v>
          </cell>
          <cell r="I115">
            <v>627.78</v>
          </cell>
          <cell r="J115">
            <v>90131</v>
          </cell>
          <cell r="K115" t="str">
            <v>MP</v>
          </cell>
        </row>
        <row r="116">
          <cell r="A116" t="str">
            <v>992832-SLR</v>
          </cell>
          <cell r="B116">
            <v>10437</v>
          </cell>
          <cell r="C116">
            <v>105.51</v>
          </cell>
          <cell r="D116">
            <v>13.9</v>
          </cell>
          <cell r="E116">
            <v>517.20000000000005</v>
          </cell>
          <cell r="F116">
            <v>182.34</v>
          </cell>
          <cell r="G116">
            <v>332.29</v>
          </cell>
          <cell r="I116">
            <v>2115.52</v>
          </cell>
          <cell r="J116">
            <v>92003</v>
          </cell>
          <cell r="K116" t="str">
            <v>MP</v>
          </cell>
        </row>
        <row r="117">
          <cell r="A117" t="str">
            <v>992833-SLR</v>
          </cell>
          <cell r="B117">
            <v>10450</v>
          </cell>
          <cell r="C117">
            <v>171.03</v>
          </cell>
          <cell r="D117">
            <v>3.51</v>
          </cell>
          <cell r="E117">
            <v>526.26</v>
          </cell>
          <cell r="F117">
            <v>160.63999999999999</v>
          </cell>
          <cell r="G117">
            <v>177.88</v>
          </cell>
          <cell r="I117">
            <v>1095.5</v>
          </cell>
          <cell r="J117">
            <v>90651</v>
          </cell>
          <cell r="K117" t="str">
            <v>MP</v>
          </cell>
        </row>
        <row r="118">
          <cell r="A118" t="str">
            <v>992834-SLR</v>
          </cell>
          <cell r="B118">
            <v>10455</v>
          </cell>
          <cell r="C118">
            <v>9124.4</v>
          </cell>
          <cell r="D118">
            <v>285.86</v>
          </cell>
          <cell r="E118">
            <v>526.26</v>
          </cell>
          <cell r="F118">
            <v>1367.69</v>
          </cell>
          <cell r="G118">
            <v>9387.14</v>
          </cell>
          <cell r="I118">
            <v>39995.760000000002</v>
          </cell>
          <cell r="J118">
            <v>92373</v>
          </cell>
          <cell r="K118" t="str">
            <v>MP</v>
          </cell>
        </row>
        <row r="119">
          <cell r="A119" t="str">
            <v>992835-SLR</v>
          </cell>
          <cell r="B119">
            <v>10532</v>
          </cell>
          <cell r="C119">
            <v>159.76</v>
          </cell>
          <cell r="D119">
            <v>4.91</v>
          </cell>
          <cell r="E119">
            <v>520.95000000000005</v>
          </cell>
          <cell r="F119">
            <v>170.08</v>
          </cell>
          <cell r="G119">
            <v>202.8</v>
          </cell>
          <cell r="I119">
            <v>1525.34</v>
          </cell>
          <cell r="J119">
            <v>92001</v>
          </cell>
          <cell r="K119" t="str">
            <v>MP</v>
          </cell>
        </row>
        <row r="120">
          <cell r="A120" t="str">
            <v>992836-SLR</v>
          </cell>
          <cell r="B120">
            <v>10492</v>
          </cell>
          <cell r="C120">
            <v>191.25</v>
          </cell>
          <cell r="D120">
            <v>27.65</v>
          </cell>
          <cell r="E120">
            <v>520.95000000000005</v>
          </cell>
          <cell r="F120">
            <v>237</v>
          </cell>
          <cell r="G120">
            <v>653.01</v>
          </cell>
          <cell r="I120">
            <v>4445.4399999999996</v>
          </cell>
          <cell r="J120">
            <v>90503</v>
          </cell>
          <cell r="K120" t="str">
            <v>MP</v>
          </cell>
        </row>
        <row r="121">
          <cell r="A121" t="str">
            <v>992837-SLR</v>
          </cell>
          <cell r="B121">
            <v>10443</v>
          </cell>
          <cell r="C121">
            <v>2240.11</v>
          </cell>
          <cell r="D121">
            <v>0.88</v>
          </cell>
          <cell r="E121">
            <v>526.26</v>
          </cell>
          <cell r="F121">
            <v>197.11</v>
          </cell>
          <cell r="G121">
            <v>549.36</v>
          </cell>
          <cell r="I121">
            <v>647.29999999999995</v>
          </cell>
          <cell r="J121">
            <v>91395</v>
          </cell>
          <cell r="K121" t="str">
            <v>MP</v>
          </cell>
        </row>
        <row r="122">
          <cell r="A122" t="str">
            <v>992838-SLR</v>
          </cell>
          <cell r="B122">
            <v>10555</v>
          </cell>
          <cell r="C122">
            <v>4120.1000000000004</v>
          </cell>
          <cell r="D122">
            <v>44.05</v>
          </cell>
          <cell r="E122">
            <v>522.36</v>
          </cell>
          <cell r="F122">
            <v>565.84</v>
          </cell>
          <cell r="G122">
            <v>2891.41</v>
          </cell>
          <cell r="I122">
            <v>9604.4599999999991</v>
          </cell>
          <cell r="J122">
            <v>90487</v>
          </cell>
          <cell r="K122" t="str">
            <v>MP</v>
          </cell>
        </row>
        <row r="123">
          <cell r="A123" t="str">
            <v>992839-SLR</v>
          </cell>
          <cell r="B123">
            <v>10531</v>
          </cell>
          <cell r="C123">
            <v>182.33</v>
          </cell>
          <cell r="D123">
            <v>7.88</v>
          </cell>
          <cell r="E123">
            <v>520.95000000000005</v>
          </cell>
          <cell r="F123">
            <v>160.65</v>
          </cell>
          <cell r="G123">
            <v>177.97</v>
          </cell>
          <cell r="I123">
            <v>1080.97</v>
          </cell>
          <cell r="J123">
            <v>92166</v>
          </cell>
          <cell r="K123" t="str">
            <v>MP</v>
          </cell>
        </row>
        <row r="124">
          <cell r="A124" t="str">
            <v>992840-SLR</v>
          </cell>
          <cell r="B124">
            <v>10448</v>
          </cell>
          <cell r="C124">
            <v>450.71</v>
          </cell>
          <cell r="D124">
            <v>46.66</v>
          </cell>
          <cell r="E124">
            <v>526.26</v>
          </cell>
          <cell r="F124">
            <v>363.15</v>
          </cell>
          <cell r="G124">
            <v>927.88</v>
          </cell>
          <cell r="I124">
            <v>7501.04</v>
          </cell>
          <cell r="J124">
            <v>93021</v>
          </cell>
          <cell r="K124" t="str">
            <v>MP</v>
          </cell>
        </row>
        <row r="125">
          <cell r="A125" t="str">
            <v>992841-SLR</v>
          </cell>
          <cell r="B125">
            <v>10577</v>
          </cell>
          <cell r="C125">
            <v>254.52</v>
          </cell>
          <cell r="D125">
            <v>7.72</v>
          </cell>
          <cell r="E125">
            <v>526.26</v>
          </cell>
          <cell r="F125">
            <v>160.05000000000001</v>
          </cell>
          <cell r="G125">
            <v>236.47</v>
          </cell>
          <cell r="I125">
            <v>982.35</v>
          </cell>
          <cell r="J125">
            <v>92144</v>
          </cell>
          <cell r="K125" t="str">
            <v>MP</v>
          </cell>
        </row>
        <row r="126">
          <cell r="A126" t="str">
            <v>992842-SLR</v>
          </cell>
          <cell r="B126">
            <v>10558</v>
          </cell>
          <cell r="C126">
            <v>272.43</v>
          </cell>
          <cell r="D126">
            <v>0.59</v>
          </cell>
          <cell r="E126">
            <v>522.36</v>
          </cell>
          <cell r="F126">
            <v>140.44999999999999</v>
          </cell>
          <cell r="G126">
            <v>70.95</v>
          </cell>
          <cell r="I126">
            <v>100.41</v>
          </cell>
          <cell r="J126">
            <v>90827</v>
          </cell>
          <cell r="K126" t="str">
            <v>MP</v>
          </cell>
        </row>
        <row r="127">
          <cell r="A127" t="str">
            <v>992847-SLR</v>
          </cell>
          <cell r="B127">
            <v>10534</v>
          </cell>
          <cell r="C127">
            <v>169.31</v>
          </cell>
          <cell r="D127">
            <v>2.5</v>
          </cell>
          <cell r="E127">
            <v>520.95000000000005</v>
          </cell>
          <cell r="F127">
            <v>153.5</v>
          </cell>
          <cell r="G127">
            <v>133.44999999999999</v>
          </cell>
          <cell r="I127">
            <v>781.43</v>
          </cell>
          <cell r="J127">
            <v>90121</v>
          </cell>
          <cell r="K127" t="str">
            <v>MP</v>
          </cell>
        </row>
        <row r="128">
          <cell r="A128" t="str">
            <v>992848-SLR</v>
          </cell>
          <cell r="B128">
            <v>10869</v>
          </cell>
          <cell r="C128">
            <v>171.65</v>
          </cell>
          <cell r="D128">
            <v>117.69</v>
          </cell>
          <cell r="E128">
            <v>528.15</v>
          </cell>
          <cell r="F128">
            <v>1086.27</v>
          </cell>
          <cell r="G128">
            <v>2832.23</v>
          </cell>
          <cell r="I128">
            <v>36609.25</v>
          </cell>
          <cell r="J128">
            <v>90062</v>
          </cell>
          <cell r="K128" t="str">
            <v>MP</v>
          </cell>
        </row>
        <row r="129">
          <cell r="A129" t="str">
            <v>992849-SLR</v>
          </cell>
          <cell r="B129">
            <v>10447</v>
          </cell>
          <cell r="C129">
            <v>172.24</v>
          </cell>
          <cell r="D129">
            <v>0.91</v>
          </cell>
          <cell r="E129">
            <v>526.26</v>
          </cell>
          <cell r="F129">
            <v>137.72</v>
          </cell>
          <cell r="G129">
            <v>47.88</v>
          </cell>
          <cell r="I129">
            <v>78.2</v>
          </cell>
          <cell r="J129">
            <v>93030</v>
          </cell>
          <cell r="K129" t="str">
            <v>MP</v>
          </cell>
        </row>
        <row r="130">
          <cell r="A130" t="str">
            <v>992850-SLR</v>
          </cell>
          <cell r="B130">
            <v>10536</v>
          </cell>
          <cell r="C130">
            <v>1609</v>
          </cell>
          <cell r="D130">
            <v>69.489999999999995</v>
          </cell>
          <cell r="E130">
            <v>520.95000000000005</v>
          </cell>
          <cell r="F130">
            <v>504.93</v>
          </cell>
          <cell r="G130">
            <v>2208.37</v>
          </cell>
          <cell r="I130">
            <v>9509.94</v>
          </cell>
          <cell r="J130">
            <v>91975</v>
          </cell>
          <cell r="K130" t="str">
            <v>MP</v>
          </cell>
        </row>
        <row r="131">
          <cell r="A131" t="str">
            <v>992851-SLR</v>
          </cell>
          <cell r="B131">
            <v>10505</v>
          </cell>
          <cell r="C131">
            <v>78715.89</v>
          </cell>
          <cell r="D131">
            <v>121.81</v>
          </cell>
          <cell r="E131">
            <v>522.36</v>
          </cell>
          <cell r="F131">
            <v>2471.94</v>
          </cell>
          <cell r="G131">
            <v>11818.07</v>
          </cell>
          <cell r="I131">
            <v>19646.259999999998</v>
          </cell>
          <cell r="J131">
            <v>93086</v>
          </cell>
          <cell r="K131" t="str">
            <v>MP</v>
          </cell>
        </row>
        <row r="132">
          <cell r="A132" t="str">
            <v>992852-SLR</v>
          </cell>
          <cell r="B132">
            <v>10507</v>
          </cell>
          <cell r="C132">
            <v>102755.18</v>
          </cell>
          <cell r="D132">
            <v>122.2</v>
          </cell>
          <cell r="E132">
            <v>522.36</v>
          </cell>
          <cell r="F132">
            <v>3012.83</v>
          </cell>
          <cell r="G132">
            <v>14702.84</v>
          </cell>
          <cell r="I132">
            <v>19646.259999999998</v>
          </cell>
          <cell r="J132">
            <v>93086</v>
          </cell>
          <cell r="K132" t="str">
            <v>MP</v>
          </cell>
        </row>
        <row r="133">
          <cell r="A133" t="str">
            <v>992853-SLR</v>
          </cell>
          <cell r="B133">
            <v>10491</v>
          </cell>
          <cell r="C133">
            <v>3253.71</v>
          </cell>
          <cell r="D133">
            <v>21.74</v>
          </cell>
          <cell r="E133">
            <v>520.95000000000005</v>
          </cell>
          <cell r="F133">
            <v>307.57</v>
          </cell>
          <cell r="G133">
            <v>810.4</v>
          </cell>
          <cell r="I133">
            <v>3477.86</v>
          </cell>
          <cell r="J133">
            <v>93182</v>
          </cell>
          <cell r="K133" t="str">
            <v>MP</v>
          </cell>
        </row>
        <row r="134">
          <cell r="A134" t="str">
            <v>992854-SLR</v>
          </cell>
          <cell r="B134">
            <v>10573</v>
          </cell>
          <cell r="C134">
            <v>16219.28</v>
          </cell>
          <cell r="D134">
            <v>298.72000000000003</v>
          </cell>
          <cell r="E134">
            <v>522.36</v>
          </cell>
          <cell r="F134">
            <v>1711.78</v>
          </cell>
          <cell r="G134">
            <v>7763.91</v>
          </cell>
          <cell r="I134">
            <v>48181.23</v>
          </cell>
          <cell r="J134">
            <v>91996</v>
          </cell>
          <cell r="K134" t="str">
            <v>MP</v>
          </cell>
        </row>
        <row r="135">
          <cell r="A135" t="str">
            <v>992861-SLR</v>
          </cell>
          <cell r="B135">
            <v>10902</v>
          </cell>
          <cell r="C135">
            <v>0</v>
          </cell>
          <cell r="D135">
            <v>0</v>
          </cell>
          <cell r="E135">
            <v>0</v>
          </cell>
          <cell r="F135">
            <v>16.989999999999998</v>
          </cell>
          <cell r="G135">
            <v>163.71</v>
          </cell>
          <cell r="I135">
            <v>271.26</v>
          </cell>
          <cell r="J135">
            <v>90257</v>
          </cell>
          <cell r="K135" t="str">
            <v>MP</v>
          </cell>
        </row>
        <row r="136">
          <cell r="A136" t="str">
            <v>992863-SLR</v>
          </cell>
          <cell r="B136">
            <v>10529</v>
          </cell>
          <cell r="C136">
            <v>193.8</v>
          </cell>
          <cell r="D136">
            <v>77.88</v>
          </cell>
          <cell r="E136">
            <v>520.95000000000005</v>
          </cell>
          <cell r="F136">
            <v>538.33000000000004</v>
          </cell>
          <cell r="G136">
            <v>2383.69</v>
          </cell>
          <cell r="I136">
            <v>12274.04</v>
          </cell>
          <cell r="J136">
            <v>90686</v>
          </cell>
          <cell r="K136" t="str">
            <v>MP</v>
          </cell>
        </row>
        <row r="137">
          <cell r="A137" t="str">
            <v>992864-SLR</v>
          </cell>
          <cell r="B137">
            <v>10449</v>
          </cell>
          <cell r="C137">
            <v>329.48</v>
          </cell>
          <cell r="D137">
            <v>12.95</v>
          </cell>
          <cell r="E137">
            <v>526.26</v>
          </cell>
          <cell r="F137">
            <v>186.61</v>
          </cell>
          <cell r="G137">
            <v>460.7</v>
          </cell>
          <cell r="I137">
            <v>2080.94</v>
          </cell>
          <cell r="J137">
            <v>91177</v>
          </cell>
          <cell r="K137" t="str">
            <v>MP</v>
          </cell>
        </row>
        <row r="138">
          <cell r="A138" t="str">
            <v>992865-SLR</v>
          </cell>
          <cell r="B138">
            <v>10446</v>
          </cell>
          <cell r="C138">
            <v>140.34</v>
          </cell>
          <cell r="D138">
            <v>33.96</v>
          </cell>
          <cell r="E138">
            <v>526.26</v>
          </cell>
          <cell r="F138">
            <v>486.97</v>
          </cell>
          <cell r="G138">
            <v>539.24</v>
          </cell>
          <cell r="I138">
            <v>10610.45</v>
          </cell>
          <cell r="J138">
            <v>92259</v>
          </cell>
          <cell r="K138" t="str">
            <v>MP</v>
          </cell>
        </row>
        <row r="139">
          <cell r="A139" t="str">
            <v>992866-SLR</v>
          </cell>
          <cell r="B139">
            <v>10659</v>
          </cell>
          <cell r="C139">
            <v>168.46</v>
          </cell>
          <cell r="D139">
            <v>35.29</v>
          </cell>
          <cell r="E139">
            <v>522.36</v>
          </cell>
          <cell r="F139">
            <v>342.7</v>
          </cell>
          <cell r="G139">
            <v>1544.46</v>
          </cell>
          <cell r="I139">
            <v>10828.09</v>
          </cell>
          <cell r="J139">
            <v>90485</v>
          </cell>
          <cell r="K139" t="str">
            <v>MP</v>
          </cell>
        </row>
        <row r="140">
          <cell r="A140" t="str">
            <v>992867-SLR</v>
          </cell>
          <cell r="B140">
            <v>10605</v>
          </cell>
          <cell r="C140">
            <v>192.27</v>
          </cell>
          <cell r="D140">
            <v>3.39</v>
          </cell>
          <cell r="E140">
            <v>524.37</v>
          </cell>
          <cell r="F140">
            <v>155.83000000000001</v>
          </cell>
          <cell r="G140">
            <v>148.52000000000001</v>
          </cell>
          <cell r="I140">
            <v>865.21</v>
          </cell>
          <cell r="J140">
            <v>93157</v>
          </cell>
          <cell r="K140" t="str">
            <v>MP</v>
          </cell>
        </row>
        <row r="141">
          <cell r="A141" t="str">
            <v>992868-SLR</v>
          </cell>
          <cell r="B141">
            <v>10508</v>
          </cell>
          <cell r="C141">
            <v>448.45</v>
          </cell>
          <cell r="D141">
            <v>47.66</v>
          </cell>
          <cell r="E141">
            <v>522.36</v>
          </cell>
          <cell r="F141">
            <v>342.2</v>
          </cell>
          <cell r="G141">
            <v>1581.63</v>
          </cell>
          <cell r="I141">
            <v>7035.47</v>
          </cell>
          <cell r="J141">
            <v>92088</v>
          </cell>
          <cell r="K141" t="str">
            <v>MP</v>
          </cell>
        </row>
        <row r="142">
          <cell r="A142" t="str">
            <v>992871-SLR</v>
          </cell>
          <cell r="B142">
            <v>10469</v>
          </cell>
          <cell r="C142">
            <v>140.34</v>
          </cell>
          <cell r="D142">
            <v>0.96</v>
          </cell>
          <cell r="E142">
            <v>526.26</v>
          </cell>
          <cell r="F142">
            <v>138.78</v>
          </cell>
          <cell r="G142">
            <v>56.84</v>
          </cell>
          <cell r="I142">
            <v>157.88</v>
          </cell>
          <cell r="J142">
            <v>90466</v>
          </cell>
          <cell r="K142" t="str">
            <v>MP</v>
          </cell>
        </row>
        <row r="143">
          <cell r="A143" t="str">
            <v>992873-SLR</v>
          </cell>
          <cell r="B143">
            <v>10606</v>
          </cell>
          <cell r="C143">
            <v>375.11</v>
          </cell>
          <cell r="D143">
            <v>6311.06</v>
          </cell>
          <cell r="E143">
            <v>524.37</v>
          </cell>
          <cell r="F143">
            <v>2943.99</v>
          </cell>
          <cell r="G143">
            <v>5996.18</v>
          </cell>
          <cell r="I143">
            <v>118807.24</v>
          </cell>
          <cell r="J143">
            <v>90570</v>
          </cell>
          <cell r="K143" t="str">
            <v>MP</v>
          </cell>
        </row>
        <row r="144">
          <cell r="A144" t="str">
            <v>992874-SLR</v>
          </cell>
          <cell r="B144">
            <v>10513</v>
          </cell>
          <cell r="C144">
            <v>148</v>
          </cell>
          <cell r="D144">
            <v>17.93</v>
          </cell>
          <cell r="E144">
            <v>522.36</v>
          </cell>
          <cell r="F144">
            <v>258.20999999999998</v>
          </cell>
          <cell r="G144">
            <v>785.01</v>
          </cell>
          <cell r="I144">
            <v>5441.25</v>
          </cell>
          <cell r="J144">
            <v>90097</v>
          </cell>
          <cell r="K144" t="str">
            <v>MP</v>
          </cell>
        </row>
        <row r="145">
          <cell r="A145" t="str">
            <v>992875-SLR</v>
          </cell>
          <cell r="B145">
            <v>10678</v>
          </cell>
          <cell r="C145">
            <v>603.35</v>
          </cell>
          <cell r="D145">
            <v>60.23</v>
          </cell>
          <cell r="E145">
            <v>527.91</v>
          </cell>
          <cell r="F145">
            <v>844.7</v>
          </cell>
          <cell r="G145">
            <v>3952.97</v>
          </cell>
          <cell r="I145">
            <v>18160.099999999999</v>
          </cell>
          <cell r="J145">
            <v>90506</v>
          </cell>
          <cell r="K145" t="str">
            <v>MP</v>
          </cell>
        </row>
        <row r="146">
          <cell r="A146" t="str">
            <v>992876-SLR</v>
          </cell>
          <cell r="B146">
            <v>10530</v>
          </cell>
          <cell r="C146">
            <v>556.76</v>
          </cell>
          <cell r="D146">
            <v>90.02</v>
          </cell>
          <cell r="E146">
            <v>520.95000000000005</v>
          </cell>
          <cell r="F146">
            <v>355.81</v>
          </cell>
          <cell r="G146">
            <v>1018.87</v>
          </cell>
          <cell r="I146">
            <v>7190.67</v>
          </cell>
          <cell r="J146">
            <v>91620</v>
          </cell>
          <cell r="K146" t="str">
            <v>MP</v>
          </cell>
        </row>
        <row r="147">
          <cell r="A147" t="str">
            <v>992877-SLR</v>
          </cell>
          <cell r="B147">
            <v>10660</v>
          </cell>
          <cell r="C147">
            <v>208.91</v>
          </cell>
          <cell r="D147">
            <v>114.49</v>
          </cell>
          <cell r="E147">
            <v>524.37</v>
          </cell>
          <cell r="F147">
            <v>668.39</v>
          </cell>
          <cell r="G147">
            <v>2391.5700000000002</v>
          </cell>
          <cell r="I147">
            <v>18073.29</v>
          </cell>
          <cell r="J147">
            <v>93238</v>
          </cell>
          <cell r="K147" t="str">
            <v>MP</v>
          </cell>
        </row>
        <row r="148">
          <cell r="A148" t="str">
            <v>992878-SLR</v>
          </cell>
          <cell r="B148">
            <v>10684</v>
          </cell>
          <cell r="C148">
            <v>156.13</v>
          </cell>
          <cell r="D148">
            <v>1.41</v>
          </cell>
          <cell r="E148">
            <v>0</v>
          </cell>
          <cell r="F148">
            <v>0</v>
          </cell>
          <cell r="G148">
            <v>42.69</v>
          </cell>
          <cell r="I148">
            <v>59.7</v>
          </cell>
          <cell r="J148">
            <v>93013</v>
          </cell>
          <cell r="K148" t="str">
            <v>MP</v>
          </cell>
        </row>
        <row r="149">
          <cell r="A149" t="str">
            <v>992879-SLR</v>
          </cell>
          <cell r="B149">
            <v>10708</v>
          </cell>
          <cell r="C149">
            <v>231.25</v>
          </cell>
          <cell r="D149">
            <v>12.98</v>
          </cell>
          <cell r="E149">
            <v>531.98</v>
          </cell>
          <cell r="F149">
            <v>180.48</v>
          </cell>
          <cell r="G149">
            <v>409.01</v>
          </cell>
          <cell r="I149">
            <v>1908.43</v>
          </cell>
          <cell r="J149">
            <v>93030</v>
          </cell>
          <cell r="K149" t="str">
            <v>MP</v>
          </cell>
        </row>
        <row r="150">
          <cell r="A150" t="str">
            <v>992880-SLR</v>
          </cell>
          <cell r="B150">
            <v>10735</v>
          </cell>
          <cell r="C150">
            <v>544.64</v>
          </cell>
          <cell r="D150">
            <v>121.21</v>
          </cell>
          <cell r="E150">
            <v>533.49</v>
          </cell>
          <cell r="F150">
            <v>699.61</v>
          </cell>
          <cell r="G150">
            <v>3548.45</v>
          </cell>
          <cell r="I150">
            <v>19047.759999999998</v>
          </cell>
          <cell r="J150">
            <v>92093</v>
          </cell>
          <cell r="K150" t="str">
            <v>MP</v>
          </cell>
        </row>
        <row r="151">
          <cell r="A151" t="str">
            <v>992881-SLR</v>
          </cell>
          <cell r="B151">
            <v>10493</v>
          </cell>
          <cell r="C151">
            <v>283.58</v>
          </cell>
          <cell r="D151">
            <v>62.71</v>
          </cell>
          <cell r="E151">
            <v>520.95000000000005</v>
          </cell>
          <cell r="F151">
            <v>467.97</v>
          </cell>
          <cell r="G151">
            <v>1864.42</v>
          </cell>
          <cell r="I151">
            <v>10011.57</v>
          </cell>
          <cell r="J151">
            <v>91692</v>
          </cell>
          <cell r="K151" t="str">
            <v>MP</v>
          </cell>
        </row>
        <row r="152">
          <cell r="A152" t="str">
            <v>992882-SLR</v>
          </cell>
          <cell r="B152">
            <v>10607</v>
          </cell>
          <cell r="C152">
            <v>325.11</v>
          </cell>
          <cell r="D152">
            <v>18.04</v>
          </cell>
          <cell r="E152">
            <v>524.37</v>
          </cell>
          <cell r="F152">
            <v>198.36</v>
          </cell>
          <cell r="G152">
            <v>562.14</v>
          </cell>
          <cell r="I152">
            <v>2615.48</v>
          </cell>
          <cell r="J152">
            <v>90131</v>
          </cell>
          <cell r="K152" t="str">
            <v>MP</v>
          </cell>
        </row>
        <row r="153">
          <cell r="A153" t="str">
            <v>992883-SLR</v>
          </cell>
          <cell r="B153">
            <v>10494</v>
          </cell>
          <cell r="C153">
            <v>566.5</v>
          </cell>
          <cell r="D153">
            <v>58.95</v>
          </cell>
          <cell r="E153">
            <v>520.95000000000005</v>
          </cell>
          <cell r="F153">
            <v>428.97</v>
          </cell>
          <cell r="G153">
            <v>1801.46</v>
          </cell>
          <cell r="I153">
            <v>8855.92</v>
          </cell>
          <cell r="J153">
            <v>91673</v>
          </cell>
          <cell r="K153" t="str">
            <v>MP</v>
          </cell>
        </row>
        <row r="154">
          <cell r="A154" t="str">
            <v>992884-SLR</v>
          </cell>
          <cell r="B154">
            <v>10453</v>
          </cell>
          <cell r="C154">
            <v>327.20999999999998</v>
          </cell>
          <cell r="D154">
            <v>16.239999999999998</v>
          </cell>
          <cell r="E154">
            <v>526.26</v>
          </cell>
          <cell r="F154">
            <v>253.31</v>
          </cell>
          <cell r="G154">
            <v>754.52</v>
          </cell>
          <cell r="I154">
            <v>5045.96</v>
          </cell>
          <cell r="J154">
            <v>90503</v>
          </cell>
          <cell r="K154" t="str">
            <v>MP</v>
          </cell>
        </row>
        <row r="155">
          <cell r="A155" t="str">
            <v>992885-SLR</v>
          </cell>
          <cell r="B155">
            <v>10575</v>
          </cell>
          <cell r="C155">
            <v>165.41</v>
          </cell>
          <cell r="D155">
            <v>5</v>
          </cell>
          <cell r="E155">
            <v>522.36</v>
          </cell>
          <cell r="F155">
            <v>167.23</v>
          </cell>
          <cell r="G155">
            <v>218.87</v>
          </cell>
          <cell r="I155">
            <v>1392.96</v>
          </cell>
          <cell r="J155">
            <v>90629</v>
          </cell>
          <cell r="K155" t="str">
            <v>MP</v>
          </cell>
        </row>
        <row r="156">
          <cell r="A156" t="str">
            <v>992887-SLR</v>
          </cell>
          <cell r="B156">
            <v>10588</v>
          </cell>
          <cell r="C156">
            <v>336.44</v>
          </cell>
          <cell r="D156">
            <v>11.18</v>
          </cell>
          <cell r="E156">
            <v>522.36</v>
          </cell>
          <cell r="F156">
            <v>172.37</v>
          </cell>
          <cell r="G156">
            <v>376.29</v>
          </cell>
          <cell r="I156">
            <v>1444.22</v>
          </cell>
          <cell r="J156">
            <v>92335</v>
          </cell>
          <cell r="K156" t="str">
            <v>MP</v>
          </cell>
        </row>
        <row r="157">
          <cell r="A157" t="str">
            <v>992888-SLR</v>
          </cell>
          <cell r="B157">
            <v>10582</v>
          </cell>
          <cell r="C157">
            <v>1887.65</v>
          </cell>
          <cell r="D157">
            <v>900.96</v>
          </cell>
          <cell r="E157">
            <v>524.37</v>
          </cell>
          <cell r="F157">
            <v>3502.51</v>
          </cell>
          <cell r="G157">
            <v>18829.490000000002</v>
          </cell>
          <cell r="I157">
            <v>142053.57999999999</v>
          </cell>
          <cell r="J157">
            <v>92107</v>
          </cell>
          <cell r="K157" t="str">
            <v>MP</v>
          </cell>
        </row>
        <row r="158">
          <cell r="A158" t="str">
            <v>992889-SLR</v>
          </cell>
          <cell r="B158">
            <v>10535</v>
          </cell>
          <cell r="C158">
            <v>1588.42</v>
          </cell>
          <cell r="D158">
            <v>35.700000000000003</v>
          </cell>
          <cell r="E158">
            <v>520.95000000000005</v>
          </cell>
          <cell r="F158">
            <v>259.42</v>
          </cell>
          <cell r="G158">
            <v>1188.76</v>
          </cell>
          <cell r="I158">
            <v>4036.64</v>
          </cell>
          <cell r="J158">
            <v>91064</v>
          </cell>
          <cell r="K158" t="str">
            <v>MP</v>
          </cell>
        </row>
        <row r="159">
          <cell r="A159" t="str">
            <v>992890-SLR</v>
          </cell>
          <cell r="B159">
            <v>10560</v>
          </cell>
          <cell r="C159">
            <v>740.36</v>
          </cell>
          <cell r="D159">
            <v>112.64</v>
          </cell>
          <cell r="E159">
            <v>522.36</v>
          </cell>
          <cell r="F159">
            <v>197.51</v>
          </cell>
          <cell r="G159">
            <v>523.72</v>
          </cell>
          <cell r="I159">
            <v>2156.13</v>
          </cell>
          <cell r="J159">
            <v>92336</v>
          </cell>
          <cell r="K159" t="str">
            <v>MP</v>
          </cell>
        </row>
        <row r="160">
          <cell r="A160" t="str">
            <v>992891-SLR</v>
          </cell>
          <cell r="B160">
            <v>10608</v>
          </cell>
          <cell r="C160">
            <v>1745.16</v>
          </cell>
          <cell r="D160">
            <v>71.400000000000006</v>
          </cell>
          <cell r="E160">
            <v>524.37</v>
          </cell>
          <cell r="F160">
            <v>516.86</v>
          </cell>
          <cell r="G160">
            <v>2210.92</v>
          </cell>
          <cell r="I160">
            <v>9819.84</v>
          </cell>
          <cell r="J160">
            <v>91553</v>
          </cell>
          <cell r="K160" t="str">
            <v>MP</v>
          </cell>
        </row>
        <row r="161">
          <cell r="A161" t="str">
            <v>992892-SLR</v>
          </cell>
          <cell r="B161">
            <v>10514</v>
          </cell>
          <cell r="C161">
            <v>1678.43</v>
          </cell>
          <cell r="D161">
            <v>322.77</v>
          </cell>
          <cell r="E161">
            <v>522.36</v>
          </cell>
          <cell r="F161">
            <v>1434.03</v>
          </cell>
          <cell r="G161">
            <v>6806.11</v>
          </cell>
          <cell r="I161">
            <v>50353.51</v>
          </cell>
          <cell r="J161">
            <v>92076</v>
          </cell>
          <cell r="K161" t="str">
            <v>MP</v>
          </cell>
        </row>
        <row r="162">
          <cell r="A162" t="str">
            <v>992893-SLR</v>
          </cell>
          <cell r="B162">
            <v>10468</v>
          </cell>
          <cell r="C162">
            <v>140.34</v>
          </cell>
          <cell r="D162">
            <v>0.68</v>
          </cell>
          <cell r="E162">
            <v>426.26</v>
          </cell>
          <cell r="F162">
            <v>136.88</v>
          </cell>
          <cell r="G162">
            <v>40.79</v>
          </cell>
          <cell r="I162">
            <v>73.680000000000007</v>
          </cell>
          <cell r="J162">
            <v>90466</v>
          </cell>
          <cell r="K162" t="str">
            <v>MP</v>
          </cell>
        </row>
        <row r="163">
          <cell r="A163" t="str">
            <v>992894-SLR</v>
          </cell>
          <cell r="B163">
            <v>10576</v>
          </cell>
          <cell r="C163">
            <v>148</v>
          </cell>
          <cell r="D163">
            <v>9.16</v>
          </cell>
          <cell r="E163">
            <v>522.36</v>
          </cell>
          <cell r="F163">
            <v>196.51</v>
          </cell>
          <cell r="G163">
            <v>401.06</v>
          </cell>
          <cell r="I163">
            <v>2707.57</v>
          </cell>
          <cell r="J163">
            <v>90097</v>
          </cell>
          <cell r="K163" t="str">
            <v>MP</v>
          </cell>
        </row>
        <row r="164">
          <cell r="A164" t="str">
            <v>992898-SLR</v>
          </cell>
          <cell r="B164">
            <v>10496</v>
          </cell>
          <cell r="C164">
            <v>211.16</v>
          </cell>
          <cell r="D164">
            <v>13.11</v>
          </cell>
          <cell r="E164">
            <v>520.95000000000005</v>
          </cell>
          <cell r="F164">
            <v>229.3</v>
          </cell>
          <cell r="G164">
            <v>778.03</v>
          </cell>
          <cell r="I164">
            <v>4098.1400000000003</v>
          </cell>
          <cell r="J164">
            <v>91949</v>
          </cell>
          <cell r="K164" t="str">
            <v>MP</v>
          </cell>
        </row>
        <row r="165">
          <cell r="A165" t="str">
            <v>992899-SLR</v>
          </cell>
          <cell r="B165">
            <v>10567</v>
          </cell>
          <cell r="C165">
            <v>1698.8</v>
          </cell>
          <cell r="D165">
            <v>22.18</v>
          </cell>
          <cell r="E165">
            <v>522.36</v>
          </cell>
          <cell r="F165">
            <v>212.58</v>
          </cell>
          <cell r="G165">
            <v>429.49</v>
          </cell>
          <cell r="I165">
            <v>1858.14</v>
          </cell>
          <cell r="J165">
            <v>93182</v>
          </cell>
          <cell r="K165" t="str">
            <v>MP</v>
          </cell>
        </row>
        <row r="166">
          <cell r="A166" t="str">
            <v>992900-SLR</v>
          </cell>
          <cell r="B166">
            <v>10540</v>
          </cell>
          <cell r="C166">
            <v>1087.8699999999999</v>
          </cell>
          <cell r="D166">
            <v>13.72</v>
          </cell>
          <cell r="E166">
            <v>522.36</v>
          </cell>
          <cell r="F166">
            <v>227.92</v>
          </cell>
          <cell r="G166">
            <v>809.56</v>
          </cell>
          <cell r="I166">
            <v>3159.23</v>
          </cell>
          <cell r="J166">
            <v>91990</v>
          </cell>
          <cell r="K166" t="str">
            <v>MP</v>
          </cell>
        </row>
        <row r="167">
          <cell r="A167" t="str">
            <v>992901-SLR</v>
          </cell>
          <cell r="B167">
            <v>10635</v>
          </cell>
          <cell r="C167">
            <v>3054.06</v>
          </cell>
          <cell r="D167">
            <v>79.38</v>
          </cell>
          <cell r="E167">
            <v>522.36</v>
          </cell>
          <cell r="F167">
            <v>543.20000000000005</v>
          </cell>
          <cell r="G167">
            <v>2680.08</v>
          </cell>
          <cell r="I167">
            <v>9628.84</v>
          </cell>
          <cell r="J167">
            <v>93129</v>
          </cell>
          <cell r="K167" t="str">
            <v>MP</v>
          </cell>
        </row>
        <row r="168">
          <cell r="A168" t="str">
            <v>992902=SLR</v>
          </cell>
          <cell r="B168">
            <v>10454</v>
          </cell>
          <cell r="C168">
            <v>53168.71</v>
          </cell>
          <cell r="D168">
            <v>71.900000000000006</v>
          </cell>
          <cell r="E168">
            <v>526.26</v>
          </cell>
          <cell r="F168">
            <v>1583.22</v>
          </cell>
          <cell r="G168">
            <v>7077.73</v>
          </cell>
          <cell r="I168">
            <v>5740.44</v>
          </cell>
          <cell r="J168">
            <v>93204</v>
          </cell>
          <cell r="K168" t="str">
            <v>MP</v>
          </cell>
        </row>
        <row r="169">
          <cell r="A169" t="str">
            <v>992903-SLR</v>
          </cell>
          <cell r="B169">
            <v>10569</v>
          </cell>
          <cell r="C169">
            <v>349.27</v>
          </cell>
          <cell r="D169">
            <v>13.58</v>
          </cell>
          <cell r="E169">
            <v>522.36</v>
          </cell>
          <cell r="F169">
            <v>181.35</v>
          </cell>
          <cell r="G169">
            <v>262.93</v>
          </cell>
          <cell r="I169">
            <v>1828.26</v>
          </cell>
          <cell r="J169">
            <v>92317</v>
          </cell>
          <cell r="K169" t="str">
            <v>MP</v>
          </cell>
        </row>
        <row r="170">
          <cell r="A170" t="str">
            <v>992904-SLR</v>
          </cell>
          <cell r="B170">
            <v>10541</v>
          </cell>
          <cell r="C170">
            <v>10145.75</v>
          </cell>
          <cell r="D170">
            <v>141.68</v>
          </cell>
          <cell r="E170">
            <v>522.36</v>
          </cell>
          <cell r="F170">
            <v>770.22</v>
          </cell>
          <cell r="G170">
            <v>2742.26</v>
          </cell>
          <cell r="I170">
            <v>12564.73</v>
          </cell>
          <cell r="J170">
            <v>93141</v>
          </cell>
          <cell r="K170" t="str">
            <v>MP</v>
          </cell>
        </row>
        <row r="171">
          <cell r="A171" t="str">
            <v>992905-SLR</v>
          </cell>
          <cell r="B171">
            <v>10632</v>
          </cell>
          <cell r="C171">
            <v>191.88</v>
          </cell>
          <cell r="D171">
            <v>0.82</v>
          </cell>
          <cell r="E171">
            <v>524.73</v>
          </cell>
          <cell r="F171">
            <v>137.80000000000001</v>
          </cell>
          <cell r="G171">
            <v>48.58</v>
          </cell>
          <cell r="I171">
            <v>62.97</v>
          </cell>
          <cell r="J171">
            <v>90402</v>
          </cell>
          <cell r="K171" t="str">
            <v>MP</v>
          </cell>
        </row>
        <row r="172">
          <cell r="A172" t="str">
            <v>992906-SLR</v>
          </cell>
          <cell r="B172">
            <v>10710</v>
          </cell>
          <cell r="C172">
            <v>325.79000000000002</v>
          </cell>
          <cell r="D172">
            <v>97.78</v>
          </cell>
          <cell r="E172">
            <v>531.9</v>
          </cell>
          <cell r="F172">
            <v>953.11</v>
          </cell>
          <cell r="G172">
            <v>1158.73</v>
          </cell>
          <cell r="I172">
            <v>30556.77</v>
          </cell>
          <cell r="J172">
            <v>90061</v>
          </cell>
          <cell r="K172" t="str">
            <v>MP</v>
          </cell>
        </row>
        <row r="173">
          <cell r="A173" t="str">
            <v>992907-SLR</v>
          </cell>
          <cell r="B173">
            <v>10495</v>
          </cell>
          <cell r="C173">
            <v>217.93</v>
          </cell>
          <cell r="D173">
            <v>25.8</v>
          </cell>
          <cell r="E173">
            <v>520.95000000000005</v>
          </cell>
          <cell r="F173">
            <v>376.76</v>
          </cell>
          <cell r="G173">
            <v>1744.69</v>
          </cell>
          <cell r="I173">
            <v>8064.31</v>
          </cell>
          <cell r="J173">
            <v>90506</v>
          </cell>
          <cell r="K173" t="str">
            <v>MP</v>
          </cell>
        </row>
        <row r="174">
          <cell r="A174" t="str">
            <v>992908-SLR</v>
          </cell>
          <cell r="B174">
            <v>10544</v>
          </cell>
          <cell r="C174">
            <v>182.83</v>
          </cell>
          <cell r="D174">
            <v>47.53</v>
          </cell>
          <cell r="E174">
            <v>522.36</v>
          </cell>
          <cell r="F174">
            <v>590.32000000000005</v>
          </cell>
          <cell r="G174">
            <v>2079.9</v>
          </cell>
          <cell r="I174">
            <v>14626.08</v>
          </cell>
          <cell r="J174">
            <v>92190</v>
          </cell>
          <cell r="K174" t="str">
            <v>MP</v>
          </cell>
        </row>
        <row r="175">
          <cell r="A175" t="str">
            <v>992909-SLR</v>
          </cell>
          <cell r="B175">
            <v>10543</v>
          </cell>
          <cell r="C175">
            <v>168.46</v>
          </cell>
          <cell r="D175">
            <v>1.34</v>
          </cell>
          <cell r="E175">
            <v>522.36</v>
          </cell>
          <cell r="F175">
            <v>141.5</v>
          </cell>
          <cell r="G175">
            <v>58.8</v>
          </cell>
          <cell r="I175">
            <v>250.3</v>
          </cell>
          <cell r="J175">
            <v>90485</v>
          </cell>
          <cell r="K175" t="str">
            <v>MP</v>
          </cell>
        </row>
        <row r="176">
          <cell r="A176" t="str">
            <v>992910-SLR</v>
          </cell>
          <cell r="B176">
            <v>10610</v>
          </cell>
          <cell r="C176">
            <v>466.34</v>
          </cell>
          <cell r="D176">
            <v>110.89</v>
          </cell>
          <cell r="E176">
            <v>524.37</v>
          </cell>
          <cell r="F176">
            <v>668.59</v>
          </cell>
          <cell r="G176">
            <v>552.16999999999996</v>
          </cell>
          <cell r="I176">
            <v>17828.580000000002</v>
          </cell>
          <cell r="J176">
            <v>92271</v>
          </cell>
          <cell r="K176" t="str">
            <v>MP</v>
          </cell>
        </row>
        <row r="177">
          <cell r="A177" t="str">
            <v>992911-SLR</v>
          </cell>
          <cell r="B177">
            <v>10644</v>
          </cell>
          <cell r="C177">
            <v>2248.92</v>
          </cell>
          <cell r="D177">
            <v>179.53</v>
          </cell>
          <cell r="E177">
            <v>524.73</v>
          </cell>
          <cell r="F177">
            <v>960.08</v>
          </cell>
          <cell r="G177">
            <v>9074.18</v>
          </cell>
          <cell r="I177">
            <v>28861.83</v>
          </cell>
          <cell r="J177">
            <v>92260</v>
          </cell>
          <cell r="K177" t="str">
            <v>MP</v>
          </cell>
        </row>
        <row r="178">
          <cell r="A178" t="str">
            <v>992912-SLR</v>
          </cell>
          <cell r="B178">
            <v>10416</v>
          </cell>
          <cell r="C178">
            <v>0</v>
          </cell>
          <cell r="D178">
            <v>0</v>
          </cell>
          <cell r="E178">
            <v>0</v>
          </cell>
          <cell r="F178">
            <v>0</v>
          </cell>
          <cell r="G178">
            <v>371.22</v>
          </cell>
          <cell r="I178">
            <v>618.70000000000005</v>
          </cell>
          <cell r="J178">
            <v>93126</v>
          </cell>
          <cell r="K178" t="str">
            <v>MP</v>
          </cell>
        </row>
        <row r="179">
          <cell r="A179" t="str">
            <v>992913-SLR</v>
          </cell>
          <cell r="B179">
            <v>10916</v>
          </cell>
          <cell r="C179">
            <v>3760.1</v>
          </cell>
          <cell r="D179">
            <v>1801.48</v>
          </cell>
          <cell r="E179">
            <v>524.54999999999995</v>
          </cell>
          <cell r="F179">
            <v>6772.95</v>
          </cell>
          <cell r="G179">
            <v>34593.56</v>
          </cell>
          <cell r="I179">
            <v>284078.8</v>
          </cell>
          <cell r="J179">
            <v>90117</v>
          </cell>
          <cell r="K179" t="str">
            <v>MP</v>
          </cell>
        </row>
        <row r="180">
          <cell r="A180" t="str">
            <v>992914-SLR</v>
          </cell>
          <cell r="B180">
            <v>10870</v>
          </cell>
          <cell r="C180">
            <v>786.18</v>
          </cell>
          <cell r="D180">
            <v>1659.71</v>
          </cell>
          <cell r="E180">
            <v>528.15</v>
          </cell>
          <cell r="F180">
            <v>6337.17</v>
          </cell>
          <cell r="G180">
            <v>15717.56</v>
          </cell>
          <cell r="I180">
            <v>267826.15000000002</v>
          </cell>
          <cell r="J180">
            <v>90570</v>
          </cell>
          <cell r="K180" t="str">
            <v>MP</v>
          </cell>
        </row>
        <row r="181">
          <cell r="A181" t="str">
            <v>992915-SLR</v>
          </cell>
          <cell r="B181">
            <v>10719</v>
          </cell>
          <cell r="C181">
            <v>505.6</v>
          </cell>
          <cell r="D181">
            <v>31.54</v>
          </cell>
          <cell r="E181">
            <v>531.9</v>
          </cell>
          <cell r="F181">
            <v>246.26</v>
          </cell>
          <cell r="G181">
            <v>1011.63</v>
          </cell>
          <cell r="I181">
            <v>4538.88</v>
          </cell>
          <cell r="J181">
            <v>91395</v>
          </cell>
          <cell r="K181" t="str">
            <v>MP</v>
          </cell>
        </row>
        <row r="182">
          <cell r="A182" t="str">
            <v>992916-SLR</v>
          </cell>
          <cell r="B182">
            <v>10714</v>
          </cell>
          <cell r="C182">
            <v>503.29</v>
          </cell>
          <cell r="D182">
            <v>35.26</v>
          </cell>
          <cell r="E182">
            <v>531.9</v>
          </cell>
          <cell r="F182">
            <v>261.67</v>
          </cell>
          <cell r="G182">
            <v>1045.76</v>
          </cell>
          <cell r="I182">
            <v>5183.34</v>
          </cell>
          <cell r="J182">
            <v>92336</v>
          </cell>
          <cell r="K182" t="str">
            <v>MP</v>
          </cell>
        </row>
        <row r="183">
          <cell r="A183" t="str">
            <v>992917-SLR</v>
          </cell>
          <cell r="B183">
            <v>10645</v>
          </cell>
          <cell r="C183">
            <v>114.44</v>
          </cell>
          <cell r="D183">
            <v>11.02</v>
          </cell>
          <cell r="E183">
            <v>524.73</v>
          </cell>
          <cell r="F183">
            <v>172.7</v>
          </cell>
          <cell r="G183">
            <v>343.31</v>
          </cell>
          <cell r="I183">
            <v>1681.41</v>
          </cell>
          <cell r="J183">
            <v>90809</v>
          </cell>
          <cell r="K183" t="str">
            <v>MP</v>
          </cell>
        </row>
        <row r="184">
          <cell r="A184" t="str">
            <v>992918-SLR</v>
          </cell>
          <cell r="B184">
            <v>10861</v>
          </cell>
          <cell r="C184">
            <v>950.03</v>
          </cell>
          <cell r="D184">
            <v>28.72</v>
          </cell>
          <cell r="E184">
            <v>530.25</v>
          </cell>
          <cell r="F184">
            <v>236.27</v>
          </cell>
          <cell r="G184">
            <v>787.47</v>
          </cell>
          <cell r="I184">
            <v>3653.42</v>
          </cell>
          <cell r="J184">
            <v>90100</v>
          </cell>
          <cell r="K184" t="str">
            <v>MP</v>
          </cell>
        </row>
        <row r="185">
          <cell r="A185" t="str">
            <v>992919-SLR</v>
          </cell>
          <cell r="B185">
            <v>10673</v>
          </cell>
          <cell r="C185">
            <v>169.3</v>
          </cell>
          <cell r="D185">
            <v>62.29</v>
          </cell>
          <cell r="E185">
            <v>527.91</v>
          </cell>
          <cell r="F185">
            <v>463.24</v>
          </cell>
          <cell r="G185">
            <v>1435.21</v>
          </cell>
          <cell r="I185">
            <v>10019.94</v>
          </cell>
          <cell r="J185">
            <v>93081</v>
          </cell>
          <cell r="K185" t="str">
            <v>MP</v>
          </cell>
        </row>
        <row r="186">
          <cell r="A186" t="str">
            <v>992920-SLR</v>
          </cell>
          <cell r="B186">
            <v>10589</v>
          </cell>
          <cell r="C186">
            <v>162.28</v>
          </cell>
          <cell r="D186">
            <v>7.96</v>
          </cell>
          <cell r="E186">
            <v>522.36</v>
          </cell>
          <cell r="F186">
            <v>161.16999999999999</v>
          </cell>
          <cell r="G186">
            <v>268.36</v>
          </cell>
          <cell r="I186">
            <v>1107.68</v>
          </cell>
          <cell r="J186">
            <v>91375</v>
          </cell>
          <cell r="K186" t="str">
            <v>MP</v>
          </cell>
        </row>
        <row r="187">
          <cell r="A187" t="str">
            <v>992921-SLR</v>
          </cell>
          <cell r="B187">
            <v>10598</v>
          </cell>
          <cell r="C187">
            <v>124.9</v>
          </cell>
          <cell r="D187">
            <v>3.34</v>
          </cell>
          <cell r="E187">
            <v>524.37</v>
          </cell>
          <cell r="F187">
            <v>125</v>
          </cell>
          <cell r="G187">
            <v>103.52</v>
          </cell>
          <cell r="I187">
            <v>416.59</v>
          </cell>
          <cell r="J187">
            <v>91869</v>
          </cell>
          <cell r="K187" t="str">
            <v>MP</v>
          </cell>
        </row>
        <row r="188">
          <cell r="A188" t="str">
            <v>992922-SLR</v>
          </cell>
          <cell r="B188">
            <v>10862</v>
          </cell>
          <cell r="C188">
            <v>15227.01</v>
          </cell>
          <cell r="D188">
            <v>178.13</v>
          </cell>
          <cell r="E188">
            <v>530.25</v>
          </cell>
          <cell r="F188">
            <v>1847.35</v>
          </cell>
          <cell r="G188">
            <v>8486.92</v>
          </cell>
          <cell r="I188">
            <v>55319.22</v>
          </cell>
          <cell r="J188">
            <v>91998</v>
          </cell>
          <cell r="K188" t="str">
            <v>MP</v>
          </cell>
        </row>
        <row r="189">
          <cell r="A189" t="str">
            <v>992923-SLR</v>
          </cell>
          <cell r="B189">
            <v>10497</v>
          </cell>
          <cell r="C189">
            <v>243.11</v>
          </cell>
          <cell r="D189">
            <v>0.33</v>
          </cell>
          <cell r="E189">
            <v>520.95000000000005</v>
          </cell>
          <cell r="F189">
            <v>139.87</v>
          </cell>
          <cell r="G189">
            <v>66.05</v>
          </cell>
          <cell r="I189">
            <v>104.19</v>
          </cell>
          <cell r="J189">
            <v>91591</v>
          </cell>
          <cell r="K189" t="str">
            <v>MP</v>
          </cell>
        </row>
        <row r="190">
          <cell r="A190" t="str">
            <v>992924-SLR</v>
          </cell>
          <cell r="B190">
            <v>10679</v>
          </cell>
          <cell r="C190">
            <v>230.21</v>
          </cell>
          <cell r="D190">
            <v>2.4300000000000002</v>
          </cell>
          <cell r="E190">
            <v>527.91</v>
          </cell>
          <cell r="F190">
            <v>146.19999999999999</v>
          </cell>
          <cell r="G190">
            <v>119.46</v>
          </cell>
          <cell r="I190">
            <v>396.12</v>
          </cell>
          <cell r="J190">
            <v>91062</v>
          </cell>
          <cell r="K190" t="str">
            <v>MP</v>
          </cell>
        </row>
        <row r="191">
          <cell r="A191" t="str">
            <v>992925-SLR</v>
          </cell>
          <cell r="B191">
            <v>10516</v>
          </cell>
          <cell r="C191">
            <v>118.02</v>
          </cell>
          <cell r="D191">
            <v>3.92</v>
          </cell>
          <cell r="E191">
            <v>522.36</v>
          </cell>
          <cell r="F191">
            <v>159.59</v>
          </cell>
          <cell r="G191">
            <v>171.38</v>
          </cell>
          <cell r="I191">
            <v>1102.18</v>
          </cell>
          <cell r="J191">
            <v>92003</v>
          </cell>
          <cell r="K191" t="str">
            <v>MP</v>
          </cell>
        </row>
        <row r="192">
          <cell r="A192" t="str">
            <v>992926-SLR</v>
          </cell>
          <cell r="B192">
            <v>10517</v>
          </cell>
          <cell r="C192">
            <v>184.99</v>
          </cell>
          <cell r="D192">
            <v>5.92</v>
          </cell>
          <cell r="E192">
            <v>522.36</v>
          </cell>
          <cell r="F192">
            <v>153.58000000000001</v>
          </cell>
          <cell r="G192">
            <v>133.99</v>
          </cell>
          <cell r="I192">
            <v>766.13</v>
          </cell>
          <cell r="J192">
            <v>91337</v>
          </cell>
          <cell r="K192" t="str">
            <v>MP</v>
          </cell>
        </row>
        <row r="193">
          <cell r="A193" t="str">
            <v>992927-SLR</v>
          </cell>
          <cell r="B193">
            <v>10546</v>
          </cell>
          <cell r="C193">
            <v>1513.52</v>
          </cell>
          <cell r="D193">
            <v>11.54</v>
          </cell>
          <cell r="E193">
            <v>522.36</v>
          </cell>
          <cell r="F193">
            <v>208.28</v>
          </cell>
          <cell r="G193">
            <v>406.56</v>
          </cell>
          <cell r="I193">
            <v>1862.98</v>
          </cell>
          <cell r="J193">
            <v>92316</v>
          </cell>
          <cell r="K193" t="str">
            <v>MP</v>
          </cell>
        </row>
        <row r="194">
          <cell r="A194" t="str">
            <v>992928-SLR</v>
          </cell>
          <cell r="B194">
            <v>10646</v>
          </cell>
          <cell r="C194">
            <v>395</v>
          </cell>
          <cell r="D194">
            <v>3.74</v>
          </cell>
          <cell r="E194">
            <v>524.73</v>
          </cell>
          <cell r="F194">
            <v>158.24</v>
          </cell>
          <cell r="G194">
            <v>221.15</v>
          </cell>
          <cell r="I194">
            <v>765.23</v>
          </cell>
          <cell r="J194">
            <v>93131</v>
          </cell>
          <cell r="K194" t="str">
            <v>MP</v>
          </cell>
        </row>
        <row r="195">
          <cell r="A195" t="str">
            <v>992929-SLR</v>
          </cell>
          <cell r="B195">
            <v>10547</v>
          </cell>
          <cell r="C195">
            <v>3149.9</v>
          </cell>
          <cell r="D195">
            <v>55.75</v>
          </cell>
          <cell r="E195">
            <v>522.36</v>
          </cell>
          <cell r="F195">
            <v>405.97</v>
          </cell>
          <cell r="G195">
            <v>1075.76</v>
          </cell>
          <cell r="I195">
            <v>5759.02</v>
          </cell>
          <cell r="J195">
            <v>92233</v>
          </cell>
          <cell r="K195" t="str">
            <v>MP</v>
          </cell>
        </row>
        <row r="196">
          <cell r="A196" t="str">
            <v>992930=SLR</v>
          </cell>
          <cell r="B196">
            <v>10550</v>
          </cell>
          <cell r="C196">
            <v>1905.59</v>
          </cell>
          <cell r="D196">
            <v>34.159999999999997</v>
          </cell>
          <cell r="E196">
            <v>522.36</v>
          </cell>
          <cell r="F196">
            <v>479.15</v>
          </cell>
          <cell r="G196">
            <v>1542.53</v>
          </cell>
          <cell r="I196">
            <v>8669.43</v>
          </cell>
          <cell r="J196">
            <v>92251</v>
          </cell>
          <cell r="K196" t="str">
            <v>MP</v>
          </cell>
        </row>
        <row r="197">
          <cell r="A197" t="str">
            <v>992931-SLR</v>
          </cell>
          <cell r="B197">
            <v>10581</v>
          </cell>
          <cell r="C197">
            <v>461335.9</v>
          </cell>
          <cell r="D197">
            <v>548.66999999999996</v>
          </cell>
          <cell r="E197">
            <v>524.37</v>
          </cell>
          <cell r="F197">
            <v>12592.13</v>
          </cell>
          <cell r="G197">
            <v>66045.61</v>
          </cell>
          <cell r="I197">
            <v>88495.48</v>
          </cell>
          <cell r="J197">
            <v>93086</v>
          </cell>
          <cell r="K197" t="str">
            <v>MP</v>
          </cell>
        </row>
        <row r="198">
          <cell r="A198" t="str">
            <v>992932-SLR</v>
          </cell>
          <cell r="B198">
            <v>10590</v>
          </cell>
          <cell r="C198">
            <v>197.73</v>
          </cell>
          <cell r="D198">
            <v>4.09</v>
          </cell>
          <cell r="E198">
            <v>522.36</v>
          </cell>
          <cell r="F198">
            <v>160.59</v>
          </cell>
          <cell r="G198">
            <v>152.19999999999999</v>
          </cell>
          <cell r="I198">
            <v>1066.49</v>
          </cell>
          <cell r="J198">
            <v>92315</v>
          </cell>
          <cell r="K198" t="str">
            <v>MP</v>
          </cell>
        </row>
        <row r="199">
          <cell r="A199" t="str">
            <v>992933-SLR</v>
          </cell>
          <cell r="B199">
            <v>10611</v>
          </cell>
          <cell r="C199">
            <v>1630.28</v>
          </cell>
          <cell r="D199">
            <v>23.51</v>
          </cell>
          <cell r="E199">
            <v>524.37</v>
          </cell>
          <cell r="F199">
            <v>217.03</v>
          </cell>
          <cell r="G199">
            <v>33.54</v>
          </cell>
          <cell r="I199">
            <v>2137.6799999999998</v>
          </cell>
          <cell r="J199">
            <v>92304</v>
          </cell>
          <cell r="K199" t="str">
            <v>MP</v>
          </cell>
        </row>
        <row r="200">
          <cell r="A200" t="str">
            <v>992934-SLR</v>
          </cell>
          <cell r="B200">
            <v>10553</v>
          </cell>
          <cell r="C200">
            <v>299.64</v>
          </cell>
          <cell r="D200">
            <v>39.119999999999997</v>
          </cell>
          <cell r="E200">
            <v>522.36</v>
          </cell>
          <cell r="F200">
            <v>288.69</v>
          </cell>
          <cell r="G200">
            <v>1072.8800000000001</v>
          </cell>
          <cell r="I200">
            <v>5972.32</v>
          </cell>
          <cell r="J200">
            <v>92272</v>
          </cell>
          <cell r="K200" t="str">
            <v>MP</v>
          </cell>
        </row>
        <row r="201">
          <cell r="A201" t="str">
            <v>992935-SLR</v>
          </cell>
          <cell r="B201">
            <v>10554</v>
          </cell>
          <cell r="C201">
            <v>1117.82</v>
          </cell>
          <cell r="D201">
            <v>16.45</v>
          </cell>
          <cell r="E201">
            <v>522.36</v>
          </cell>
          <cell r="F201">
            <v>247.06</v>
          </cell>
          <cell r="G201">
            <v>956.12</v>
          </cell>
          <cell r="I201">
            <v>3977.42</v>
          </cell>
          <cell r="J201">
            <v>91990</v>
          </cell>
          <cell r="K201" t="str">
            <v>MP</v>
          </cell>
        </row>
        <row r="202">
          <cell r="A202" t="str">
            <v>992936-SLR</v>
          </cell>
          <cell r="B202">
            <v>10556</v>
          </cell>
          <cell r="C202">
            <v>289.37</v>
          </cell>
          <cell r="D202">
            <v>5.55</v>
          </cell>
          <cell r="E202">
            <v>522.36</v>
          </cell>
          <cell r="F202">
            <v>158.84</v>
          </cell>
          <cell r="G202">
            <v>226.25</v>
          </cell>
          <cell r="I202">
            <v>895.85</v>
          </cell>
          <cell r="J202">
            <v>92285</v>
          </cell>
          <cell r="K202" t="str">
            <v>MP</v>
          </cell>
        </row>
        <row r="203">
          <cell r="A203" t="str">
            <v>992937-SLR</v>
          </cell>
          <cell r="B203">
            <v>10570</v>
          </cell>
          <cell r="C203">
            <v>304.70999999999998</v>
          </cell>
          <cell r="D203">
            <v>55.07</v>
          </cell>
          <cell r="E203">
            <v>522.36</v>
          </cell>
          <cell r="F203">
            <v>644.57000000000005</v>
          </cell>
          <cell r="G203">
            <v>1810.66</v>
          </cell>
          <cell r="I203">
            <v>16907.71</v>
          </cell>
          <cell r="J203">
            <v>91750</v>
          </cell>
          <cell r="K203" t="str">
            <v>MP</v>
          </cell>
        </row>
        <row r="204">
          <cell r="A204" t="str">
            <v>992938-SLR</v>
          </cell>
          <cell r="B204">
            <v>10417</v>
          </cell>
          <cell r="C204">
            <v>0</v>
          </cell>
          <cell r="D204">
            <v>0</v>
          </cell>
          <cell r="E204">
            <v>0</v>
          </cell>
          <cell r="F204">
            <v>17.32</v>
          </cell>
          <cell r="G204">
            <v>72.180000000000007</v>
          </cell>
          <cell r="I204">
            <v>120.3</v>
          </cell>
          <cell r="J204">
            <v>90392</v>
          </cell>
          <cell r="K204" t="str">
            <v>MP</v>
          </cell>
        </row>
        <row r="205">
          <cell r="A205" t="str">
            <v>992939-SLR</v>
          </cell>
          <cell r="B205">
            <v>10578</v>
          </cell>
          <cell r="C205">
            <v>294.26</v>
          </cell>
          <cell r="D205">
            <v>15.98</v>
          </cell>
          <cell r="E205">
            <v>522.36</v>
          </cell>
          <cell r="F205">
            <v>185</v>
          </cell>
          <cell r="G205">
            <v>880.16</v>
          </cell>
          <cell r="I205">
            <v>4653.53</v>
          </cell>
          <cell r="J205">
            <v>92259</v>
          </cell>
          <cell r="K205" t="str">
            <v>MP</v>
          </cell>
        </row>
        <row r="206">
          <cell r="A206" t="str">
            <v>992940-SLR</v>
          </cell>
          <cell r="B206">
            <v>10498</v>
          </cell>
          <cell r="C206">
            <v>223.56</v>
          </cell>
          <cell r="D206">
            <v>2.5499999999999998</v>
          </cell>
          <cell r="E206">
            <v>520.95000000000005</v>
          </cell>
          <cell r="F206">
            <v>141.29</v>
          </cell>
          <cell r="G206">
            <v>78.03</v>
          </cell>
          <cell r="I206">
            <v>184.57</v>
          </cell>
          <cell r="J206">
            <v>93013</v>
          </cell>
          <cell r="K206" t="str">
            <v>MP</v>
          </cell>
        </row>
        <row r="207">
          <cell r="A207" t="str">
            <v>992941-SLR</v>
          </cell>
          <cell r="B207">
            <v>10519</v>
          </cell>
          <cell r="C207">
            <v>191.53</v>
          </cell>
          <cell r="D207">
            <v>5.31</v>
          </cell>
          <cell r="E207">
            <v>522.36</v>
          </cell>
          <cell r="F207">
            <v>169.39</v>
          </cell>
          <cell r="G207">
            <v>315.3</v>
          </cell>
          <cell r="I207">
            <v>1462.61</v>
          </cell>
          <cell r="J207">
            <v>91978</v>
          </cell>
          <cell r="K207" t="str">
            <v>MP</v>
          </cell>
        </row>
        <row r="208">
          <cell r="A208" t="str">
            <v>992942-SLR</v>
          </cell>
          <cell r="B208">
            <v>10533</v>
          </cell>
          <cell r="C208">
            <v>147.6</v>
          </cell>
          <cell r="D208">
            <v>15.52</v>
          </cell>
          <cell r="E208">
            <v>520.95000000000005</v>
          </cell>
          <cell r="F208">
            <v>241.21</v>
          </cell>
          <cell r="G208">
            <v>679.23</v>
          </cell>
          <cell r="I208">
            <v>4688.55</v>
          </cell>
          <cell r="J208">
            <v>90097</v>
          </cell>
          <cell r="K208" t="str">
            <v>MP</v>
          </cell>
        </row>
        <row r="209">
          <cell r="A209" t="str">
            <v>992943-SLR</v>
          </cell>
          <cell r="B209">
            <v>10613</v>
          </cell>
          <cell r="C209">
            <v>218.49</v>
          </cell>
          <cell r="D209">
            <v>5.61</v>
          </cell>
          <cell r="E209">
            <v>524.37</v>
          </cell>
          <cell r="F209">
            <v>152.33000000000001</v>
          </cell>
          <cell r="G209">
            <v>171.93</v>
          </cell>
          <cell r="I209">
            <v>680.81</v>
          </cell>
          <cell r="J209">
            <v>93239</v>
          </cell>
          <cell r="K209" t="str">
            <v>MP</v>
          </cell>
        </row>
        <row r="210">
          <cell r="A210" t="str">
            <v>992944-SLR</v>
          </cell>
          <cell r="B210">
            <v>10502</v>
          </cell>
          <cell r="C210">
            <v>191.02</v>
          </cell>
          <cell r="D210">
            <v>0.75</v>
          </cell>
          <cell r="E210">
            <v>520.95000000000005</v>
          </cell>
          <cell r="F210">
            <v>137.32</v>
          </cell>
          <cell r="G210">
            <v>44.52</v>
          </cell>
          <cell r="I210">
            <v>42.54</v>
          </cell>
          <cell r="J210">
            <v>91591</v>
          </cell>
          <cell r="K210" t="str">
            <v>MP</v>
          </cell>
        </row>
        <row r="211">
          <cell r="A211" t="str">
            <v>992945-SLR</v>
          </cell>
          <cell r="B211">
            <v>10499</v>
          </cell>
          <cell r="C211">
            <v>191.02</v>
          </cell>
          <cell r="D211">
            <v>10.42</v>
          </cell>
          <cell r="E211">
            <v>520.95000000000005</v>
          </cell>
          <cell r="F211">
            <v>205.35</v>
          </cell>
          <cell r="G211">
            <v>618.96</v>
          </cell>
          <cell r="I211">
            <v>3056.24</v>
          </cell>
          <cell r="J211">
            <v>90379</v>
          </cell>
          <cell r="K211" t="str">
            <v>MP</v>
          </cell>
        </row>
        <row r="212">
          <cell r="A212" t="str">
            <v>992946*SLR</v>
          </cell>
          <cell r="B212">
            <v>10459</v>
          </cell>
          <cell r="C212">
            <v>341.43</v>
          </cell>
          <cell r="D212">
            <v>9.06</v>
          </cell>
          <cell r="E212">
            <v>526.26</v>
          </cell>
          <cell r="F212">
            <v>172.76</v>
          </cell>
          <cell r="G212">
            <v>343.74</v>
          </cell>
          <cell r="I212">
            <v>1458.66</v>
          </cell>
          <cell r="J212">
            <v>92144</v>
          </cell>
          <cell r="K212" t="str">
            <v>MP</v>
          </cell>
        </row>
        <row r="213">
          <cell r="A213" t="str">
            <v>992947-SLR</v>
          </cell>
          <cell r="B213">
            <v>10477</v>
          </cell>
          <cell r="C213">
            <v>191.02</v>
          </cell>
          <cell r="D213">
            <v>49.39</v>
          </cell>
          <cell r="E213">
            <v>520.95000000000005</v>
          </cell>
          <cell r="F213">
            <v>603.33000000000004</v>
          </cell>
          <cell r="G213">
            <v>12160.87</v>
          </cell>
          <cell r="I213">
            <v>15194.38</v>
          </cell>
          <cell r="J213">
            <v>91643</v>
          </cell>
          <cell r="K213" t="str">
            <v>MP</v>
          </cell>
        </row>
        <row r="214">
          <cell r="A214" t="str">
            <v>992948-SLR</v>
          </cell>
          <cell r="B214">
            <v>10557</v>
          </cell>
          <cell r="C214">
            <v>166.28</v>
          </cell>
          <cell r="D214">
            <v>5.62</v>
          </cell>
          <cell r="E214">
            <v>522.36</v>
          </cell>
          <cell r="F214">
            <v>175.41</v>
          </cell>
          <cell r="G214">
            <v>404.68</v>
          </cell>
          <cell r="I214">
            <v>1755.13</v>
          </cell>
          <cell r="J214">
            <v>90506</v>
          </cell>
          <cell r="K214" t="str">
            <v>MP</v>
          </cell>
        </row>
        <row r="215">
          <cell r="A215" t="str">
            <v>992950-SLR</v>
          </cell>
          <cell r="B215">
            <v>10559</v>
          </cell>
          <cell r="C215">
            <v>253.14</v>
          </cell>
          <cell r="D215">
            <v>6.37</v>
          </cell>
          <cell r="E215">
            <v>0</v>
          </cell>
          <cell r="F215">
            <v>0</v>
          </cell>
          <cell r="G215">
            <v>179.05</v>
          </cell>
          <cell r="I215">
            <v>1034.54</v>
          </cell>
          <cell r="J215">
            <v>93008</v>
          </cell>
          <cell r="K215" t="str">
            <v>MP</v>
          </cell>
        </row>
        <row r="216">
          <cell r="A216" t="str">
            <v>992951-SLR</v>
          </cell>
          <cell r="B216">
            <v>10774</v>
          </cell>
          <cell r="C216">
            <v>152.08000000000001</v>
          </cell>
          <cell r="D216">
            <v>17.75</v>
          </cell>
          <cell r="E216">
            <v>536.76</v>
          </cell>
          <cell r="F216">
            <v>196.26</v>
          </cell>
          <cell r="G216">
            <v>399.51</v>
          </cell>
          <cell r="I216">
            <v>2683.8</v>
          </cell>
          <cell r="J216">
            <v>93109</v>
          </cell>
          <cell r="K216" t="str">
            <v>MP</v>
          </cell>
        </row>
        <row r="217">
          <cell r="A217" t="str">
            <v>992952-SLR</v>
          </cell>
          <cell r="B217">
            <v>10520</v>
          </cell>
          <cell r="C217">
            <v>77.569999999999993</v>
          </cell>
          <cell r="D217">
            <v>79.760000000000005</v>
          </cell>
          <cell r="E217">
            <v>522.36</v>
          </cell>
          <cell r="F217">
            <v>544.6</v>
          </cell>
          <cell r="G217">
            <v>1795.44</v>
          </cell>
          <cell r="I217">
            <v>12667.23</v>
          </cell>
          <cell r="J217">
            <v>92240</v>
          </cell>
          <cell r="K217" t="str">
            <v>MP</v>
          </cell>
        </row>
        <row r="218">
          <cell r="A218" t="str">
            <v>992953-SLR</v>
          </cell>
          <cell r="B218">
            <v>10561</v>
          </cell>
          <cell r="C218">
            <v>196.96</v>
          </cell>
          <cell r="D218">
            <v>17.760000000000002</v>
          </cell>
          <cell r="E218">
            <v>522.36</v>
          </cell>
          <cell r="F218">
            <v>196.3</v>
          </cell>
          <cell r="G218">
            <v>542.6</v>
          </cell>
          <cell r="I218">
            <v>2641.05</v>
          </cell>
          <cell r="J218">
            <v>92049</v>
          </cell>
          <cell r="K218" t="str">
            <v>MP</v>
          </cell>
        </row>
        <row r="219">
          <cell r="A219" t="str">
            <v>992954-SLR</v>
          </cell>
          <cell r="B219">
            <v>10503</v>
          </cell>
          <cell r="C219">
            <v>7317.12</v>
          </cell>
          <cell r="D219">
            <v>52.88</v>
          </cell>
          <cell r="E219">
            <v>520.95000000000005</v>
          </cell>
          <cell r="F219">
            <v>791.33</v>
          </cell>
          <cell r="G219">
            <v>4995.97</v>
          </cell>
          <cell r="I219">
            <v>16420.34</v>
          </cell>
          <cell r="J219">
            <v>90487</v>
          </cell>
          <cell r="K219" t="str">
            <v>MP</v>
          </cell>
        </row>
        <row r="220">
          <cell r="A220" t="str">
            <v>992955-SLR</v>
          </cell>
          <cell r="B220">
            <v>10572</v>
          </cell>
          <cell r="C220">
            <v>202.48</v>
          </cell>
          <cell r="D220">
            <v>5.01</v>
          </cell>
          <cell r="E220">
            <v>522.36</v>
          </cell>
          <cell r="F220">
            <v>150.26</v>
          </cell>
          <cell r="G220">
            <v>97.11</v>
          </cell>
          <cell r="I220">
            <v>601.76</v>
          </cell>
          <cell r="J220">
            <v>93136</v>
          </cell>
          <cell r="K220" t="str">
            <v>MP</v>
          </cell>
        </row>
        <row r="221">
          <cell r="A221" t="str">
            <v>992956-SLR</v>
          </cell>
          <cell r="B221">
            <v>10810</v>
          </cell>
          <cell r="C221">
            <v>143.13999999999999</v>
          </cell>
          <cell r="D221">
            <v>73.09</v>
          </cell>
          <cell r="E221">
            <v>536.76</v>
          </cell>
          <cell r="F221">
            <v>769.96</v>
          </cell>
          <cell r="G221">
            <v>3197.69</v>
          </cell>
          <cell r="I221">
            <v>22624.43</v>
          </cell>
          <cell r="J221">
            <v>90062</v>
          </cell>
          <cell r="K221" t="str">
            <v>MP</v>
          </cell>
        </row>
        <row r="222">
          <cell r="A222" t="str">
            <v>992957-SLR</v>
          </cell>
          <cell r="B222">
            <v>10863</v>
          </cell>
          <cell r="C222">
            <v>2337.54</v>
          </cell>
          <cell r="D222">
            <v>2202.8200000000002</v>
          </cell>
          <cell r="E222">
            <v>530.25</v>
          </cell>
          <cell r="F222">
            <v>8273.9699999999993</v>
          </cell>
          <cell r="G222">
            <v>17817.61</v>
          </cell>
          <cell r="I222">
            <v>351811.83</v>
          </cell>
          <cell r="J222">
            <v>91578</v>
          </cell>
          <cell r="K222" t="str">
            <v>MP</v>
          </cell>
        </row>
        <row r="223">
          <cell r="A223" t="str">
            <v>992958-SLR</v>
          </cell>
          <cell r="B223">
            <v>10500</v>
          </cell>
          <cell r="C223">
            <v>191.88</v>
          </cell>
          <cell r="D223">
            <v>2.67</v>
          </cell>
          <cell r="E223">
            <v>520.95000000000005</v>
          </cell>
          <cell r="F223">
            <v>155.18</v>
          </cell>
          <cell r="G223">
            <v>174.77</v>
          </cell>
          <cell r="I223">
            <v>833.52</v>
          </cell>
          <cell r="J223">
            <v>92278</v>
          </cell>
          <cell r="K223" t="str">
            <v>MP</v>
          </cell>
        </row>
        <row r="224">
          <cell r="A224" t="str">
            <v>992959-SLR</v>
          </cell>
          <cell r="B224">
            <v>10562</v>
          </cell>
          <cell r="C224">
            <v>253.94</v>
          </cell>
          <cell r="D224">
            <v>1.1100000000000001</v>
          </cell>
          <cell r="E224">
            <v>522.36</v>
          </cell>
          <cell r="F224">
            <v>141.66999999999999</v>
          </cell>
          <cell r="G224">
            <v>81.23</v>
          </cell>
          <cell r="I224">
            <v>172.48</v>
          </cell>
          <cell r="J224">
            <v>90257</v>
          </cell>
          <cell r="K224" t="str">
            <v>MP</v>
          </cell>
        </row>
        <row r="225">
          <cell r="A225" t="str">
            <v>992960-SLR</v>
          </cell>
          <cell r="B225">
            <v>10917</v>
          </cell>
          <cell r="C225">
            <v>199.73</v>
          </cell>
          <cell r="D225">
            <v>128.54</v>
          </cell>
          <cell r="E225">
            <v>536.76</v>
          </cell>
          <cell r="F225">
            <v>1167.21</v>
          </cell>
          <cell r="G225">
            <v>5669.41</v>
          </cell>
          <cell r="I225">
            <v>40167.54</v>
          </cell>
          <cell r="J225">
            <v>91923</v>
          </cell>
          <cell r="K225" t="str">
            <v>MP</v>
          </cell>
        </row>
        <row r="226">
          <cell r="A226" t="str">
            <v>992961-SLR</v>
          </cell>
          <cell r="B226">
            <v>10563</v>
          </cell>
          <cell r="C226">
            <v>169.77</v>
          </cell>
          <cell r="D226">
            <v>7.78</v>
          </cell>
          <cell r="E226">
            <v>522.36</v>
          </cell>
          <cell r="F226">
            <v>190.79</v>
          </cell>
          <cell r="G226">
            <v>365.47</v>
          </cell>
          <cell r="I226">
            <v>2432.98</v>
          </cell>
          <cell r="J226">
            <v>91919</v>
          </cell>
          <cell r="K226" t="str">
            <v>MP</v>
          </cell>
        </row>
        <row r="227">
          <cell r="A227" t="str">
            <v>992962-SLR</v>
          </cell>
          <cell r="B227">
            <v>10812</v>
          </cell>
          <cell r="C227">
            <v>143.13999999999999</v>
          </cell>
          <cell r="D227">
            <v>133.6</v>
          </cell>
          <cell r="E227">
            <v>536.76</v>
          </cell>
          <cell r="F227">
            <v>1201.67</v>
          </cell>
          <cell r="G227">
            <v>5883.88</v>
          </cell>
          <cell r="I227">
            <v>41750.980000000003</v>
          </cell>
          <cell r="J227">
            <v>90062</v>
          </cell>
          <cell r="K227" t="str">
            <v>MP</v>
          </cell>
        </row>
        <row r="228">
          <cell r="A228" t="str">
            <v>992963-SLR</v>
          </cell>
          <cell r="B228">
            <v>10524</v>
          </cell>
          <cell r="C228">
            <v>217.65</v>
          </cell>
          <cell r="D228">
            <v>2.5099999999999998</v>
          </cell>
          <cell r="E228">
            <v>522.36</v>
          </cell>
          <cell r="F228">
            <v>149.54</v>
          </cell>
          <cell r="G228">
            <v>147.69999999999999</v>
          </cell>
          <cell r="I228">
            <v>557.17999999999995</v>
          </cell>
          <cell r="J228">
            <v>93239</v>
          </cell>
          <cell r="K228" t="str">
            <v>MP</v>
          </cell>
        </row>
        <row r="229">
          <cell r="A229" t="str">
            <v>992964-SLR</v>
          </cell>
          <cell r="B229">
            <v>10841</v>
          </cell>
          <cell r="C229">
            <v>170.43</v>
          </cell>
          <cell r="D229">
            <v>31.92</v>
          </cell>
          <cell r="E229">
            <v>530.25</v>
          </cell>
          <cell r="F229">
            <v>245.65</v>
          </cell>
          <cell r="G229">
            <v>959.26</v>
          </cell>
          <cell r="I229">
            <v>4846.38</v>
          </cell>
          <cell r="J229">
            <v>90558</v>
          </cell>
          <cell r="K229" t="str">
            <v>MP</v>
          </cell>
        </row>
        <row r="230">
          <cell r="A230" t="str">
            <v>992965-SLR</v>
          </cell>
          <cell r="B230">
            <v>10671</v>
          </cell>
          <cell r="C230">
            <v>193.04</v>
          </cell>
          <cell r="D230">
            <v>5.72</v>
          </cell>
          <cell r="E230">
            <v>527.91</v>
          </cell>
          <cell r="F230">
            <v>172.28</v>
          </cell>
          <cell r="G230">
            <v>339.74</v>
          </cell>
          <cell r="I230">
            <v>1589.36</v>
          </cell>
          <cell r="J230">
            <v>90402</v>
          </cell>
          <cell r="K230" t="str">
            <v>MP</v>
          </cell>
        </row>
        <row r="231">
          <cell r="A231" t="str">
            <v>992966-SLR</v>
          </cell>
          <cell r="B231">
            <v>10564</v>
          </cell>
          <cell r="C231">
            <v>139.30000000000001</v>
          </cell>
          <cell r="D231">
            <v>0.73</v>
          </cell>
          <cell r="E231">
            <v>522.36</v>
          </cell>
          <cell r="F231">
            <v>140.29</v>
          </cell>
          <cell r="G231">
            <v>76.94</v>
          </cell>
          <cell r="I231">
            <v>226.36</v>
          </cell>
          <cell r="J231">
            <v>90166</v>
          </cell>
          <cell r="K231" t="str">
            <v>MP</v>
          </cell>
        </row>
        <row r="232">
          <cell r="A232" t="str">
            <v>992967-SLR</v>
          </cell>
          <cell r="B232">
            <v>10670</v>
          </cell>
          <cell r="C232">
            <v>155.29</v>
          </cell>
          <cell r="D232">
            <v>13.73</v>
          </cell>
          <cell r="E232">
            <v>527.91</v>
          </cell>
          <cell r="F232">
            <v>228.5</v>
          </cell>
          <cell r="G232">
            <v>600.14</v>
          </cell>
          <cell r="I232">
            <v>4117.7</v>
          </cell>
          <cell r="J232">
            <v>90097</v>
          </cell>
          <cell r="K232" t="str">
            <v>MP</v>
          </cell>
        </row>
        <row r="233">
          <cell r="A233" t="str">
            <v>992968-SLR</v>
          </cell>
          <cell r="B233">
            <v>10614</v>
          </cell>
          <cell r="C233">
            <v>262.39</v>
          </cell>
          <cell r="D233">
            <v>1.59</v>
          </cell>
          <cell r="E233">
            <v>524.37</v>
          </cell>
          <cell r="F233">
            <v>143.80000000000001</v>
          </cell>
          <cell r="G233">
            <v>15.73</v>
          </cell>
          <cell r="I233">
            <v>260.38</v>
          </cell>
          <cell r="J233">
            <v>93021</v>
          </cell>
          <cell r="K233" t="str">
            <v>MP</v>
          </cell>
        </row>
        <row r="234">
          <cell r="A234" t="str">
            <v>992969-SLR</v>
          </cell>
          <cell r="B234">
            <v>10820</v>
          </cell>
          <cell r="C234">
            <v>1316.08</v>
          </cell>
          <cell r="D234">
            <v>182.65</v>
          </cell>
          <cell r="E234">
            <v>533.49</v>
          </cell>
          <cell r="F234">
            <v>922.34</v>
          </cell>
          <cell r="G234">
            <v>4404.16</v>
          </cell>
          <cell r="I234">
            <v>28116.45</v>
          </cell>
          <cell r="J234">
            <v>93236</v>
          </cell>
          <cell r="K234" t="str">
            <v>MP</v>
          </cell>
        </row>
        <row r="235">
          <cell r="A235" t="str">
            <v>992971-SLR</v>
          </cell>
          <cell r="B235">
            <v>10634</v>
          </cell>
          <cell r="C235">
            <v>260.97000000000003</v>
          </cell>
          <cell r="D235">
            <v>21.67</v>
          </cell>
          <cell r="E235">
            <v>524.73</v>
          </cell>
          <cell r="F235">
            <v>308.5</v>
          </cell>
          <cell r="G235">
            <v>949.03</v>
          </cell>
          <cell r="I235">
            <v>6496.16</v>
          </cell>
          <cell r="J235">
            <v>90097</v>
          </cell>
          <cell r="K235" t="str">
            <v>MP</v>
          </cell>
        </row>
        <row r="236">
          <cell r="A236" t="str">
            <v>992972-SLR</v>
          </cell>
          <cell r="B236">
            <v>10667</v>
          </cell>
          <cell r="C236">
            <v>522.54</v>
          </cell>
          <cell r="D236">
            <v>258.85000000000002</v>
          </cell>
          <cell r="E236">
            <v>527.91</v>
          </cell>
          <cell r="F236">
            <v>1210.01</v>
          </cell>
          <cell r="G236">
            <v>5935.76</v>
          </cell>
          <cell r="I236">
            <v>41616.910000000003</v>
          </cell>
          <cell r="J236">
            <v>92271</v>
          </cell>
          <cell r="K236" t="str">
            <v>MP</v>
          </cell>
        </row>
        <row r="237">
          <cell r="A237" t="str">
            <v>992973-SLR</v>
          </cell>
          <cell r="B237">
            <v>10721</v>
          </cell>
          <cell r="C237">
            <v>290.58</v>
          </cell>
          <cell r="D237">
            <v>24.56</v>
          </cell>
          <cell r="E237">
            <v>531.9</v>
          </cell>
          <cell r="F237">
            <v>220.92</v>
          </cell>
          <cell r="G237">
            <v>750.45</v>
          </cell>
          <cell r="I237">
            <v>3634.65</v>
          </cell>
          <cell r="J237">
            <v>90721</v>
          </cell>
          <cell r="K237" t="str">
            <v>MP</v>
          </cell>
        </row>
        <row r="238">
          <cell r="A238" t="str">
            <v>992974-SLR</v>
          </cell>
          <cell r="B238">
            <v>10615</v>
          </cell>
          <cell r="C238">
            <v>226.78</v>
          </cell>
          <cell r="D238">
            <v>0.12</v>
          </cell>
          <cell r="E238">
            <v>524.37</v>
          </cell>
          <cell r="F238">
            <v>137.56</v>
          </cell>
          <cell r="G238">
            <v>46.74</v>
          </cell>
          <cell r="I238">
            <v>19.100000000000001</v>
          </cell>
          <cell r="J238">
            <v>93013</v>
          </cell>
          <cell r="K238" t="str">
            <v>MP</v>
          </cell>
        </row>
        <row r="239">
          <cell r="A239" t="str">
            <v>992975-SLR</v>
          </cell>
          <cell r="B239">
            <v>10616</v>
          </cell>
          <cell r="C239">
            <v>527.24</v>
          </cell>
          <cell r="D239">
            <v>16.95</v>
          </cell>
          <cell r="E239">
            <v>524.37</v>
          </cell>
          <cell r="F239">
            <v>193.98</v>
          </cell>
          <cell r="G239">
            <v>497.38</v>
          </cell>
          <cell r="I239">
            <v>2219.02</v>
          </cell>
          <cell r="J239">
            <v>92336</v>
          </cell>
          <cell r="K239" t="str">
            <v>MP</v>
          </cell>
        </row>
        <row r="240">
          <cell r="A240" t="str">
            <v>992976-SLR</v>
          </cell>
          <cell r="B240">
            <v>10617</v>
          </cell>
          <cell r="C240">
            <v>456.41</v>
          </cell>
          <cell r="D240">
            <v>23.96</v>
          </cell>
          <cell r="E240">
            <v>524.37</v>
          </cell>
          <cell r="F240">
            <v>219.57</v>
          </cell>
          <cell r="G240">
            <v>741.95</v>
          </cell>
          <cell r="I240">
            <v>3424.62</v>
          </cell>
          <cell r="J240">
            <v>91437</v>
          </cell>
          <cell r="K240" t="str">
            <v>MP</v>
          </cell>
        </row>
        <row r="241">
          <cell r="A241" t="str">
            <v>992977-SLR</v>
          </cell>
          <cell r="B241">
            <v>10775</v>
          </cell>
          <cell r="C241">
            <v>1005.23</v>
          </cell>
          <cell r="D241">
            <v>31.51</v>
          </cell>
          <cell r="E241">
            <v>536.76</v>
          </cell>
          <cell r="F241">
            <v>246.09</v>
          </cell>
          <cell r="G241">
            <v>962.98</v>
          </cell>
          <cell r="I241">
            <v>4031.56</v>
          </cell>
          <cell r="J241">
            <v>91553</v>
          </cell>
          <cell r="K241" t="str">
            <v>MP</v>
          </cell>
        </row>
        <row r="242">
          <cell r="A242" t="str">
            <v>992978-SLR</v>
          </cell>
          <cell r="B242">
            <v>10591</v>
          </cell>
          <cell r="C242">
            <v>323.77999999999997</v>
          </cell>
          <cell r="D242">
            <v>13.23</v>
          </cell>
          <cell r="E242">
            <v>522.36</v>
          </cell>
          <cell r="F242">
            <v>180.03</v>
          </cell>
          <cell r="G242">
            <v>447.81</v>
          </cell>
          <cell r="I242">
            <v>1795.43</v>
          </cell>
          <cell r="J242">
            <v>93022</v>
          </cell>
          <cell r="K242" t="str">
            <v>MP</v>
          </cell>
        </row>
        <row r="243">
          <cell r="A243" t="str">
            <v>992979-SLR</v>
          </cell>
          <cell r="B243">
            <v>10842</v>
          </cell>
          <cell r="C243">
            <v>1165.77</v>
          </cell>
          <cell r="D243">
            <v>25.38</v>
          </cell>
          <cell r="E243">
            <v>530.25</v>
          </cell>
          <cell r="F243">
            <v>223.85</v>
          </cell>
          <cell r="G243">
            <v>775.17</v>
          </cell>
          <cell r="I243">
            <v>2888.71</v>
          </cell>
          <cell r="J243">
            <v>92336</v>
          </cell>
          <cell r="K243" t="str">
            <v>MP</v>
          </cell>
        </row>
        <row r="244">
          <cell r="A244" t="str">
            <v>992980-SLR</v>
          </cell>
          <cell r="B244">
            <v>10618</v>
          </cell>
          <cell r="C244">
            <v>159.15</v>
          </cell>
          <cell r="D244">
            <v>85.8</v>
          </cell>
          <cell r="E244">
            <v>524.37</v>
          </cell>
          <cell r="F244">
            <v>569.99</v>
          </cell>
          <cell r="G244">
            <v>2661.23</v>
          </cell>
          <cell r="I244">
            <v>13761.52</v>
          </cell>
          <cell r="J244">
            <v>90686</v>
          </cell>
          <cell r="K244" t="str">
            <v>MP</v>
          </cell>
        </row>
        <row r="245">
          <cell r="A245" t="str">
            <v>992981-SLR</v>
          </cell>
          <cell r="B245">
            <v>10619</v>
          </cell>
          <cell r="C245">
            <v>169.11</v>
          </cell>
          <cell r="D245">
            <v>24.86</v>
          </cell>
          <cell r="E245">
            <v>524.37</v>
          </cell>
          <cell r="F245">
            <v>351.24</v>
          </cell>
          <cell r="G245">
            <v>1087.04</v>
          </cell>
          <cell r="I245">
            <v>7570.59</v>
          </cell>
          <cell r="J245">
            <v>90485</v>
          </cell>
          <cell r="K245" t="str">
            <v>MP</v>
          </cell>
        </row>
        <row r="246">
          <cell r="A246" t="str">
            <v>992983-SLR</v>
          </cell>
          <cell r="B246">
            <v>10633</v>
          </cell>
          <cell r="C246">
            <v>192.4</v>
          </cell>
          <cell r="D246">
            <v>46.07</v>
          </cell>
          <cell r="E246">
            <v>524.73</v>
          </cell>
          <cell r="F246">
            <v>579.97</v>
          </cell>
          <cell r="G246">
            <v>2016.87</v>
          </cell>
          <cell r="I246">
            <v>14167.71</v>
          </cell>
          <cell r="J246">
            <v>93157</v>
          </cell>
          <cell r="K246" t="str">
            <v>MP</v>
          </cell>
        </row>
        <row r="247">
          <cell r="A247" t="str">
            <v>992984-SLR</v>
          </cell>
          <cell r="B247">
            <v>10620</v>
          </cell>
          <cell r="C247">
            <v>192.27</v>
          </cell>
          <cell r="D247">
            <v>56.16</v>
          </cell>
          <cell r="E247">
            <v>524.37</v>
          </cell>
          <cell r="F247">
            <v>649.47</v>
          </cell>
          <cell r="G247">
            <v>3686.05</v>
          </cell>
          <cell r="I247">
            <v>17304.21</v>
          </cell>
          <cell r="J247">
            <v>91981</v>
          </cell>
          <cell r="K247" t="str">
            <v>MP</v>
          </cell>
        </row>
        <row r="248">
          <cell r="A248" t="str">
            <v>992985-SLR</v>
          </cell>
          <cell r="B248">
            <v>10621</v>
          </cell>
          <cell r="C248">
            <v>258.85000000000002</v>
          </cell>
          <cell r="D248">
            <v>1.94</v>
          </cell>
          <cell r="E248">
            <v>524.37</v>
          </cell>
          <cell r="F248">
            <v>138.88</v>
          </cell>
          <cell r="G248">
            <v>57.9</v>
          </cell>
          <cell r="I248">
            <v>43.95</v>
          </cell>
          <cell r="J248">
            <v>90257</v>
          </cell>
          <cell r="K248" t="str">
            <v>MP</v>
          </cell>
        </row>
        <row r="249">
          <cell r="A249" t="str">
            <v>992986-SLR</v>
          </cell>
          <cell r="B249">
            <v>10709</v>
          </cell>
          <cell r="C249">
            <v>345.74</v>
          </cell>
          <cell r="D249">
            <v>59.32</v>
          </cell>
          <cell r="E249">
            <v>531.9</v>
          </cell>
          <cell r="F249">
            <v>673.16</v>
          </cell>
          <cell r="G249">
            <v>2509.12</v>
          </cell>
          <cell r="I249">
            <v>18133.36</v>
          </cell>
          <cell r="J249">
            <v>90061</v>
          </cell>
          <cell r="K249" t="str">
            <v>MP</v>
          </cell>
        </row>
        <row r="250">
          <cell r="A250" t="str">
            <v>992987-SLR</v>
          </cell>
          <cell r="B250">
            <v>10813</v>
          </cell>
          <cell r="C250">
            <v>246.02</v>
          </cell>
          <cell r="D250">
            <v>96.5</v>
          </cell>
          <cell r="E250">
            <v>536.76</v>
          </cell>
          <cell r="F250">
            <v>942.19</v>
          </cell>
          <cell r="G250">
            <v>4061.65</v>
          </cell>
          <cell r="I250">
            <v>30152.49</v>
          </cell>
          <cell r="J250">
            <v>90083</v>
          </cell>
          <cell r="K250" t="str">
            <v>MP</v>
          </cell>
        </row>
        <row r="251">
          <cell r="A251" t="str">
            <v>992988-SLR</v>
          </cell>
          <cell r="B251">
            <v>10592</v>
          </cell>
          <cell r="C251">
            <v>465.8</v>
          </cell>
          <cell r="D251">
            <v>19.47</v>
          </cell>
          <cell r="E251">
            <v>522.36</v>
          </cell>
          <cell r="F251">
            <v>337.5</v>
          </cell>
          <cell r="G251">
            <v>687.84</v>
          </cell>
          <cell r="I251">
            <v>3134.95</v>
          </cell>
          <cell r="J251">
            <v>93006</v>
          </cell>
          <cell r="K251" t="str">
            <v>MP</v>
          </cell>
        </row>
        <row r="252">
          <cell r="A252" t="str">
            <v>992989-SLR</v>
          </cell>
          <cell r="B252">
            <v>10641</v>
          </cell>
          <cell r="C252">
            <v>262.24</v>
          </cell>
          <cell r="D252">
            <v>25.54</v>
          </cell>
          <cell r="E252">
            <v>524.73</v>
          </cell>
          <cell r="F252">
            <v>224.48</v>
          </cell>
          <cell r="G252">
            <v>780.48</v>
          </cell>
          <cell r="I252">
            <v>3820.03</v>
          </cell>
          <cell r="J252">
            <v>92090</v>
          </cell>
          <cell r="K252" t="str">
            <v>MP</v>
          </cell>
        </row>
        <row r="253">
          <cell r="A253" t="str">
            <v>992990-SLR</v>
          </cell>
          <cell r="B253">
            <v>10674</v>
          </cell>
          <cell r="C253">
            <v>193.57</v>
          </cell>
          <cell r="D253">
            <v>13.18</v>
          </cell>
          <cell r="E253">
            <v>527.91</v>
          </cell>
          <cell r="F253">
            <v>225.07</v>
          </cell>
          <cell r="G253">
            <v>206.72</v>
          </cell>
          <cell r="I253">
            <v>3927.65</v>
          </cell>
          <cell r="J253">
            <v>92099</v>
          </cell>
          <cell r="K253" t="str">
            <v>MP</v>
          </cell>
        </row>
        <row r="254">
          <cell r="A254" t="str">
            <v>992991-SLR</v>
          </cell>
          <cell r="B254">
            <v>10814</v>
          </cell>
          <cell r="C254">
            <v>196.28</v>
          </cell>
          <cell r="D254">
            <v>1.23</v>
          </cell>
          <cell r="E254">
            <v>536.76</v>
          </cell>
          <cell r="F254">
            <v>140.75</v>
          </cell>
          <cell r="G254">
            <v>73.430000000000007</v>
          </cell>
          <cell r="I254">
            <v>188.94</v>
          </cell>
          <cell r="J254">
            <v>90402</v>
          </cell>
          <cell r="K254" t="str">
            <v>MP</v>
          </cell>
        </row>
        <row r="255">
          <cell r="A255" t="str">
            <v>992992-SLR</v>
          </cell>
          <cell r="B255">
            <v>10642</v>
          </cell>
          <cell r="C255">
            <v>170.54</v>
          </cell>
          <cell r="D255">
            <v>4.04</v>
          </cell>
          <cell r="E255">
            <v>524.73</v>
          </cell>
          <cell r="F255">
            <v>160.46</v>
          </cell>
          <cell r="G255">
            <v>239.9</v>
          </cell>
          <cell r="I255">
            <v>1088.03</v>
          </cell>
          <cell r="J255">
            <v>93103</v>
          </cell>
          <cell r="K255" t="str">
            <v>MP</v>
          </cell>
        </row>
        <row r="256">
          <cell r="A256" t="str">
            <v>992993-SLR</v>
          </cell>
          <cell r="B256">
            <v>10740</v>
          </cell>
          <cell r="C256">
            <v>4393.1099999999997</v>
          </cell>
          <cell r="D256">
            <v>154.53</v>
          </cell>
          <cell r="E256">
            <v>533.49</v>
          </cell>
          <cell r="F256">
            <v>1342.58</v>
          </cell>
          <cell r="G256">
            <v>8338.81</v>
          </cell>
          <cell r="I256">
            <v>43742.43</v>
          </cell>
          <cell r="J256">
            <v>91178</v>
          </cell>
          <cell r="K256" t="str">
            <v>MP</v>
          </cell>
        </row>
        <row r="257">
          <cell r="A257" t="str">
            <v>992994-SLR</v>
          </cell>
          <cell r="B257">
            <v>10565</v>
          </cell>
          <cell r="C257">
            <v>367.64</v>
          </cell>
          <cell r="D257">
            <v>36.15</v>
          </cell>
          <cell r="E257">
            <v>522.36</v>
          </cell>
          <cell r="F257">
            <v>265.70999999999998</v>
          </cell>
          <cell r="G257">
            <v>755.63</v>
          </cell>
          <cell r="I257">
            <v>5408.72</v>
          </cell>
          <cell r="J257">
            <v>91620</v>
          </cell>
          <cell r="K257" t="str">
            <v>MP</v>
          </cell>
        </row>
        <row r="258">
          <cell r="A258" t="str">
            <v>992995-SLR</v>
          </cell>
          <cell r="B258">
            <v>10693</v>
          </cell>
          <cell r="C258">
            <v>150.71</v>
          </cell>
          <cell r="D258">
            <v>12</v>
          </cell>
          <cell r="E258">
            <v>531.9</v>
          </cell>
          <cell r="F258">
            <v>175.6</v>
          </cell>
          <cell r="G258">
            <v>271</v>
          </cell>
          <cell r="I258">
            <v>1773</v>
          </cell>
          <cell r="J258">
            <v>90097</v>
          </cell>
          <cell r="K258" t="str">
            <v>MP</v>
          </cell>
        </row>
        <row r="259">
          <cell r="A259" t="str">
            <v>992996-SLR</v>
          </cell>
          <cell r="B259">
            <v>10647</v>
          </cell>
          <cell r="C259">
            <v>8713.81</v>
          </cell>
          <cell r="D259">
            <v>211.08</v>
          </cell>
          <cell r="E259">
            <v>524.73</v>
          </cell>
          <cell r="F259">
            <v>1019.63</v>
          </cell>
          <cell r="G259">
            <v>4411.8100000000004</v>
          </cell>
          <cell r="I259">
            <v>25012.13</v>
          </cell>
          <cell r="J259">
            <v>93016</v>
          </cell>
          <cell r="K259" t="str">
            <v>MP</v>
          </cell>
        </row>
        <row r="260">
          <cell r="A260" t="str">
            <v>992997-SLR</v>
          </cell>
          <cell r="B260">
            <v>10643</v>
          </cell>
          <cell r="C260">
            <v>170.54</v>
          </cell>
          <cell r="D260">
            <v>47.72</v>
          </cell>
          <cell r="E260">
            <v>524.73</v>
          </cell>
          <cell r="F260">
            <v>591.54</v>
          </cell>
          <cell r="G260">
            <v>2087.5</v>
          </cell>
          <cell r="I260">
            <v>14692.44</v>
          </cell>
          <cell r="J260">
            <v>90468</v>
          </cell>
          <cell r="K260" t="str">
            <v>MP</v>
          </cell>
        </row>
        <row r="261">
          <cell r="A261" t="str">
            <v>992998-SLR</v>
          </cell>
          <cell r="B261">
            <v>10918</v>
          </cell>
          <cell r="C261">
            <v>196.44</v>
          </cell>
          <cell r="D261">
            <v>8.06</v>
          </cell>
          <cell r="E261">
            <v>527.91</v>
          </cell>
          <cell r="F261">
            <v>188.74</v>
          </cell>
          <cell r="G261">
            <v>352.72</v>
          </cell>
          <cell r="I261">
            <v>2314.89</v>
          </cell>
          <cell r="J261">
            <v>91923</v>
          </cell>
          <cell r="K261" t="str">
            <v>MP</v>
          </cell>
        </row>
        <row r="262">
          <cell r="A262" t="str">
            <v>992999-SLR</v>
          </cell>
          <cell r="B262">
            <v>10743</v>
          </cell>
          <cell r="C262">
            <v>173.38</v>
          </cell>
          <cell r="D262">
            <v>12.15</v>
          </cell>
          <cell r="E262">
            <v>533.49</v>
          </cell>
          <cell r="F262">
            <v>217.45</v>
          </cell>
          <cell r="G262">
            <v>531.37</v>
          </cell>
          <cell r="I262">
            <v>3609.95</v>
          </cell>
          <cell r="J262">
            <v>90697</v>
          </cell>
          <cell r="K262" t="str">
            <v>MP</v>
          </cell>
        </row>
        <row r="263">
          <cell r="A263" t="str">
            <v>993000-SLR</v>
          </cell>
          <cell r="B263">
            <v>10680</v>
          </cell>
          <cell r="C263">
            <v>214.82</v>
          </cell>
          <cell r="D263">
            <v>4.03</v>
          </cell>
          <cell r="E263">
            <v>527.91</v>
          </cell>
          <cell r="F263">
            <v>63.16</v>
          </cell>
          <cell r="G263">
            <v>239.57</v>
          </cell>
          <cell r="I263">
            <v>1042.0899999999999</v>
          </cell>
          <cell r="J263">
            <v>90219</v>
          </cell>
          <cell r="K263" t="str">
            <v>MP</v>
          </cell>
        </row>
        <row r="264">
          <cell r="A264" t="str">
            <v>993001-SLR</v>
          </cell>
          <cell r="B264">
            <v>10797</v>
          </cell>
          <cell r="C264">
            <v>234.83</v>
          </cell>
          <cell r="D264">
            <v>20.86</v>
          </cell>
          <cell r="E264">
            <v>536.76</v>
          </cell>
          <cell r="F264">
            <v>297.08999999999997</v>
          </cell>
          <cell r="G264">
            <v>912.51</v>
          </cell>
          <cell r="I264">
            <v>6262.2</v>
          </cell>
          <cell r="J264">
            <v>90061</v>
          </cell>
          <cell r="K264" t="str">
            <v>MP</v>
          </cell>
        </row>
        <row r="265">
          <cell r="A265" t="str">
            <v>993002-SLR</v>
          </cell>
          <cell r="B265">
            <v>0</v>
          </cell>
          <cell r="C265">
            <v>0</v>
          </cell>
          <cell r="D265">
            <v>0</v>
          </cell>
          <cell r="E265">
            <v>0</v>
          </cell>
          <cell r="F265">
            <v>6.16</v>
          </cell>
          <cell r="G265">
            <v>12.4</v>
          </cell>
          <cell r="I265">
            <v>21.12</v>
          </cell>
          <cell r="J265">
            <v>92202</v>
          </cell>
          <cell r="K265" t="str">
            <v>MP</v>
          </cell>
        </row>
        <row r="266">
          <cell r="A266" t="str">
            <v>993003-SLR</v>
          </cell>
          <cell r="B266">
            <v>10726</v>
          </cell>
          <cell r="C266">
            <v>0</v>
          </cell>
          <cell r="D266">
            <v>0</v>
          </cell>
          <cell r="E266">
            <v>0</v>
          </cell>
          <cell r="F266">
            <v>17.57</v>
          </cell>
          <cell r="G266">
            <v>126.27</v>
          </cell>
          <cell r="I266">
            <v>210.84</v>
          </cell>
          <cell r="J266">
            <v>91496</v>
          </cell>
          <cell r="K266" t="str">
            <v>MP</v>
          </cell>
        </row>
        <row r="267">
          <cell r="A267" t="str">
            <v>993004-SLR</v>
          </cell>
          <cell r="B267">
            <v>10456</v>
          </cell>
          <cell r="C267">
            <v>0</v>
          </cell>
          <cell r="D267">
            <v>0</v>
          </cell>
          <cell r="E267">
            <v>0</v>
          </cell>
          <cell r="F267">
            <v>17.36</v>
          </cell>
          <cell r="G267">
            <v>103.44</v>
          </cell>
          <cell r="I267">
            <v>172.4</v>
          </cell>
          <cell r="J267">
            <v>92259</v>
          </cell>
          <cell r="K267" t="str">
            <v>MP</v>
          </cell>
        </row>
        <row r="268">
          <cell r="A268" t="str">
            <v>993005-SLR</v>
          </cell>
          <cell r="B268">
            <v>10472</v>
          </cell>
          <cell r="C268">
            <v>0</v>
          </cell>
          <cell r="D268">
            <v>0</v>
          </cell>
          <cell r="E268">
            <v>0</v>
          </cell>
          <cell r="F268">
            <v>17.57</v>
          </cell>
          <cell r="G268">
            <v>455.14</v>
          </cell>
          <cell r="I268">
            <v>758.56</v>
          </cell>
          <cell r="J268">
            <v>91337</v>
          </cell>
          <cell r="K268" t="str">
            <v>MP</v>
          </cell>
        </row>
        <row r="269">
          <cell r="A269" t="str">
            <v>993006-SLR</v>
          </cell>
          <cell r="B269">
            <v>10734</v>
          </cell>
          <cell r="C269">
            <v>283.16000000000003</v>
          </cell>
          <cell r="D269">
            <v>12.69</v>
          </cell>
          <cell r="E269">
            <v>524.37</v>
          </cell>
          <cell r="F269">
            <v>177.9</v>
          </cell>
          <cell r="G269">
            <v>245.46</v>
          </cell>
          <cell r="I269">
            <v>1749.65</v>
          </cell>
          <cell r="J269">
            <v>92299</v>
          </cell>
          <cell r="K269" t="str">
            <v>MP</v>
          </cell>
        </row>
        <row r="270">
          <cell r="A270" t="str">
            <v>993007-SLR</v>
          </cell>
          <cell r="B270">
            <v>10648</v>
          </cell>
          <cell r="C270">
            <v>198.87</v>
          </cell>
          <cell r="D270">
            <v>8.33</v>
          </cell>
          <cell r="E270">
            <v>524.73</v>
          </cell>
          <cell r="F270">
            <v>190.43</v>
          </cell>
          <cell r="G270">
            <v>311.37</v>
          </cell>
          <cell r="I270">
            <v>2387.52</v>
          </cell>
          <cell r="J270">
            <v>92284</v>
          </cell>
          <cell r="K270" t="str">
            <v>MP</v>
          </cell>
        </row>
        <row r="271">
          <cell r="A271" t="str">
            <v>993008-SLR</v>
          </cell>
          <cell r="B271">
            <v>10583</v>
          </cell>
          <cell r="C271">
            <v>273.64999999999998</v>
          </cell>
          <cell r="D271">
            <v>36.86</v>
          </cell>
          <cell r="E271">
            <v>524.37</v>
          </cell>
          <cell r="F271">
            <v>515.20000000000005</v>
          </cell>
          <cell r="G271">
            <v>1739.65</v>
          </cell>
          <cell r="I271">
            <v>11207.59</v>
          </cell>
          <cell r="J271">
            <v>91969</v>
          </cell>
          <cell r="K271" t="str">
            <v>MP</v>
          </cell>
        </row>
        <row r="272">
          <cell r="A272" t="str">
            <v>993009-SLR</v>
          </cell>
          <cell r="B272">
            <v>10744</v>
          </cell>
          <cell r="C272">
            <v>3116.72</v>
          </cell>
          <cell r="D272">
            <v>23.94</v>
          </cell>
          <cell r="E272">
            <v>533.49</v>
          </cell>
          <cell r="F272">
            <v>219.71</v>
          </cell>
          <cell r="G272">
            <v>740.26</v>
          </cell>
          <cell r="I272">
            <v>755.42</v>
          </cell>
          <cell r="J272">
            <v>91416</v>
          </cell>
          <cell r="K272" t="str">
            <v>MP</v>
          </cell>
        </row>
        <row r="273">
          <cell r="A273" t="str">
            <v>993010-SLR</v>
          </cell>
          <cell r="B273">
            <v>10736</v>
          </cell>
          <cell r="C273">
            <v>186.72</v>
          </cell>
          <cell r="D273">
            <v>52.87</v>
          </cell>
          <cell r="E273">
            <v>533.49</v>
          </cell>
          <cell r="F273">
            <v>386.48</v>
          </cell>
          <cell r="G273">
            <v>1193.71</v>
          </cell>
          <cell r="I273">
            <v>8286.8799999999992</v>
          </cell>
          <cell r="J273">
            <v>92166</v>
          </cell>
          <cell r="K273" t="str">
            <v>MP</v>
          </cell>
        </row>
        <row r="274">
          <cell r="A274" t="str">
            <v>993011-SLR</v>
          </cell>
          <cell r="B274">
            <v>10737</v>
          </cell>
          <cell r="C274">
            <v>231.18</v>
          </cell>
          <cell r="D274">
            <v>14.76</v>
          </cell>
          <cell r="E274">
            <v>533.49</v>
          </cell>
          <cell r="F274">
            <v>185.6</v>
          </cell>
          <cell r="G274">
            <v>452.18</v>
          </cell>
          <cell r="I274">
            <v>2133.96</v>
          </cell>
          <cell r="J274">
            <v>91468</v>
          </cell>
          <cell r="K274" t="str">
            <v>MP</v>
          </cell>
        </row>
        <row r="275">
          <cell r="A275" t="str">
            <v>993012-SLR</v>
          </cell>
          <cell r="B275">
            <v>10692</v>
          </cell>
          <cell r="C275">
            <v>186.17</v>
          </cell>
          <cell r="D275">
            <v>7.2</v>
          </cell>
          <cell r="E275">
            <v>531.9</v>
          </cell>
          <cell r="F275">
            <v>158.18</v>
          </cell>
          <cell r="G275">
            <v>220.67</v>
          </cell>
          <cell r="I275">
            <v>968.06</v>
          </cell>
          <cell r="J275">
            <v>90390</v>
          </cell>
          <cell r="K275" t="str">
            <v>MP</v>
          </cell>
        </row>
        <row r="276">
          <cell r="A276" t="str">
            <v>993013-SLR</v>
          </cell>
          <cell r="B276">
            <v>10665</v>
          </cell>
          <cell r="C276">
            <v>184.77</v>
          </cell>
          <cell r="D276">
            <v>7.3</v>
          </cell>
          <cell r="E276">
            <v>527.91</v>
          </cell>
          <cell r="F276">
            <v>158.54</v>
          </cell>
          <cell r="G276">
            <v>164.84</v>
          </cell>
          <cell r="I276">
            <v>985.43</v>
          </cell>
          <cell r="J276">
            <v>93192</v>
          </cell>
          <cell r="K276" t="str">
            <v>MP</v>
          </cell>
        </row>
        <row r="277">
          <cell r="A277" t="str">
            <v>993014-SLR</v>
          </cell>
          <cell r="B277">
            <v>10746</v>
          </cell>
          <cell r="C277">
            <v>981.69</v>
          </cell>
          <cell r="D277">
            <v>459.05</v>
          </cell>
          <cell r="E277">
            <v>533.49</v>
          </cell>
          <cell r="F277">
            <v>1948.99</v>
          </cell>
          <cell r="G277">
            <v>7777.58</v>
          </cell>
          <cell r="I277">
            <v>73801.58</v>
          </cell>
          <cell r="J277">
            <v>93018</v>
          </cell>
          <cell r="K277" t="str">
            <v>MP</v>
          </cell>
        </row>
        <row r="278">
          <cell r="A278" t="str">
            <v>993015-SLR</v>
          </cell>
          <cell r="B278">
            <v>10750</v>
          </cell>
          <cell r="C278">
            <v>1559.4</v>
          </cell>
          <cell r="D278">
            <v>7961.38</v>
          </cell>
          <cell r="E278">
            <v>533.49</v>
          </cell>
          <cell r="F278">
            <v>3664.69</v>
          </cell>
          <cell r="G278">
            <v>21380.3</v>
          </cell>
          <cell r="I278">
            <v>148998.66</v>
          </cell>
          <cell r="J278">
            <v>93022</v>
          </cell>
          <cell r="K278" t="str">
            <v>MP</v>
          </cell>
        </row>
        <row r="279">
          <cell r="A279" t="str">
            <v>993016-SLR</v>
          </cell>
          <cell r="B279">
            <v>10579</v>
          </cell>
          <cell r="C279">
            <v>187.9</v>
          </cell>
          <cell r="D279">
            <v>9.25</v>
          </cell>
          <cell r="E279">
            <v>524.37</v>
          </cell>
          <cell r="F279">
            <v>196.8</v>
          </cell>
          <cell r="G279">
            <v>606.66999999999996</v>
          </cell>
          <cell r="I279">
            <v>2691.77</v>
          </cell>
          <cell r="J279">
            <v>91681</v>
          </cell>
          <cell r="K279" t="str">
            <v>MP</v>
          </cell>
        </row>
        <row r="280">
          <cell r="A280" t="str">
            <v>993017-SLR</v>
          </cell>
          <cell r="B280">
            <v>10622</v>
          </cell>
          <cell r="C280">
            <v>272.79000000000002</v>
          </cell>
          <cell r="D280">
            <v>13.18</v>
          </cell>
          <cell r="E280">
            <v>524.37</v>
          </cell>
          <cell r="F280">
            <v>179.7</v>
          </cell>
          <cell r="G280">
            <v>403.9</v>
          </cell>
          <cell r="I280">
            <v>1839.84</v>
          </cell>
          <cell r="J280">
            <v>92285</v>
          </cell>
          <cell r="K280" t="str">
            <v>MP</v>
          </cell>
        </row>
        <row r="281">
          <cell r="A281" t="str">
            <v>993020-SLR</v>
          </cell>
          <cell r="B281">
            <v>10698</v>
          </cell>
          <cell r="C281">
            <v>294.67</v>
          </cell>
          <cell r="D281">
            <v>18.88</v>
          </cell>
          <cell r="E281">
            <v>531.9</v>
          </cell>
          <cell r="F281">
            <v>269.54000000000002</v>
          </cell>
          <cell r="G281">
            <v>825.79</v>
          </cell>
          <cell r="I281">
            <v>5584.95</v>
          </cell>
          <cell r="J281">
            <v>91750</v>
          </cell>
          <cell r="K281" t="str">
            <v>MP</v>
          </cell>
        </row>
        <row r="282">
          <cell r="A282" t="str">
            <v>993021-SLR</v>
          </cell>
          <cell r="B282">
            <v>10664</v>
          </cell>
          <cell r="C282">
            <v>283.56</v>
          </cell>
          <cell r="D282">
            <v>14.18</v>
          </cell>
          <cell r="E282">
            <v>527.91</v>
          </cell>
          <cell r="F282">
            <v>183.11</v>
          </cell>
          <cell r="G282">
            <v>431.14</v>
          </cell>
          <cell r="I282">
            <v>1971.41</v>
          </cell>
          <cell r="J282">
            <v>91431</v>
          </cell>
          <cell r="K282" t="str">
            <v>MP</v>
          </cell>
        </row>
        <row r="283">
          <cell r="A283" t="str">
            <v>993022-SLR</v>
          </cell>
          <cell r="B283">
            <v>10816</v>
          </cell>
          <cell r="C283">
            <v>143.13999999999999</v>
          </cell>
          <cell r="D283">
            <v>5.92</v>
          </cell>
          <cell r="E283">
            <v>536.76</v>
          </cell>
          <cell r="F283">
            <v>173.65</v>
          </cell>
          <cell r="G283">
            <v>258.83</v>
          </cell>
          <cell r="I283">
            <v>1699.74</v>
          </cell>
          <cell r="J283">
            <v>90485</v>
          </cell>
          <cell r="K283" t="str">
            <v>MP</v>
          </cell>
        </row>
        <row r="284">
          <cell r="A284" t="str">
            <v>993023-SLR</v>
          </cell>
          <cell r="B284">
            <v>10906</v>
          </cell>
          <cell r="C284">
            <v>170.48</v>
          </cell>
          <cell r="D284">
            <v>58.85</v>
          </cell>
          <cell r="E284">
            <v>524.54999999999995</v>
          </cell>
          <cell r="F284">
            <v>669.87</v>
          </cell>
          <cell r="G284">
            <v>919.59</v>
          </cell>
          <cell r="I284">
            <v>18162.54</v>
          </cell>
          <cell r="J284">
            <v>90496</v>
          </cell>
          <cell r="K284" t="str">
            <v>MP</v>
          </cell>
        </row>
        <row r="285">
          <cell r="A285" t="str">
            <v>993024-SLR</v>
          </cell>
          <cell r="B285">
            <v>10566</v>
          </cell>
          <cell r="C285">
            <v>187.18</v>
          </cell>
          <cell r="D285">
            <v>6.08</v>
          </cell>
          <cell r="E285">
            <v>522.36</v>
          </cell>
          <cell r="F285">
            <v>174.79</v>
          </cell>
          <cell r="G285">
            <v>398.92</v>
          </cell>
          <cell r="I285">
            <v>1706.38</v>
          </cell>
          <cell r="J285">
            <v>91681</v>
          </cell>
          <cell r="K285" t="str">
            <v>MP</v>
          </cell>
        </row>
        <row r="286">
          <cell r="A286" t="str">
            <v>993025-SLR</v>
          </cell>
          <cell r="B286">
            <v>10599</v>
          </cell>
          <cell r="C286">
            <v>257.61</v>
          </cell>
          <cell r="D286">
            <v>2.36</v>
          </cell>
          <cell r="E286">
            <v>0</v>
          </cell>
          <cell r="F286">
            <v>0</v>
          </cell>
          <cell r="G286">
            <v>121.6</v>
          </cell>
          <cell r="I286">
            <v>381.67</v>
          </cell>
          <cell r="J286">
            <v>93053</v>
          </cell>
          <cell r="K286" t="str">
            <v>MP</v>
          </cell>
        </row>
        <row r="287">
          <cell r="A287" t="str">
            <v>993026-SLR</v>
          </cell>
          <cell r="B287">
            <v>10623</v>
          </cell>
          <cell r="C287">
            <v>246.76</v>
          </cell>
          <cell r="D287">
            <v>37.880000000000003</v>
          </cell>
          <cell r="E287">
            <v>524.37</v>
          </cell>
          <cell r="F287">
            <v>277.08</v>
          </cell>
          <cell r="G287">
            <v>852.81</v>
          </cell>
          <cell r="I287">
            <v>5806.87</v>
          </cell>
          <cell r="J287">
            <v>90503</v>
          </cell>
          <cell r="K287" t="str">
            <v>MP</v>
          </cell>
        </row>
        <row r="288">
          <cell r="A288" t="str">
            <v>993027-SLR</v>
          </cell>
          <cell r="B288">
            <v>10900</v>
          </cell>
          <cell r="C288">
            <v>376.06</v>
          </cell>
          <cell r="D288">
            <v>36.15</v>
          </cell>
          <cell r="E288">
            <v>533.49</v>
          </cell>
          <cell r="F288">
            <v>509.7</v>
          </cell>
          <cell r="G288">
            <v>1581.36</v>
          </cell>
          <cell r="I288">
            <v>10883.2</v>
          </cell>
          <cell r="J288">
            <v>93267</v>
          </cell>
          <cell r="K288" t="str">
            <v>MP</v>
          </cell>
        </row>
        <row r="289">
          <cell r="A289" t="str">
            <v>993028-SLR</v>
          </cell>
          <cell r="B289">
            <v>10593</v>
          </cell>
          <cell r="C289">
            <v>81.03</v>
          </cell>
          <cell r="D289">
            <v>18.489999999999998</v>
          </cell>
          <cell r="E289">
            <v>524.37</v>
          </cell>
          <cell r="F289">
            <v>198.92</v>
          </cell>
          <cell r="G289">
            <v>416.1</v>
          </cell>
          <cell r="I289">
            <v>2884.04</v>
          </cell>
          <cell r="J289">
            <v>90485</v>
          </cell>
          <cell r="K289" t="str">
            <v>MP</v>
          </cell>
        </row>
        <row r="290">
          <cell r="A290" t="str">
            <v>993029-SLR</v>
          </cell>
          <cell r="B290">
            <v>10872</v>
          </cell>
          <cell r="C290">
            <v>5205.5</v>
          </cell>
          <cell r="D290">
            <v>460.34</v>
          </cell>
          <cell r="E290">
            <v>530.25</v>
          </cell>
          <cell r="F290">
            <v>1922.36</v>
          </cell>
          <cell r="G290">
            <v>12981.9</v>
          </cell>
          <cell r="I290">
            <v>68394.509999999995</v>
          </cell>
          <cell r="J290">
            <v>93191</v>
          </cell>
          <cell r="K290" t="str">
            <v>MP</v>
          </cell>
        </row>
        <row r="291">
          <cell r="A291" t="str">
            <v>993030-SLR</v>
          </cell>
          <cell r="B291">
            <v>10625</v>
          </cell>
          <cell r="C291">
            <v>772.83</v>
          </cell>
          <cell r="D291">
            <v>17.43</v>
          </cell>
          <cell r="E291">
            <v>524.37</v>
          </cell>
          <cell r="F291">
            <v>195.04</v>
          </cell>
          <cell r="G291">
            <v>337.22</v>
          </cell>
          <cell r="I291">
            <v>2019.87</v>
          </cell>
          <cell r="J291">
            <v>93135</v>
          </cell>
          <cell r="K291" t="str">
            <v>MP</v>
          </cell>
        </row>
        <row r="292">
          <cell r="A292" t="str">
            <v>993032-SLR</v>
          </cell>
          <cell r="B292">
            <v>10538</v>
          </cell>
          <cell r="C292">
            <v>0</v>
          </cell>
          <cell r="D292">
            <v>0</v>
          </cell>
          <cell r="E292">
            <v>0</v>
          </cell>
          <cell r="F292">
            <v>17.57</v>
          </cell>
          <cell r="G292">
            <v>410.86</v>
          </cell>
          <cell r="I292">
            <v>684.77</v>
          </cell>
          <cell r="J292">
            <v>91969</v>
          </cell>
          <cell r="K292" t="str">
            <v>MP</v>
          </cell>
        </row>
        <row r="293">
          <cell r="A293" t="str">
            <v>993033-SLR</v>
          </cell>
          <cell r="B293">
            <v>10688</v>
          </cell>
          <cell r="C293">
            <v>84136.65</v>
          </cell>
          <cell r="D293">
            <v>608.69000000000005</v>
          </cell>
          <cell r="E293">
            <v>531.9</v>
          </cell>
          <cell r="F293">
            <v>2465.0100000000002</v>
          </cell>
          <cell r="G293">
            <v>11781.1</v>
          </cell>
          <cell r="I293">
            <v>13430.48</v>
          </cell>
          <cell r="J293">
            <v>93204</v>
          </cell>
          <cell r="K293" t="str">
            <v>MP</v>
          </cell>
        </row>
        <row r="294">
          <cell r="A294" t="str">
            <v>993034-SLR</v>
          </cell>
          <cell r="B294">
            <v>10675</v>
          </cell>
          <cell r="C294">
            <v>522.75</v>
          </cell>
          <cell r="D294">
            <v>15.4</v>
          </cell>
          <cell r="E294">
            <v>527.91</v>
          </cell>
          <cell r="F294">
            <v>240.66</v>
          </cell>
          <cell r="G294">
            <v>627.52</v>
          </cell>
          <cell r="I294">
            <v>4288.93</v>
          </cell>
          <cell r="J294">
            <v>92099</v>
          </cell>
          <cell r="K294" t="str">
            <v>MP</v>
          </cell>
        </row>
        <row r="295">
          <cell r="A295" t="str">
            <v>993035-SLR</v>
          </cell>
          <cell r="B295">
            <v>10681</v>
          </cell>
          <cell r="C295">
            <v>272.17</v>
          </cell>
          <cell r="D295">
            <v>46.88</v>
          </cell>
          <cell r="E295">
            <v>527.91</v>
          </cell>
          <cell r="F295">
            <v>586.70000000000005</v>
          </cell>
          <cell r="G295">
            <v>1065.8399999999999</v>
          </cell>
          <cell r="I295">
            <v>14376.75</v>
          </cell>
          <cell r="J295">
            <v>92099</v>
          </cell>
          <cell r="K295" t="str">
            <v>MP</v>
          </cell>
        </row>
        <row r="296">
          <cell r="A296" t="str">
            <v>993036-SLR</v>
          </cell>
          <cell r="B296">
            <v>10479</v>
          </cell>
          <cell r="C296">
            <v>0</v>
          </cell>
          <cell r="D296">
            <v>0</v>
          </cell>
          <cell r="E296">
            <v>0</v>
          </cell>
          <cell r="F296">
            <v>17.57</v>
          </cell>
          <cell r="G296">
            <v>39.31</v>
          </cell>
          <cell r="I296">
            <v>65.510000000000005</v>
          </cell>
          <cell r="J296">
            <v>90856</v>
          </cell>
          <cell r="K296" t="str">
            <v>MP</v>
          </cell>
        </row>
        <row r="297">
          <cell r="A297" t="str">
            <v>993037-SLR</v>
          </cell>
          <cell r="B297">
            <v>10525</v>
          </cell>
          <cell r="C297">
            <v>87.06</v>
          </cell>
          <cell r="D297">
            <v>0.99</v>
          </cell>
          <cell r="E297">
            <v>522.36</v>
          </cell>
          <cell r="F297">
            <v>138.97</v>
          </cell>
          <cell r="G297">
            <v>58.41</v>
          </cell>
          <cell r="I297">
            <v>219.39</v>
          </cell>
          <cell r="J297">
            <v>90219</v>
          </cell>
          <cell r="K297" t="str">
            <v>MP</v>
          </cell>
        </row>
        <row r="298">
          <cell r="A298" t="str">
            <v>993038-SLR</v>
          </cell>
          <cell r="B298">
            <v>10711</v>
          </cell>
          <cell r="C298">
            <v>7677.48</v>
          </cell>
          <cell r="D298">
            <v>97.25</v>
          </cell>
          <cell r="E298">
            <v>531.9</v>
          </cell>
          <cell r="F298">
            <v>607.83000000000004</v>
          </cell>
          <cell r="G298">
            <v>1876.19</v>
          </cell>
          <cell r="I298">
            <v>7860.17</v>
          </cell>
          <cell r="J298">
            <v>93182</v>
          </cell>
          <cell r="K298" t="str">
            <v>MP</v>
          </cell>
        </row>
        <row r="299">
          <cell r="A299" t="str">
            <v>993039-SLR</v>
          </cell>
          <cell r="B299">
            <v>10649</v>
          </cell>
          <cell r="C299">
            <v>7590.62</v>
          </cell>
          <cell r="D299">
            <v>117.31</v>
          </cell>
          <cell r="E299">
            <v>524.73</v>
          </cell>
          <cell r="F299">
            <v>681.75</v>
          </cell>
          <cell r="G299">
            <v>2416.3200000000002</v>
          </cell>
          <cell r="I299">
            <v>11212.26</v>
          </cell>
          <cell r="J299">
            <v>93182</v>
          </cell>
          <cell r="K299" t="str">
            <v>MP</v>
          </cell>
        </row>
        <row r="300">
          <cell r="A300" t="str">
            <v>993040-SLR</v>
          </cell>
          <cell r="B300">
            <v>10722</v>
          </cell>
          <cell r="C300">
            <v>424.46</v>
          </cell>
          <cell r="D300">
            <v>4.24</v>
          </cell>
          <cell r="E300">
            <v>531.9</v>
          </cell>
          <cell r="F300">
            <v>147.41999999999999</v>
          </cell>
          <cell r="G300">
            <v>81.95</v>
          </cell>
          <cell r="I300">
            <v>254.25</v>
          </cell>
          <cell r="J300">
            <v>91997</v>
          </cell>
          <cell r="K300" t="str">
            <v>MP</v>
          </cell>
        </row>
        <row r="301">
          <cell r="A301" t="str">
            <v>993041-SLR</v>
          </cell>
          <cell r="B301">
            <v>10663</v>
          </cell>
          <cell r="C301">
            <v>1524.27</v>
          </cell>
          <cell r="D301">
            <v>33.17</v>
          </cell>
          <cell r="E301">
            <v>527.91</v>
          </cell>
          <cell r="F301">
            <v>252.46</v>
          </cell>
          <cell r="G301">
            <v>642.16</v>
          </cell>
          <cell r="I301">
            <v>3793.91</v>
          </cell>
          <cell r="J301">
            <v>92315</v>
          </cell>
          <cell r="K301" t="str">
            <v>MP</v>
          </cell>
        </row>
        <row r="302">
          <cell r="A302" t="str">
            <v>993042-SLR</v>
          </cell>
          <cell r="B302">
            <v>10677</v>
          </cell>
          <cell r="C302">
            <v>251.62</v>
          </cell>
          <cell r="D302">
            <v>11.84</v>
          </cell>
          <cell r="E302">
            <v>527.91</v>
          </cell>
          <cell r="F302">
            <v>175.01</v>
          </cell>
          <cell r="G302">
            <v>362.79</v>
          </cell>
          <cell r="I302">
            <v>1645.99</v>
          </cell>
          <cell r="J302">
            <v>92285</v>
          </cell>
          <cell r="K302" t="str">
            <v>MP</v>
          </cell>
        </row>
        <row r="303">
          <cell r="A303" t="str">
            <v>993043-SLR</v>
          </cell>
          <cell r="B303">
            <v>10676</v>
          </cell>
          <cell r="C303">
            <v>175.49</v>
          </cell>
          <cell r="D303">
            <v>2.96</v>
          </cell>
          <cell r="E303">
            <v>527.91</v>
          </cell>
          <cell r="F303">
            <v>152.75</v>
          </cell>
          <cell r="G303">
            <v>156.43</v>
          </cell>
          <cell r="I303">
            <v>741.71</v>
          </cell>
          <cell r="J303">
            <v>91990</v>
          </cell>
          <cell r="K303" t="str">
            <v>MP</v>
          </cell>
        </row>
        <row r="304">
          <cell r="A304" t="str">
            <v>993044-SLR</v>
          </cell>
          <cell r="B304">
            <v>10755</v>
          </cell>
          <cell r="C304">
            <v>205.06</v>
          </cell>
          <cell r="D304">
            <v>5.37</v>
          </cell>
          <cell r="E304">
            <v>533.49</v>
          </cell>
          <cell r="F304">
            <v>151.56</v>
          </cell>
          <cell r="G304">
            <v>164.74</v>
          </cell>
          <cell r="I304">
            <v>656.64</v>
          </cell>
          <cell r="J304">
            <v>92303</v>
          </cell>
          <cell r="K304" t="str">
            <v>MP</v>
          </cell>
        </row>
        <row r="305">
          <cell r="A305" t="str">
            <v>993045-SLR</v>
          </cell>
          <cell r="B305">
            <v>10626</v>
          </cell>
          <cell r="C305">
            <v>324.77999999999997</v>
          </cell>
          <cell r="D305">
            <v>4.93</v>
          </cell>
          <cell r="E305">
            <v>524.37</v>
          </cell>
          <cell r="F305">
            <v>166.32</v>
          </cell>
          <cell r="G305">
            <v>183.45</v>
          </cell>
          <cell r="I305">
            <v>1199.06</v>
          </cell>
          <cell r="J305">
            <v>92282</v>
          </cell>
          <cell r="K305" t="str">
            <v>MP</v>
          </cell>
        </row>
        <row r="306">
          <cell r="A306" t="str">
            <v>993046-SLR</v>
          </cell>
          <cell r="B306">
            <v>10756</v>
          </cell>
          <cell r="C306">
            <v>164.05</v>
          </cell>
          <cell r="D306">
            <v>4.46</v>
          </cell>
          <cell r="E306">
            <v>533.49</v>
          </cell>
          <cell r="F306">
            <v>148.28</v>
          </cell>
          <cell r="G306">
            <v>86.55</v>
          </cell>
          <cell r="I306">
            <v>552.70000000000005</v>
          </cell>
          <cell r="J306">
            <v>91996</v>
          </cell>
          <cell r="K306" t="str">
            <v>MP</v>
          </cell>
        </row>
        <row r="307">
          <cell r="A307" t="str">
            <v>993047-SLR</v>
          </cell>
          <cell r="B307">
            <v>10758</v>
          </cell>
          <cell r="C307">
            <v>189.39</v>
          </cell>
          <cell r="D307">
            <v>4.96</v>
          </cell>
          <cell r="E307">
            <v>533.49</v>
          </cell>
          <cell r="F307">
            <v>150.01</v>
          </cell>
          <cell r="G307">
            <v>167.66</v>
          </cell>
          <cell r="I307">
            <v>604.02</v>
          </cell>
          <cell r="J307">
            <v>93130</v>
          </cell>
          <cell r="K307" t="str">
            <v>MP</v>
          </cell>
        </row>
        <row r="308">
          <cell r="A308" t="str">
            <v>993048-SLR</v>
          </cell>
          <cell r="B308">
            <v>10627</v>
          </cell>
          <cell r="C308">
            <v>146.66999999999999</v>
          </cell>
          <cell r="D308">
            <v>3.9</v>
          </cell>
          <cell r="E308">
            <v>524.37</v>
          </cell>
          <cell r="F308">
            <v>146.12</v>
          </cell>
          <cell r="G308">
            <v>75.33</v>
          </cell>
          <cell r="I308">
            <v>477.18</v>
          </cell>
          <cell r="J308">
            <v>93072</v>
          </cell>
          <cell r="K308" t="str">
            <v>MP</v>
          </cell>
        </row>
        <row r="309">
          <cell r="A309" t="str">
            <v>993049-SLR</v>
          </cell>
          <cell r="B309">
            <v>0</v>
          </cell>
          <cell r="C309">
            <v>187.87</v>
          </cell>
          <cell r="D309">
            <v>133.28</v>
          </cell>
          <cell r="E309">
            <v>536.76</v>
          </cell>
          <cell r="F309">
            <v>1193.21</v>
          </cell>
          <cell r="G309">
            <v>5831.23</v>
          </cell>
          <cell r="I309">
            <v>41330.519999999997</v>
          </cell>
          <cell r="J309">
            <v>92190</v>
          </cell>
          <cell r="K309" t="str">
            <v>MP</v>
          </cell>
        </row>
        <row r="310">
          <cell r="A310" t="str">
            <v>993050-SLR</v>
          </cell>
          <cell r="B310">
            <v>10584</v>
          </cell>
          <cell r="C310">
            <v>229.05</v>
          </cell>
          <cell r="D310">
            <v>78.83</v>
          </cell>
          <cell r="E310">
            <v>524.37</v>
          </cell>
          <cell r="F310">
            <v>544.48</v>
          </cell>
          <cell r="G310">
            <v>2445.0500000000002</v>
          </cell>
          <cell r="I310">
            <v>12560.81</v>
          </cell>
          <cell r="J310">
            <v>92174</v>
          </cell>
          <cell r="K310" t="str">
            <v>MP</v>
          </cell>
        </row>
        <row r="311">
          <cell r="A311" t="str">
            <v>993051-SLR</v>
          </cell>
          <cell r="B311">
            <v>10628</v>
          </cell>
          <cell r="C311">
            <v>5731.24</v>
          </cell>
          <cell r="D311">
            <v>86.85</v>
          </cell>
          <cell r="E311">
            <v>524.37</v>
          </cell>
          <cell r="F311">
            <v>570.04</v>
          </cell>
          <cell r="G311">
            <v>1681.04</v>
          </cell>
          <cell r="I311">
            <v>8190.54</v>
          </cell>
          <cell r="J311">
            <v>93175</v>
          </cell>
          <cell r="K311" t="str">
            <v>MP</v>
          </cell>
        </row>
        <row r="312">
          <cell r="A312" t="str">
            <v>993052-SLR</v>
          </cell>
          <cell r="B312">
            <v>10629</v>
          </cell>
          <cell r="C312">
            <v>2685.02</v>
          </cell>
          <cell r="D312">
            <v>28.74</v>
          </cell>
          <cell r="E312">
            <v>524.37</v>
          </cell>
          <cell r="F312">
            <v>374</v>
          </cell>
          <cell r="G312">
            <v>554.49</v>
          </cell>
          <cell r="I312">
            <v>1907.03</v>
          </cell>
          <cell r="J312">
            <v>92253</v>
          </cell>
          <cell r="K312" t="str">
            <v>MP</v>
          </cell>
        </row>
        <row r="313">
          <cell r="A313" t="str">
            <v>993053-SLR</v>
          </cell>
          <cell r="B313">
            <v>10594</v>
          </cell>
          <cell r="C313">
            <v>939.48</v>
          </cell>
          <cell r="D313">
            <v>15.67</v>
          </cell>
          <cell r="E313">
            <v>522.36</v>
          </cell>
          <cell r="F313">
            <v>188.92</v>
          </cell>
          <cell r="G313">
            <v>303.29000000000002</v>
          </cell>
          <cell r="I313">
            <v>1572.3</v>
          </cell>
          <cell r="J313">
            <v>92315</v>
          </cell>
          <cell r="K313" t="str">
            <v>MP</v>
          </cell>
        </row>
        <row r="314">
          <cell r="A314" t="str">
            <v>993055-SLR</v>
          </cell>
          <cell r="B314">
            <v>10687</v>
          </cell>
          <cell r="C314">
            <v>0</v>
          </cell>
          <cell r="D314">
            <v>0</v>
          </cell>
          <cell r="E314">
            <v>0</v>
          </cell>
          <cell r="F314">
            <v>0</v>
          </cell>
          <cell r="G314">
            <v>86.33</v>
          </cell>
          <cell r="I314">
            <v>143.88999999999999</v>
          </cell>
          <cell r="J314">
            <v>91395</v>
          </cell>
          <cell r="K314" t="str">
            <v>MP</v>
          </cell>
        </row>
        <row r="315">
          <cell r="A315" t="str">
            <v>993056-SLR</v>
          </cell>
          <cell r="B315">
            <v>10501</v>
          </cell>
          <cell r="C315">
            <v>0</v>
          </cell>
          <cell r="D315">
            <v>0</v>
          </cell>
          <cell r="E315">
            <v>0</v>
          </cell>
          <cell r="F315">
            <v>17.57</v>
          </cell>
          <cell r="G315">
            <v>374.46</v>
          </cell>
          <cell r="I315">
            <v>624.1</v>
          </cell>
          <cell r="J315">
            <v>92172</v>
          </cell>
          <cell r="K315" t="str">
            <v>MP</v>
          </cell>
        </row>
        <row r="316">
          <cell r="A316" t="str">
            <v>993057-SLR</v>
          </cell>
          <cell r="B316">
            <v>10786</v>
          </cell>
          <cell r="C316">
            <v>94.93</v>
          </cell>
          <cell r="D316">
            <v>33.06</v>
          </cell>
          <cell r="E316">
            <v>536.76</v>
          </cell>
          <cell r="F316">
            <v>251.67</v>
          </cell>
          <cell r="G316">
            <v>1116.5</v>
          </cell>
          <cell r="I316">
            <v>5188.68</v>
          </cell>
          <cell r="J316">
            <v>90593</v>
          </cell>
          <cell r="K316" t="str">
            <v>MP</v>
          </cell>
        </row>
        <row r="317">
          <cell r="A317" t="str">
            <v>993058=SLR</v>
          </cell>
          <cell r="B317">
            <v>10776</v>
          </cell>
          <cell r="C317">
            <v>1862.58</v>
          </cell>
          <cell r="D317">
            <v>179.8</v>
          </cell>
          <cell r="E317">
            <v>536.76</v>
          </cell>
          <cell r="F317">
            <v>1558.41</v>
          </cell>
          <cell r="G317">
            <v>10997.69</v>
          </cell>
          <cell r="I317">
            <v>55840.2</v>
          </cell>
          <cell r="J317">
            <v>92254</v>
          </cell>
          <cell r="K317" t="str">
            <v>MP</v>
          </cell>
        </row>
        <row r="318">
          <cell r="A318" t="str">
            <v>993059-SLR</v>
          </cell>
          <cell r="B318">
            <v>10683</v>
          </cell>
          <cell r="C318">
            <v>767.37</v>
          </cell>
          <cell r="D318">
            <v>19.43</v>
          </cell>
          <cell r="E318">
            <v>527.91</v>
          </cell>
          <cell r="F318">
            <v>277.11</v>
          </cell>
          <cell r="G318">
            <v>728.25</v>
          </cell>
          <cell r="I318">
            <v>5281.92</v>
          </cell>
          <cell r="J318">
            <v>92001</v>
          </cell>
          <cell r="K318" t="str">
            <v>MP</v>
          </cell>
        </row>
        <row r="319">
          <cell r="A319" t="str">
            <v>993060-SLR</v>
          </cell>
          <cell r="B319">
            <v>10691</v>
          </cell>
          <cell r="C319">
            <v>197.07</v>
          </cell>
          <cell r="D319">
            <v>1.88</v>
          </cell>
          <cell r="E319">
            <v>531.9</v>
          </cell>
          <cell r="F319">
            <v>145.26</v>
          </cell>
          <cell r="G319">
            <v>111.53</v>
          </cell>
          <cell r="I319">
            <v>388.07</v>
          </cell>
          <cell r="J319">
            <v>90379</v>
          </cell>
          <cell r="K319" t="str">
            <v>MP</v>
          </cell>
        </row>
        <row r="320">
          <cell r="A320" t="str">
            <v>993061-SLR</v>
          </cell>
          <cell r="B320">
            <v>10690</v>
          </cell>
          <cell r="C320">
            <v>822.19</v>
          </cell>
          <cell r="D320">
            <v>43.35</v>
          </cell>
          <cell r="E320">
            <v>531.9</v>
          </cell>
          <cell r="F320">
            <v>560.91</v>
          </cell>
          <cell r="G320">
            <v>2574.39</v>
          </cell>
          <cell r="I320">
            <v>12683.9</v>
          </cell>
          <cell r="J320">
            <v>90013</v>
          </cell>
          <cell r="K320" t="str">
            <v>MP</v>
          </cell>
        </row>
        <row r="321">
          <cell r="A321" t="str">
            <v>993062-SLR</v>
          </cell>
          <cell r="B321">
            <v>10919</v>
          </cell>
          <cell r="C321">
            <v>289.02999999999997</v>
          </cell>
          <cell r="D321">
            <v>622.71</v>
          </cell>
          <cell r="E321">
            <v>524.54999999999995</v>
          </cell>
          <cell r="F321">
            <v>2515.87</v>
          </cell>
          <cell r="G321">
            <v>14061.09</v>
          </cell>
          <cell r="I321">
            <v>99524.62</v>
          </cell>
          <cell r="J321">
            <v>90097</v>
          </cell>
          <cell r="K321" t="str">
            <v>MP</v>
          </cell>
        </row>
        <row r="322">
          <cell r="A322" t="str">
            <v>993065-SLR</v>
          </cell>
          <cell r="B322">
            <v>10759</v>
          </cell>
          <cell r="C322">
            <v>295.73</v>
          </cell>
          <cell r="D322">
            <v>24.11</v>
          </cell>
          <cell r="E322">
            <v>533.4</v>
          </cell>
          <cell r="F322">
            <v>219.27</v>
          </cell>
          <cell r="G322">
            <v>116.29</v>
          </cell>
          <cell r="I322">
            <v>3556.6</v>
          </cell>
          <cell r="J322">
            <v>92271</v>
          </cell>
          <cell r="K322" t="str">
            <v>MP</v>
          </cell>
        </row>
        <row r="323">
          <cell r="A323" t="str">
            <v>993066-SLR</v>
          </cell>
          <cell r="B323">
            <v>10600</v>
          </cell>
          <cell r="C323">
            <v>218.64</v>
          </cell>
          <cell r="D323">
            <v>12.84</v>
          </cell>
          <cell r="E323">
            <v>524.73</v>
          </cell>
          <cell r="F323">
            <v>225</v>
          </cell>
          <cell r="G323">
            <v>563.04999999999995</v>
          </cell>
          <cell r="I323">
            <v>3781.55</v>
          </cell>
          <cell r="J323">
            <v>93229</v>
          </cell>
          <cell r="K323" t="str">
            <v>MP</v>
          </cell>
        </row>
        <row r="324">
          <cell r="A324" t="str">
            <v>993067-SLR</v>
          </cell>
          <cell r="B324">
            <v>10738</v>
          </cell>
          <cell r="C324">
            <v>177.83</v>
          </cell>
          <cell r="D324">
            <v>24.2</v>
          </cell>
          <cell r="E324">
            <v>533.49</v>
          </cell>
          <cell r="F324">
            <v>344.76</v>
          </cell>
          <cell r="G324">
            <v>379.45</v>
          </cell>
          <cell r="I324">
            <v>7387.06</v>
          </cell>
          <cell r="J324">
            <v>93229</v>
          </cell>
          <cell r="K324" t="str">
            <v>MP</v>
          </cell>
        </row>
        <row r="325">
          <cell r="A325" t="str">
            <v>993068-SLR</v>
          </cell>
          <cell r="B325">
            <v>10760</v>
          </cell>
          <cell r="C325">
            <v>189.22</v>
          </cell>
          <cell r="D325">
            <v>1.35</v>
          </cell>
          <cell r="E325">
            <v>533.49</v>
          </cell>
          <cell r="F325">
            <v>136.96</v>
          </cell>
          <cell r="G325">
            <v>41.5</v>
          </cell>
          <cell r="I325">
            <v>27.84</v>
          </cell>
          <cell r="J325">
            <v>91162</v>
          </cell>
          <cell r="K325" t="str">
            <v>MP</v>
          </cell>
        </row>
        <row r="326">
          <cell r="A326" t="str">
            <v>993069-SLR</v>
          </cell>
          <cell r="B326">
            <v>10907</v>
          </cell>
          <cell r="C326">
            <v>170.48</v>
          </cell>
          <cell r="D326">
            <v>98.77</v>
          </cell>
          <cell r="E326">
            <v>524.54999999999995</v>
          </cell>
          <cell r="F326">
            <v>950.58</v>
          </cell>
          <cell r="G326">
            <v>5864.92</v>
          </cell>
          <cell r="I326">
            <v>30598.75</v>
          </cell>
          <cell r="J326">
            <v>91358</v>
          </cell>
          <cell r="K326" t="str">
            <v>MP</v>
          </cell>
        </row>
        <row r="327">
          <cell r="A327" t="str">
            <v>993070-SLR</v>
          </cell>
          <cell r="B327">
            <v>10966</v>
          </cell>
          <cell r="C327">
            <v>189.59</v>
          </cell>
          <cell r="D327">
            <v>64.81</v>
          </cell>
          <cell r="E327">
            <v>529.08000000000004</v>
          </cell>
          <cell r="F327">
            <v>711.76</v>
          </cell>
          <cell r="G327">
            <v>4253.26</v>
          </cell>
          <cell r="I327">
            <v>19999.22</v>
          </cell>
          <cell r="J327">
            <v>91681</v>
          </cell>
          <cell r="K327" t="str">
            <v>MP</v>
          </cell>
        </row>
        <row r="328">
          <cell r="A328" t="str">
            <v>993072-SLR</v>
          </cell>
          <cell r="B328">
            <v>10661</v>
          </cell>
          <cell r="C328">
            <v>139.83000000000001</v>
          </cell>
          <cell r="D328">
            <v>13.88</v>
          </cell>
          <cell r="E328">
            <v>527.91</v>
          </cell>
          <cell r="F328">
            <v>182.45</v>
          </cell>
          <cell r="G328">
            <v>313.58999999999997</v>
          </cell>
          <cell r="I328">
            <v>2071.2600000000002</v>
          </cell>
          <cell r="J328">
            <v>92259</v>
          </cell>
          <cell r="K328" t="str">
            <v>MP</v>
          </cell>
        </row>
        <row r="329">
          <cell r="A329" t="str">
            <v>993073-SLR</v>
          </cell>
          <cell r="B329">
            <v>10652</v>
          </cell>
          <cell r="C329">
            <v>1507.72</v>
          </cell>
          <cell r="D329">
            <v>92.49</v>
          </cell>
          <cell r="E329">
            <v>524.73</v>
          </cell>
          <cell r="F329">
            <v>590.66</v>
          </cell>
          <cell r="G329">
            <v>3123.02</v>
          </cell>
          <cell r="I329">
            <v>13271.3</v>
          </cell>
          <cell r="J329">
            <v>90487</v>
          </cell>
          <cell r="K329" t="str">
            <v>MP</v>
          </cell>
        </row>
        <row r="330">
          <cell r="A330" t="str">
            <v>993074-SLR</v>
          </cell>
          <cell r="B330">
            <v>10712</v>
          </cell>
          <cell r="C330">
            <v>1446.27</v>
          </cell>
          <cell r="D330">
            <v>228.4</v>
          </cell>
          <cell r="E330">
            <v>531.9</v>
          </cell>
          <cell r="F330">
            <v>1861.98</v>
          </cell>
          <cell r="G330">
            <v>9278.73</v>
          </cell>
          <cell r="I330">
            <v>69700.179999999993</v>
          </cell>
          <cell r="J330">
            <v>93157</v>
          </cell>
          <cell r="K330" t="str">
            <v>MP</v>
          </cell>
        </row>
        <row r="331">
          <cell r="A331" t="str">
            <v>993075-SLR</v>
          </cell>
          <cell r="B331">
            <v>10630</v>
          </cell>
          <cell r="C331">
            <v>192.27</v>
          </cell>
          <cell r="D331">
            <v>11.4</v>
          </cell>
          <cell r="E331">
            <v>524.37</v>
          </cell>
          <cell r="F331">
            <v>211.83</v>
          </cell>
          <cell r="G331">
            <v>676.33</v>
          </cell>
          <cell r="I331">
            <v>3355.97</v>
          </cell>
          <cell r="J331">
            <v>90856</v>
          </cell>
          <cell r="K331" t="str">
            <v>MP</v>
          </cell>
        </row>
        <row r="332">
          <cell r="A332" t="str">
            <v>993076-SLR</v>
          </cell>
          <cell r="B332">
            <v>10967</v>
          </cell>
          <cell r="C332">
            <v>246.9</v>
          </cell>
          <cell r="D332">
            <v>60.95</v>
          </cell>
          <cell r="E332">
            <v>529.08000000000004</v>
          </cell>
          <cell r="F332">
            <v>685.99</v>
          </cell>
          <cell r="G332">
            <v>1302.8499999999999</v>
          </cell>
          <cell r="I332">
            <v>18800.86</v>
          </cell>
          <cell r="J332">
            <v>91591</v>
          </cell>
          <cell r="K332" t="str">
            <v>MP</v>
          </cell>
        </row>
        <row r="333">
          <cell r="A333" t="str">
            <v>993077-SLR</v>
          </cell>
          <cell r="B333">
            <v>10686</v>
          </cell>
          <cell r="C333">
            <v>195.77</v>
          </cell>
          <cell r="D333">
            <v>27.05</v>
          </cell>
          <cell r="E333">
            <v>527.91</v>
          </cell>
          <cell r="F333">
            <v>285.97000000000003</v>
          </cell>
          <cell r="G333">
            <v>422.66</v>
          </cell>
          <cell r="I333">
            <v>8230.33</v>
          </cell>
          <cell r="J333">
            <v>90379</v>
          </cell>
          <cell r="K333" t="str">
            <v>MP</v>
          </cell>
        </row>
        <row r="334">
          <cell r="A334" t="str">
            <v>993078-SLR</v>
          </cell>
          <cell r="B334">
            <v>10843</v>
          </cell>
          <cell r="C334">
            <v>8360.2800000000007</v>
          </cell>
          <cell r="D334">
            <v>117.17</v>
          </cell>
          <cell r="E334">
            <v>530.25</v>
          </cell>
          <cell r="F334">
            <v>1265.55</v>
          </cell>
          <cell r="G334">
            <v>5384.01</v>
          </cell>
          <cell r="I334">
            <v>36389.29</v>
          </cell>
          <cell r="J334">
            <v>91998</v>
          </cell>
          <cell r="K334" t="str">
            <v>MP</v>
          </cell>
        </row>
        <row r="335">
          <cell r="A335" t="str">
            <v>993079-SLR</v>
          </cell>
          <cell r="B335">
            <v>10631</v>
          </cell>
          <cell r="C335">
            <v>192.27</v>
          </cell>
          <cell r="D335">
            <v>49.71</v>
          </cell>
          <cell r="E335">
            <v>524.37</v>
          </cell>
          <cell r="F335">
            <v>604.27</v>
          </cell>
          <cell r="G335">
            <v>2175.0500000000002</v>
          </cell>
          <cell r="I335">
            <v>15294.13</v>
          </cell>
          <cell r="J335">
            <v>91643</v>
          </cell>
          <cell r="K335" t="str">
            <v>MP</v>
          </cell>
        </row>
        <row r="336">
          <cell r="A336" t="str">
            <v>993080-SLR</v>
          </cell>
          <cell r="B336">
            <v>10741</v>
          </cell>
          <cell r="C336">
            <v>190.63</v>
          </cell>
          <cell r="D336">
            <v>3.33</v>
          </cell>
          <cell r="E336">
            <v>533.49</v>
          </cell>
          <cell r="F336">
            <v>144.1</v>
          </cell>
          <cell r="G336">
            <v>101.72</v>
          </cell>
          <cell r="I336">
            <v>341.43</v>
          </cell>
          <cell r="J336">
            <v>90013</v>
          </cell>
          <cell r="K336" t="str">
            <v>MP</v>
          </cell>
        </row>
        <row r="337">
          <cell r="A337" t="str">
            <v>993081-SLR</v>
          </cell>
          <cell r="B337">
            <v>10672</v>
          </cell>
          <cell r="C337">
            <v>121.35</v>
          </cell>
          <cell r="D337">
            <v>5.97</v>
          </cell>
          <cell r="E337">
            <v>527.91</v>
          </cell>
          <cell r="F337">
            <v>153.62</v>
          </cell>
          <cell r="G337">
            <v>134.22999999999999</v>
          </cell>
          <cell r="I337">
            <v>831.46</v>
          </cell>
          <cell r="J337">
            <v>90485</v>
          </cell>
          <cell r="K337" t="str">
            <v>MP</v>
          </cell>
        </row>
        <row r="338">
          <cell r="A338" t="str">
            <v>993082-SLR</v>
          </cell>
          <cell r="B338">
            <v>10969</v>
          </cell>
          <cell r="C338">
            <v>1298.45</v>
          </cell>
          <cell r="D338">
            <v>384.52</v>
          </cell>
          <cell r="E338">
            <v>529.08000000000004</v>
          </cell>
          <cell r="F338">
            <v>2959.77</v>
          </cell>
          <cell r="G338">
            <v>12641.82</v>
          </cell>
          <cell r="I338">
            <v>118479.71</v>
          </cell>
          <cell r="J338">
            <v>90061</v>
          </cell>
          <cell r="K338" t="str">
            <v>MP</v>
          </cell>
        </row>
        <row r="339">
          <cell r="A339" t="str">
            <v>993083-SLR</v>
          </cell>
          <cell r="B339">
            <v>10908</v>
          </cell>
          <cell r="C339">
            <v>205.45</v>
          </cell>
          <cell r="D339">
            <v>91.57</v>
          </cell>
          <cell r="E339">
            <v>524.54999999999995</v>
          </cell>
          <cell r="F339">
            <v>899.86</v>
          </cell>
          <cell r="G339">
            <v>1487.5</v>
          </cell>
          <cell r="I339">
            <v>28316.959999999999</v>
          </cell>
          <cell r="J339">
            <v>90083</v>
          </cell>
          <cell r="K339" t="str">
            <v>MP</v>
          </cell>
        </row>
        <row r="340">
          <cell r="A340" t="str">
            <v>993084-SLR</v>
          </cell>
          <cell r="B340">
            <v>10909</v>
          </cell>
          <cell r="C340">
            <v>1768.14</v>
          </cell>
          <cell r="D340">
            <v>725.85</v>
          </cell>
          <cell r="E340">
            <v>524.54999999999995</v>
          </cell>
          <cell r="F340">
            <v>2881.9</v>
          </cell>
          <cell r="G340">
            <v>15171.55</v>
          </cell>
          <cell r="I340">
            <v>114210.27</v>
          </cell>
          <cell r="J340">
            <v>92107</v>
          </cell>
          <cell r="K340" t="str">
            <v>MP</v>
          </cell>
        </row>
        <row r="341">
          <cell r="A341" t="str">
            <v>993085-SLR</v>
          </cell>
          <cell r="B341">
            <v>10745</v>
          </cell>
          <cell r="C341">
            <v>465.31</v>
          </cell>
          <cell r="D341">
            <v>13.28</v>
          </cell>
          <cell r="E341">
            <v>533.49</v>
          </cell>
          <cell r="F341">
            <v>189.83</v>
          </cell>
          <cell r="G341">
            <v>487.92</v>
          </cell>
          <cell r="I341">
            <v>2089.39</v>
          </cell>
          <cell r="J341">
            <v>91163</v>
          </cell>
          <cell r="K341" t="str">
            <v>MP</v>
          </cell>
        </row>
        <row r="342">
          <cell r="A342" t="str">
            <v>993087-SLR</v>
          </cell>
          <cell r="B342">
            <v>10761</v>
          </cell>
          <cell r="C342">
            <v>222.29</v>
          </cell>
          <cell r="D342">
            <v>9.8000000000000007</v>
          </cell>
          <cell r="E342">
            <v>533.49</v>
          </cell>
          <cell r="F342">
            <v>167.5</v>
          </cell>
          <cell r="G342">
            <v>299.32</v>
          </cell>
          <cell r="I342">
            <v>1343.31</v>
          </cell>
          <cell r="J342">
            <v>90322</v>
          </cell>
          <cell r="K342" t="str">
            <v>MP</v>
          </cell>
        </row>
        <row r="343">
          <cell r="A343" t="str">
            <v>993088-SLR</v>
          </cell>
          <cell r="B343">
            <v>10778</v>
          </cell>
          <cell r="C343">
            <v>152.08000000000001</v>
          </cell>
          <cell r="D343">
            <v>32.869999999999997</v>
          </cell>
          <cell r="E343">
            <v>536.76</v>
          </cell>
          <cell r="F343">
            <v>251.35</v>
          </cell>
          <cell r="G343">
            <v>742.29</v>
          </cell>
          <cell r="I343">
            <v>5117.1099999999997</v>
          </cell>
          <cell r="J343">
            <v>90097</v>
          </cell>
          <cell r="K343" t="str">
            <v>MP</v>
          </cell>
        </row>
        <row r="344">
          <cell r="A344" t="str">
            <v>993089-SLR</v>
          </cell>
          <cell r="B344">
            <v>10844</v>
          </cell>
          <cell r="C344">
            <v>141.4</v>
          </cell>
          <cell r="D344">
            <v>13.24</v>
          </cell>
          <cell r="E344">
            <v>530.25</v>
          </cell>
          <cell r="F344">
            <v>225.01</v>
          </cell>
          <cell r="G344">
            <v>578.41</v>
          </cell>
          <cell r="I344">
            <v>3976.88</v>
          </cell>
          <cell r="J344">
            <v>90485</v>
          </cell>
          <cell r="K344" t="str">
            <v>MP</v>
          </cell>
        </row>
        <row r="345">
          <cell r="A345" t="str">
            <v>993091-SLR</v>
          </cell>
          <cell r="B345">
            <v>10723</v>
          </cell>
          <cell r="C345">
            <v>233.22</v>
          </cell>
          <cell r="D345">
            <v>14.25</v>
          </cell>
          <cell r="E345">
            <v>531.9</v>
          </cell>
          <cell r="F345">
            <v>183.69</v>
          </cell>
          <cell r="G345">
            <v>275.43</v>
          </cell>
          <cell r="I345">
            <v>2047.82</v>
          </cell>
          <cell r="J345">
            <v>93072</v>
          </cell>
          <cell r="K345" t="str">
            <v>MP</v>
          </cell>
        </row>
        <row r="346">
          <cell r="A346" t="str">
            <v>993092-SLR</v>
          </cell>
          <cell r="B346">
            <v>10953</v>
          </cell>
          <cell r="C346">
            <v>11868.87</v>
          </cell>
          <cell r="D346">
            <v>116.26</v>
          </cell>
          <cell r="E346">
            <v>529.08000000000004</v>
          </cell>
          <cell r="F346">
            <v>946.27</v>
          </cell>
          <cell r="G346">
            <v>3681.18</v>
          </cell>
          <cell r="I346">
            <v>18691.34</v>
          </cell>
          <cell r="J346">
            <v>93249</v>
          </cell>
          <cell r="K346" t="str">
            <v>MP</v>
          </cell>
        </row>
        <row r="347">
          <cell r="A347" t="str">
            <v>993093-SLR</v>
          </cell>
          <cell r="B347">
            <v>10787</v>
          </cell>
          <cell r="C347">
            <v>232.6</v>
          </cell>
          <cell r="D347">
            <v>17.09</v>
          </cell>
          <cell r="E347">
            <v>536.76</v>
          </cell>
          <cell r="F347">
            <v>194.03</v>
          </cell>
          <cell r="G347">
            <v>523.37</v>
          </cell>
          <cell r="I347">
            <v>2504.88</v>
          </cell>
          <cell r="J347">
            <v>90390</v>
          </cell>
          <cell r="K347" t="str">
            <v>MP</v>
          </cell>
        </row>
        <row r="348">
          <cell r="A348" t="str">
            <v>993094-SLR</v>
          </cell>
          <cell r="B348">
            <v>10762</v>
          </cell>
          <cell r="C348">
            <v>267.3</v>
          </cell>
          <cell r="D348">
            <v>5.85</v>
          </cell>
          <cell r="E348">
            <v>533.49</v>
          </cell>
          <cell r="F348">
            <v>152.18</v>
          </cell>
          <cell r="G348">
            <v>152.12</v>
          </cell>
          <cell r="I348">
            <v>621.66999999999996</v>
          </cell>
          <cell r="J348">
            <v>91868</v>
          </cell>
          <cell r="K348" t="str">
            <v>MP</v>
          </cell>
        </row>
        <row r="349">
          <cell r="A349" t="str">
            <v>993095-SLR</v>
          </cell>
          <cell r="B349">
            <v>10883</v>
          </cell>
          <cell r="C349">
            <v>667.68</v>
          </cell>
          <cell r="D349">
            <v>101.49</v>
          </cell>
          <cell r="E349">
            <v>528.15</v>
          </cell>
          <cell r="F349">
            <v>624.4</v>
          </cell>
          <cell r="G349">
            <v>3437.9</v>
          </cell>
          <cell r="I349">
            <v>15601.8</v>
          </cell>
          <cell r="J349">
            <v>92088</v>
          </cell>
          <cell r="K349" t="str">
            <v>MP</v>
          </cell>
        </row>
        <row r="350">
          <cell r="A350" t="str">
            <v>993096-SLR</v>
          </cell>
          <cell r="B350">
            <v>10845</v>
          </cell>
          <cell r="C350">
            <v>187.47</v>
          </cell>
          <cell r="D350">
            <v>31.82</v>
          </cell>
          <cell r="E350">
            <v>530.25</v>
          </cell>
          <cell r="F350">
            <v>246.03</v>
          </cell>
          <cell r="G350">
            <v>962.48</v>
          </cell>
          <cell r="I350">
            <v>4846.38</v>
          </cell>
          <cell r="J350">
            <v>90558</v>
          </cell>
          <cell r="K350" t="str">
            <v>MP</v>
          </cell>
        </row>
        <row r="351">
          <cell r="A351" t="str">
            <v>993098-SLR</v>
          </cell>
          <cell r="B351">
            <v>10866</v>
          </cell>
          <cell r="C351">
            <v>0</v>
          </cell>
          <cell r="D351">
            <v>0</v>
          </cell>
          <cell r="E351">
            <v>0</v>
          </cell>
          <cell r="F351">
            <v>17.41</v>
          </cell>
          <cell r="G351">
            <v>416.76</v>
          </cell>
          <cell r="I351">
            <v>694.6</v>
          </cell>
          <cell r="J351">
            <v>91976</v>
          </cell>
          <cell r="K351" t="str">
            <v>MP</v>
          </cell>
        </row>
        <row r="352">
          <cell r="A352" t="str">
            <v>993100-SLR</v>
          </cell>
          <cell r="B352">
            <v>10962</v>
          </cell>
          <cell r="C352">
            <v>0</v>
          </cell>
          <cell r="D352">
            <v>0</v>
          </cell>
          <cell r="E352">
            <v>0</v>
          </cell>
          <cell r="F352">
            <v>0</v>
          </cell>
          <cell r="G352">
            <v>5.29</v>
          </cell>
          <cell r="I352">
            <v>8.82</v>
          </cell>
          <cell r="J352">
            <v>90971</v>
          </cell>
          <cell r="K352" t="str">
            <v>MP</v>
          </cell>
        </row>
        <row r="353">
          <cell r="A353" t="str">
            <v>993101-SLR</v>
          </cell>
          <cell r="B353">
            <v>10910</v>
          </cell>
          <cell r="C353">
            <v>437.13</v>
          </cell>
          <cell r="D353">
            <v>343.25</v>
          </cell>
          <cell r="E353">
            <v>524.54999999999995</v>
          </cell>
          <cell r="F353">
            <v>2669.51</v>
          </cell>
          <cell r="G353">
            <v>14059.86</v>
          </cell>
          <cell r="I353">
            <v>106484.44</v>
          </cell>
          <cell r="J353">
            <v>90062</v>
          </cell>
          <cell r="K353" t="str">
            <v>MP</v>
          </cell>
        </row>
        <row r="354">
          <cell r="A354" t="str">
            <v>993102-SLR</v>
          </cell>
          <cell r="B354">
            <v>10864</v>
          </cell>
          <cell r="C354">
            <v>174.45</v>
          </cell>
          <cell r="D354">
            <v>29.43</v>
          </cell>
          <cell r="E354">
            <v>536.76</v>
          </cell>
          <cell r="F354">
            <v>414.89</v>
          </cell>
          <cell r="G354">
            <v>458.25</v>
          </cell>
          <cell r="I354">
            <v>8961.19</v>
          </cell>
          <cell r="J354">
            <v>90651</v>
          </cell>
          <cell r="K354" t="str">
            <v>MP</v>
          </cell>
        </row>
        <row r="355">
          <cell r="A355" t="str">
            <v>993103-SLR</v>
          </cell>
          <cell r="B355">
            <v>10793</v>
          </cell>
          <cell r="C355">
            <v>199.73</v>
          </cell>
          <cell r="D355">
            <v>43.46</v>
          </cell>
          <cell r="E355">
            <v>536.76</v>
          </cell>
          <cell r="F355">
            <v>561.62</v>
          </cell>
          <cell r="G355">
            <v>1901.31</v>
          </cell>
          <cell r="I355">
            <v>13337.59</v>
          </cell>
          <cell r="J355">
            <v>91360</v>
          </cell>
          <cell r="K355" t="str">
            <v>MP</v>
          </cell>
        </row>
        <row r="356">
          <cell r="A356" t="str">
            <v>993104-SLR</v>
          </cell>
          <cell r="B356">
            <v>10884</v>
          </cell>
          <cell r="C356">
            <v>265.95</v>
          </cell>
          <cell r="D356">
            <v>13.98</v>
          </cell>
          <cell r="E356">
            <v>528.15</v>
          </cell>
          <cell r="F356">
            <v>183.08</v>
          </cell>
          <cell r="G356">
            <v>317.52999999999997</v>
          </cell>
          <cell r="I356">
            <v>1988.11</v>
          </cell>
          <cell r="J356">
            <v>93107</v>
          </cell>
          <cell r="K356" t="str">
            <v>MP</v>
          </cell>
        </row>
        <row r="357">
          <cell r="A357" t="str">
            <v>993105-SLR</v>
          </cell>
          <cell r="B357">
            <v>10794</v>
          </cell>
          <cell r="C357">
            <v>170.87</v>
          </cell>
          <cell r="D357">
            <v>12.13</v>
          </cell>
          <cell r="E357">
            <v>536.76</v>
          </cell>
          <cell r="F357">
            <v>217.33</v>
          </cell>
          <cell r="G357">
            <v>795.91</v>
          </cell>
          <cell r="I357">
            <v>3607.03</v>
          </cell>
          <cell r="J357">
            <v>90506</v>
          </cell>
          <cell r="K357" t="str">
            <v>MP</v>
          </cell>
        </row>
        <row r="358">
          <cell r="A358" t="str">
            <v>993106-SLR</v>
          </cell>
          <cell r="B358">
            <v>10885</v>
          </cell>
          <cell r="C358">
            <v>462.13</v>
          </cell>
          <cell r="D358">
            <v>11.64</v>
          </cell>
          <cell r="E358">
            <v>528.15</v>
          </cell>
          <cell r="F358">
            <v>174.15</v>
          </cell>
          <cell r="G358">
            <v>355.54</v>
          </cell>
          <cell r="I358">
            <v>1397.48</v>
          </cell>
          <cell r="J358">
            <v>91975</v>
          </cell>
          <cell r="K358" t="str">
            <v>MP</v>
          </cell>
        </row>
        <row r="359">
          <cell r="A359" t="str">
            <v>993107-SLR</v>
          </cell>
          <cell r="B359">
            <v>10847</v>
          </cell>
          <cell r="C359">
            <v>305.33999999999997</v>
          </cell>
          <cell r="D359">
            <v>17.11</v>
          </cell>
          <cell r="E359">
            <v>530.25</v>
          </cell>
          <cell r="F359">
            <v>193.28</v>
          </cell>
          <cell r="G359">
            <v>81.64</v>
          </cell>
          <cell r="I359">
            <v>2398.96</v>
          </cell>
          <cell r="J359">
            <v>93021</v>
          </cell>
          <cell r="K359" t="str">
            <v>MP</v>
          </cell>
        </row>
        <row r="360">
          <cell r="A360" t="str">
            <v>993108-SLR</v>
          </cell>
          <cell r="B360">
            <v>10713</v>
          </cell>
          <cell r="C360">
            <v>327.75</v>
          </cell>
          <cell r="D360">
            <v>3.94</v>
          </cell>
          <cell r="E360">
            <v>531.9</v>
          </cell>
          <cell r="F360">
            <v>146.49</v>
          </cell>
          <cell r="G360">
            <v>121.92</v>
          </cell>
          <cell r="I360">
            <v>310.01</v>
          </cell>
          <cell r="J360">
            <v>90827</v>
          </cell>
          <cell r="K360" t="str">
            <v>MP</v>
          </cell>
        </row>
        <row r="361">
          <cell r="A361" t="str">
            <v>993109-SLR</v>
          </cell>
          <cell r="B361">
            <v>10780</v>
          </cell>
          <cell r="C361">
            <v>160.05000000000001</v>
          </cell>
          <cell r="D361">
            <v>8.7899999999999991</v>
          </cell>
          <cell r="E361">
            <v>533.49</v>
          </cell>
          <cell r="F361">
            <v>164.04</v>
          </cell>
          <cell r="G361">
            <v>270.11</v>
          </cell>
          <cell r="I361">
            <v>1252.74</v>
          </cell>
          <cell r="J361">
            <v>93138</v>
          </cell>
          <cell r="K361" t="str">
            <v>MP</v>
          </cell>
        </row>
        <row r="362">
          <cell r="A362" t="str">
            <v>993110-SLR</v>
          </cell>
          <cell r="B362">
            <v>10747</v>
          </cell>
          <cell r="C362">
            <v>298.22000000000003</v>
          </cell>
          <cell r="D362">
            <v>6.31</v>
          </cell>
          <cell r="E362">
            <v>531.9</v>
          </cell>
          <cell r="F362">
            <v>225</v>
          </cell>
          <cell r="G362">
            <v>374.07</v>
          </cell>
          <cell r="I362">
            <v>1668.39</v>
          </cell>
          <cell r="J362">
            <v>91178</v>
          </cell>
          <cell r="K362" t="str">
            <v>MP</v>
          </cell>
        </row>
        <row r="363">
          <cell r="A363" t="str">
            <v>993111-SLR</v>
          </cell>
          <cell r="B363">
            <v>10886</v>
          </cell>
          <cell r="C363">
            <v>2321.9</v>
          </cell>
          <cell r="D363">
            <v>1837.19</v>
          </cell>
          <cell r="E363">
            <v>528.15</v>
          </cell>
          <cell r="F363">
            <v>6942.89</v>
          </cell>
          <cell r="G363">
            <v>14859.64</v>
          </cell>
          <cell r="I363">
            <v>293033.64</v>
          </cell>
          <cell r="J363">
            <v>91578</v>
          </cell>
          <cell r="K363" t="str">
            <v>MP</v>
          </cell>
        </row>
        <row r="364">
          <cell r="A364" t="str">
            <v>993113-SLR</v>
          </cell>
          <cell r="B364">
            <v>10948</v>
          </cell>
          <cell r="C364">
            <v>10870.83</v>
          </cell>
          <cell r="D364">
            <v>265.26</v>
          </cell>
          <cell r="E364">
            <v>529.08000000000004</v>
          </cell>
          <cell r="F364">
            <v>1218.72</v>
          </cell>
          <cell r="G364">
            <v>2134.23</v>
          </cell>
          <cell r="I364">
            <v>31649.14</v>
          </cell>
          <cell r="J364">
            <v>93248</v>
          </cell>
          <cell r="K364" t="str">
            <v>MP</v>
          </cell>
        </row>
        <row r="365">
          <cell r="A365" t="str">
            <v>993114-SLR</v>
          </cell>
          <cell r="B365">
            <v>10887</v>
          </cell>
          <cell r="C365">
            <v>598.57000000000005</v>
          </cell>
          <cell r="D365">
            <v>36.18</v>
          </cell>
          <cell r="E365">
            <v>528.15</v>
          </cell>
          <cell r="F365">
            <v>510.39</v>
          </cell>
          <cell r="G365">
            <v>1470.73</v>
          </cell>
          <cell r="I365">
            <v>10669.16</v>
          </cell>
          <cell r="J365">
            <v>90061</v>
          </cell>
          <cell r="K365" t="str">
            <v>MP</v>
          </cell>
        </row>
        <row r="366">
          <cell r="A366" t="str">
            <v>993115-SLR</v>
          </cell>
          <cell r="B366">
            <v>10920</v>
          </cell>
          <cell r="C366">
            <v>209.82</v>
          </cell>
          <cell r="D366">
            <v>46.84</v>
          </cell>
          <cell r="E366">
            <v>524.54999999999995</v>
          </cell>
          <cell r="F366">
            <v>585.41</v>
          </cell>
          <cell r="G366">
            <v>533.66999999999996</v>
          </cell>
          <cell r="I366">
            <v>14381.41</v>
          </cell>
          <cell r="J366">
            <v>91571</v>
          </cell>
          <cell r="K366" t="str">
            <v>MP</v>
          </cell>
        </row>
        <row r="367">
          <cell r="A367" t="str">
            <v>993116-SLR</v>
          </cell>
          <cell r="B367">
            <v>10781</v>
          </cell>
          <cell r="C367">
            <v>152.08000000000001</v>
          </cell>
          <cell r="D367">
            <v>15.6</v>
          </cell>
          <cell r="E367">
            <v>536.76</v>
          </cell>
          <cell r="F367">
            <v>188.66</v>
          </cell>
          <cell r="G367">
            <v>352.24</v>
          </cell>
          <cell r="I367">
            <v>2348.33</v>
          </cell>
          <cell r="J367">
            <v>90097</v>
          </cell>
          <cell r="K367" t="str">
            <v>MP</v>
          </cell>
        </row>
        <row r="368">
          <cell r="A368" t="str">
            <v>993117-SLR</v>
          </cell>
          <cell r="B368">
            <v>10749</v>
          </cell>
          <cell r="C368">
            <v>195.61</v>
          </cell>
          <cell r="D368">
            <v>13.48</v>
          </cell>
          <cell r="E368">
            <v>533.49</v>
          </cell>
          <cell r="F368">
            <v>226.78</v>
          </cell>
          <cell r="G368">
            <v>589.44000000000005</v>
          </cell>
          <cell r="I368">
            <v>4001.18</v>
          </cell>
          <cell r="J368">
            <v>90463</v>
          </cell>
          <cell r="K368" t="str">
            <v>MP</v>
          </cell>
        </row>
        <row r="369">
          <cell r="A369" t="str">
            <v>993118-SLR</v>
          </cell>
          <cell r="B369">
            <v>10849</v>
          </cell>
          <cell r="C369">
            <v>229.78</v>
          </cell>
          <cell r="D369">
            <v>44.74</v>
          </cell>
          <cell r="E369">
            <v>530.25</v>
          </cell>
          <cell r="F369">
            <v>570.63</v>
          </cell>
          <cell r="G369">
            <v>2936.11</v>
          </cell>
          <cell r="I369">
            <v>13706.96</v>
          </cell>
          <cell r="J369">
            <v>91981</v>
          </cell>
          <cell r="K369" t="str">
            <v>MP</v>
          </cell>
        </row>
        <row r="370">
          <cell r="A370" t="str">
            <v>993119-SLR</v>
          </cell>
          <cell r="B370">
            <v>10888</v>
          </cell>
          <cell r="C370">
            <v>195.84</v>
          </cell>
          <cell r="D370">
            <v>97.41</v>
          </cell>
          <cell r="E370">
            <v>528.15</v>
          </cell>
          <cell r="F370">
            <v>603.4</v>
          </cell>
          <cell r="G370">
            <v>2933.2</v>
          </cell>
          <cell r="I370">
            <v>15144.64</v>
          </cell>
          <cell r="J370">
            <v>90686</v>
          </cell>
          <cell r="K370" t="str">
            <v>MP</v>
          </cell>
        </row>
        <row r="371">
          <cell r="A371" t="str">
            <v>993120-SLR</v>
          </cell>
          <cell r="B371">
            <v>10889</v>
          </cell>
          <cell r="C371">
            <v>158.53</v>
          </cell>
          <cell r="D371">
            <v>2.1800000000000002</v>
          </cell>
          <cell r="E371">
            <v>528.15</v>
          </cell>
          <cell r="F371">
            <v>139.76</v>
          </cell>
          <cell r="G371">
            <v>65.09</v>
          </cell>
          <cell r="I371">
            <v>181.85</v>
          </cell>
          <cell r="J371">
            <v>93013</v>
          </cell>
          <cell r="K371" t="str">
            <v>MP</v>
          </cell>
        </row>
        <row r="372">
          <cell r="A372" t="str">
            <v>993121-SLR</v>
          </cell>
          <cell r="B372">
            <v>10752</v>
          </cell>
          <cell r="C372">
            <v>186.72</v>
          </cell>
          <cell r="D372">
            <v>35.85</v>
          </cell>
          <cell r="E372">
            <v>533.49</v>
          </cell>
          <cell r="F372">
            <v>513.13</v>
          </cell>
          <cell r="G372">
            <v>1599.62</v>
          </cell>
          <cell r="I372">
            <v>11203.29</v>
          </cell>
          <cell r="J372">
            <v>92190</v>
          </cell>
          <cell r="K372" t="str">
            <v>MP</v>
          </cell>
        </row>
        <row r="373">
          <cell r="A373" t="str">
            <v>993122-SLR</v>
          </cell>
          <cell r="B373">
            <v>10971</v>
          </cell>
          <cell r="C373">
            <v>221.1</v>
          </cell>
          <cell r="D373">
            <v>12.88</v>
          </cell>
          <cell r="E373">
            <v>530.64</v>
          </cell>
          <cell r="F373">
            <v>178.62</v>
          </cell>
          <cell r="G373">
            <v>393.28</v>
          </cell>
          <cell r="I373">
            <v>1835.93</v>
          </cell>
          <cell r="J373">
            <v>90322</v>
          </cell>
          <cell r="K373" t="str">
            <v>MP</v>
          </cell>
        </row>
        <row r="374">
          <cell r="A374" t="str">
            <v>993124-SLR</v>
          </cell>
          <cell r="B374">
            <v>10921</v>
          </cell>
          <cell r="C374">
            <v>216.53</v>
          </cell>
          <cell r="D374">
            <v>58.45</v>
          </cell>
          <cell r="E374">
            <v>524.54999999999995</v>
          </cell>
          <cell r="F374">
            <v>434.88</v>
          </cell>
          <cell r="G374">
            <v>1826.69</v>
          </cell>
          <cell r="I374">
            <v>9339.2000000000007</v>
          </cell>
          <cell r="J374">
            <v>90338</v>
          </cell>
          <cell r="K374" t="str">
            <v>MP</v>
          </cell>
        </row>
        <row r="375">
          <cell r="A375" t="str">
            <v>993125-SLR</v>
          </cell>
          <cell r="B375">
            <v>10754</v>
          </cell>
          <cell r="C375">
            <v>195.61</v>
          </cell>
          <cell r="D375">
            <v>16.61</v>
          </cell>
          <cell r="E375">
            <v>533.49</v>
          </cell>
          <cell r="F375">
            <v>248.86</v>
          </cell>
          <cell r="G375">
            <v>726.8</v>
          </cell>
          <cell r="I375">
            <v>4979.24</v>
          </cell>
          <cell r="J375">
            <v>91981</v>
          </cell>
          <cell r="K375" t="str">
            <v>MP</v>
          </cell>
        </row>
        <row r="376">
          <cell r="A376" t="str">
            <v>993126-SLR</v>
          </cell>
          <cell r="B376">
            <v>10757</v>
          </cell>
          <cell r="C376">
            <v>181.39</v>
          </cell>
          <cell r="D376">
            <v>2.4500000000000002</v>
          </cell>
          <cell r="E376">
            <v>533.49</v>
          </cell>
          <cell r="F376">
            <v>140.96</v>
          </cell>
          <cell r="G376">
            <v>75.23</v>
          </cell>
          <cell r="I376">
            <v>212.12</v>
          </cell>
          <cell r="J376">
            <v>92252</v>
          </cell>
          <cell r="K376" t="str">
            <v>MP</v>
          </cell>
        </row>
        <row r="377">
          <cell r="A377" t="str">
            <v>993127-SLR</v>
          </cell>
          <cell r="B377">
            <v>10739</v>
          </cell>
          <cell r="C377">
            <v>860.88</v>
          </cell>
          <cell r="D377">
            <v>25.79</v>
          </cell>
          <cell r="E377">
            <v>533.49</v>
          </cell>
          <cell r="F377">
            <v>245.38</v>
          </cell>
          <cell r="G377">
            <v>957.03</v>
          </cell>
          <cell r="I377">
            <v>4144.79</v>
          </cell>
          <cell r="J377">
            <v>90257</v>
          </cell>
          <cell r="K377" t="str">
            <v>MP</v>
          </cell>
        </row>
        <row r="378">
          <cell r="A378" t="str">
            <v>993128-SLR</v>
          </cell>
          <cell r="B378">
            <v>10795</v>
          </cell>
          <cell r="C378">
            <v>269.39999999999998</v>
          </cell>
          <cell r="D378">
            <v>2.25</v>
          </cell>
          <cell r="E378">
            <v>536.76</v>
          </cell>
          <cell r="F378">
            <v>140.19999999999999</v>
          </cell>
          <cell r="G378">
            <v>68.849999999999994</v>
          </cell>
          <cell r="I378">
            <v>90.71</v>
          </cell>
          <cell r="J378">
            <v>91163</v>
          </cell>
          <cell r="K378" t="str">
            <v>MP</v>
          </cell>
        </row>
        <row r="379">
          <cell r="A379" t="str">
            <v>993129-SLR</v>
          </cell>
          <cell r="B379">
            <v>10763</v>
          </cell>
          <cell r="C379">
            <v>267.3</v>
          </cell>
          <cell r="D379">
            <v>14.17</v>
          </cell>
          <cell r="E379">
            <v>533.49</v>
          </cell>
          <cell r="F379">
            <v>182.2</v>
          </cell>
          <cell r="G379">
            <v>423.46</v>
          </cell>
          <cell r="I379">
            <v>1947.26</v>
          </cell>
          <cell r="J379">
            <v>91984</v>
          </cell>
          <cell r="K379" t="str">
            <v>MP</v>
          </cell>
        </row>
        <row r="380">
          <cell r="A380" t="str">
            <v>993131-SLR</v>
          </cell>
          <cell r="B380">
            <v>10890</v>
          </cell>
          <cell r="C380">
            <v>343.42</v>
          </cell>
          <cell r="D380">
            <v>3.26</v>
          </cell>
          <cell r="E380">
            <v>528.15</v>
          </cell>
          <cell r="F380">
            <v>143.81</v>
          </cell>
          <cell r="G380">
            <v>99.32</v>
          </cell>
          <cell r="I380">
            <v>176.05</v>
          </cell>
          <cell r="J380">
            <v>91250</v>
          </cell>
          <cell r="K380" t="str">
            <v>MP</v>
          </cell>
        </row>
        <row r="381">
          <cell r="A381" t="str">
            <v>993132-SLR</v>
          </cell>
          <cell r="B381">
            <v>10891</v>
          </cell>
          <cell r="C381">
            <v>325.69</v>
          </cell>
          <cell r="D381">
            <v>776.45</v>
          </cell>
          <cell r="E381">
            <v>528.15</v>
          </cell>
          <cell r="F381">
            <v>5715.51</v>
          </cell>
          <cell r="G381">
            <v>33969.980000000003</v>
          </cell>
          <cell r="I381">
            <v>241540.6</v>
          </cell>
          <cell r="J381">
            <v>92393</v>
          </cell>
          <cell r="K381" t="str">
            <v>MP</v>
          </cell>
        </row>
        <row r="382">
          <cell r="A382" t="str">
            <v>993133-SLR</v>
          </cell>
          <cell r="B382">
            <v>10796</v>
          </cell>
          <cell r="C382">
            <v>1243.82</v>
          </cell>
          <cell r="D382">
            <v>42.48</v>
          </cell>
          <cell r="E382">
            <v>536.76</v>
          </cell>
          <cell r="F382">
            <v>554.70000000000005</v>
          </cell>
          <cell r="G382">
            <v>2256.4899999999998</v>
          </cell>
          <cell r="I382">
            <v>11987.19</v>
          </cell>
          <cell r="J382">
            <v>91178</v>
          </cell>
          <cell r="K382" t="str">
            <v>MP</v>
          </cell>
        </row>
        <row r="383">
          <cell r="A383" t="str">
            <v>993135-SLR</v>
          </cell>
          <cell r="B383">
            <v>10765</v>
          </cell>
          <cell r="C383">
            <v>168.94</v>
          </cell>
          <cell r="D383">
            <v>3.22</v>
          </cell>
          <cell r="E383">
            <v>533.49</v>
          </cell>
          <cell r="F383">
            <v>154.66</v>
          </cell>
          <cell r="G383">
            <v>190.9</v>
          </cell>
          <cell r="I383">
            <v>832.56</v>
          </cell>
          <cell r="J383">
            <v>90685</v>
          </cell>
          <cell r="K383" t="str">
            <v>MP</v>
          </cell>
        </row>
        <row r="384">
          <cell r="A384" t="str">
            <v>993136-SLR</v>
          </cell>
          <cell r="B384">
            <v>10892</v>
          </cell>
          <cell r="C384">
            <v>149.63999999999999</v>
          </cell>
          <cell r="D384">
            <v>24.58</v>
          </cell>
          <cell r="E384">
            <v>528.15</v>
          </cell>
          <cell r="F384">
            <v>221.23</v>
          </cell>
          <cell r="G384">
            <v>554.91999999999996</v>
          </cell>
          <cell r="I384">
            <v>3789.48</v>
          </cell>
          <cell r="J384">
            <v>90097</v>
          </cell>
          <cell r="K384" t="str">
            <v>MP</v>
          </cell>
        </row>
        <row r="385">
          <cell r="A385" t="str">
            <v>993137-SLR</v>
          </cell>
          <cell r="B385">
            <v>10789</v>
          </cell>
          <cell r="C385">
            <v>159.08000000000001</v>
          </cell>
          <cell r="D385">
            <v>9.65</v>
          </cell>
          <cell r="E385">
            <v>530.25</v>
          </cell>
          <cell r="F385">
            <v>199.87</v>
          </cell>
          <cell r="G385">
            <v>391.87</v>
          </cell>
          <cell r="I385">
            <v>2845.68</v>
          </cell>
          <cell r="J385">
            <v>92116</v>
          </cell>
          <cell r="K385" t="str">
            <v>MP</v>
          </cell>
        </row>
        <row r="386">
          <cell r="A386" t="str">
            <v>993138-SLR</v>
          </cell>
          <cell r="B386">
            <v>10893</v>
          </cell>
          <cell r="C386">
            <v>176.05</v>
          </cell>
          <cell r="D386">
            <v>1.3</v>
          </cell>
          <cell r="E386">
            <v>528.15</v>
          </cell>
          <cell r="F386">
            <v>141.21</v>
          </cell>
          <cell r="G386">
            <v>77.319999999999993</v>
          </cell>
          <cell r="I386">
            <v>229.59</v>
          </cell>
          <cell r="J386">
            <v>92254</v>
          </cell>
          <cell r="K386" t="str">
            <v>MP</v>
          </cell>
        </row>
        <row r="387">
          <cell r="A387" t="str">
            <v>993139-SLR</v>
          </cell>
          <cell r="B387">
            <v>10972</v>
          </cell>
          <cell r="C387">
            <v>8036.37</v>
          </cell>
          <cell r="D387">
            <v>138.13999999999999</v>
          </cell>
          <cell r="E387">
            <v>530.64</v>
          </cell>
          <cell r="F387">
            <v>941.31</v>
          </cell>
          <cell r="G387">
            <v>5084.1000000000004</v>
          </cell>
          <cell r="I387">
            <v>22281.57</v>
          </cell>
          <cell r="J387">
            <v>93038</v>
          </cell>
          <cell r="K387" t="str">
            <v>MP</v>
          </cell>
        </row>
        <row r="388">
          <cell r="A388" t="str">
            <v>993142-SLR</v>
          </cell>
          <cell r="B388">
            <v>10912</v>
          </cell>
          <cell r="C388">
            <v>183.59</v>
          </cell>
          <cell r="D388">
            <v>59.52</v>
          </cell>
          <cell r="E388">
            <v>524.54999999999995</v>
          </cell>
          <cell r="F388">
            <v>674.6</v>
          </cell>
          <cell r="G388">
            <v>2604.33</v>
          </cell>
          <cell r="I388">
            <v>18359.25</v>
          </cell>
          <cell r="J388">
            <v>92190</v>
          </cell>
          <cell r="K388" t="str">
            <v>MP</v>
          </cell>
        </row>
        <row r="389">
          <cell r="A389" t="str">
            <v>993143-SLR</v>
          </cell>
          <cell r="B389">
            <v>10685</v>
          </cell>
          <cell r="C389">
            <v>131.97999999999999</v>
          </cell>
          <cell r="D389">
            <v>2.25</v>
          </cell>
          <cell r="E389">
            <v>527.91</v>
          </cell>
          <cell r="F389">
            <v>147.94</v>
          </cell>
          <cell r="G389">
            <v>134.16999999999999</v>
          </cell>
          <cell r="I389">
            <v>571.9</v>
          </cell>
          <cell r="J389">
            <v>91511</v>
          </cell>
          <cell r="K389" t="str">
            <v>MP</v>
          </cell>
        </row>
        <row r="390">
          <cell r="A390" t="str">
            <v>993144-SLR</v>
          </cell>
          <cell r="B390">
            <v>10724</v>
          </cell>
          <cell r="C390">
            <v>413.11</v>
          </cell>
          <cell r="D390">
            <v>43.93</v>
          </cell>
          <cell r="E390">
            <v>531.9</v>
          </cell>
          <cell r="F390">
            <v>564.97</v>
          </cell>
          <cell r="G390">
            <v>1922.18</v>
          </cell>
          <cell r="I390">
            <v>13272.82</v>
          </cell>
          <cell r="J390">
            <v>91750</v>
          </cell>
          <cell r="K390" t="str">
            <v>MP</v>
          </cell>
        </row>
        <row r="391">
          <cell r="A391" t="str">
            <v>993145-SLR</v>
          </cell>
          <cell r="B391">
            <v>10766</v>
          </cell>
          <cell r="C391">
            <v>168.94</v>
          </cell>
          <cell r="D391">
            <v>24.52</v>
          </cell>
          <cell r="E391">
            <v>533.49</v>
          </cell>
          <cell r="F391">
            <v>348.02</v>
          </cell>
          <cell r="G391">
            <v>1072.72</v>
          </cell>
          <cell r="I391">
            <v>7468.86</v>
          </cell>
          <cell r="J391">
            <v>90061</v>
          </cell>
          <cell r="K391" t="str">
            <v>MP</v>
          </cell>
        </row>
        <row r="392">
          <cell r="A392" t="str">
            <v>993146-SLR</v>
          </cell>
          <cell r="B392">
            <v>10689</v>
          </cell>
          <cell r="C392">
            <v>190.6</v>
          </cell>
          <cell r="D392">
            <v>4.93</v>
          </cell>
          <cell r="E392">
            <v>531.9</v>
          </cell>
          <cell r="F392">
            <v>166.77</v>
          </cell>
          <cell r="G392">
            <v>324.02999999999997</v>
          </cell>
          <cell r="I392">
            <v>1347.48</v>
          </cell>
          <cell r="J392">
            <v>91681</v>
          </cell>
          <cell r="K392" t="str">
            <v>MP</v>
          </cell>
        </row>
        <row r="393">
          <cell r="A393" t="str">
            <v>993147-SLR</v>
          </cell>
          <cell r="B393">
            <v>10767</v>
          </cell>
          <cell r="C393">
            <v>142.26</v>
          </cell>
          <cell r="D393">
            <v>1.39</v>
          </cell>
          <cell r="E393">
            <v>533.49</v>
          </cell>
          <cell r="F393">
            <v>137.1</v>
          </cell>
          <cell r="G393">
            <v>42.66</v>
          </cell>
          <cell r="I393">
            <v>80.91</v>
          </cell>
          <cell r="J393">
            <v>90466</v>
          </cell>
          <cell r="K393" t="str">
            <v>MP</v>
          </cell>
        </row>
        <row r="394">
          <cell r="A394" t="str">
            <v>993148-SLR</v>
          </cell>
          <cell r="B394">
            <v>10798</v>
          </cell>
          <cell r="C394">
            <v>2178.3200000000002</v>
          </cell>
          <cell r="D394">
            <v>32.72</v>
          </cell>
          <cell r="E394">
            <v>536.76</v>
          </cell>
          <cell r="F394">
            <v>250.84</v>
          </cell>
          <cell r="G394">
            <v>633.54</v>
          </cell>
          <cell r="I394">
            <v>3068.48</v>
          </cell>
          <cell r="J394">
            <v>92000</v>
          </cell>
          <cell r="K394" t="str">
            <v>MP</v>
          </cell>
        </row>
        <row r="395">
          <cell r="A395" t="str">
            <v>993149-SLR</v>
          </cell>
          <cell r="B395">
            <v>10800</v>
          </cell>
          <cell r="C395">
            <v>70.849999999999994</v>
          </cell>
          <cell r="D395">
            <v>54.57</v>
          </cell>
          <cell r="E395">
            <v>536.76</v>
          </cell>
          <cell r="F395">
            <v>398.79</v>
          </cell>
          <cell r="G395">
            <v>1232.43</v>
          </cell>
          <cell r="I395">
            <v>8677.6200000000008</v>
          </cell>
          <cell r="J395">
            <v>92240</v>
          </cell>
          <cell r="K395" t="str">
            <v>MP</v>
          </cell>
        </row>
        <row r="396">
          <cell r="A396" t="str">
            <v>993150-SLR</v>
          </cell>
          <cell r="B396">
            <v>10803</v>
          </cell>
          <cell r="C396">
            <v>250.49</v>
          </cell>
          <cell r="D396">
            <v>4.17</v>
          </cell>
          <cell r="E396">
            <v>536.76</v>
          </cell>
          <cell r="F396">
            <v>161.31</v>
          </cell>
          <cell r="G396">
            <v>247.09</v>
          </cell>
          <cell r="I396">
            <v>1045.79</v>
          </cell>
          <cell r="J396">
            <v>91591</v>
          </cell>
          <cell r="K396" t="str">
            <v>MP</v>
          </cell>
        </row>
        <row r="397">
          <cell r="A397" t="str">
            <v>993151-SLR</v>
          </cell>
          <cell r="B397">
            <v>10853</v>
          </cell>
          <cell r="C397">
            <v>100.75</v>
          </cell>
          <cell r="D397">
            <v>6.27</v>
          </cell>
          <cell r="E397">
            <v>530.25</v>
          </cell>
          <cell r="F397">
            <v>136.44999999999999</v>
          </cell>
          <cell r="G397">
            <v>274.81</v>
          </cell>
          <cell r="I397">
            <v>1855.88</v>
          </cell>
          <cell r="J397">
            <v>91682</v>
          </cell>
          <cell r="K397" t="str">
            <v>MP</v>
          </cell>
        </row>
        <row r="398">
          <cell r="A398" t="str">
            <v>993152-SLR</v>
          </cell>
          <cell r="B398">
            <v>10768</v>
          </cell>
          <cell r="C398">
            <v>448.96</v>
          </cell>
          <cell r="D398">
            <v>16.41</v>
          </cell>
          <cell r="E398">
            <v>533.49</v>
          </cell>
          <cell r="F398">
            <v>191.9</v>
          </cell>
          <cell r="G398">
            <v>505.41</v>
          </cell>
          <cell r="I398">
            <v>2194.6799999999998</v>
          </cell>
          <cell r="J398">
            <v>93251</v>
          </cell>
          <cell r="K398" t="str">
            <v>MP</v>
          </cell>
        </row>
        <row r="399">
          <cell r="A399" t="str">
            <v>993153-SLR</v>
          </cell>
          <cell r="B399">
            <v>10851</v>
          </cell>
          <cell r="C399">
            <v>2017.39</v>
          </cell>
          <cell r="D399">
            <v>33.79</v>
          </cell>
          <cell r="E399">
            <v>530.25</v>
          </cell>
          <cell r="F399">
            <v>254.72</v>
          </cell>
          <cell r="G399">
            <v>677.18</v>
          </cell>
          <cell r="I399">
            <v>3400.76</v>
          </cell>
          <cell r="J399">
            <v>93001</v>
          </cell>
          <cell r="K399" t="str">
            <v>MP</v>
          </cell>
        </row>
        <row r="400">
          <cell r="A400" t="str">
            <v>993154-SLR</v>
          </cell>
          <cell r="B400">
            <v>10769</v>
          </cell>
          <cell r="C400">
            <v>2748.54</v>
          </cell>
          <cell r="D400">
            <v>4.21</v>
          </cell>
          <cell r="E400">
            <v>533.49</v>
          </cell>
          <cell r="F400">
            <v>223.66</v>
          </cell>
          <cell r="G400">
            <v>488.56</v>
          </cell>
          <cell r="I400">
            <v>1309.72</v>
          </cell>
          <cell r="J400">
            <v>93182</v>
          </cell>
          <cell r="K400" t="str">
            <v>MP</v>
          </cell>
        </row>
        <row r="401">
          <cell r="A401" t="str">
            <v>993158-SLR</v>
          </cell>
          <cell r="B401">
            <v>10805</v>
          </cell>
          <cell r="C401">
            <v>187.87</v>
          </cell>
          <cell r="D401">
            <v>65.36</v>
          </cell>
          <cell r="E401">
            <v>536.76</v>
          </cell>
          <cell r="F401">
            <v>476.13</v>
          </cell>
          <cell r="G401">
            <v>1475.76</v>
          </cell>
          <cell r="I401">
            <v>10287.9</v>
          </cell>
          <cell r="J401">
            <v>92166</v>
          </cell>
          <cell r="K401" t="str">
            <v>MP</v>
          </cell>
        </row>
        <row r="402">
          <cell r="A402" t="str">
            <v>993159-SLR</v>
          </cell>
          <cell r="B402">
            <v>10954</v>
          </cell>
          <cell r="C402">
            <v>1322.52</v>
          </cell>
          <cell r="D402">
            <v>379.21</v>
          </cell>
          <cell r="E402">
            <v>529.08000000000004</v>
          </cell>
          <cell r="F402">
            <v>2922.33</v>
          </cell>
          <cell r="G402">
            <v>16590.2</v>
          </cell>
          <cell r="I402">
            <v>116799.7</v>
          </cell>
          <cell r="J402">
            <v>90061</v>
          </cell>
          <cell r="K402" t="str">
            <v>MP</v>
          </cell>
        </row>
        <row r="403">
          <cell r="A403" t="str">
            <v>993160=SLR</v>
          </cell>
          <cell r="B403">
            <v>10790</v>
          </cell>
          <cell r="C403">
            <v>10327.15</v>
          </cell>
          <cell r="D403">
            <v>326.12</v>
          </cell>
          <cell r="E403">
            <v>530.25</v>
          </cell>
          <cell r="F403">
            <v>2549.0500000000002</v>
          </cell>
          <cell r="G403">
            <v>18323.45</v>
          </cell>
          <cell r="I403">
            <v>91258.5</v>
          </cell>
          <cell r="J403">
            <v>92099</v>
          </cell>
          <cell r="K403" t="str">
            <v>MP</v>
          </cell>
        </row>
        <row r="404">
          <cell r="A404" t="str">
            <v>993162-SLR</v>
          </cell>
          <cell r="B404">
            <v>10975</v>
          </cell>
          <cell r="C404">
            <v>374.7</v>
          </cell>
          <cell r="D404">
            <v>178.61</v>
          </cell>
          <cell r="E404">
            <v>530.64</v>
          </cell>
          <cell r="F404">
            <v>904.27</v>
          </cell>
          <cell r="G404">
            <v>6050.08</v>
          </cell>
          <cell r="I404">
            <v>28256.58</v>
          </cell>
          <cell r="J404">
            <v>92225</v>
          </cell>
          <cell r="K404" t="str">
            <v>MP</v>
          </cell>
        </row>
        <row r="405">
          <cell r="A405" t="str">
            <v>993163-SLR</v>
          </cell>
          <cell r="B405">
            <v>10922</v>
          </cell>
          <cell r="C405">
            <v>1144.0899999999999</v>
          </cell>
          <cell r="D405">
            <v>413.17</v>
          </cell>
          <cell r="E405">
            <v>524.54999999999995</v>
          </cell>
          <cell r="F405">
            <v>1751.04</v>
          </cell>
          <cell r="G405">
            <v>8637.73</v>
          </cell>
          <cell r="I405">
            <v>64886.84</v>
          </cell>
          <cell r="J405">
            <v>92107</v>
          </cell>
          <cell r="K405" t="str">
            <v>MP</v>
          </cell>
        </row>
        <row r="406">
          <cell r="A406" t="str">
            <v>993164-SLR</v>
          </cell>
          <cell r="B406">
            <v>10923</v>
          </cell>
          <cell r="C406">
            <v>541.26</v>
          </cell>
          <cell r="D406">
            <v>91.24</v>
          </cell>
          <cell r="E406">
            <v>524.54999999999995</v>
          </cell>
          <cell r="F406">
            <v>586.27</v>
          </cell>
          <cell r="G406">
            <v>2835.11</v>
          </cell>
          <cell r="I406">
            <v>14043.95</v>
          </cell>
          <cell r="J406">
            <v>93018</v>
          </cell>
          <cell r="K406" t="str">
            <v>MP</v>
          </cell>
        </row>
        <row r="407">
          <cell r="A407" t="str">
            <v>993165-SLR</v>
          </cell>
          <cell r="B407">
            <v>10976</v>
          </cell>
          <cell r="C407">
            <v>1106.82</v>
          </cell>
          <cell r="D407">
            <v>925.01</v>
          </cell>
          <cell r="E407">
            <v>529.08000000000004</v>
          </cell>
          <cell r="F407">
            <v>3622.99</v>
          </cell>
          <cell r="G407">
            <v>16701.71</v>
          </cell>
          <cell r="I407">
            <v>147610.18</v>
          </cell>
          <cell r="J407">
            <v>90570</v>
          </cell>
          <cell r="K407" t="str">
            <v>MP</v>
          </cell>
        </row>
        <row r="408">
          <cell r="A408" t="str">
            <v>993166-SLR</v>
          </cell>
          <cell r="B408">
            <v>10819</v>
          </cell>
          <cell r="C408">
            <v>0</v>
          </cell>
          <cell r="D408">
            <v>0</v>
          </cell>
          <cell r="E408">
            <v>0</v>
          </cell>
          <cell r="F408">
            <v>17.61</v>
          </cell>
          <cell r="G408">
            <v>39.35</v>
          </cell>
          <cell r="I408">
            <v>65.59</v>
          </cell>
          <cell r="J408">
            <v>91591</v>
          </cell>
          <cell r="K408" t="str">
            <v>MP</v>
          </cell>
        </row>
        <row r="409">
          <cell r="A409" t="str">
            <v>993167-SLR</v>
          </cell>
          <cell r="B409">
            <v>10807</v>
          </cell>
          <cell r="C409">
            <v>223.65</v>
          </cell>
          <cell r="D409">
            <v>5.62</v>
          </cell>
          <cell r="E409">
            <v>536.76</v>
          </cell>
          <cell r="F409">
            <v>152.43</v>
          </cell>
          <cell r="G409">
            <v>153.94999999999999</v>
          </cell>
          <cell r="I409">
            <v>676.32</v>
          </cell>
          <cell r="J409">
            <v>92172</v>
          </cell>
          <cell r="K409" t="str">
            <v>MP</v>
          </cell>
        </row>
        <row r="410">
          <cell r="A410" t="str">
            <v>993170-SLR</v>
          </cell>
          <cell r="B410">
            <v>10782</v>
          </cell>
          <cell r="C410">
            <v>35.78</v>
          </cell>
          <cell r="D410">
            <v>5.81</v>
          </cell>
          <cell r="E410">
            <v>536.76</v>
          </cell>
          <cell r="F410">
            <v>173.8</v>
          </cell>
          <cell r="G410">
            <v>352.57</v>
          </cell>
          <cell r="I410">
            <v>1814.03</v>
          </cell>
          <cell r="J410">
            <v>92252</v>
          </cell>
          <cell r="K410" t="str">
            <v>MP</v>
          </cell>
        </row>
        <row r="411">
          <cell r="A411" t="str">
            <v>993171-SLR</v>
          </cell>
          <cell r="B411">
            <v>11031</v>
          </cell>
          <cell r="C411">
            <v>2150.77</v>
          </cell>
          <cell r="D411">
            <v>136.82</v>
          </cell>
          <cell r="E411">
            <v>535.44000000000005</v>
          </cell>
          <cell r="F411">
            <v>536.41999999999996</v>
          </cell>
          <cell r="G411">
            <v>2367.58</v>
          </cell>
          <cell r="I411">
            <v>10173.36</v>
          </cell>
          <cell r="J411">
            <v>92373</v>
          </cell>
          <cell r="K411" t="str">
            <v>MP</v>
          </cell>
        </row>
        <row r="412">
          <cell r="A412" t="str">
            <v>993172-SLR</v>
          </cell>
          <cell r="B412">
            <v>10924</v>
          </cell>
          <cell r="C412">
            <v>331.97</v>
          </cell>
          <cell r="D412">
            <v>73.3</v>
          </cell>
          <cell r="E412">
            <v>524.54999999999995</v>
          </cell>
          <cell r="F412">
            <v>515.42999999999995</v>
          </cell>
          <cell r="G412">
            <v>1613.93</v>
          </cell>
          <cell r="I412">
            <v>11122.81</v>
          </cell>
          <cell r="J412">
            <v>90982</v>
          </cell>
          <cell r="K412" t="str">
            <v>MP</v>
          </cell>
        </row>
        <row r="413">
          <cell r="A413" t="str">
            <v>993173-SLR</v>
          </cell>
          <cell r="B413">
            <v>10770</v>
          </cell>
          <cell r="C413">
            <v>141.84</v>
          </cell>
          <cell r="D413">
            <v>24.18</v>
          </cell>
          <cell r="E413">
            <v>533.49</v>
          </cell>
          <cell r="F413">
            <v>219.82</v>
          </cell>
          <cell r="G413">
            <v>741.17</v>
          </cell>
          <cell r="I413">
            <v>3723.3</v>
          </cell>
          <cell r="J413">
            <v>90971</v>
          </cell>
          <cell r="K413" t="str">
            <v>MP</v>
          </cell>
        </row>
        <row r="414">
          <cell r="A414" t="str">
            <v>993174-SLR</v>
          </cell>
          <cell r="B414">
            <v>10894</v>
          </cell>
          <cell r="C414">
            <v>204.31</v>
          </cell>
          <cell r="D414">
            <v>48.47</v>
          </cell>
          <cell r="E414">
            <v>528.15</v>
          </cell>
          <cell r="F414">
            <v>597.91999999999996</v>
          </cell>
          <cell r="G414">
            <v>776.5</v>
          </cell>
          <cell r="I414">
            <v>14941.65</v>
          </cell>
          <cell r="J414">
            <v>90379</v>
          </cell>
          <cell r="K414" t="str">
            <v>MP</v>
          </cell>
        </row>
        <row r="415">
          <cell r="A415" t="str">
            <v>993175-SLR</v>
          </cell>
          <cell r="B415">
            <v>10809</v>
          </cell>
          <cell r="C415">
            <v>250.49</v>
          </cell>
          <cell r="D415">
            <v>5.21</v>
          </cell>
          <cell r="E415">
            <v>536.76</v>
          </cell>
          <cell r="F415">
            <v>168.6</v>
          </cell>
          <cell r="G415">
            <v>308.64</v>
          </cell>
          <cell r="I415">
            <v>1368.74</v>
          </cell>
          <cell r="J415">
            <v>91591</v>
          </cell>
          <cell r="K415" t="str">
            <v>MP</v>
          </cell>
        </row>
        <row r="416">
          <cell r="A416" t="str">
            <v>993176-SLR</v>
          </cell>
          <cell r="B416">
            <v>10811</v>
          </cell>
          <cell r="C416">
            <v>102.34</v>
          </cell>
          <cell r="D416">
            <v>81.84</v>
          </cell>
          <cell r="E416">
            <v>536.76</v>
          </cell>
          <cell r="F416">
            <v>553.05999999999995</v>
          </cell>
          <cell r="G416">
            <v>1848.09</v>
          </cell>
          <cell r="I416">
            <v>13016.43</v>
          </cell>
          <cell r="J416">
            <v>92240</v>
          </cell>
          <cell r="K416" t="str">
            <v>MP</v>
          </cell>
        </row>
        <row r="417">
          <cell r="A417" t="str">
            <v>993177-SLR</v>
          </cell>
          <cell r="B417">
            <v>10815</v>
          </cell>
          <cell r="C417">
            <v>342.86</v>
          </cell>
          <cell r="D417">
            <v>13.81</v>
          </cell>
          <cell r="E417">
            <v>536.76</v>
          </cell>
          <cell r="F417">
            <v>181.94</v>
          </cell>
          <cell r="G417">
            <v>310.44</v>
          </cell>
          <cell r="I417">
            <v>1860.77</v>
          </cell>
          <cell r="J417">
            <v>90503</v>
          </cell>
          <cell r="K417" t="str">
            <v>MP</v>
          </cell>
        </row>
        <row r="418">
          <cell r="A418" t="str">
            <v>993178-SLR</v>
          </cell>
          <cell r="B418">
            <v>10950</v>
          </cell>
          <cell r="C418">
            <v>203.1</v>
          </cell>
          <cell r="D418">
            <v>10.97</v>
          </cell>
          <cell r="E418">
            <v>529.08000000000004</v>
          </cell>
          <cell r="F418">
            <v>209.22</v>
          </cell>
          <cell r="G418">
            <v>480.2</v>
          </cell>
          <cell r="I418">
            <v>3215.92</v>
          </cell>
          <cell r="J418">
            <v>91814</v>
          </cell>
          <cell r="K418" t="str">
            <v>MP</v>
          </cell>
        </row>
        <row r="419">
          <cell r="A419" t="str">
            <v>993179-SLR</v>
          </cell>
          <cell r="B419">
            <v>10895</v>
          </cell>
          <cell r="C419">
            <v>188.73</v>
          </cell>
          <cell r="D419">
            <v>0.76</v>
          </cell>
          <cell r="E419">
            <v>0</v>
          </cell>
          <cell r="F419">
            <v>0</v>
          </cell>
          <cell r="G419">
            <v>46.11</v>
          </cell>
          <cell r="I419">
            <v>49.29</v>
          </cell>
          <cell r="J419">
            <v>90013</v>
          </cell>
          <cell r="K419" t="str">
            <v>MP</v>
          </cell>
        </row>
        <row r="420">
          <cell r="A420" t="str">
            <v>993180-SLR</v>
          </cell>
          <cell r="B420">
            <v>10996</v>
          </cell>
          <cell r="C420">
            <v>194.04</v>
          </cell>
          <cell r="D420">
            <v>0.73</v>
          </cell>
          <cell r="E420">
            <v>530.64</v>
          </cell>
          <cell r="F420">
            <v>137.15</v>
          </cell>
          <cell r="G420">
            <v>43.06</v>
          </cell>
          <cell r="I420">
            <v>31.84</v>
          </cell>
          <cell r="J420">
            <v>90402</v>
          </cell>
          <cell r="K420" t="str">
            <v>MP</v>
          </cell>
        </row>
        <row r="421">
          <cell r="A421" t="str">
            <v>993182-SLR</v>
          </cell>
          <cell r="B421">
            <v>10913</v>
          </cell>
          <cell r="C421">
            <v>1261.3499999999999</v>
          </cell>
          <cell r="D421">
            <v>42.56</v>
          </cell>
          <cell r="E421">
            <v>524.54999999999995</v>
          </cell>
          <cell r="F421">
            <v>555.29999999999995</v>
          </cell>
          <cell r="G421">
            <v>1596</v>
          </cell>
          <cell r="I421">
            <v>11996.11</v>
          </cell>
          <cell r="J421">
            <v>92001</v>
          </cell>
          <cell r="K421" t="str">
            <v>MP</v>
          </cell>
        </row>
        <row r="422">
          <cell r="A422" t="str">
            <v>993185-SLR</v>
          </cell>
          <cell r="B422">
            <v>10792</v>
          </cell>
          <cell r="C422">
            <v>1709.17</v>
          </cell>
          <cell r="D422">
            <v>878.61</v>
          </cell>
          <cell r="E422">
            <v>530.25</v>
          </cell>
          <cell r="F422">
            <v>3444.54</v>
          </cell>
          <cell r="G422">
            <v>18422.38</v>
          </cell>
          <cell r="I422">
            <v>139122.84</v>
          </cell>
          <cell r="J422">
            <v>92099</v>
          </cell>
          <cell r="K422" t="str">
            <v>MP</v>
          </cell>
        </row>
        <row r="423">
          <cell r="A423" t="str">
            <v>993186-SLR</v>
          </cell>
          <cell r="B423">
            <v>10988</v>
          </cell>
          <cell r="C423">
            <v>540.94000000000005</v>
          </cell>
          <cell r="D423">
            <v>288</v>
          </cell>
          <cell r="E423">
            <v>529.08000000000004</v>
          </cell>
          <cell r="F423">
            <v>1241.3699999999999</v>
          </cell>
          <cell r="G423">
            <v>5692.97</v>
          </cell>
          <cell r="I423">
            <v>42963.13</v>
          </cell>
          <cell r="J423">
            <v>93238</v>
          </cell>
          <cell r="K423" t="str">
            <v>MP</v>
          </cell>
        </row>
        <row r="424">
          <cell r="A424" t="str">
            <v>993187-SLR</v>
          </cell>
          <cell r="B424">
            <v>10997</v>
          </cell>
          <cell r="C424">
            <v>150.35</v>
          </cell>
          <cell r="D424">
            <v>11.97</v>
          </cell>
          <cell r="E424">
            <v>530.64</v>
          </cell>
          <cell r="F424">
            <v>175.5</v>
          </cell>
          <cell r="G424">
            <v>270.36</v>
          </cell>
          <cell r="I424">
            <v>1768.8</v>
          </cell>
          <cell r="J424">
            <v>90097</v>
          </cell>
          <cell r="K424" t="str">
            <v>MP</v>
          </cell>
        </row>
        <row r="425">
          <cell r="A425" t="str">
            <v>993188-SLR</v>
          </cell>
          <cell r="B425">
            <v>10925</v>
          </cell>
          <cell r="C425">
            <v>236.1</v>
          </cell>
          <cell r="D425">
            <v>38.450000000000003</v>
          </cell>
          <cell r="E425">
            <v>524.54999999999995</v>
          </cell>
          <cell r="F425">
            <v>282.26</v>
          </cell>
          <cell r="G425">
            <v>865.83</v>
          </cell>
          <cell r="I425">
            <v>5909.93</v>
          </cell>
          <cell r="J425">
            <v>92403</v>
          </cell>
          <cell r="K425" t="str">
            <v>MP</v>
          </cell>
        </row>
        <row r="426">
          <cell r="A426" t="str">
            <v>993189-SLR</v>
          </cell>
          <cell r="B426">
            <v>11024</v>
          </cell>
          <cell r="C426">
            <v>158.08000000000001</v>
          </cell>
          <cell r="D426">
            <v>2.5</v>
          </cell>
          <cell r="E426">
            <v>535.44000000000005</v>
          </cell>
          <cell r="F426">
            <v>141.1</v>
          </cell>
          <cell r="G426">
            <v>56.3</v>
          </cell>
          <cell r="I426">
            <v>241.53</v>
          </cell>
          <cell r="J426">
            <v>93081</v>
          </cell>
          <cell r="K426" t="str">
            <v>MP</v>
          </cell>
        </row>
        <row r="427">
          <cell r="A427" t="str">
            <v>993190-SLR</v>
          </cell>
          <cell r="B427">
            <v>10729</v>
          </cell>
          <cell r="C427">
            <v>0</v>
          </cell>
          <cell r="D427">
            <v>0</v>
          </cell>
          <cell r="E427">
            <v>0</v>
          </cell>
          <cell r="F427">
            <v>17.7</v>
          </cell>
          <cell r="G427">
            <v>230.88</v>
          </cell>
          <cell r="I427">
            <v>384.8</v>
          </cell>
          <cell r="J427">
            <v>91814</v>
          </cell>
          <cell r="K427" t="str">
            <v>MP</v>
          </cell>
        </row>
        <row r="428">
          <cell r="A428" t="str">
            <v>993192-SLR</v>
          </cell>
          <cell r="B428">
            <v>10728</v>
          </cell>
          <cell r="C428">
            <v>0</v>
          </cell>
          <cell r="D428">
            <v>0</v>
          </cell>
          <cell r="E428">
            <v>0</v>
          </cell>
          <cell r="F428">
            <v>0</v>
          </cell>
          <cell r="G428">
            <v>23.28</v>
          </cell>
          <cell r="I428">
            <v>38.58</v>
          </cell>
          <cell r="J428">
            <v>90257</v>
          </cell>
          <cell r="K428" t="str">
            <v>MP</v>
          </cell>
        </row>
        <row r="429">
          <cell r="A429" t="str">
            <v>993193-SLR</v>
          </cell>
          <cell r="B429">
            <v>10955</v>
          </cell>
          <cell r="C429">
            <v>171.95</v>
          </cell>
          <cell r="D429">
            <v>15.87</v>
          </cell>
          <cell r="E429">
            <v>529.08000000000004</v>
          </cell>
          <cell r="F429">
            <v>243.41</v>
          </cell>
          <cell r="G429">
            <v>692.93</v>
          </cell>
          <cell r="I429">
            <v>4761.72</v>
          </cell>
          <cell r="J429">
            <v>90121</v>
          </cell>
          <cell r="K429" t="str">
            <v>MP</v>
          </cell>
        </row>
        <row r="430">
          <cell r="A430" t="str">
            <v>993194-SLR</v>
          </cell>
          <cell r="B430">
            <v>10998</v>
          </cell>
          <cell r="C430">
            <v>243.21</v>
          </cell>
          <cell r="D430">
            <v>39.11</v>
          </cell>
          <cell r="E430">
            <v>530.64</v>
          </cell>
          <cell r="F430">
            <v>531.04</v>
          </cell>
          <cell r="G430">
            <v>2322.13</v>
          </cell>
          <cell r="I430">
            <v>11939.4</v>
          </cell>
          <cell r="J430">
            <v>90953</v>
          </cell>
          <cell r="K430" t="str">
            <v>MP</v>
          </cell>
        </row>
        <row r="431">
          <cell r="A431" t="str">
            <v>993195-SLR</v>
          </cell>
          <cell r="B431">
            <v>11025</v>
          </cell>
          <cell r="C431">
            <v>174.02</v>
          </cell>
          <cell r="D431">
            <v>26.84</v>
          </cell>
          <cell r="E431">
            <v>535.44000000000005</v>
          </cell>
          <cell r="F431">
            <v>380.34</v>
          </cell>
          <cell r="G431">
            <v>948.17</v>
          </cell>
          <cell r="I431">
            <v>8187.77</v>
          </cell>
          <cell r="J431">
            <v>90236</v>
          </cell>
          <cell r="K431" t="str">
            <v>MP</v>
          </cell>
        </row>
        <row r="432">
          <cell r="A432" t="str">
            <v>993196-SLR</v>
          </cell>
          <cell r="B432">
            <v>10956</v>
          </cell>
          <cell r="C432">
            <v>171.95</v>
          </cell>
          <cell r="D432">
            <v>9.01</v>
          </cell>
          <cell r="E432">
            <v>529.08000000000004</v>
          </cell>
          <cell r="F432">
            <v>195.44</v>
          </cell>
          <cell r="G432">
            <v>394.46</v>
          </cell>
          <cell r="I432">
            <v>2636.58</v>
          </cell>
          <cell r="J432">
            <v>91358</v>
          </cell>
          <cell r="K432" t="str">
            <v>MP</v>
          </cell>
        </row>
        <row r="433">
          <cell r="A433" t="str">
            <v>993199-SLR</v>
          </cell>
          <cell r="B433">
            <v>10903</v>
          </cell>
          <cell r="C433">
            <v>248.48</v>
          </cell>
          <cell r="D433">
            <v>22.66</v>
          </cell>
          <cell r="E433">
            <v>524.54999999999995</v>
          </cell>
          <cell r="F433">
            <v>349</v>
          </cell>
          <cell r="G433">
            <v>474.21</v>
          </cell>
          <cell r="I433">
            <v>6810.41</v>
          </cell>
          <cell r="J433">
            <v>91814</v>
          </cell>
          <cell r="K433" t="str">
            <v>MP</v>
          </cell>
        </row>
        <row r="434">
          <cell r="A434" t="str">
            <v>993200-SLR</v>
          </cell>
          <cell r="B434">
            <v>10952</v>
          </cell>
          <cell r="C434">
            <v>194</v>
          </cell>
          <cell r="D434">
            <v>1.01</v>
          </cell>
          <cell r="E434">
            <v>529.08000000000004</v>
          </cell>
          <cell r="F434">
            <v>139.12</v>
          </cell>
          <cell r="G434">
            <v>59.67</v>
          </cell>
          <cell r="I434">
            <v>119.04</v>
          </cell>
          <cell r="J434">
            <v>91591</v>
          </cell>
          <cell r="K434" t="str">
            <v>MP</v>
          </cell>
        </row>
        <row r="435">
          <cell r="A435" t="str">
            <v>993202-SLR</v>
          </cell>
          <cell r="B435">
            <v>10957</v>
          </cell>
          <cell r="C435">
            <v>189.59</v>
          </cell>
          <cell r="D435">
            <v>6.95</v>
          </cell>
          <cell r="E435">
            <v>529.08000000000004</v>
          </cell>
          <cell r="F435">
            <v>180.91</v>
          </cell>
          <cell r="G435">
            <v>456.07</v>
          </cell>
          <cell r="I435">
            <v>1975.23</v>
          </cell>
          <cell r="J435">
            <v>91681</v>
          </cell>
          <cell r="K435" t="str">
            <v>MP</v>
          </cell>
        </row>
        <row r="436">
          <cell r="A436" t="str">
            <v>993206-SLR</v>
          </cell>
          <cell r="B436">
            <v>10978</v>
          </cell>
          <cell r="C436">
            <v>237.56</v>
          </cell>
          <cell r="D436">
            <v>30.67</v>
          </cell>
          <cell r="E436">
            <v>529.08000000000004</v>
          </cell>
          <cell r="F436">
            <v>434.93</v>
          </cell>
          <cell r="G436">
            <v>480.77</v>
          </cell>
          <cell r="I436">
            <v>9347.08</v>
          </cell>
          <cell r="J436">
            <v>92258</v>
          </cell>
          <cell r="K436" t="str">
            <v>MP</v>
          </cell>
        </row>
        <row r="437">
          <cell r="A437" t="str">
            <v>993207-SLR</v>
          </cell>
          <cell r="B437">
            <v>10979</v>
          </cell>
          <cell r="C437">
            <v>246.9</v>
          </cell>
          <cell r="D437">
            <v>13.74</v>
          </cell>
          <cell r="E437">
            <v>529.08000000000004</v>
          </cell>
          <cell r="F437">
            <v>181.9</v>
          </cell>
          <cell r="G437">
            <v>405.03</v>
          </cell>
          <cell r="I437">
            <v>1954.95</v>
          </cell>
          <cell r="J437">
            <v>93098</v>
          </cell>
          <cell r="K437" t="str">
            <v>MP</v>
          </cell>
        </row>
        <row r="438">
          <cell r="A438" t="str">
            <v>993208-SLR</v>
          </cell>
          <cell r="B438">
            <v>11015</v>
          </cell>
          <cell r="C438">
            <v>185.72</v>
          </cell>
          <cell r="D438">
            <v>6.46</v>
          </cell>
          <cell r="E438">
            <v>530.64</v>
          </cell>
          <cell r="F438">
            <v>155.47999999999999</v>
          </cell>
          <cell r="G438">
            <v>145.77000000000001</v>
          </cell>
          <cell r="I438">
            <v>849.02</v>
          </cell>
          <cell r="J438">
            <v>93246</v>
          </cell>
          <cell r="K438" t="str">
            <v>MP</v>
          </cell>
        </row>
        <row r="439">
          <cell r="A439" t="str">
            <v>993209-SLR</v>
          </cell>
          <cell r="B439">
            <v>10958</v>
          </cell>
          <cell r="C439">
            <v>185.18</v>
          </cell>
          <cell r="D439">
            <v>38.57</v>
          </cell>
          <cell r="E439">
            <v>529.08000000000004</v>
          </cell>
          <cell r="F439">
            <v>236.84</v>
          </cell>
          <cell r="G439">
            <v>870.8</v>
          </cell>
          <cell r="I439">
            <v>5996.24</v>
          </cell>
          <cell r="J439">
            <v>90512</v>
          </cell>
          <cell r="K439" t="str">
            <v>MP</v>
          </cell>
        </row>
        <row r="440">
          <cell r="A440" t="str">
            <v>993210-SLR</v>
          </cell>
          <cell r="B440">
            <v>10959</v>
          </cell>
          <cell r="C440">
            <v>185.18</v>
          </cell>
          <cell r="D440">
            <v>3.16</v>
          </cell>
          <cell r="E440">
            <v>529.08000000000004</v>
          </cell>
          <cell r="F440">
            <v>143.51</v>
          </cell>
          <cell r="G440">
            <v>96.77</v>
          </cell>
          <cell r="I440">
            <v>320.98</v>
          </cell>
          <cell r="J440">
            <v>90390</v>
          </cell>
          <cell r="K440" t="str">
            <v>MP</v>
          </cell>
        </row>
        <row r="441">
          <cell r="A441" t="str">
            <v>993211-SLR</v>
          </cell>
          <cell r="B441">
            <v>11026</v>
          </cell>
          <cell r="C441">
            <v>170.45</v>
          </cell>
          <cell r="D441">
            <v>4.68</v>
          </cell>
          <cell r="E441">
            <v>535.44000000000005</v>
          </cell>
          <cell r="F441">
            <v>164.9</v>
          </cell>
          <cell r="G441">
            <v>306.64</v>
          </cell>
          <cell r="I441">
            <v>1285.06</v>
          </cell>
          <cell r="J441">
            <v>90506</v>
          </cell>
          <cell r="K441" t="str">
            <v>MP</v>
          </cell>
        </row>
        <row r="442">
          <cell r="A442" t="str">
            <v>993212-SLR</v>
          </cell>
          <cell r="B442">
            <v>11032</v>
          </cell>
          <cell r="C442">
            <v>204.72</v>
          </cell>
          <cell r="D442">
            <v>99.15</v>
          </cell>
          <cell r="E442">
            <v>535.44000000000005</v>
          </cell>
          <cell r="F442">
            <v>615.87</v>
          </cell>
          <cell r="G442">
            <v>2238.92</v>
          </cell>
          <cell r="I442">
            <v>15688.39</v>
          </cell>
          <cell r="J442">
            <v>90097</v>
          </cell>
          <cell r="K442" t="str">
            <v>MP</v>
          </cell>
        </row>
        <row r="443">
          <cell r="A443" t="str">
            <v>993213-SLR</v>
          </cell>
          <cell r="B443">
            <v>11017</v>
          </cell>
          <cell r="C443">
            <v>503.96</v>
          </cell>
          <cell r="D443">
            <v>79.28</v>
          </cell>
          <cell r="E443">
            <v>535.44000000000005</v>
          </cell>
          <cell r="F443">
            <v>544.6</v>
          </cell>
          <cell r="G443">
            <v>641.21</v>
          </cell>
          <cell r="I443">
            <v>12241.05</v>
          </cell>
          <cell r="J443">
            <v>93109</v>
          </cell>
          <cell r="K443" t="str">
            <v>MP</v>
          </cell>
        </row>
        <row r="444">
          <cell r="A444" t="str">
            <v>993214-SLR</v>
          </cell>
          <cell r="B444">
            <v>11033</v>
          </cell>
          <cell r="C444">
            <v>471.87</v>
          </cell>
          <cell r="D444">
            <v>25.63</v>
          </cell>
          <cell r="E444">
            <v>535.44000000000005</v>
          </cell>
          <cell r="F444">
            <v>224.46</v>
          </cell>
          <cell r="G444">
            <v>720.75</v>
          </cell>
          <cell r="I444">
            <v>3609.81</v>
          </cell>
          <cell r="J444">
            <v>92336</v>
          </cell>
          <cell r="K444" t="str">
            <v>MP</v>
          </cell>
        </row>
        <row r="445">
          <cell r="A445" t="str">
            <v>993217-SLR</v>
          </cell>
          <cell r="B445">
            <v>11022</v>
          </cell>
          <cell r="C445">
            <v>308.58</v>
          </cell>
          <cell r="D445">
            <v>11.51</v>
          </cell>
          <cell r="E445">
            <v>530.64</v>
          </cell>
          <cell r="F445">
            <v>173.94</v>
          </cell>
          <cell r="G445">
            <v>242.06</v>
          </cell>
          <cell r="I445">
            <v>1541.87</v>
          </cell>
          <cell r="J445">
            <v>93088</v>
          </cell>
          <cell r="K445" t="str">
            <v>MP</v>
          </cell>
        </row>
        <row r="446">
          <cell r="A446" t="str">
            <v>993218-SLR</v>
          </cell>
          <cell r="B446">
            <v>11016</v>
          </cell>
          <cell r="C446">
            <v>308.58</v>
          </cell>
          <cell r="D446">
            <v>4.6900000000000004</v>
          </cell>
          <cell r="E446">
            <v>530.64</v>
          </cell>
          <cell r="F446">
            <v>148.96</v>
          </cell>
          <cell r="G446">
            <v>142.82</v>
          </cell>
          <cell r="I446">
            <v>438.44</v>
          </cell>
          <cell r="J446">
            <v>91163</v>
          </cell>
          <cell r="K446" t="str">
            <v>MP</v>
          </cell>
        </row>
        <row r="447">
          <cell r="A447" t="str">
            <v>993219-SLR</v>
          </cell>
          <cell r="B447">
            <v>10896</v>
          </cell>
          <cell r="C447">
            <v>105130.44</v>
          </cell>
          <cell r="D447">
            <v>758.51</v>
          </cell>
          <cell r="E447">
            <v>528.15</v>
          </cell>
          <cell r="F447">
            <v>3008.7</v>
          </cell>
          <cell r="G447">
            <v>14680.8</v>
          </cell>
          <cell r="I447">
            <v>16451.03</v>
          </cell>
          <cell r="J447">
            <v>93204</v>
          </cell>
          <cell r="K447" t="str">
            <v>MP</v>
          </cell>
        </row>
        <row r="448">
          <cell r="A448" t="str">
            <v>993220-SLR</v>
          </cell>
          <cell r="B448">
            <v>10897</v>
          </cell>
          <cell r="C448">
            <v>295.62</v>
          </cell>
          <cell r="D448">
            <v>17.059999999999999</v>
          </cell>
          <cell r="E448">
            <v>528.15</v>
          </cell>
          <cell r="F448">
            <v>193.75</v>
          </cell>
          <cell r="G448">
            <v>383.9</v>
          </cell>
          <cell r="I448">
            <v>2429.4899999999998</v>
          </cell>
          <cell r="J448">
            <v>91578</v>
          </cell>
          <cell r="K448" t="str">
            <v>MP</v>
          </cell>
        </row>
        <row r="449">
          <cell r="A449" t="str">
            <v>993221-SLR</v>
          </cell>
          <cell r="B449">
            <v>10857</v>
          </cell>
          <cell r="C449">
            <v>239.47</v>
          </cell>
          <cell r="D449">
            <v>2.76</v>
          </cell>
          <cell r="E449">
            <v>530.25</v>
          </cell>
          <cell r="F449">
            <v>141.97</v>
          </cell>
          <cell r="G449">
            <v>83.82</v>
          </cell>
          <cell r="I449">
            <v>198.9</v>
          </cell>
          <cell r="J449">
            <v>90827</v>
          </cell>
          <cell r="K449" t="str">
            <v>MP</v>
          </cell>
        </row>
        <row r="450">
          <cell r="A450" t="str">
            <v>993222-SLR</v>
          </cell>
          <cell r="B450">
            <v>10981</v>
          </cell>
          <cell r="C450">
            <v>333.22</v>
          </cell>
          <cell r="D450">
            <v>113.96</v>
          </cell>
          <cell r="E450">
            <v>529.08000000000004</v>
          </cell>
          <cell r="F450">
            <v>670.86</v>
          </cell>
          <cell r="G450">
            <v>921.8</v>
          </cell>
          <cell r="I450">
            <v>17988.72</v>
          </cell>
          <cell r="J450">
            <v>91578</v>
          </cell>
          <cell r="K450" t="str">
            <v>MP</v>
          </cell>
        </row>
        <row r="451">
          <cell r="A451" t="str">
            <v>993223-SLR</v>
          </cell>
          <cell r="B451">
            <v>10898</v>
          </cell>
          <cell r="C451">
            <v>74.599999999999994</v>
          </cell>
          <cell r="D451">
            <v>13.87</v>
          </cell>
          <cell r="E451">
            <v>528.15</v>
          </cell>
          <cell r="F451">
            <v>181.8</v>
          </cell>
          <cell r="G451">
            <v>409.84</v>
          </cell>
          <cell r="I451">
            <v>2122.94</v>
          </cell>
          <cell r="J451">
            <v>90444</v>
          </cell>
          <cell r="K451" t="str">
            <v>MP</v>
          </cell>
        </row>
        <row r="452">
          <cell r="A452" t="str">
            <v>993224-SLR</v>
          </cell>
          <cell r="B452">
            <v>10899</v>
          </cell>
          <cell r="C452">
            <v>140.84</v>
          </cell>
          <cell r="D452">
            <v>25.86</v>
          </cell>
          <cell r="E452">
            <v>528.15</v>
          </cell>
          <cell r="F452">
            <v>225.92</v>
          </cell>
          <cell r="G452">
            <v>584.05999999999995</v>
          </cell>
          <cell r="I452">
            <v>4005.14</v>
          </cell>
          <cell r="J452">
            <v>90971</v>
          </cell>
          <cell r="K452" t="str">
            <v>MP</v>
          </cell>
        </row>
        <row r="453">
          <cell r="A453" t="str">
            <v>993225-SLR</v>
          </cell>
          <cell r="B453">
            <v>10859</v>
          </cell>
          <cell r="C453">
            <v>88.12</v>
          </cell>
          <cell r="D453">
            <v>6.26</v>
          </cell>
          <cell r="E453">
            <v>530.25</v>
          </cell>
          <cell r="F453">
            <v>154.86000000000001</v>
          </cell>
          <cell r="G453">
            <v>141.91999999999999</v>
          </cell>
          <cell r="I453">
            <v>919.34</v>
          </cell>
          <cell r="J453">
            <v>90809</v>
          </cell>
          <cell r="K453" t="str">
            <v>MP</v>
          </cell>
        </row>
        <row r="454">
          <cell r="A454" t="str">
            <v>993226-SLR</v>
          </cell>
          <cell r="B454">
            <v>11058</v>
          </cell>
          <cell r="C454">
            <v>8960.9500000000007</v>
          </cell>
          <cell r="D454">
            <v>38.64</v>
          </cell>
          <cell r="E454">
            <v>537.12</v>
          </cell>
          <cell r="F454">
            <v>691.63</v>
          </cell>
          <cell r="G454">
            <v>2323.11</v>
          </cell>
          <cell r="I454">
            <v>10359.68</v>
          </cell>
          <cell r="J454">
            <v>93086</v>
          </cell>
          <cell r="K454" t="str">
            <v>MP</v>
          </cell>
        </row>
        <row r="455">
          <cell r="A455" t="str">
            <v>993227-SLR</v>
          </cell>
          <cell r="B455">
            <v>11059</v>
          </cell>
          <cell r="C455">
            <v>8960.9500000000007</v>
          </cell>
          <cell r="D455">
            <v>38.64</v>
          </cell>
          <cell r="E455">
            <v>537.12</v>
          </cell>
          <cell r="F455">
            <v>691.63</v>
          </cell>
          <cell r="G455">
            <v>2323.11</v>
          </cell>
          <cell r="I455">
            <v>10359.68</v>
          </cell>
          <cell r="J455">
            <v>93086</v>
          </cell>
          <cell r="K455" t="str">
            <v>MP</v>
          </cell>
        </row>
        <row r="456">
          <cell r="A456" t="str">
            <v>993228-SLR</v>
          </cell>
          <cell r="B456">
            <v>11060</v>
          </cell>
          <cell r="C456">
            <v>8960.9500000000007</v>
          </cell>
          <cell r="D456">
            <v>38.64</v>
          </cell>
          <cell r="E456">
            <v>537.12</v>
          </cell>
          <cell r="F456">
            <v>691.63</v>
          </cell>
          <cell r="G456">
            <v>2323.11</v>
          </cell>
          <cell r="I456">
            <v>10359.68</v>
          </cell>
          <cell r="J456">
            <v>93086</v>
          </cell>
          <cell r="K456" t="str">
            <v>MP</v>
          </cell>
        </row>
        <row r="457">
          <cell r="A457" t="str">
            <v>993229-SLR</v>
          </cell>
          <cell r="B457">
            <v>11061</v>
          </cell>
          <cell r="C457">
            <v>8960.9500000000007</v>
          </cell>
          <cell r="D457">
            <v>38.64</v>
          </cell>
          <cell r="E457">
            <v>537.12</v>
          </cell>
          <cell r="F457">
            <v>691.63</v>
          </cell>
          <cell r="G457">
            <v>2323.11</v>
          </cell>
          <cell r="I457">
            <v>10359.68</v>
          </cell>
          <cell r="J457">
            <v>93086</v>
          </cell>
          <cell r="K457" t="str">
            <v>MP</v>
          </cell>
        </row>
        <row r="458">
          <cell r="A458" t="str">
            <v>993230-SLR</v>
          </cell>
          <cell r="B458">
            <v>11062</v>
          </cell>
          <cell r="C458">
            <v>8960.9500000000007</v>
          </cell>
          <cell r="D458">
            <v>38.64</v>
          </cell>
          <cell r="E458">
            <v>537.12</v>
          </cell>
          <cell r="F458">
            <v>691.63</v>
          </cell>
          <cell r="G458">
            <v>2323.11</v>
          </cell>
          <cell r="I458">
            <v>10359.68</v>
          </cell>
          <cell r="J458">
            <v>93086</v>
          </cell>
          <cell r="K458" t="str">
            <v>MP</v>
          </cell>
        </row>
        <row r="459">
          <cell r="A459" t="str">
            <v>993231-SLR</v>
          </cell>
          <cell r="B459">
            <v>11063</v>
          </cell>
          <cell r="C459">
            <v>8960.9500000000007</v>
          </cell>
          <cell r="D459">
            <v>28.29</v>
          </cell>
          <cell r="E459">
            <v>537.12</v>
          </cell>
          <cell r="F459">
            <v>574.85</v>
          </cell>
          <cell r="G459">
            <v>1700.29</v>
          </cell>
          <cell r="I459">
            <v>5179.84</v>
          </cell>
          <cell r="J459">
            <v>93086</v>
          </cell>
          <cell r="K459" t="str">
            <v>MP</v>
          </cell>
        </row>
        <row r="460">
          <cell r="A460" t="str">
            <v>993232-SLR</v>
          </cell>
          <cell r="B460">
            <v>11064</v>
          </cell>
          <cell r="C460">
            <v>8960.9500000000007</v>
          </cell>
          <cell r="D460">
            <v>38.64</v>
          </cell>
          <cell r="E460">
            <v>537.12</v>
          </cell>
          <cell r="F460">
            <v>691.63</v>
          </cell>
          <cell r="G460">
            <v>2323.11</v>
          </cell>
          <cell r="I460">
            <v>10359.68</v>
          </cell>
          <cell r="J460">
            <v>93086</v>
          </cell>
          <cell r="K460" t="str">
            <v>MP</v>
          </cell>
        </row>
        <row r="461">
          <cell r="A461" t="str">
            <v>993233-SLR</v>
          </cell>
          <cell r="B461">
            <v>11065</v>
          </cell>
          <cell r="C461">
            <v>8960.9500000000007</v>
          </cell>
          <cell r="D461">
            <v>38.64</v>
          </cell>
          <cell r="E461">
            <v>537.12</v>
          </cell>
          <cell r="F461">
            <v>691.63</v>
          </cell>
          <cell r="G461">
            <v>2323.11</v>
          </cell>
          <cell r="I461">
            <v>10359.68</v>
          </cell>
          <cell r="J461">
            <v>93086</v>
          </cell>
          <cell r="K461" t="str">
            <v>MP</v>
          </cell>
        </row>
        <row r="462">
          <cell r="A462" t="str">
            <v>993234-SLR</v>
          </cell>
          <cell r="B462">
            <v>11066</v>
          </cell>
          <cell r="C462">
            <v>8960.9500000000007</v>
          </cell>
          <cell r="D462">
            <v>38.64</v>
          </cell>
          <cell r="E462">
            <v>537.12</v>
          </cell>
          <cell r="F462">
            <v>691.63</v>
          </cell>
          <cell r="G462">
            <v>2323.11</v>
          </cell>
          <cell r="I462">
            <v>10359.68</v>
          </cell>
          <cell r="J462">
            <v>93086</v>
          </cell>
          <cell r="K462" t="str">
            <v>MP</v>
          </cell>
        </row>
        <row r="463">
          <cell r="A463" t="str">
            <v>993235-SLR</v>
          </cell>
          <cell r="B463">
            <v>11067</v>
          </cell>
          <cell r="C463">
            <v>8960.9500000000007</v>
          </cell>
          <cell r="D463">
            <v>38.64</v>
          </cell>
          <cell r="E463">
            <v>537.12</v>
          </cell>
          <cell r="F463">
            <v>691.63</v>
          </cell>
          <cell r="G463">
            <v>2323.11</v>
          </cell>
          <cell r="I463">
            <v>10359.68</v>
          </cell>
          <cell r="J463">
            <v>93086</v>
          </cell>
          <cell r="K463" t="str">
            <v>MP</v>
          </cell>
        </row>
        <row r="464">
          <cell r="A464" t="str">
            <v>993237-SLR</v>
          </cell>
          <cell r="B464">
            <v>11077</v>
          </cell>
          <cell r="C464">
            <v>170.09</v>
          </cell>
          <cell r="D464">
            <v>13</v>
          </cell>
          <cell r="E464">
            <v>537.12</v>
          </cell>
          <cell r="F464">
            <v>223.47</v>
          </cell>
          <cell r="G464">
            <v>121.9</v>
          </cell>
          <cell r="I464">
            <v>3880.15</v>
          </cell>
          <cell r="J464">
            <v>90061</v>
          </cell>
          <cell r="K464" t="str">
            <v>MP</v>
          </cell>
        </row>
        <row r="465">
          <cell r="A465" t="str">
            <v>993241-SLR</v>
          </cell>
          <cell r="B465">
            <v>10983</v>
          </cell>
          <cell r="C465">
            <v>194.57</v>
          </cell>
          <cell r="D465">
            <v>11.69</v>
          </cell>
          <cell r="E465">
            <v>530.64</v>
          </cell>
          <cell r="F465">
            <v>225</v>
          </cell>
          <cell r="G465">
            <v>511.76</v>
          </cell>
          <cell r="I465">
            <v>3449.16</v>
          </cell>
          <cell r="J465">
            <v>93157</v>
          </cell>
          <cell r="K465" t="str">
            <v>MP</v>
          </cell>
        </row>
        <row r="466">
          <cell r="A466" t="str">
            <v>993242-SLR</v>
          </cell>
          <cell r="B466">
            <v>11001</v>
          </cell>
          <cell r="C466">
            <v>194.57</v>
          </cell>
          <cell r="D466">
            <v>13.55</v>
          </cell>
          <cell r="E466">
            <v>530.64</v>
          </cell>
          <cell r="F466">
            <v>227.27</v>
          </cell>
          <cell r="G466">
            <v>592.5</v>
          </cell>
          <cell r="I466">
            <v>4024.02</v>
          </cell>
          <cell r="J466">
            <v>90463</v>
          </cell>
          <cell r="K466" t="str">
            <v>MP</v>
          </cell>
        </row>
        <row r="467">
          <cell r="A467" t="str">
            <v>993243-SLR</v>
          </cell>
          <cell r="B467">
            <v>11002</v>
          </cell>
          <cell r="C467">
            <v>194.57</v>
          </cell>
          <cell r="D467">
            <v>4.8499999999999996</v>
          </cell>
          <cell r="E467">
            <v>530.64</v>
          </cell>
          <cell r="F467">
            <v>166.15</v>
          </cell>
          <cell r="G467">
            <v>287.93</v>
          </cell>
          <cell r="I467">
            <v>1315.99</v>
          </cell>
          <cell r="J467">
            <v>92099</v>
          </cell>
          <cell r="K467" t="str">
            <v>MP</v>
          </cell>
        </row>
        <row r="468">
          <cell r="A468" t="str">
            <v>993244-SLR</v>
          </cell>
          <cell r="B468">
            <v>11034</v>
          </cell>
          <cell r="C468">
            <v>196.33</v>
          </cell>
          <cell r="D468">
            <v>70.540000000000006</v>
          </cell>
          <cell r="E468">
            <v>535.44000000000005</v>
          </cell>
          <cell r="F468">
            <v>751.98</v>
          </cell>
          <cell r="G468">
            <v>4272.75</v>
          </cell>
          <cell r="I468">
            <v>21774.560000000001</v>
          </cell>
          <cell r="J468">
            <v>91981</v>
          </cell>
          <cell r="K468" t="str">
            <v>MP</v>
          </cell>
        </row>
        <row r="469">
          <cell r="A469" t="str">
            <v>993245-SLR</v>
          </cell>
          <cell r="B469">
            <v>10865</v>
          </cell>
          <cell r="C469">
            <v>0</v>
          </cell>
          <cell r="D469">
            <v>0</v>
          </cell>
          <cell r="E469">
            <v>0</v>
          </cell>
          <cell r="F469">
            <v>17.920000000000002</v>
          </cell>
          <cell r="G469">
            <v>40.01</v>
          </cell>
          <cell r="I469">
            <v>66.69</v>
          </cell>
          <cell r="J469">
            <v>91591</v>
          </cell>
          <cell r="K469" t="str">
            <v>MP</v>
          </cell>
        </row>
        <row r="470">
          <cell r="A470" t="str">
            <v>993247-SLR</v>
          </cell>
          <cell r="B470">
            <v>11003</v>
          </cell>
          <cell r="C470">
            <v>172.46</v>
          </cell>
          <cell r="D470">
            <v>1.82</v>
          </cell>
          <cell r="E470">
            <v>530.64</v>
          </cell>
          <cell r="F470">
            <v>144.88999999999999</v>
          </cell>
          <cell r="G470">
            <v>79.87</v>
          </cell>
          <cell r="I470">
            <v>396.21</v>
          </cell>
          <cell r="J470">
            <v>91702</v>
          </cell>
          <cell r="K470" t="str">
            <v>MP</v>
          </cell>
        </row>
        <row r="471">
          <cell r="A471" t="str">
            <v>993248-SLR</v>
          </cell>
          <cell r="B471">
            <v>11004</v>
          </cell>
          <cell r="C471">
            <v>172.46</v>
          </cell>
          <cell r="D471">
            <v>3.4</v>
          </cell>
          <cell r="E471">
            <v>530.64</v>
          </cell>
          <cell r="F471">
            <v>155.91</v>
          </cell>
          <cell r="G471">
            <v>201.45</v>
          </cell>
          <cell r="I471">
            <v>884.4</v>
          </cell>
          <cell r="J471">
            <v>90685</v>
          </cell>
          <cell r="K471" t="str">
            <v>MP</v>
          </cell>
        </row>
        <row r="472">
          <cell r="A472" t="str">
            <v>993249-SLR</v>
          </cell>
          <cell r="B472">
            <v>11005</v>
          </cell>
          <cell r="C472">
            <v>181.74</v>
          </cell>
          <cell r="D472">
            <v>49.65</v>
          </cell>
          <cell r="E472">
            <v>530.64</v>
          </cell>
          <cell r="F472">
            <v>605.11</v>
          </cell>
          <cell r="G472">
            <v>3257.9</v>
          </cell>
          <cell r="I472">
            <v>15282.43</v>
          </cell>
          <cell r="J472">
            <v>90639</v>
          </cell>
          <cell r="K472" t="str">
            <v>MP</v>
          </cell>
        </row>
        <row r="473">
          <cell r="A473" t="str">
            <v>993250-SLR</v>
          </cell>
          <cell r="B473">
            <v>11027</v>
          </cell>
          <cell r="C473">
            <v>174.02</v>
          </cell>
          <cell r="D473">
            <v>5.78</v>
          </cell>
          <cell r="E473">
            <v>535.44000000000005</v>
          </cell>
          <cell r="F473">
            <v>172.66</v>
          </cell>
          <cell r="G473">
            <v>252.71</v>
          </cell>
          <cell r="I473">
            <v>1625.24</v>
          </cell>
          <cell r="J473">
            <v>91919</v>
          </cell>
          <cell r="K473" t="str">
            <v>MP</v>
          </cell>
        </row>
        <row r="474">
          <cell r="A474" t="str">
            <v>993252-SLR</v>
          </cell>
          <cell r="B474">
            <v>11078</v>
          </cell>
          <cell r="C474">
            <v>15139.95</v>
          </cell>
          <cell r="D474">
            <v>119.82</v>
          </cell>
          <cell r="E474">
            <v>537</v>
          </cell>
          <cell r="F474">
            <v>1947.36</v>
          </cell>
          <cell r="G474">
            <v>12778.82</v>
          </cell>
          <cell r="I474">
            <v>59909.78</v>
          </cell>
          <cell r="J474">
            <v>90403</v>
          </cell>
          <cell r="K474" t="str">
            <v>MP</v>
          </cell>
        </row>
        <row r="475">
          <cell r="A475" t="str">
            <v>993256-SLR</v>
          </cell>
          <cell r="B475">
            <v>11050</v>
          </cell>
          <cell r="C475">
            <v>315.33999999999997</v>
          </cell>
          <cell r="D475">
            <v>7.63</v>
          </cell>
          <cell r="E475">
            <v>537.12</v>
          </cell>
          <cell r="F475">
            <v>217.87</v>
          </cell>
          <cell r="G475">
            <v>724.71</v>
          </cell>
          <cell r="I475">
            <v>3491.28</v>
          </cell>
          <cell r="J475">
            <v>90730</v>
          </cell>
          <cell r="K475" t="str">
            <v>MP</v>
          </cell>
        </row>
        <row r="476">
          <cell r="A476" t="str">
            <v>993258-SLR</v>
          </cell>
          <cell r="B476">
            <v>11068</v>
          </cell>
          <cell r="C476">
            <v>665.37</v>
          </cell>
          <cell r="D476">
            <v>13.59</v>
          </cell>
          <cell r="E476">
            <v>537.12</v>
          </cell>
          <cell r="F476">
            <v>214.03</v>
          </cell>
          <cell r="G476">
            <v>692.25</v>
          </cell>
          <cell r="I476">
            <v>2964.43</v>
          </cell>
          <cell r="J476">
            <v>93030</v>
          </cell>
          <cell r="K476" t="str">
            <v>MP</v>
          </cell>
        </row>
        <row r="477">
          <cell r="A477" t="str">
            <v>993260-SLR</v>
          </cell>
          <cell r="B477">
            <v>11035</v>
          </cell>
          <cell r="C477">
            <v>198.44</v>
          </cell>
          <cell r="D477">
            <v>70.75</v>
          </cell>
          <cell r="E477">
            <v>535.44000000000005</v>
          </cell>
          <cell r="F477">
            <v>512.14</v>
          </cell>
          <cell r="G477">
            <v>2162.59</v>
          </cell>
          <cell r="I477">
            <v>11112.84</v>
          </cell>
          <cell r="J477">
            <v>90686</v>
          </cell>
          <cell r="K477" t="str">
            <v>MP</v>
          </cell>
        </row>
        <row r="478">
          <cell r="A478" t="str">
            <v>993261-SLR</v>
          </cell>
          <cell r="B478">
            <v>11069</v>
          </cell>
          <cell r="C478">
            <v>369.36</v>
          </cell>
          <cell r="D478">
            <v>145.08000000000001</v>
          </cell>
          <cell r="E478">
            <v>537.12</v>
          </cell>
          <cell r="F478">
            <v>785.77</v>
          </cell>
          <cell r="G478">
            <v>4473.22</v>
          </cell>
          <cell r="I478">
            <v>23028.82</v>
          </cell>
          <cell r="J478">
            <v>92109</v>
          </cell>
          <cell r="K478" t="str">
            <v>MP</v>
          </cell>
        </row>
        <row r="479">
          <cell r="A479" t="str">
            <v>993262-SLR</v>
          </cell>
          <cell r="B479">
            <v>10993</v>
          </cell>
          <cell r="C479">
            <v>185.72</v>
          </cell>
          <cell r="D479">
            <v>3.7</v>
          </cell>
          <cell r="E479">
            <v>530.64</v>
          </cell>
          <cell r="F479">
            <v>145.47</v>
          </cell>
          <cell r="G479">
            <v>113.29</v>
          </cell>
          <cell r="I479">
            <v>406.82</v>
          </cell>
          <cell r="J479">
            <v>90390</v>
          </cell>
          <cell r="K479" t="str">
            <v>MP</v>
          </cell>
        </row>
        <row r="480">
          <cell r="A480" t="str">
            <v>993264-SLR</v>
          </cell>
          <cell r="B480">
            <v>11042</v>
          </cell>
          <cell r="C480">
            <v>193.53</v>
          </cell>
          <cell r="D480">
            <v>29.24</v>
          </cell>
          <cell r="E480">
            <v>540.09</v>
          </cell>
          <cell r="F480">
            <v>413.52</v>
          </cell>
          <cell r="G480">
            <v>1918.19</v>
          </cell>
          <cell r="I480">
            <v>8911.49</v>
          </cell>
          <cell r="J480">
            <v>91681</v>
          </cell>
          <cell r="K480" t="str">
            <v>MP</v>
          </cell>
        </row>
        <row r="481">
          <cell r="A481" t="str">
            <v>993265-SLR</v>
          </cell>
          <cell r="B481">
            <v>11036</v>
          </cell>
          <cell r="C481">
            <v>229.5</v>
          </cell>
          <cell r="D481">
            <v>6.32</v>
          </cell>
          <cell r="E481">
            <v>535.44000000000005</v>
          </cell>
          <cell r="F481">
            <v>154.91</v>
          </cell>
          <cell r="G481">
            <v>193.02</v>
          </cell>
          <cell r="I481">
            <v>780.06</v>
          </cell>
          <cell r="J481">
            <v>90131</v>
          </cell>
          <cell r="K481" t="str">
            <v>MP</v>
          </cell>
        </row>
        <row r="482">
          <cell r="A482" t="str">
            <v>993266-SLR</v>
          </cell>
          <cell r="B482">
            <v>11030</v>
          </cell>
          <cell r="C482">
            <v>339.04</v>
          </cell>
          <cell r="D482">
            <v>82.23</v>
          </cell>
          <cell r="E482">
            <v>535.44000000000005</v>
          </cell>
          <cell r="F482">
            <v>554.41999999999996</v>
          </cell>
          <cell r="G482">
            <v>1856.56</v>
          </cell>
          <cell r="I482">
            <v>12839.85</v>
          </cell>
          <cell r="J482">
            <v>90503</v>
          </cell>
          <cell r="K482" t="str">
            <v>MP</v>
          </cell>
        </row>
        <row r="483">
          <cell r="A483" t="str">
            <v>993268-SLR</v>
          </cell>
          <cell r="B483">
            <v>11043</v>
          </cell>
          <cell r="C483">
            <v>199.08</v>
          </cell>
          <cell r="D483">
            <v>10.14</v>
          </cell>
          <cell r="E483">
            <v>535.44000000000005</v>
          </cell>
          <cell r="F483">
            <v>168.69</v>
          </cell>
          <cell r="G483">
            <v>306.75</v>
          </cell>
          <cell r="I483">
            <v>1405.25</v>
          </cell>
          <cell r="J483">
            <v>91177</v>
          </cell>
          <cell r="K483" t="str">
            <v>MP</v>
          </cell>
        </row>
        <row r="484">
          <cell r="A484" t="str">
            <v>993269-SLR</v>
          </cell>
          <cell r="B484">
            <v>11044</v>
          </cell>
          <cell r="C484">
            <v>673.42</v>
          </cell>
          <cell r="D484">
            <v>35.74</v>
          </cell>
          <cell r="E484">
            <v>540.09</v>
          </cell>
          <cell r="F484">
            <v>259.64999999999998</v>
          </cell>
          <cell r="G484">
            <v>1077.53</v>
          </cell>
          <cell r="I484">
            <v>4962.05</v>
          </cell>
          <cell r="J484">
            <v>91177</v>
          </cell>
          <cell r="K484" t="str">
            <v>MP</v>
          </cell>
        </row>
        <row r="485">
          <cell r="A485" t="str">
            <v>993270-SLR</v>
          </cell>
          <cell r="B485">
            <v>11006</v>
          </cell>
          <cell r="C485">
            <v>221.1</v>
          </cell>
          <cell r="D485">
            <v>87.64</v>
          </cell>
          <cell r="E485">
            <v>530.64</v>
          </cell>
          <cell r="F485">
            <v>349</v>
          </cell>
          <cell r="G485">
            <v>3834.57</v>
          </cell>
          <cell r="I485">
            <v>27081.040000000001</v>
          </cell>
          <cell r="J485">
            <v>91750</v>
          </cell>
          <cell r="K485" t="str">
            <v>MP</v>
          </cell>
        </row>
        <row r="486">
          <cell r="A486" t="str">
            <v>993271-SLR</v>
          </cell>
          <cell r="B486">
            <v>11007</v>
          </cell>
          <cell r="C486">
            <v>123.82</v>
          </cell>
          <cell r="D486">
            <v>83.54</v>
          </cell>
          <cell r="E486">
            <v>530.64</v>
          </cell>
          <cell r="F486">
            <v>559.20000000000005</v>
          </cell>
          <cell r="G486">
            <v>2559.94</v>
          </cell>
          <cell r="I486">
            <v>13266</v>
          </cell>
          <cell r="J486">
            <v>91358</v>
          </cell>
          <cell r="K486" t="str">
            <v>MP</v>
          </cell>
        </row>
        <row r="487">
          <cell r="A487" t="str">
            <v>993272-SLR</v>
          </cell>
          <cell r="B487">
            <v>10951</v>
          </cell>
          <cell r="C487">
            <v>478.46</v>
          </cell>
          <cell r="D487">
            <v>18.940000000000001</v>
          </cell>
          <cell r="E487">
            <v>529.08000000000004</v>
          </cell>
          <cell r="F487">
            <v>200.78</v>
          </cell>
          <cell r="G487">
            <v>427.65</v>
          </cell>
          <cell r="I487">
            <v>2557.2199999999998</v>
          </cell>
          <cell r="J487">
            <v>90061</v>
          </cell>
          <cell r="K487" t="str">
            <v>MP</v>
          </cell>
        </row>
        <row r="488">
          <cell r="A488" t="str">
            <v>993273-SLR</v>
          </cell>
          <cell r="B488">
            <v>11021</v>
          </cell>
          <cell r="C488">
            <v>271.06</v>
          </cell>
          <cell r="D488">
            <v>32.11</v>
          </cell>
          <cell r="E488">
            <v>535.44000000000005</v>
          </cell>
          <cell r="F488">
            <v>247.56</v>
          </cell>
          <cell r="G488">
            <v>975.33</v>
          </cell>
          <cell r="I488">
            <v>4830.54</v>
          </cell>
          <cell r="J488">
            <v>91984</v>
          </cell>
          <cell r="K488" t="str">
            <v>MP</v>
          </cell>
        </row>
        <row r="489">
          <cell r="A489" t="str">
            <v>993275-SLR</v>
          </cell>
          <cell r="B489">
            <v>10982</v>
          </cell>
          <cell r="C489">
            <v>258.52999999999997</v>
          </cell>
          <cell r="D489">
            <v>3.76</v>
          </cell>
          <cell r="E489">
            <v>529.08000000000004</v>
          </cell>
          <cell r="F489">
            <v>145.63999999999999</v>
          </cell>
          <cell r="G489">
            <v>114.75</v>
          </cell>
          <cell r="I489">
            <v>341.78</v>
          </cell>
          <cell r="J489">
            <v>90257</v>
          </cell>
          <cell r="K489" t="str">
            <v>MP</v>
          </cell>
        </row>
        <row r="490">
          <cell r="A490" t="str">
            <v>993277-SLR</v>
          </cell>
          <cell r="B490">
            <v>11028</v>
          </cell>
          <cell r="C490">
            <v>188.73</v>
          </cell>
          <cell r="D490">
            <v>1.39</v>
          </cell>
          <cell r="E490">
            <v>535.44000000000005</v>
          </cell>
          <cell r="F490">
            <v>141.88</v>
          </cell>
          <cell r="G490">
            <v>71.13</v>
          </cell>
          <cell r="I490">
            <v>241.05</v>
          </cell>
          <cell r="J490">
            <v>90013</v>
          </cell>
          <cell r="K490" t="str">
            <v>MP</v>
          </cell>
        </row>
        <row r="491">
          <cell r="A491" t="str">
            <v>993279-SLR</v>
          </cell>
          <cell r="B491">
            <v>11045</v>
          </cell>
          <cell r="C491">
            <v>197.49</v>
          </cell>
          <cell r="D491">
            <v>1.1499999999999999</v>
          </cell>
          <cell r="E491">
            <v>540.09</v>
          </cell>
          <cell r="F491">
            <v>140.16</v>
          </cell>
          <cell r="G491">
            <v>68.53</v>
          </cell>
          <cell r="I491">
            <v>162.03</v>
          </cell>
          <cell r="J491">
            <v>90402</v>
          </cell>
          <cell r="K491" t="str">
            <v>MP</v>
          </cell>
        </row>
        <row r="492">
          <cell r="A492" t="str">
            <v>993280-SLR</v>
          </cell>
          <cell r="B492">
            <v>11074</v>
          </cell>
          <cell r="C492">
            <v>250.66</v>
          </cell>
          <cell r="D492">
            <v>7.25</v>
          </cell>
          <cell r="E492">
            <v>537.12</v>
          </cell>
          <cell r="F492">
            <v>213.7</v>
          </cell>
          <cell r="G492">
            <v>508.07</v>
          </cell>
          <cell r="I492">
            <v>3371.14</v>
          </cell>
          <cell r="J492">
            <v>90061</v>
          </cell>
          <cell r="K492" t="str">
            <v>MP</v>
          </cell>
        </row>
        <row r="493">
          <cell r="A493" t="str">
            <v>993282-SLR</v>
          </cell>
          <cell r="B493">
            <v>10984</v>
          </cell>
          <cell r="C493">
            <v>364.8</v>
          </cell>
          <cell r="D493">
            <v>84.92</v>
          </cell>
          <cell r="E493">
            <v>530.64</v>
          </cell>
          <cell r="F493">
            <v>853.19</v>
          </cell>
          <cell r="G493">
            <v>3715.53</v>
          </cell>
          <cell r="I493">
            <v>26089.8</v>
          </cell>
          <cell r="J493">
            <v>92249</v>
          </cell>
          <cell r="K493" t="str">
            <v>MP</v>
          </cell>
        </row>
        <row r="494">
          <cell r="A494" t="str">
            <v>993283-SLR</v>
          </cell>
          <cell r="B494">
            <v>10904</v>
          </cell>
          <cell r="C494">
            <v>201.08</v>
          </cell>
          <cell r="D494">
            <v>6.57</v>
          </cell>
          <cell r="E494">
            <v>524.54999999999995</v>
          </cell>
          <cell r="F494">
            <v>225</v>
          </cell>
          <cell r="G494">
            <v>390.77</v>
          </cell>
          <cell r="I494">
            <v>1849.04</v>
          </cell>
          <cell r="J494">
            <v>91591</v>
          </cell>
          <cell r="K494" t="str">
            <v>MP</v>
          </cell>
        </row>
        <row r="495">
          <cell r="A495" t="str">
            <v>993284-SLR</v>
          </cell>
          <cell r="B495">
            <v>11046</v>
          </cell>
          <cell r="C495">
            <v>452.87</v>
          </cell>
          <cell r="D495">
            <v>1513.69</v>
          </cell>
          <cell r="E495">
            <v>540.09</v>
          </cell>
          <cell r="F495">
            <v>5749.28</v>
          </cell>
          <cell r="G495">
            <v>34180.129999999997</v>
          </cell>
          <cell r="I495">
            <v>242177.26</v>
          </cell>
          <cell r="J495">
            <v>90097</v>
          </cell>
          <cell r="K495" t="str">
            <v>MP</v>
          </cell>
        </row>
        <row r="496">
          <cell r="A496" t="str">
            <v>993285-SLR</v>
          </cell>
          <cell r="B496">
            <v>11037</v>
          </cell>
          <cell r="C496">
            <v>170.45</v>
          </cell>
          <cell r="D496">
            <v>24.43</v>
          </cell>
          <cell r="E496">
            <v>535.44000000000005</v>
          </cell>
          <cell r="F496">
            <v>346.93</v>
          </cell>
          <cell r="G496">
            <v>1069.29</v>
          </cell>
          <cell r="I496">
            <v>7442.88</v>
          </cell>
          <cell r="J496">
            <v>93017</v>
          </cell>
          <cell r="K496" t="str">
            <v>MP</v>
          </cell>
        </row>
        <row r="497">
          <cell r="A497" t="str">
            <v>993292-SLR</v>
          </cell>
          <cell r="B497">
            <v>11038</v>
          </cell>
          <cell r="C497">
            <v>250.68</v>
          </cell>
          <cell r="D497">
            <v>7.23</v>
          </cell>
          <cell r="E497">
            <v>535.44000000000005</v>
          </cell>
          <cell r="F497">
            <v>158.13</v>
          </cell>
          <cell r="G497">
            <v>220.2</v>
          </cell>
          <cell r="I497">
            <v>901.05</v>
          </cell>
          <cell r="J497">
            <v>90342</v>
          </cell>
          <cell r="K497" t="str">
            <v>MP</v>
          </cell>
        </row>
        <row r="498">
          <cell r="A498" t="str">
            <v>993293-SLR</v>
          </cell>
          <cell r="B498">
            <v>10960</v>
          </cell>
          <cell r="C498">
            <v>255.72</v>
          </cell>
          <cell r="D498">
            <v>12.15</v>
          </cell>
          <cell r="E498">
            <v>529.08000000000004</v>
          </cell>
          <cell r="F498">
            <v>217.44</v>
          </cell>
          <cell r="G498">
            <v>721.06</v>
          </cell>
          <cell r="I498">
            <v>3527.2</v>
          </cell>
          <cell r="J498">
            <v>91468</v>
          </cell>
          <cell r="K498" t="str">
            <v>MP</v>
          </cell>
        </row>
        <row r="499">
          <cell r="A499" t="str">
            <v>993305-SLR</v>
          </cell>
          <cell r="B499">
            <v>11041</v>
          </cell>
          <cell r="C499">
            <v>1506.26</v>
          </cell>
          <cell r="D499">
            <v>58.29</v>
          </cell>
          <cell r="E499">
            <v>535.44000000000005</v>
          </cell>
          <cell r="F499">
            <v>424.15</v>
          </cell>
          <cell r="G499">
            <v>1968.34</v>
          </cell>
          <cell r="I499">
            <v>7808.5</v>
          </cell>
          <cell r="J499">
            <v>91365</v>
          </cell>
          <cell r="K499" t="str">
            <v>MP</v>
          </cell>
        </row>
        <row r="500">
          <cell r="A500" t="str">
            <v>993307-SLR</v>
          </cell>
          <cell r="B500">
            <v>10905</v>
          </cell>
          <cell r="C500">
            <v>0</v>
          </cell>
          <cell r="D500">
            <v>0</v>
          </cell>
          <cell r="E500">
            <v>0</v>
          </cell>
          <cell r="F500">
            <v>10</v>
          </cell>
          <cell r="G500">
            <v>424.2</v>
          </cell>
          <cell r="I500">
            <v>707</v>
          </cell>
          <cell r="J500">
            <v>93252</v>
          </cell>
          <cell r="K500" t="str">
            <v>MP</v>
          </cell>
        </row>
        <row r="501">
          <cell r="A501" t="str">
            <v>993308-SLR</v>
          </cell>
          <cell r="B501">
            <v>11070</v>
          </cell>
          <cell r="C501">
            <v>143.22999999999999</v>
          </cell>
          <cell r="D501">
            <v>13.75</v>
          </cell>
          <cell r="E501">
            <v>537.12</v>
          </cell>
          <cell r="F501">
            <v>312.81</v>
          </cell>
          <cell r="G501">
            <v>961.94</v>
          </cell>
          <cell r="I501">
            <v>6714</v>
          </cell>
          <cell r="J501">
            <v>90971</v>
          </cell>
          <cell r="K501" t="str">
            <v>MP</v>
          </cell>
        </row>
        <row r="502">
          <cell r="A502" t="str">
            <v>993309-SLR</v>
          </cell>
          <cell r="B502">
            <v>11008</v>
          </cell>
          <cell r="C502">
            <v>408.66</v>
          </cell>
          <cell r="D502">
            <v>7.36</v>
          </cell>
          <cell r="E502">
            <v>530.64</v>
          </cell>
          <cell r="F502">
            <v>183.44</v>
          </cell>
          <cell r="G502">
            <v>319.74</v>
          </cell>
          <cell r="I502">
            <v>1867.85</v>
          </cell>
          <cell r="J502">
            <v>91337</v>
          </cell>
          <cell r="K502" t="str">
            <v>MP</v>
          </cell>
        </row>
        <row r="503">
          <cell r="A503" t="str">
            <v>993310-SLR</v>
          </cell>
          <cell r="B503">
            <v>11009</v>
          </cell>
          <cell r="C503">
            <v>4818.26</v>
          </cell>
          <cell r="D503">
            <v>47.09</v>
          </cell>
          <cell r="E503">
            <v>530.64</v>
          </cell>
          <cell r="F503">
            <v>585.04999999999995</v>
          </cell>
          <cell r="G503">
            <v>3070.63</v>
          </cell>
          <cell r="I503">
            <v>9756.7000000000007</v>
          </cell>
          <cell r="J503">
            <v>90487</v>
          </cell>
          <cell r="K503" t="str">
            <v>MP</v>
          </cell>
        </row>
        <row r="504">
          <cell r="A504" t="str">
            <v>993314-SLR</v>
          </cell>
          <cell r="B504">
            <v>11051</v>
          </cell>
          <cell r="C504">
            <v>259.61</v>
          </cell>
          <cell r="D504">
            <v>11.17</v>
          </cell>
          <cell r="E504">
            <v>537.12</v>
          </cell>
          <cell r="F504">
            <v>210.65</v>
          </cell>
          <cell r="G504">
            <v>489.09</v>
          </cell>
          <cell r="I504">
            <v>3222.72</v>
          </cell>
          <cell r="J504">
            <v>93229</v>
          </cell>
          <cell r="K504" t="str">
            <v>MP</v>
          </cell>
        </row>
        <row r="505">
          <cell r="A505" t="str">
            <v>993315-SLR</v>
          </cell>
          <cell r="B505">
            <v>11039</v>
          </cell>
          <cell r="C505">
            <v>142.78</v>
          </cell>
          <cell r="D505">
            <v>46.67</v>
          </cell>
          <cell r="E505">
            <v>535.44000000000005</v>
          </cell>
          <cell r="F505">
            <v>342.07</v>
          </cell>
          <cell r="G505">
            <v>1581</v>
          </cell>
          <cell r="I505">
            <v>7339.1</v>
          </cell>
          <cell r="J505">
            <v>93239</v>
          </cell>
          <cell r="K505" t="str">
            <v>MP</v>
          </cell>
        </row>
        <row r="506">
          <cell r="A506" t="str">
            <v>993316-SLR</v>
          </cell>
          <cell r="B506">
            <v>11040</v>
          </cell>
          <cell r="C506">
            <v>169.56</v>
          </cell>
          <cell r="D506">
            <v>16.579999999999998</v>
          </cell>
          <cell r="E506">
            <v>535.44000000000005</v>
          </cell>
          <cell r="F506">
            <v>248.65</v>
          </cell>
          <cell r="G506">
            <v>155.47</v>
          </cell>
          <cell r="I506">
            <v>4996.3</v>
          </cell>
          <cell r="J506">
            <v>90061</v>
          </cell>
          <cell r="K506" t="str">
            <v>MP</v>
          </cell>
        </row>
        <row r="507">
          <cell r="A507" t="str">
            <v>993317-SLR</v>
          </cell>
          <cell r="B507">
            <v>10949</v>
          </cell>
          <cell r="C507">
            <v>424.11</v>
          </cell>
          <cell r="D507">
            <v>1.5</v>
          </cell>
          <cell r="E507">
            <v>529.08000000000004</v>
          </cell>
          <cell r="F507">
            <v>135</v>
          </cell>
          <cell r="G507">
            <v>89.58</v>
          </cell>
          <cell r="I507">
            <v>45.85</v>
          </cell>
          <cell r="J507">
            <v>91250</v>
          </cell>
          <cell r="K507" t="str">
            <v>MP</v>
          </cell>
        </row>
        <row r="508">
          <cell r="A508" t="str">
            <v>993318-SLR</v>
          </cell>
          <cell r="B508">
            <v>11023</v>
          </cell>
          <cell r="C508">
            <v>193.13</v>
          </cell>
          <cell r="D508">
            <v>1.53</v>
          </cell>
          <cell r="E508">
            <v>535.44000000000005</v>
          </cell>
          <cell r="F508">
            <v>142.81</v>
          </cell>
          <cell r="G508">
            <v>90.9</v>
          </cell>
          <cell r="I508">
            <v>277.27999999999997</v>
          </cell>
          <cell r="J508">
            <v>90402</v>
          </cell>
          <cell r="K508" t="str">
            <v>MP</v>
          </cell>
        </row>
        <row r="509">
          <cell r="A509" t="str">
            <v>993321-SLR</v>
          </cell>
          <cell r="B509">
            <v>10990</v>
          </cell>
          <cell r="C509">
            <v>228.98</v>
          </cell>
          <cell r="D509">
            <v>43.67</v>
          </cell>
          <cell r="E509">
            <v>530.64</v>
          </cell>
          <cell r="F509">
            <v>320.92</v>
          </cell>
          <cell r="G509">
            <v>1340.14</v>
          </cell>
          <cell r="I509">
            <v>6780.7</v>
          </cell>
          <cell r="J509">
            <v>92174</v>
          </cell>
          <cell r="K509" t="str">
            <v>MP</v>
          </cell>
        </row>
        <row r="510">
          <cell r="A510" t="str">
            <v>993322-SLR</v>
          </cell>
          <cell r="B510">
            <v>11029</v>
          </cell>
          <cell r="C510">
            <v>248.11</v>
          </cell>
          <cell r="D510">
            <v>30.54</v>
          </cell>
          <cell r="E510">
            <v>535.44000000000005</v>
          </cell>
          <cell r="F510">
            <v>242.6</v>
          </cell>
          <cell r="G510">
            <v>933.57</v>
          </cell>
          <cell r="I510">
            <v>4634.8900000000003</v>
          </cell>
          <cell r="J510">
            <v>92174</v>
          </cell>
          <cell r="K510" t="str">
            <v>MP</v>
          </cell>
        </row>
        <row r="511">
          <cell r="A511" t="str">
            <v>993326-SLR</v>
          </cell>
          <cell r="B511">
            <v>11079</v>
          </cell>
          <cell r="C511">
            <v>408.82</v>
          </cell>
          <cell r="D511">
            <v>64.489999999999995</v>
          </cell>
          <cell r="E511">
            <v>537</v>
          </cell>
          <cell r="F511">
            <v>981.58</v>
          </cell>
          <cell r="G511">
            <v>6771.62</v>
          </cell>
          <cell r="I511">
            <v>31772.5</v>
          </cell>
          <cell r="J511">
            <v>92225</v>
          </cell>
          <cell r="K511" t="str">
            <v>MP</v>
          </cell>
        </row>
        <row r="512">
          <cell r="A512" t="str">
            <v>993330-SLR</v>
          </cell>
          <cell r="B512">
            <v>11080</v>
          </cell>
          <cell r="C512">
            <v>402.75</v>
          </cell>
          <cell r="D512">
            <v>13.71</v>
          </cell>
          <cell r="E512">
            <v>537</v>
          </cell>
          <cell r="F512">
            <v>312.18</v>
          </cell>
          <cell r="G512">
            <v>959.96</v>
          </cell>
          <cell r="I512">
            <v>6440.42</v>
          </cell>
          <cell r="J512">
            <v>90061</v>
          </cell>
          <cell r="K512" t="str">
            <v>MP</v>
          </cell>
        </row>
        <row r="513">
          <cell r="A513" t="str">
            <v>993336-SLR</v>
          </cell>
          <cell r="B513">
            <v>11052</v>
          </cell>
          <cell r="C513">
            <v>276.29000000000002</v>
          </cell>
          <cell r="D513">
            <v>20.43</v>
          </cell>
          <cell r="E513">
            <v>537.12</v>
          </cell>
          <cell r="F513">
            <v>140</v>
          </cell>
          <cell r="G513">
            <v>518.83000000000004</v>
          </cell>
          <cell r="I513">
            <v>6087.36</v>
          </cell>
          <cell r="J513">
            <v>90083</v>
          </cell>
          <cell r="K513" t="str">
            <v>MP</v>
          </cell>
        </row>
        <row r="514">
          <cell r="A514" t="str">
            <v>993340-SLR</v>
          </cell>
          <cell r="B514">
            <v>11047</v>
          </cell>
          <cell r="C514">
            <v>1295.51</v>
          </cell>
          <cell r="D514">
            <v>28.19</v>
          </cell>
          <cell r="E514">
            <v>540.09</v>
          </cell>
          <cell r="F514">
            <v>234.39</v>
          </cell>
          <cell r="G514">
            <v>864.21</v>
          </cell>
          <cell r="I514">
            <v>3224.77</v>
          </cell>
          <cell r="J514">
            <v>93125</v>
          </cell>
          <cell r="K514" t="str">
            <v>MP</v>
          </cell>
        </row>
        <row r="515">
          <cell r="A515" t="str">
            <v>993342-SLR</v>
          </cell>
          <cell r="B515">
            <v>11072</v>
          </cell>
          <cell r="C515">
            <v>181.19</v>
          </cell>
          <cell r="D515">
            <v>84.2</v>
          </cell>
          <cell r="E515">
            <v>537.12</v>
          </cell>
          <cell r="F515">
            <v>848.15</v>
          </cell>
          <cell r="G515">
            <v>3684.2</v>
          </cell>
          <cell r="I515">
            <v>26050.32</v>
          </cell>
          <cell r="J515">
            <v>92240</v>
          </cell>
          <cell r="K515" t="str">
            <v>MP</v>
          </cell>
        </row>
        <row r="516">
          <cell r="A516" t="str">
            <v>993345-SLR</v>
          </cell>
          <cell r="B516">
            <v>11076</v>
          </cell>
          <cell r="C516">
            <v>143.22999999999999</v>
          </cell>
          <cell r="D516">
            <v>25.76</v>
          </cell>
          <cell r="E516">
            <v>537.12</v>
          </cell>
          <cell r="F516">
            <v>545.87</v>
          </cell>
          <cell r="G516">
            <v>1803.32</v>
          </cell>
          <cell r="I516">
            <v>12711.84</v>
          </cell>
          <cell r="J516">
            <v>93043</v>
          </cell>
          <cell r="K516" t="str">
            <v>MP</v>
          </cell>
        </row>
        <row r="517">
          <cell r="A517" t="str">
            <v>993349-SLR</v>
          </cell>
          <cell r="B517">
            <v>11010</v>
          </cell>
          <cell r="C517">
            <v>308.42</v>
          </cell>
          <cell r="D517">
            <v>2.67</v>
          </cell>
          <cell r="E517">
            <v>530.64</v>
          </cell>
          <cell r="F517">
            <v>141.69999999999999</v>
          </cell>
          <cell r="G517">
            <v>60.06</v>
          </cell>
          <cell r="I517">
            <v>117.92</v>
          </cell>
          <cell r="J517">
            <v>90982</v>
          </cell>
          <cell r="K517" t="str">
            <v>MP</v>
          </cell>
        </row>
        <row r="518">
          <cell r="A518" t="str">
            <v>993353-SLR</v>
          </cell>
          <cell r="B518">
            <v>11049</v>
          </cell>
          <cell r="C518">
            <v>198.03</v>
          </cell>
          <cell r="D518">
            <v>3.87</v>
          </cell>
          <cell r="E518">
            <v>540.09</v>
          </cell>
          <cell r="F518">
            <v>159.28</v>
          </cell>
          <cell r="G518">
            <v>229.91</v>
          </cell>
          <cell r="I518">
            <v>1008.17</v>
          </cell>
          <cell r="J518">
            <v>92099</v>
          </cell>
          <cell r="K518" t="str">
            <v>MP</v>
          </cell>
        </row>
        <row r="519">
          <cell r="A519" t="str">
            <v>993354-SLR</v>
          </cell>
          <cell r="B519">
            <v>10961</v>
          </cell>
          <cell r="C519">
            <v>0</v>
          </cell>
          <cell r="D519">
            <v>0</v>
          </cell>
          <cell r="E519">
            <v>0</v>
          </cell>
          <cell r="F519">
            <v>10</v>
          </cell>
          <cell r="G519">
            <v>146.44999999999999</v>
          </cell>
          <cell r="I519">
            <v>243.68</v>
          </cell>
          <cell r="J519">
            <v>90161</v>
          </cell>
          <cell r="K519" t="str">
            <v>MP</v>
          </cell>
        </row>
        <row r="520">
          <cell r="A520" t="str">
            <v>993362-SLR</v>
          </cell>
          <cell r="B520">
            <v>11081</v>
          </cell>
          <cell r="C520">
            <v>358</v>
          </cell>
          <cell r="D520">
            <v>25.27</v>
          </cell>
          <cell r="E520">
            <v>537</v>
          </cell>
          <cell r="F520">
            <v>540.99</v>
          </cell>
          <cell r="G520">
            <v>1519.69</v>
          </cell>
          <cell r="I520">
            <v>12280.83</v>
          </cell>
          <cell r="J520">
            <v>92001</v>
          </cell>
          <cell r="K520" t="str">
            <v>MP</v>
          </cell>
        </row>
        <row r="521">
          <cell r="A521" t="str">
            <v>993363-SLR</v>
          </cell>
          <cell r="B521">
            <v>11048</v>
          </cell>
          <cell r="C521">
            <v>95.42</v>
          </cell>
          <cell r="D521">
            <v>1.1200000000000001</v>
          </cell>
          <cell r="E521">
            <v>540.09</v>
          </cell>
          <cell r="F521">
            <v>139.88999999999999</v>
          </cell>
          <cell r="G521">
            <v>66.23</v>
          </cell>
          <cell r="I521">
            <v>252.04</v>
          </cell>
          <cell r="J521">
            <v>92099</v>
          </cell>
          <cell r="K521" t="str">
            <v>MP</v>
          </cell>
        </row>
        <row r="522">
          <cell r="A522" t="str">
            <v>993374-SLR</v>
          </cell>
          <cell r="B522">
            <v>11011</v>
          </cell>
          <cell r="C522">
            <v>0</v>
          </cell>
          <cell r="D522">
            <v>0</v>
          </cell>
          <cell r="E522">
            <v>0</v>
          </cell>
          <cell r="F522">
            <v>17.68</v>
          </cell>
          <cell r="G522">
            <v>224.33</v>
          </cell>
          <cell r="I522">
            <v>373.88</v>
          </cell>
          <cell r="J522">
            <v>91395</v>
          </cell>
          <cell r="K522" t="str">
            <v>MP</v>
          </cell>
        </row>
        <row r="523">
          <cell r="A523" t="str">
            <v>993377-SLR</v>
          </cell>
          <cell r="B523">
            <v>11013</v>
          </cell>
          <cell r="C523">
            <v>0</v>
          </cell>
          <cell r="D523">
            <v>0</v>
          </cell>
          <cell r="E523">
            <v>0</v>
          </cell>
          <cell r="F523">
            <v>17.68</v>
          </cell>
          <cell r="G523">
            <v>370.36</v>
          </cell>
          <cell r="I523">
            <v>617.26</v>
          </cell>
          <cell r="J523">
            <v>91814</v>
          </cell>
          <cell r="K523" t="str">
            <v>MP</v>
          </cell>
        </row>
        <row r="524">
          <cell r="A524" t="str">
            <v>993378-SLR</v>
          </cell>
          <cell r="B524">
            <v>11014</v>
          </cell>
          <cell r="C524">
            <v>0</v>
          </cell>
          <cell r="D524">
            <v>0</v>
          </cell>
          <cell r="E524">
            <v>0</v>
          </cell>
          <cell r="F524">
            <v>17.68</v>
          </cell>
          <cell r="G524">
            <v>152.38</v>
          </cell>
          <cell r="I524">
            <v>253.96</v>
          </cell>
          <cell r="J524">
            <v>93050</v>
          </cell>
          <cell r="K524" t="str">
            <v>MP</v>
          </cell>
        </row>
        <row r="525">
          <cell r="A525" t="str">
            <v>993380-SLR</v>
          </cell>
          <cell r="B525">
            <v>11075</v>
          </cell>
          <cell r="C525">
            <v>214.13</v>
          </cell>
          <cell r="D525">
            <v>7.77</v>
          </cell>
          <cell r="E525">
            <v>537.12</v>
          </cell>
          <cell r="F525">
            <v>219.57</v>
          </cell>
          <cell r="G525">
            <v>505.7</v>
          </cell>
          <cell r="I525">
            <v>3668.1</v>
          </cell>
          <cell r="J525">
            <v>90013</v>
          </cell>
          <cell r="K525" t="str">
            <v>MP</v>
          </cell>
        </row>
        <row r="526">
          <cell r="A526" t="str">
            <v>993401-SLR</v>
          </cell>
          <cell r="B526">
            <v>11082</v>
          </cell>
          <cell r="C526">
            <v>3948.65</v>
          </cell>
          <cell r="D526">
            <v>13.46</v>
          </cell>
          <cell r="E526">
            <v>537</v>
          </cell>
          <cell r="F526">
            <v>306.39999999999998</v>
          </cell>
          <cell r="G526">
            <v>807.25</v>
          </cell>
          <cell r="I526">
            <v>2764.96</v>
          </cell>
          <cell r="J526">
            <v>91999</v>
          </cell>
          <cell r="K526" t="str">
            <v>MP</v>
          </cell>
        </row>
        <row r="527">
          <cell r="A527" t="str">
            <v>993403-SLR</v>
          </cell>
          <cell r="B527">
            <v>11020</v>
          </cell>
          <cell r="C527">
            <v>0</v>
          </cell>
          <cell r="D527">
            <v>0</v>
          </cell>
          <cell r="E527">
            <v>0</v>
          </cell>
          <cell r="F527">
            <v>10</v>
          </cell>
          <cell r="G527">
            <v>50.79</v>
          </cell>
          <cell r="I527">
            <v>84.65</v>
          </cell>
          <cell r="J527">
            <v>93256</v>
          </cell>
          <cell r="K527" t="str">
            <v>MP</v>
          </cell>
        </row>
        <row r="528">
          <cell r="A528" t="str">
            <v>993435-SLR</v>
          </cell>
          <cell r="B528">
            <v>11055</v>
          </cell>
          <cell r="C528">
            <v>0</v>
          </cell>
          <cell r="D528">
            <v>0</v>
          </cell>
          <cell r="E528">
            <v>0</v>
          </cell>
          <cell r="F528">
            <v>0</v>
          </cell>
          <cell r="G528">
            <v>107.09</v>
          </cell>
          <cell r="I528">
            <v>178.48</v>
          </cell>
          <cell r="J528">
            <v>90503</v>
          </cell>
          <cell r="K528" t="str">
            <v>MP</v>
          </cell>
        </row>
        <row r="529">
          <cell r="A529" t="str">
            <v>993440-SLR</v>
          </cell>
          <cell r="B529">
            <v>11073</v>
          </cell>
          <cell r="C529">
            <v>0</v>
          </cell>
          <cell r="D529">
            <v>0</v>
          </cell>
          <cell r="E529">
            <v>0</v>
          </cell>
          <cell r="F529">
            <v>0</v>
          </cell>
          <cell r="G529">
            <v>40.32</v>
          </cell>
          <cell r="I529">
            <v>67.2</v>
          </cell>
          <cell r="J529">
            <v>93193</v>
          </cell>
          <cell r="K529" t="str">
            <v>MP</v>
          </cell>
        </row>
        <row r="530">
          <cell r="A530" t="str">
            <v>993459-SLR</v>
          </cell>
          <cell r="B530">
            <v>11083</v>
          </cell>
          <cell r="C530">
            <v>255.97</v>
          </cell>
          <cell r="D530">
            <v>19.309999999999999</v>
          </cell>
          <cell r="E530">
            <v>537</v>
          </cell>
          <cell r="F530">
            <v>438.92</v>
          </cell>
          <cell r="G530">
            <v>1358.7</v>
          </cell>
          <cell r="I530">
            <v>9429.7199999999993</v>
          </cell>
          <cell r="J530">
            <v>92172</v>
          </cell>
          <cell r="K530" t="str">
            <v>MP</v>
          </cell>
        </row>
        <row r="532">
          <cell r="H532">
            <v>0</v>
          </cell>
        </row>
        <row r="533">
          <cell r="A533" t="str">
            <v>TOTAIS</v>
          </cell>
          <cell r="C533">
            <v>1800570.6300000022</v>
          </cell>
          <cell r="D533">
            <v>88353.799999999974</v>
          </cell>
          <cell r="E533">
            <v>312444.21999999986</v>
          </cell>
          <cell r="F533">
            <v>392154.47000000009</v>
          </cell>
          <cell r="G533">
            <v>1771080.5000000005</v>
          </cell>
          <cell r="H533">
            <v>0</v>
          </cell>
          <cell r="I533">
            <v>12118866.49</v>
          </cell>
        </row>
        <row r="536">
          <cell r="A536" t="str">
            <v>ATIVO FIXO - LOCAL 91</v>
          </cell>
        </row>
        <row r="537">
          <cell r="A537" t="str">
            <v>PROC</v>
          </cell>
          <cell r="B537" t="str">
            <v>NF</v>
          </cell>
          <cell r="C537" t="str">
            <v>FRETE</v>
          </cell>
          <cell r="D537" t="str">
            <v>SEG</v>
          </cell>
          <cell r="E537" t="str">
            <v>COM</v>
          </cell>
          <cell r="F537" t="str">
            <v>ALF</v>
          </cell>
          <cell r="G537" t="str">
            <v>IMP</v>
          </cell>
          <cell r="H537" t="str">
            <v>TOTAL</v>
          </cell>
          <cell r="I537" t="str">
            <v>FOB</v>
          </cell>
          <cell r="J537" t="str">
            <v>FORN</v>
          </cell>
          <cell r="K537" t="str">
            <v>TIPO</v>
          </cell>
          <cell r="L537" t="str">
            <v>ICMS</v>
          </cell>
          <cell r="N537" t="str">
            <v>IPI</v>
          </cell>
        </row>
        <row r="538">
          <cell r="A538" t="str">
            <v>991392-SLR</v>
          </cell>
          <cell r="B538">
            <v>10466</v>
          </cell>
          <cell r="C538">
            <v>11433.05</v>
          </cell>
          <cell r="D538">
            <v>4001.11</v>
          </cell>
          <cell r="E538">
            <v>508.89</v>
          </cell>
          <cell r="F538">
            <v>14819.64</v>
          </cell>
          <cell r="G538">
            <v>32363.53</v>
          </cell>
          <cell r="I538">
            <v>631836.44999999995</v>
          </cell>
          <cell r="J538">
            <v>91953</v>
          </cell>
          <cell r="K538" t="str">
            <v>AF</v>
          </cell>
        </row>
        <row r="539">
          <cell r="A539" t="str">
            <v>991951-SLR</v>
          </cell>
          <cell r="B539">
            <v>10504</v>
          </cell>
          <cell r="C539">
            <v>4224.1499999999996</v>
          </cell>
          <cell r="D539">
            <v>4407.17</v>
          </cell>
          <cell r="E539">
            <v>522.36</v>
          </cell>
          <cell r="F539">
            <v>16443.990000000002</v>
          </cell>
          <cell r="G539">
            <v>28778.560000000001</v>
          </cell>
          <cell r="I539">
            <v>710832.8</v>
          </cell>
          <cell r="J539">
            <v>92004</v>
          </cell>
          <cell r="K539" t="str">
            <v>AF</v>
          </cell>
        </row>
        <row r="540">
          <cell r="A540" t="str">
            <v>992040-SLR</v>
          </cell>
          <cell r="B540">
            <v>10989</v>
          </cell>
          <cell r="C540">
            <v>767.21</v>
          </cell>
          <cell r="D540">
            <v>112.21</v>
          </cell>
          <cell r="E540">
            <v>530.64</v>
          </cell>
          <cell r="F540">
            <v>681.73</v>
          </cell>
          <cell r="G540">
            <v>3584.06</v>
          </cell>
          <cell r="I540">
            <v>18039.990000000002</v>
          </cell>
          <cell r="J540">
            <v>96007</v>
          </cell>
          <cell r="K540" t="str">
            <v>AF</v>
          </cell>
        </row>
        <row r="541">
          <cell r="A541" t="str">
            <v>992540-SLR</v>
          </cell>
          <cell r="B541">
            <v>10801</v>
          </cell>
          <cell r="C541">
            <v>8083.07</v>
          </cell>
          <cell r="D541">
            <v>120.42</v>
          </cell>
          <cell r="E541">
            <v>531.9</v>
          </cell>
          <cell r="F541">
            <v>876.25</v>
          </cell>
          <cell r="G541">
            <v>5788.58</v>
          </cell>
          <cell r="I541">
            <v>19361.16</v>
          </cell>
          <cell r="J541">
            <v>93068</v>
          </cell>
          <cell r="K541" t="str">
            <v>AF</v>
          </cell>
        </row>
        <row r="542">
          <cell r="A542" t="str">
            <v>992580-SLR</v>
          </cell>
          <cell r="B542">
            <v>10518</v>
          </cell>
          <cell r="C542">
            <v>1389.74</v>
          </cell>
          <cell r="D542">
            <v>382.44</v>
          </cell>
          <cell r="E542">
            <v>522.36</v>
          </cell>
          <cell r="F542">
            <v>2984.88</v>
          </cell>
          <cell r="G542">
            <v>23043.49</v>
          </cell>
          <cell r="I542">
            <v>119509.35</v>
          </cell>
          <cell r="J542">
            <v>96002</v>
          </cell>
          <cell r="K542" t="str">
            <v>AF</v>
          </cell>
        </row>
        <row r="543">
          <cell r="A543" t="str">
            <v>992617-SLR</v>
          </cell>
          <cell r="B543">
            <v>10521</v>
          </cell>
          <cell r="C543">
            <v>4354.3900000000003</v>
          </cell>
          <cell r="D543">
            <v>7516.59</v>
          </cell>
          <cell r="E543">
            <v>522.36</v>
          </cell>
          <cell r="F543">
            <v>27801.07</v>
          </cell>
          <cell r="G543">
            <v>48968.93</v>
          </cell>
          <cell r="I543">
            <v>1212352.32</v>
          </cell>
          <cell r="J543">
            <v>91672</v>
          </cell>
          <cell r="K543" t="str">
            <v>AF</v>
          </cell>
        </row>
        <row r="544">
          <cell r="A544" t="str">
            <v>992855-SLR</v>
          </cell>
          <cell r="B544">
            <v>10733</v>
          </cell>
          <cell r="C544">
            <v>5047.47</v>
          </cell>
          <cell r="D544">
            <v>83.28</v>
          </cell>
          <cell r="E544">
            <v>533.49</v>
          </cell>
          <cell r="F544">
            <v>558.28</v>
          </cell>
          <cell r="G544">
            <v>2820.8</v>
          </cell>
          <cell r="I544">
            <v>8301.6200000000008</v>
          </cell>
          <cell r="J544">
            <v>91532</v>
          </cell>
          <cell r="K544" t="str">
            <v>AF</v>
          </cell>
        </row>
        <row r="545">
          <cell r="A545" t="str">
            <v>993112-SLR</v>
          </cell>
          <cell r="B545">
            <v>10995</v>
          </cell>
          <cell r="C545">
            <v>617.05999999999995</v>
          </cell>
          <cell r="D545">
            <v>144.91999999999999</v>
          </cell>
          <cell r="E545">
            <v>530.64</v>
          </cell>
          <cell r="F545">
            <v>349</v>
          </cell>
          <cell r="G545">
            <v>4632.17</v>
          </cell>
          <cell r="I545">
            <v>23617.84</v>
          </cell>
          <cell r="J545">
            <v>91531</v>
          </cell>
          <cell r="K545" t="str">
            <v>AF</v>
          </cell>
        </row>
        <row r="546">
          <cell r="A546" t="str">
            <v>993263-SLR</v>
          </cell>
          <cell r="B546">
            <v>10994</v>
          </cell>
          <cell r="C546">
            <v>178.35</v>
          </cell>
          <cell r="D546">
            <v>7.08</v>
          </cell>
          <cell r="E546">
            <v>524.54999999999995</v>
          </cell>
          <cell r="F546">
            <v>181.98</v>
          </cell>
          <cell r="G546">
            <v>399.41</v>
          </cell>
          <cell r="I546">
            <v>2033.51</v>
          </cell>
          <cell r="J546">
            <v>93240</v>
          </cell>
          <cell r="K546" t="str">
            <v>AF</v>
          </cell>
        </row>
        <row r="548">
          <cell r="H548">
            <v>0</v>
          </cell>
        </row>
        <row r="549">
          <cell r="A549" t="str">
            <v>TOTAIS</v>
          </cell>
          <cell r="C549">
            <v>36094.49</v>
          </cell>
          <cell r="D549">
            <v>16775.22</v>
          </cell>
          <cell r="E549">
            <v>4727.1900000000005</v>
          </cell>
          <cell r="F549">
            <v>64696.82</v>
          </cell>
          <cell r="G549">
            <v>150379.53</v>
          </cell>
          <cell r="H549">
            <v>0</v>
          </cell>
          <cell r="I549">
            <v>2745885.04</v>
          </cell>
          <cell r="L549">
            <v>0</v>
          </cell>
          <cell r="N549">
            <v>0</v>
          </cell>
        </row>
        <row r="553">
          <cell r="A553" t="str">
            <v>MATERIAL DE CONSUMO - LOCAL 91</v>
          </cell>
        </row>
        <row r="554">
          <cell r="A554" t="str">
            <v>PROC</v>
          </cell>
          <cell r="B554" t="str">
            <v>NF</v>
          </cell>
          <cell r="C554" t="str">
            <v>FRETE</v>
          </cell>
          <cell r="D554" t="str">
            <v>SEG</v>
          </cell>
          <cell r="E554" t="str">
            <v>COM</v>
          </cell>
          <cell r="F554" t="str">
            <v>ALF</v>
          </cell>
          <cell r="G554" t="str">
            <v>IMP</v>
          </cell>
          <cell r="H554" t="str">
            <v>TOTAL</v>
          </cell>
          <cell r="I554" t="str">
            <v>FOB</v>
          </cell>
          <cell r="J554" t="str">
            <v>FORN</v>
          </cell>
          <cell r="K554" t="str">
            <v>TIPO</v>
          </cell>
          <cell r="L554" t="str">
            <v>DESP</v>
          </cell>
          <cell r="M554" t="str">
            <v>CC</v>
          </cell>
          <cell r="N554" t="str">
            <v>IPI</v>
          </cell>
          <cell r="O554" t="str">
            <v>ICMS</v>
          </cell>
        </row>
        <row r="555">
          <cell r="A555" t="str">
            <v>992419-SLR</v>
          </cell>
          <cell r="B555">
            <v>10840</v>
          </cell>
          <cell r="C555">
            <v>95.2</v>
          </cell>
          <cell r="D555">
            <v>0.48</v>
          </cell>
          <cell r="E555">
            <v>536.76</v>
          </cell>
          <cell r="F555">
            <v>135.41</v>
          </cell>
          <cell r="G555">
            <v>26.89</v>
          </cell>
          <cell r="I555">
            <v>53.68</v>
          </cell>
          <cell r="J555">
            <v>91972</v>
          </cell>
          <cell r="K555" t="str">
            <v>MC</v>
          </cell>
        </row>
        <row r="556">
          <cell r="A556" t="str">
            <v>992640-SLR</v>
          </cell>
          <cell r="B556">
            <v>10486</v>
          </cell>
          <cell r="C556">
            <v>18688.91</v>
          </cell>
          <cell r="D556">
            <v>459.15</v>
          </cell>
          <cell r="E556">
            <v>520.95000000000005</v>
          </cell>
          <cell r="F556">
            <v>3484.38</v>
          </cell>
          <cell r="G556">
            <v>27261.48</v>
          </cell>
          <cell r="I556">
            <v>124333.4</v>
          </cell>
          <cell r="J556">
            <v>97550</v>
          </cell>
          <cell r="K556" t="str">
            <v>MC</v>
          </cell>
        </row>
        <row r="557">
          <cell r="A557" t="str">
            <v>992660-SLR</v>
          </cell>
          <cell r="B557">
            <v>10725</v>
          </cell>
          <cell r="C557">
            <v>259.45</v>
          </cell>
          <cell r="D557">
            <v>30.4</v>
          </cell>
          <cell r="E557">
            <v>522.36</v>
          </cell>
          <cell r="F557">
            <v>245.6</v>
          </cell>
          <cell r="G557">
            <v>958.83</v>
          </cell>
          <cell r="I557">
            <v>4756.62</v>
          </cell>
          <cell r="J557">
            <v>91953</v>
          </cell>
          <cell r="K557" t="str">
            <v>MC</v>
          </cell>
        </row>
        <row r="558">
          <cell r="A558" t="str">
            <v>992699-SLR</v>
          </cell>
          <cell r="B558">
            <v>10413</v>
          </cell>
          <cell r="C558">
            <v>616.79</v>
          </cell>
          <cell r="D558">
            <v>6.1</v>
          </cell>
          <cell r="E558">
            <v>500.1</v>
          </cell>
          <cell r="F558">
            <v>230</v>
          </cell>
          <cell r="G558">
            <v>0</v>
          </cell>
          <cell r="I558">
            <v>1290.26</v>
          </cell>
          <cell r="J558">
            <v>96003</v>
          </cell>
          <cell r="K558" t="str">
            <v>MC</v>
          </cell>
        </row>
        <row r="559">
          <cell r="A559" t="str">
            <v>992709-SLR</v>
          </cell>
          <cell r="B559">
            <v>10487</v>
          </cell>
          <cell r="C559">
            <v>245.99</v>
          </cell>
          <cell r="D559">
            <v>30.79</v>
          </cell>
          <cell r="E559">
            <v>520.95000000000005</v>
          </cell>
          <cell r="F559">
            <v>241.86</v>
          </cell>
          <cell r="G559">
            <v>927.27</v>
          </cell>
          <cell r="I559">
            <v>4603.59</v>
          </cell>
          <cell r="J559">
            <v>91158</v>
          </cell>
          <cell r="K559" t="str">
            <v>MC</v>
          </cell>
        </row>
        <row r="560">
          <cell r="A560" t="str">
            <v>992756-SLR</v>
          </cell>
          <cell r="B560">
            <v>10860</v>
          </cell>
          <cell r="C560">
            <v>1548.88</v>
          </cell>
          <cell r="D560">
            <v>15.15</v>
          </cell>
          <cell r="E560">
            <v>530.25</v>
          </cell>
          <cell r="F560">
            <v>238.5</v>
          </cell>
          <cell r="G560">
            <v>993.59</v>
          </cell>
          <cell r="I560">
            <v>3167.36</v>
          </cell>
          <cell r="J560">
            <v>92196</v>
          </cell>
          <cell r="K560" t="str">
            <v>MC</v>
          </cell>
        </row>
        <row r="561">
          <cell r="A561" t="str">
            <v>992797-SLR</v>
          </cell>
          <cell r="B561">
            <v>10991</v>
          </cell>
          <cell r="C561">
            <v>19338.240000000002</v>
          </cell>
          <cell r="D561">
            <v>407.16</v>
          </cell>
          <cell r="E561">
            <v>529.08000000000004</v>
          </cell>
          <cell r="F561">
            <v>3563.18</v>
          </cell>
          <cell r="G561">
            <v>27926.93</v>
          </cell>
          <cell r="I561">
            <v>127238.45</v>
          </cell>
          <cell r="J561">
            <v>97550</v>
          </cell>
          <cell r="K561" t="str">
            <v>MC</v>
          </cell>
        </row>
        <row r="562">
          <cell r="A562" t="str">
            <v>992801-SLR</v>
          </cell>
          <cell r="B562">
            <v>10418</v>
          </cell>
          <cell r="C562">
            <v>0</v>
          </cell>
          <cell r="D562">
            <v>0</v>
          </cell>
          <cell r="E562">
            <v>0</v>
          </cell>
          <cell r="F562">
            <v>16.59</v>
          </cell>
          <cell r="G562">
            <v>19.940000000000001</v>
          </cell>
          <cell r="I562">
            <v>32.96</v>
          </cell>
          <cell r="J562">
            <v>92419</v>
          </cell>
          <cell r="K562" t="str">
            <v>MC</v>
          </cell>
        </row>
        <row r="563">
          <cell r="A563" t="str">
            <v>992970-SLR</v>
          </cell>
          <cell r="B563">
            <v>10788</v>
          </cell>
          <cell r="C563">
            <v>123.92</v>
          </cell>
          <cell r="D563">
            <v>59.11</v>
          </cell>
          <cell r="E563">
            <v>533.49</v>
          </cell>
          <cell r="F563">
            <v>427.88</v>
          </cell>
          <cell r="G563">
            <v>1796.81</v>
          </cell>
          <cell r="I563">
            <v>9273.84</v>
          </cell>
          <cell r="J563">
            <v>91953</v>
          </cell>
          <cell r="K563" t="str">
            <v>MC</v>
          </cell>
        </row>
        <row r="564">
          <cell r="A564" t="str">
            <v>993019-SLR</v>
          </cell>
          <cell r="B564">
            <v>11056</v>
          </cell>
          <cell r="C564">
            <v>2908.49</v>
          </cell>
          <cell r="D564">
            <v>40.700000000000003</v>
          </cell>
          <cell r="E564">
            <v>537.12</v>
          </cell>
          <cell r="F564">
            <v>528.83000000000004</v>
          </cell>
          <cell r="G564">
            <v>2416.69</v>
          </cell>
          <cell r="I564">
            <v>9770.2099999999991</v>
          </cell>
          <cell r="J564">
            <v>91532</v>
          </cell>
          <cell r="K564" t="str">
            <v>MC</v>
          </cell>
        </row>
        <row r="565">
          <cell r="A565" t="str">
            <v>993054-SLR</v>
          </cell>
          <cell r="B565">
            <v>10838</v>
          </cell>
          <cell r="C565">
            <v>0</v>
          </cell>
          <cell r="D565">
            <v>0</v>
          </cell>
          <cell r="E565">
            <v>0</v>
          </cell>
          <cell r="F565">
            <v>17.57</v>
          </cell>
          <cell r="G565">
            <v>416.06</v>
          </cell>
          <cell r="I565">
            <v>693.44</v>
          </cell>
          <cell r="J565">
            <v>91976</v>
          </cell>
          <cell r="K565" t="str">
            <v>MC</v>
          </cell>
        </row>
        <row r="566">
          <cell r="A566" t="str">
            <v>993086-SLR</v>
          </cell>
          <cell r="B566">
            <v>11057</v>
          </cell>
          <cell r="C566">
            <v>994.78</v>
          </cell>
          <cell r="D566">
            <v>7.97</v>
          </cell>
          <cell r="E566">
            <v>537.12</v>
          </cell>
          <cell r="F566">
            <v>188.09</v>
          </cell>
          <cell r="G566">
            <v>473.21</v>
          </cell>
          <cell r="I566">
            <v>1487.82</v>
          </cell>
          <cell r="J566">
            <v>91532</v>
          </cell>
          <cell r="K566" t="str">
            <v>MC</v>
          </cell>
        </row>
        <row r="567">
          <cell r="A567" t="str">
            <v>993097-SLR</v>
          </cell>
          <cell r="B567">
            <v>10696</v>
          </cell>
          <cell r="C567">
            <v>0</v>
          </cell>
          <cell r="D567">
            <v>0</v>
          </cell>
          <cell r="E567">
            <v>0</v>
          </cell>
          <cell r="F567">
            <v>17.510000000000002</v>
          </cell>
          <cell r="G567">
            <v>279.32</v>
          </cell>
          <cell r="I567">
            <v>465.53</v>
          </cell>
          <cell r="J567">
            <v>91976</v>
          </cell>
          <cell r="K567" t="str">
            <v>MC</v>
          </cell>
        </row>
        <row r="568">
          <cell r="A568" t="str">
            <v>993099-SLR</v>
          </cell>
          <cell r="B568">
            <v>10727</v>
          </cell>
          <cell r="C568">
            <v>0</v>
          </cell>
          <cell r="D568">
            <v>0</v>
          </cell>
          <cell r="E568">
            <v>0</v>
          </cell>
          <cell r="F568">
            <v>17.510000000000002</v>
          </cell>
          <cell r="G568">
            <v>501.47</v>
          </cell>
          <cell r="I568">
            <v>835.78</v>
          </cell>
          <cell r="J568">
            <v>90002</v>
          </cell>
          <cell r="K568" t="str">
            <v>MC</v>
          </cell>
        </row>
        <row r="569">
          <cell r="A569" t="str">
            <v>993141-SLR</v>
          </cell>
          <cell r="B569">
            <v>10974</v>
          </cell>
          <cell r="C569">
            <v>207.58</v>
          </cell>
          <cell r="D569">
            <v>5.43</v>
          </cell>
          <cell r="E569">
            <v>529.08000000000004</v>
          </cell>
          <cell r="F569">
            <v>170.25</v>
          </cell>
          <cell r="G569">
            <v>322.61</v>
          </cell>
          <cell r="I569">
            <v>1484.95</v>
          </cell>
          <cell r="J569">
            <v>91952</v>
          </cell>
          <cell r="K569" t="str">
            <v>MC</v>
          </cell>
        </row>
        <row r="570">
          <cell r="A570" t="str">
            <v>993156-SLR</v>
          </cell>
          <cell r="B570">
            <v>10771</v>
          </cell>
          <cell r="C570">
            <v>0</v>
          </cell>
          <cell r="D570">
            <v>0</v>
          </cell>
          <cell r="E570">
            <v>0</v>
          </cell>
          <cell r="F570">
            <v>17.5</v>
          </cell>
          <cell r="G570">
            <v>419.5</v>
          </cell>
          <cell r="I570">
            <v>699.16</v>
          </cell>
          <cell r="J570">
            <v>91976</v>
          </cell>
          <cell r="K570" t="str">
            <v>MC</v>
          </cell>
        </row>
        <row r="571">
          <cell r="A571" t="str">
            <v>993191-SLR</v>
          </cell>
          <cell r="B571">
            <v>10839</v>
          </cell>
          <cell r="C571">
            <v>0</v>
          </cell>
          <cell r="D571">
            <v>0</v>
          </cell>
          <cell r="E571">
            <v>0</v>
          </cell>
          <cell r="F571">
            <v>17.7</v>
          </cell>
          <cell r="G571">
            <v>280.58</v>
          </cell>
          <cell r="I571">
            <v>467.64</v>
          </cell>
          <cell r="J571">
            <v>91976</v>
          </cell>
          <cell r="K571" t="str">
            <v>MC</v>
          </cell>
        </row>
        <row r="572">
          <cell r="A572" t="str">
            <v>993198-SLR</v>
          </cell>
          <cell r="B572">
            <v>10999</v>
          </cell>
          <cell r="C572">
            <v>0</v>
          </cell>
          <cell r="D572">
            <v>0</v>
          </cell>
          <cell r="E572">
            <v>0</v>
          </cell>
          <cell r="F572">
            <v>0</v>
          </cell>
          <cell r="G572">
            <v>453.63</v>
          </cell>
          <cell r="I572">
            <v>756.05</v>
          </cell>
          <cell r="J572">
            <v>91532</v>
          </cell>
          <cell r="K572" t="str">
            <v>MC</v>
          </cell>
        </row>
        <row r="573">
          <cell r="A573" t="str">
            <v>993204-SLR</v>
          </cell>
          <cell r="B573">
            <v>10783</v>
          </cell>
          <cell r="C573">
            <v>0</v>
          </cell>
          <cell r="D573">
            <v>0</v>
          </cell>
          <cell r="E573">
            <v>0</v>
          </cell>
          <cell r="F573">
            <v>17.829999999999998</v>
          </cell>
          <cell r="G573">
            <v>425.52</v>
          </cell>
          <cell r="I573">
            <v>711.32</v>
          </cell>
          <cell r="J573">
            <v>91976</v>
          </cell>
          <cell r="K573" t="str">
            <v>MC</v>
          </cell>
        </row>
        <row r="574">
          <cell r="A574" t="str">
            <v>993205-SLR</v>
          </cell>
          <cell r="B574">
            <v>10985</v>
          </cell>
          <cell r="C574">
            <v>0</v>
          </cell>
          <cell r="D574">
            <v>0</v>
          </cell>
          <cell r="E574">
            <v>0</v>
          </cell>
          <cell r="F574">
            <v>17.23</v>
          </cell>
          <cell r="G574">
            <v>41.95</v>
          </cell>
          <cell r="I574">
            <v>69.92</v>
          </cell>
          <cell r="J574">
            <v>96011</v>
          </cell>
          <cell r="K574" t="str">
            <v>MC</v>
          </cell>
        </row>
        <row r="575">
          <cell r="A575" t="str">
            <v>993238-SLR</v>
          </cell>
          <cell r="B575">
            <v>11018</v>
          </cell>
          <cell r="C575">
            <v>0</v>
          </cell>
          <cell r="D575">
            <v>0</v>
          </cell>
          <cell r="E575">
            <v>0</v>
          </cell>
          <cell r="F575">
            <v>0</v>
          </cell>
          <cell r="G575">
            <v>0</v>
          </cell>
          <cell r="I575">
            <v>699.16</v>
          </cell>
          <cell r="J575">
            <v>91976</v>
          </cell>
          <cell r="K575" t="str">
            <v>MC</v>
          </cell>
        </row>
        <row r="576">
          <cell r="A576" t="str">
            <v>993290-SLR</v>
          </cell>
          <cell r="B576">
            <v>10867</v>
          </cell>
          <cell r="C576">
            <v>0</v>
          </cell>
          <cell r="D576">
            <v>0</v>
          </cell>
          <cell r="E576">
            <v>0</v>
          </cell>
          <cell r="F576">
            <v>0</v>
          </cell>
          <cell r="G576">
            <v>456.25</v>
          </cell>
          <cell r="I576">
            <v>760.41</v>
          </cell>
          <cell r="J576">
            <v>90002</v>
          </cell>
          <cell r="K576" t="str">
            <v>MC</v>
          </cell>
        </row>
        <row r="577">
          <cell r="A577" t="str">
            <v>993299-SLR</v>
          </cell>
          <cell r="B577">
            <v>10986</v>
          </cell>
          <cell r="C577">
            <v>0</v>
          </cell>
          <cell r="D577">
            <v>0</v>
          </cell>
          <cell r="E577">
            <v>0</v>
          </cell>
          <cell r="F577">
            <v>17.64</v>
          </cell>
          <cell r="G577">
            <v>49.04</v>
          </cell>
          <cell r="I577">
            <v>81.73</v>
          </cell>
          <cell r="J577">
            <v>96009</v>
          </cell>
          <cell r="K577" t="str">
            <v>MC</v>
          </cell>
        </row>
        <row r="578">
          <cell r="A578" t="str">
            <v>993379-SLR</v>
          </cell>
          <cell r="B578">
            <v>11019</v>
          </cell>
          <cell r="C578">
            <v>0</v>
          </cell>
          <cell r="D578">
            <v>0</v>
          </cell>
          <cell r="E578">
            <v>0</v>
          </cell>
          <cell r="F578">
            <v>17.68</v>
          </cell>
          <cell r="G578">
            <v>452.15</v>
          </cell>
          <cell r="I578">
            <v>753.66</v>
          </cell>
          <cell r="J578">
            <v>91330</v>
          </cell>
          <cell r="K578" t="str">
            <v>MC</v>
          </cell>
        </row>
        <row r="579">
          <cell r="A579" t="str">
            <v>993432-SLR</v>
          </cell>
          <cell r="B579">
            <v>11054</v>
          </cell>
          <cell r="C579">
            <v>0</v>
          </cell>
          <cell r="D579">
            <v>0</v>
          </cell>
          <cell r="E579">
            <v>0</v>
          </cell>
          <cell r="F579">
            <v>0</v>
          </cell>
          <cell r="G579">
            <v>160.63</v>
          </cell>
          <cell r="I579">
            <v>267.72000000000003</v>
          </cell>
          <cell r="J579">
            <v>97550</v>
          </cell>
          <cell r="K579" t="str">
            <v>MC</v>
          </cell>
        </row>
        <row r="581">
          <cell r="H581">
            <v>0</v>
          </cell>
        </row>
        <row r="582">
          <cell r="A582" t="str">
            <v>TOTAIS</v>
          </cell>
          <cell r="C582">
            <v>45028.23</v>
          </cell>
          <cell r="D582">
            <v>1062.44</v>
          </cell>
          <cell r="E582">
            <v>5797.2599999999993</v>
          </cell>
          <cell r="F582">
            <v>9628.74</v>
          </cell>
          <cell r="G582">
            <v>67060.349999999991</v>
          </cell>
          <cell r="H582">
            <v>0</v>
          </cell>
          <cell r="I582">
            <v>294754.65999999997</v>
          </cell>
        </row>
        <row r="585">
          <cell r="H585">
            <v>0</v>
          </cell>
          <cell r="I585">
            <v>0</v>
          </cell>
        </row>
        <row r="586">
          <cell r="G586" t="str">
            <v>PROC</v>
          </cell>
          <cell r="H586" t="str">
            <v>FOB</v>
          </cell>
          <cell r="I586" t="str">
            <v>DESP</v>
          </cell>
        </row>
        <row r="587">
          <cell r="G587" t="str">
            <v/>
          </cell>
        </row>
      </sheetData>
      <sheetData sheetId="6"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753034.67</v>
          </cell>
          <cell r="R3">
            <v>37261.519999999953</v>
          </cell>
          <cell r="S3">
            <v>252400.2099999999</v>
          </cell>
          <cell r="T3">
            <v>333176.43999999994</v>
          </cell>
          <cell r="U3">
            <v>1790997.0300000005</v>
          </cell>
          <cell r="V3">
            <v>9214023.6500000022</v>
          </cell>
          <cell r="Y3">
            <v>146.35</v>
          </cell>
          <cell r="Z3">
            <v>0.96</v>
          </cell>
          <cell r="AA3">
            <v>535.44000000000005</v>
          </cell>
          <cell r="AB3">
            <v>138.79</v>
          </cell>
          <cell r="AC3">
            <v>62.89</v>
          </cell>
          <cell r="AD3">
            <v>152.15</v>
          </cell>
        </row>
        <row r="4">
          <cell r="A4" t="str">
            <v>993123-SLR</v>
          </cell>
          <cell r="B4">
            <v>11119</v>
          </cell>
          <cell r="C4">
            <v>883.6</v>
          </cell>
          <cell r="D4">
            <v>15.11</v>
          </cell>
          <cell r="E4">
            <v>530.16</v>
          </cell>
          <cell r="F4">
            <v>218.4</v>
          </cell>
          <cell r="G4">
            <v>652.45000000000005</v>
          </cell>
          <cell r="I4">
            <v>2939.21</v>
          </cell>
          <cell r="J4">
            <v>92243</v>
          </cell>
          <cell r="K4" t="str">
            <v>MP</v>
          </cell>
        </row>
        <row r="5">
          <cell r="A5" t="str">
            <v>993130-SLR</v>
          </cell>
          <cell r="B5">
            <v>11089</v>
          </cell>
          <cell r="C5">
            <v>465.31</v>
          </cell>
          <cell r="D5">
            <v>65.03</v>
          </cell>
          <cell r="E5">
            <v>533.49</v>
          </cell>
          <cell r="F5">
            <v>495.96</v>
          </cell>
          <cell r="G5">
            <v>2307.21</v>
          </cell>
          <cell r="I5">
            <v>10456.379999999999</v>
          </cell>
          <cell r="J5">
            <v>92088</v>
          </cell>
          <cell r="K5" t="str">
            <v>MP</v>
          </cell>
        </row>
        <row r="6">
          <cell r="A6" t="str">
            <v>993161-SLR</v>
          </cell>
          <cell r="B6">
            <v>11167</v>
          </cell>
          <cell r="C6">
            <v>839.89</v>
          </cell>
          <cell r="D6">
            <v>3579.79</v>
          </cell>
          <cell r="E6">
            <v>530.85</v>
          </cell>
          <cell r="F6">
            <v>13247.18</v>
          </cell>
          <cell r="G6">
            <v>80833.73</v>
          </cell>
          <cell r="I6">
            <v>572964.1</v>
          </cell>
          <cell r="J6">
            <v>90097</v>
          </cell>
          <cell r="K6" t="str">
            <v>MP</v>
          </cell>
        </row>
        <row r="7">
          <cell r="A7" t="str">
            <v>993184-SLR</v>
          </cell>
          <cell r="B7">
            <v>11321</v>
          </cell>
          <cell r="C7">
            <v>1302.49</v>
          </cell>
          <cell r="D7">
            <v>40.21</v>
          </cell>
          <cell r="E7">
            <v>477</v>
          </cell>
          <cell r="F7">
            <v>709.41</v>
          </cell>
          <cell r="G7">
            <v>1007.46</v>
          </cell>
          <cell r="I7">
            <v>18806.55</v>
          </cell>
          <cell r="J7">
            <v>93277</v>
          </cell>
          <cell r="K7" t="str">
            <v>MP</v>
          </cell>
        </row>
        <row r="8">
          <cell r="A8" t="str">
            <v>993203-SLR</v>
          </cell>
          <cell r="B8">
            <v>11120</v>
          </cell>
          <cell r="C8">
            <v>61.85</v>
          </cell>
          <cell r="D8">
            <v>49.45</v>
          </cell>
          <cell r="E8">
            <v>530.16</v>
          </cell>
          <cell r="F8">
            <v>813.43</v>
          </cell>
          <cell r="G8">
            <v>1092.56</v>
          </cell>
          <cell r="I8">
            <v>24661.279999999999</v>
          </cell>
          <cell r="J8">
            <v>90083</v>
          </cell>
          <cell r="K8" t="str">
            <v>MP</v>
          </cell>
        </row>
        <row r="9">
          <cell r="A9" t="str">
            <v>993215-SLR</v>
          </cell>
          <cell r="B9">
            <v>11162</v>
          </cell>
          <cell r="C9">
            <v>3817.36</v>
          </cell>
          <cell r="D9">
            <v>319.7</v>
          </cell>
          <cell r="E9">
            <v>530.85</v>
          </cell>
          <cell r="F9">
            <v>3859.86</v>
          </cell>
          <cell r="G9">
            <v>20822.080000000002</v>
          </cell>
          <cell r="I9">
            <v>156032.74</v>
          </cell>
          <cell r="J9">
            <v>92107</v>
          </cell>
          <cell r="K9" t="str">
            <v>MP</v>
          </cell>
        </row>
        <row r="10">
          <cell r="A10" t="str">
            <v>993236-SLR</v>
          </cell>
          <cell r="B10">
            <v>11096</v>
          </cell>
          <cell r="C10">
            <v>1776.88</v>
          </cell>
          <cell r="D10">
            <v>11.63</v>
          </cell>
          <cell r="E10">
            <v>530.16</v>
          </cell>
          <cell r="F10">
            <v>265.94</v>
          </cell>
          <cell r="G10">
            <v>756.3</v>
          </cell>
          <cell r="I10">
            <v>4029.22</v>
          </cell>
          <cell r="J10">
            <v>93276</v>
          </cell>
          <cell r="K10" t="str">
            <v>MP</v>
          </cell>
        </row>
        <row r="11">
          <cell r="A11" t="str">
            <v>993239-SLR</v>
          </cell>
          <cell r="B11">
            <v>11102</v>
          </cell>
          <cell r="C11">
            <v>462.85</v>
          </cell>
          <cell r="D11">
            <v>44.32</v>
          </cell>
          <cell r="E11">
            <v>530.16</v>
          </cell>
          <cell r="F11">
            <v>755.72</v>
          </cell>
          <cell r="G11">
            <v>2370.9</v>
          </cell>
          <cell r="I11">
            <v>21700.35</v>
          </cell>
          <cell r="J11">
            <v>93021</v>
          </cell>
          <cell r="K11" t="str">
            <v>MP</v>
          </cell>
        </row>
        <row r="12">
          <cell r="A12" t="str">
            <v>993240-SLR</v>
          </cell>
          <cell r="B12">
            <v>11127</v>
          </cell>
          <cell r="C12">
            <v>266.57</v>
          </cell>
          <cell r="D12">
            <v>0.65</v>
          </cell>
          <cell r="E12">
            <v>530.16</v>
          </cell>
          <cell r="F12">
            <v>139.41999999999999</v>
          </cell>
          <cell r="G12">
            <v>62.26</v>
          </cell>
          <cell r="I12">
            <v>60.44</v>
          </cell>
          <cell r="J12">
            <v>91975</v>
          </cell>
          <cell r="K12" t="str">
            <v>MP</v>
          </cell>
        </row>
        <row r="13">
          <cell r="A13" t="str">
            <v>993251-SLR</v>
          </cell>
          <cell r="B13">
            <v>11187</v>
          </cell>
          <cell r="C13">
            <v>172.53</v>
          </cell>
          <cell r="D13">
            <v>98.22</v>
          </cell>
          <cell r="E13">
            <v>530.85</v>
          </cell>
          <cell r="F13">
            <v>948.93</v>
          </cell>
          <cell r="G13">
            <v>4311.25</v>
          </cell>
          <cell r="I13">
            <v>30523.88</v>
          </cell>
          <cell r="J13">
            <v>91358</v>
          </cell>
          <cell r="K13" t="str">
            <v>MP</v>
          </cell>
        </row>
        <row r="14">
          <cell r="A14" t="str">
            <v>993253-SLR</v>
          </cell>
          <cell r="B14">
            <v>11103</v>
          </cell>
          <cell r="C14">
            <v>768.24</v>
          </cell>
          <cell r="D14">
            <v>28.95</v>
          </cell>
          <cell r="E14">
            <v>530.16</v>
          </cell>
          <cell r="F14">
            <v>581.74</v>
          </cell>
          <cell r="G14">
            <v>1881.79</v>
          </cell>
          <cell r="I14">
            <v>13678.13</v>
          </cell>
          <cell r="J14">
            <v>91620</v>
          </cell>
          <cell r="K14" t="str">
            <v>MP</v>
          </cell>
        </row>
        <row r="15">
          <cell r="A15" t="str">
            <v>993254-SLR</v>
          </cell>
          <cell r="B15">
            <v>11291</v>
          </cell>
          <cell r="C15">
            <v>11447.71</v>
          </cell>
          <cell r="D15">
            <v>86.21</v>
          </cell>
          <cell r="E15">
            <v>537.33000000000004</v>
          </cell>
          <cell r="F15">
            <v>1227.74</v>
          </cell>
          <cell r="G15">
            <v>8205.39</v>
          </cell>
          <cell r="I15">
            <v>31652.32</v>
          </cell>
          <cell r="J15">
            <v>92046</v>
          </cell>
          <cell r="K15" t="str">
            <v>MP</v>
          </cell>
        </row>
        <row r="16">
          <cell r="A16" t="str">
            <v>993255-SLR</v>
          </cell>
          <cell r="B16">
            <v>11292</v>
          </cell>
          <cell r="C16">
            <v>14367.45</v>
          </cell>
          <cell r="D16">
            <v>110.44</v>
          </cell>
          <cell r="E16">
            <v>537.33000000000004</v>
          </cell>
          <cell r="F16">
            <v>1498.54</v>
          </cell>
          <cell r="G16">
            <v>10492.15</v>
          </cell>
          <cell r="I16">
            <v>40743.94</v>
          </cell>
          <cell r="J16">
            <v>92046</v>
          </cell>
          <cell r="K16" t="str">
            <v>MP</v>
          </cell>
        </row>
        <row r="17">
          <cell r="A17" t="str">
            <v>993257-SLR</v>
          </cell>
          <cell r="B17">
            <v>11365</v>
          </cell>
          <cell r="C17">
            <v>6237.7</v>
          </cell>
          <cell r="D17">
            <v>50.97</v>
          </cell>
          <cell r="E17">
            <v>477</v>
          </cell>
          <cell r="F17">
            <v>830.74</v>
          </cell>
          <cell r="G17">
            <v>4852.91</v>
          </cell>
          <cell r="I17">
            <v>19252.95</v>
          </cell>
          <cell r="J17">
            <v>93016</v>
          </cell>
          <cell r="K17" t="str">
            <v>MP</v>
          </cell>
        </row>
        <row r="18">
          <cell r="A18" t="str">
            <v>993259-SLR</v>
          </cell>
          <cell r="B18">
            <v>11128</v>
          </cell>
          <cell r="C18">
            <v>158.86000000000001</v>
          </cell>
          <cell r="D18">
            <v>1.1499999999999999</v>
          </cell>
          <cell r="E18">
            <v>530.16</v>
          </cell>
          <cell r="F18">
            <v>136.19999999999999</v>
          </cell>
          <cell r="G18">
            <v>35.020000000000003</v>
          </cell>
          <cell r="I18">
            <v>24.3</v>
          </cell>
          <cell r="J18">
            <v>93030</v>
          </cell>
          <cell r="K18" t="str">
            <v>MP</v>
          </cell>
        </row>
        <row r="19">
          <cell r="A19" t="str">
            <v>993267-SLR</v>
          </cell>
          <cell r="B19">
            <v>11104</v>
          </cell>
          <cell r="C19">
            <v>1366.03</v>
          </cell>
          <cell r="D19">
            <v>145.32</v>
          </cell>
          <cell r="E19">
            <v>530.16</v>
          </cell>
          <cell r="F19">
            <v>817.44</v>
          </cell>
          <cell r="G19">
            <v>4740.6400000000003</v>
          </cell>
          <cell r="I19">
            <v>23439.38</v>
          </cell>
          <cell r="J19">
            <v>91673</v>
          </cell>
          <cell r="K19" t="str">
            <v>MP</v>
          </cell>
        </row>
        <row r="20">
          <cell r="A20" t="str">
            <v>993274-SLR</v>
          </cell>
          <cell r="B20">
            <v>11105</v>
          </cell>
          <cell r="C20">
            <v>266.37</v>
          </cell>
          <cell r="D20">
            <v>3.78</v>
          </cell>
          <cell r="E20">
            <v>530.16</v>
          </cell>
          <cell r="F20">
            <v>145.63999999999999</v>
          </cell>
          <cell r="G20">
            <v>114.74</v>
          </cell>
          <cell r="I20">
            <v>333.74</v>
          </cell>
          <cell r="J20">
            <v>92333</v>
          </cell>
          <cell r="K20" t="str">
            <v>MP</v>
          </cell>
        </row>
        <row r="21">
          <cell r="A21" t="str">
            <v>993276-SLR</v>
          </cell>
          <cell r="B21">
            <v>11106</v>
          </cell>
          <cell r="C21">
            <v>2469.56</v>
          </cell>
          <cell r="D21">
            <v>101.3</v>
          </cell>
          <cell r="E21">
            <v>530.16</v>
          </cell>
          <cell r="F21">
            <v>968.28</v>
          </cell>
          <cell r="G21">
            <v>5433.93</v>
          </cell>
          <cell r="I21">
            <v>29084.240000000002</v>
          </cell>
          <cell r="J21">
            <v>93000</v>
          </cell>
          <cell r="K21" t="str">
            <v>MP</v>
          </cell>
        </row>
        <row r="22">
          <cell r="A22" t="str">
            <v>993278-SLR</v>
          </cell>
          <cell r="B22">
            <v>11200</v>
          </cell>
          <cell r="C22">
            <v>351.5</v>
          </cell>
          <cell r="D22">
            <v>33.15</v>
          </cell>
          <cell r="E22">
            <v>527.25</v>
          </cell>
          <cell r="F22">
            <v>629.76</v>
          </cell>
          <cell r="G22">
            <v>1680.61</v>
          </cell>
          <cell r="I22">
            <v>16224.71</v>
          </cell>
          <cell r="J22">
            <v>91750</v>
          </cell>
          <cell r="K22" t="str">
            <v>MP</v>
          </cell>
        </row>
        <row r="23">
          <cell r="A23" t="str">
            <v>993281-SLR</v>
          </cell>
          <cell r="B23">
            <v>11129</v>
          </cell>
          <cell r="C23">
            <v>432.96</v>
          </cell>
          <cell r="D23">
            <v>5.23</v>
          </cell>
          <cell r="E23">
            <v>530.16</v>
          </cell>
          <cell r="F23">
            <v>190.94</v>
          </cell>
          <cell r="G23">
            <v>366.45</v>
          </cell>
          <cell r="I23">
            <v>2179.29</v>
          </cell>
          <cell r="J23">
            <v>90629</v>
          </cell>
          <cell r="K23" t="str">
            <v>MP</v>
          </cell>
        </row>
        <row r="24">
          <cell r="A24" t="str">
            <v>993286-SLR</v>
          </cell>
          <cell r="B24">
            <v>11281</v>
          </cell>
          <cell r="C24">
            <v>563.20000000000005</v>
          </cell>
          <cell r="D24">
            <v>68.94</v>
          </cell>
          <cell r="E24">
            <v>529.89</v>
          </cell>
          <cell r="F24">
            <v>223.26</v>
          </cell>
          <cell r="G24">
            <v>770.21</v>
          </cell>
          <cell r="I24">
            <v>3482.42</v>
          </cell>
          <cell r="J24">
            <v>93006</v>
          </cell>
          <cell r="K24" t="str">
            <v>MP</v>
          </cell>
        </row>
        <row r="25">
          <cell r="A25" t="str">
            <v>993287-SLR</v>
          </cell>
          <cell r="B25">
            <v>11293</v>
          </cell>
          <cell r="C25">
            <v>904.66</v>
          </cell>
          <cell r="D25">
            <v>14.77</v>
          </cell>
          <cell r="E25">
            <v>532.62</v>
          </cell>
          <cell r="F25">
            <v>335.74</v>
          </cell>
          <cell r="G25">
            <v>1403.99</v>
          </cell>
          <cell r="I25">
            <v>6479.87</v>
          </cell>
          <cell r="J25">
            <v>93006</v>
          </cell>
          <cell r="K25" t="str">
            <v>MP</v>
          </cell>
        </row>
        <row r="26">
          <cell r="A26" t="str">
            <v>993288-SLR</v>
          </cell>
          <cell r="B26">
            <v>11322</v>
          </cell>
          <cell r="C26">
            <v>5260.59</v>
          </cell>
          <cell r="D26">
            <v>441.52</v>
          </cell>
          <cell r="E26">
            <v>477</v>
          </cell>
          <cell r="F26">
            <v>838.5</v>
          </cell>
          <cell r="G26">
            <v>4659.58</v>
          </cell>
          <cell r="I26">
            <v>20574.32</v>
          </cell>
          <cell r="J26">
            <v>92158</v>
          </cell>
          <cell r="K26" t="str">
            <v>MP</v>
          </cell>
        </row>
        <row r="27">
          <cell r="A27" t="str">
            <v>993291-SLR</v>
          </cell>
          <cell r="B27">
            <v>11199</v>
          </cell>
          <cell r="C27">
            <v>188.93</v>
          </cell>
          <cell r="D27">
            <v>5.8</v>
          </cell>
          <cell r="E27">
            <v>527.25</v>
          </cell>
          <cell r="F27">
            <v>197.33</v>
          </cell>
          <cell r="G27">
            <v>609.27</v>
          </cell>
          <cell r="I27">
            <v>2706.55</v>
          </cell>
          <cell r="J27">
            <v>91681</v>
          </cell>
          <cell r="K27" t="str">
            <v>MP</v>
          </cell>
        </row>
        <row r="28">
          <cell r="A28" t="str">
            <v>993294-SLR</v>
          </cell>
          <cell r="B28">
            <v>11130</v>
          </cell>
          <cell r="C28">
            <v>320.97000000000003</v>
          </cell>
          <cell r="D28">
            <v>5.5</v>
          </cell>
          <cell r="E28">
            <v>530.16</v>
          </cell>
          <cell r="F28">
            <v>159.16999999999999</v>
          </cell>
          <cell r="G28">
            <v>229.04</v>
          </cell>
          <cell r="I28">
            <v>879.01</v>
          </cell>
          <cell r="J28">
            <v>93035</v>
          </cell>
          <cell r="K28" t="str">
            <v>MP</v>
          </cell>
        </row>
        <row r="29">
          <cell r="A29" t="str">
            <v>993295-SLR</v>
          </cell>
          <cell r="B29">
            <v>11300</v>
          </cell>
          <cell r="C29">
            <v>2515.39</v>
          </cell>
          <cell r="D29">
            <v>142.47999999999999</v>
          </cell>
          <cell r="E29">
            <v>532.62</v>
          </cell>
          <cell r="F29">
            <v>1862.18</v>
          </cell>
          <cell r="G29">
            <v>14990.56</v>
          </cell>
          <cell r="I29">
            <v>68725.73</v>
          </cell>
          <cell r="J29">
            <v>93129</v>
          </cell>
          <cell r="K29" t="str">
            <v>MP</v>
          </cell>
        </row>
        <row r="30">
          <cell r="A30" t="str">
            <v>993296=SLR</v>
          </cell>
          <cell r="B30">
            <v>11301</v>
          </cell>
          <cell r="C30">
            <v>206.04</v>
          </cell>
          <cell r="D30">
            <v>0.51</v>
          </cell>
          <cell r="E30">
            <v>0</v>
          </cell>
          <cell r="F30">
            <v>0</v>
          </cell>
          <cell r="G30">
            <v>49.51</v>
          </cell>
          <cell r="I30">
            <v>55.39</v>
          </cell>
          <cell r="J30">
            <v>91792</v>
          </cell>
          <cell r="K30" t="str">
            <v>MP</v>
          </cell>
        </row>
        <row r="31">
          <cell r="A31" t="str">
            <v>993297-SLR</v>
          </cell>
          <cell r="B31">
            <v>11131</v>
          </cell>
          <cell r="C31">
            <v>193.86</v>
          </cell>
          <cell r="D31">
            <v>19.690000000000001</v>
          </cell>
          <cell r="E31">
            <v>530.16</v>
          </cell>
          <cell r="F31">
            <v>445.92</v>
          </cell>
          <cell r="G31">
            <v>1873.87</v>
          </cell>
          <cell r="I31">
            <v>9648.91</v>
          </cell>
          <cell r="J31">
            <v>90402</v>
          </cell>
          <cell r="K31" t="str">
            <v>MP</v>
          </cell>
        </row>
        <row r="32">
          <cell r="A32" t="str">
            <v>993298-SLR</v>
          </cell>
          <cell r="B32">
            <v>11206</v>
          </cell>
          <cell r="C32">
            <v>1144.22</v>
          </cell>
          <cell r="D32">
            <v>97.19</v>
          </cell>
          <cell r="E32">
            <v>527.25</v>
          </cell>
          <cell r="F32">
            <v>1353.66</v>
          </cell>
          <cell r="G32">
            <v>8764.9</v>
          </cell>
          <cell r="I32">
            <v>47452.5</v>
          </cell>
          <cell r="J32">
            <v>92255</v>
          </cell>
          <cell r="K32" t="str">
            <v>MP</v>
          </cell>
        </row>
        <row r="33">
          <cell r="A33" t="str">
            <v>993300-SLR</v>
          </cell>
          <cell r="B33">
            <v>11094</v>
          </cell>
          <cell r="C33">
            <v>226.2</v>
          </cell>
          <cell r="D33">
            <v>223.97</v>
          </cell>
          <cell r="E33">
            <v>530.16</v>
          </cell>
          <cell r="F33">
            <v>2775.76</v>
          </cell>
          <cell r="G33">
            <v>15678.2</v>
          </cell>
          <cell r="I33">
            <v>111536.83</v>
          </cell>
          <cell r="J33">
            <v>90097</v>
          </cell>
          <cell r="K33" t="str">
            <v>MP</v>
          </cell>
        </row>
        <row r="34">
          <cell r="A34" t="str">
            <v>993301-SLR</v>
          </cell>
          <cell r="B34">
            <v>11163</v>
          </cell>
          <cell r="C34">
            <v>2148.85</v>
          </cell>
          <cell r="D34">
            <v>139.72</v>
          </cell>
          <cell r="E34">
            <v>530.85</v>
          </cell>
          <cell r="F34">
            <v>1827.94</v>
          </cell>
          <cell r="G34">
            <v>14671.07</v>
          </cell>
          <cell r="I34">
            <v>67573.67</v>
          </cell>
          <cell r="J34">
            <v>90506</v>
          </cell>
          <cell r="K34" t="str">
            <v>MP</v>
          </cell>
        </row>
        <row r="35">
          <cell r="A35" t="str">
            <v>993302-SLR</v>
          </cell>
          <cell r="B35">
            <v>11294</v>
          </cell>
          <cell r="C35">
            <v>10201.44</v>
          </cell>
          <cell r="D35">
            <v>53.2</v>
          </cell>
          <cell r="E35">
            <v>537.33000000000004</v>
          </cell>
          <cell r="F35">
            <v>1085.31</v>
          </cell>
          <cell r="G35">
            <v>7002.65</v>
          </cell>
          <cell r="I35">
            <v>26601.42</v>
          </cell>
          <cell r="J35">
            <v>92046</v>
          </cell>
          <cell r="K35" t="str">
            <v>MP</v>
          </cell>
        </row>
        <row r="36">
          <cell r="A36" t="str">
            <v>993303-SLR</v>
          </cell>
          <cell r="B36">
            <v>11295</v>
          </cell>
          <cell r="C36">
            <v>28664.59</v>
          </cell>
          <cell r="D36">
            <v>91.15</v>
          </cell>
          <cell r="E36">
            <v>537.33000000000004</v>
          </cell>
          <cell r="F36">
            <v>1283.48</v>
          </cell>
          <cell r="G36">
            <v>5936.28</v>
          </cell>
          <cell r="I36">
            <v>16907.98</v>
          </cell>
          <cell r="J36">
            <v>92046</v>
          </cell>
          <cell r="K36" t="str">
            <v>MP</v>
          </cell>
        </row>
        <row r="37">
          <cell r="A37" t="str">
            <v>993304-SLR</v>
          </cell>
          <cell r="B37">
            <v>11132</v>
          </cell>
          <cell r="C37">
            <v>152.35</v>
          </cell>
          <cell r="D37">
            <v>2.62</v>
          </cell>
          <cell r="E37">
            <v>530.16</v>
          </cell>
          <cell r="F37">
            <v>164.76</v>
          </cell>
          <cell r="G37">
            <v>203.55</v>
          </cell>
          <cell r="I37">
            <v>1298.92</v>
          </cell>
          <cell r="J37">
            <v>93081</v>
          </cell>
          <cell r="K37" t="str">
            <v>MP</v>
          </cell>
        </row>
        <row r="38">
          <cell r="A38" t="str">
            <v>993311-SLR</v>
          </cell>
          <cell r="B38">
            <v>11165</v>
          </cell>
          <cell r="C38">
            <v>1781.07</v>
          </cell>
          <cell r="D38">
            <v>248.4</v>
          </cell>
          <cell r="E38">
            <v>530.85</v>
          </cell>
          <cell r="F38">
            <v>3056.07</v>
          </cell>
          <cell r="G38">
            <v>16177.88</v>
          </cell>
          <cell r="I38">
            <v>122415.78</v>
          </cell>
          <cell r="J38">
            <v>92107</v>
          </cell>
          <cell r="K38" t="str">
            <v>MP</v>
          </cell>
        </row>
        <row r="39">
          <cell r="A39" t="str">
            <v>993312-SLR</v>
          </cell>
          <cell r="B39">
            <v>11166</v>
          </cell>
          <cell r="C39">
            <v>800.44</v>
          </cell>
          <cell r="D39">
            <v>91.01</v>
          </cell>
          <cell r="E39">
            <v>530.85</v>
          </cell>
          <cell r="F39">
            <v>1290.69</v>
          </cell>
          <cell r="G39">
            <v>6437.76</v>
          </cell>
          <cell r="I39">
            <v>45092.58</v>
          </cell>
          <cell r="J39">
            <v>93020</v>
          </cell>
          <cell r="K39" t="str">
            <v>MP</v>
          </cell>
        </row>
        <row r="40">
          <cell r="A40" t="str">
            <v>993313-SLR</v>
          </cell>
          <cell r="B40">
            <v>11223</v>
          </cell>
          <cell r="C40">
            <v>1360.58</v>
          </cell>
          <cell r="D40">
            <v>108.1</v>
          </cell>
          <cell r="E40">
            <v>531.17999999999995</v>
          </cell>
          <cell r="F40">
            <v>349</v>
          </cell>
          <cell r="G40">
            <v>10290.73</v>
          </cell>
          <cell r="I40">
            <v>52693.06</v>
          </cell>
          <cell r="J40">
            <v>93018</v>
          </cell>
          <cell r="K40" t="str">
            <v>MP</v>
          </cell>
        </row>
        <row r="41">
          <cell r="A41" t="str">
            <v>993320-SLR</v>
          </cell>
          <cell r="B41">
            <v>11095</v>
          </cell>
          <cell r="C41">
            <v>1039.77</v>
          </cell>
          <cell r="D41">
            <v>144.27000000000001</v>
          </cell>
          <cell r="E41">
            <v>530.16</v>
          </cell>
          <cell r="F41">
            <v>804.57</v>
          </cell>
          <cell r="G41">
            <v>3413</v>
          </cell>
          <cell r="I41">
            <v>23194.5</v>
          </cell>
          <cell r="J41">
            <v>93165</v>
          </cell>
          <cell r="K41" t="str">
            <v>MP</v>
          </cell>
        </row>
        <row r="42">
          <cell r="A42" t="str">
            <v>993323-SLR</v>
          </cell>
          <cell r="B42">
            <v>11088</v>
          </cell>
          <cell r="C42">
            <v>5211.0200000000004</v>
          </cell>
          <cell r="D42">
            <v>152.65</v>
          </cell>
          <cell r="E42">
            <v>537.12</v>
          </cell>
          <cell r="F42">
            <v>815.9</v>
          </cell>
          <cell r="G42">
            <v>4727.59</v>
          </cell>
          <cell r="I42">
            <v>19518.38</v>
          </cell>
          <cell r="J42">
            <v>92418</v>
          </cell>
          <cell r="K42" t="str">
            <v>MP</v>
          </cell>
        </row>
        <row r="43">
          <cell r="A43" t="str">
            <v>993324-SLR</v>
          </cell>
          <cell r="B43">
            <v>11180</v>
          </cell>
          <cell r="C43">
            <v>194.11</v>
          </cell>
          <cell r="D43">
            <v>10.19</v>
          </cell>
          <cell r="E43">
            <v>530.85</v>
          </cell>
          <cell r="F43">
            <v>246.89</v>
          </cell>
          <cell r="G43">
            <v>969.77</v>
          </cell>
          <cell r="I43">
            <v>4899.75</v>
          </cell>
          <cell r="J43">
            <v>90402</v>
          </cell>
          <cell r="K43" t="str">
            <v>MP</v>
          </cell>
        </row>
        <row r="44">
          <cell r="A44" t="str">
            <v>993325-SLR</v>
          </cell>
          <cell r="B44">
            <v>11133</v>
          </cell>
          <cell r="C44">
            <v>615.99</v>
          </cell>
          <cell r="D44">
            <v>11.88</v>
          </cell>
          <cell r="E44">
            <v>530.16</v>
          </cell>
          <cell r="F44">
            <v>271.76</v>
          </cell>
          <cell r="G44">
            <v>773.33</v>
          </cell>
          <cell r="I44">
            <v>5320.83</v>
          </cell>
          <cell r="J44">
            <v>90219</v>
          </cell>
          <cell r="K44" t="str">
            <v>MP</v>
          </cell>
        </row>
        <row r="45">
          <cell r="A45" t="str">
            <v>993327-SLR</v>
          </cell>
          <cell r="B45">
            <v>11134</v>
          </cell>
          <cell r="C45">
            <v>241.22</v>
          </cell>
          <cell r="D45">
            <v>5.32</v>
          </cell>
          <cell r="E45">
            <v>530.16</v>
          </cell>
          <cell r="F45">
            <v>191.87</v>
          </cell>
          <cell r="G45">
            <v>505.17</v>
          </cell>
          <cell r="I45">
            <v>2412.23</v>
          </cell>
          <cell r="J45">
            <v>91178</v>
          </cell>
          <cell r="K45" t="str">
            <v>MP</v>
          </cell>
        </row>
        <row r="46">
          <cell r="A46" t="str">
            <v>993328-SLR</v>
          </cell>
          <cell r="B46">
            <v>11181</v>
          </cell>
          <cell r="C46">
            <v>172.53</v>
          </cell>
          <cell r="D46">
            <v>112.54</v>
          </cell>
          <cell r="E46">
            <v>530.85</v>
          </cell>
          <cell r="F46">
            <v>1528.54</v>
          </cell>
          <cell r="G46">
            <v>10745.48</v>
          </cell>
          <cell r="I46">
            <v>56270.1</v>
          </cell>
          <cell r="J46">
            <v>90685</v>
          </cell>
          <cell r="K46" t="str">
            <v>MP</v>
          </cell>
        </row>
        <row r="47">
          <cell r="A47" t="str">
            <v>993329-SLR</v>
          </cell>
          <cell r="B47">
            <v>11108</v>
          </cell>
          <cell r="C47">
            <v>172.3</v>
          </cell>
          <cell r="D47">
            <v>30.94</v>
          </cell>
          <cell r="E47">
            <v>530.16</v>
          </cell>
          <cell r="F47">
            <v>604.16999999999996</v>
          </cell>
          <cell r="G47">
            <v>3249.17</v>
          </cell>
          <cell r="I47">
            <v>15268.61</v>
          </cell>
          <cell r="J47">
            <v>90639</v>
          </cell>
          <cell r="K47" t="str">
            <v>MP</v>
          </cell>
        </row>
        <row r="48">
          <cell r="A48" t="str">
            <v>993331-SLR</v>
          </cell>
          <cell r="B48">
            <v>11178</v>
          </cell>
          <cell r="C48">
            <v>273.35000000000002</v>
          </cell>
          <cell r="D48">
            <v>1.22</v>
          </cell>
          <cell r="E48">
            <v>530.85</v>
          </cell>
          <cell r="F48">
            <v>145.87</v>
          </cell>
          <cell r="G48">
            <v>73.72</v>
          </cell>
          <cell r="I48">
            <v>339.74</v>
          </cell>
          <cell r="J48">
            <v>93256</v>
          </cell>
          <cell r="K48" t="str">
            <v>MP</v>
          </cell>
        </row>
        <row r="49">
          <cell r="A49" t="str">
            <v>993332-SLR</v>
          </cell>
          <cell r="B49">
            <v>11274</v>
          </cell>
          <cell r="C49">
            <v>1443.07</v>
          </cell>
          <cell r="D49">
            <v>59.52</v>
          </cell>
          <cell r="E49">
            <v>529.89</v>
          </cell>
          <cell r="F49">
            <v>927.1</v>
          </cell>
          <cell r="G49">
            <v>3877.21</v>
          </cell>
          <cell r="I49">
            <v>28322.09</v>
          </cell>
          <cell r="J49">
            <v>91620</v>
          </cell>
          <cell r="K49" t="str">
            <v>MP</v>
          </cell>
        </row>
        <row r="50">
          <cell r="A50" t="str">
            <v>993333-SLR</v>
          </cell>
          <cell r="B50">
            <v>11135</v>
          </cell>
          <cell r="C50">
            <v>512.03</v>
          </cell>
          <cell r="D50">
            <v>31.62</v>
          </cell>
          <cell r="E50">
            <v>530.16</v>
          </cell>
          <cell r="F50">
            <v>623.91</v>
          </cell>
          <cell r="G50">
            <v>3433.39</v>
          </cell>
          <cell r="I50">
            <v>15805.84</v>
          </cell>
          <cell r="J50">
            <v>90506</v>
          </cell>
          <cell r="K50" t="str">
            <v>MP</v>
          </cell>
        </row>
        <row r="51">
          <cell r="A51" t="str">
            <v>993334-SLR</v>
          </cell>
          <cell r="B51">
            <v>11192</v>
          </cell>
          <cell r="C51">
            <v>17493.05</v>
          </cell>
          <cell r="D51">
            <v>74.97</v>
          </cell>
          <cell r="E51">
            <v>527.25</v>
          </cell>
          <cell r="F51">
            <v>1101.1400000000001</v>
          </cell>
          <cell r="G51">
            <v>7136.32</v>
          </cell>
          <cell r="I51">
            <v>19991.560000000001</v>
          </cell>
          <cell r="J51">
            <v>92046</v>
          </cell>
          <cell r="K51" t="str">
            <v>MP</v>
          </cell>
        </row>
        <row r="52">
          <cell r="A52" t="str">
            <v>993335-SLR</v>
          </cell>
          <cell r="B52">
            <v>11122</v>
          </cell>
          <cell r="C52">
            <v>169.65</v>
          </cell>
          <cell r="D52">
            <v>2.2799999999999998</v>
          </cell>
          <cell r="E52">
            <v>530.16</v>
          </cell>
          <cell r="F52">
            <v>148.02000000000001</v>
          </cell>
          <cell r="G52">
            <v>99.35</v>
          </cell>
          <cell r="I52">
            <v>537.74</v>
          </cell>
          <cell r="J52">
            <v>93253</v>
          </cell>
          <cell r="K52" t="str">
            <v>MP</v>
          </cell>
        </row>
        <row r="53">
          <cell r="A53" t="str">
            <v>993337-SLR</v>
          </cell>
          <cell r="B53">
            <v>11126</v>
          </cell>
          <cell r="C53">
            <v>266.37</v>
          </cell>
          <cell r="D53">
            <v>1.27</v>
          </cell>
          <cell r="E53">
            <v>530.16</v>
          </cell>
          <cell r="F53">
            <v>146.1</v>
          </cell>
          <cell r="G53">
            <v>118.62</v>
          </cell>
          <cell r="I53">
            <v>356.68</v>
          </cell>
          <cell r="J53">
            <v>91868</v>
          </cell>
          <cell r="K53" t="str">
            <v>MP</v>
          </cell>
        </row>
        <row r="54">
          <cell r="A54" t="str">
            <v>993338-SLR</v>
          </cell>
          <cell r="B54">
            <v>11253</v>
          </cell>
          <cell r="C54">
            <v>247.43</v>
          </cell>
          <cell r="D54">
            <v>3.68</v>
          </cell>
          <cell r="E54">
            <v>531.17999999999995</v>
          </cell>
          <cell r="F54">
            <v>173.55</v>
          </cell>
          <cell r="G54">
            <v>387.38</v>
          </cell>
          <cell r="I54">
            <v>1593.54</v>
          </cell>
          <cell r="J54">
            <v>90071</v>
          </cell>
          <cell r="K54" t="str">
            <v>MP</v>
          </cell>
        </row>
        <row r="55">
          <cell r="A55" t="str">
            <v>993339-SLR</v>
          </cell>
          <cell r="B55">
            <v>0</v>
          </cell>
          <cell r="C55">
            <v>1729.38</v>
          </cell>
          <cell r="D55">
            <v>10.16</v>
          </cell>
          <cell r="E55">
            <v>530.16</v>
          </cell>
          <cell r="F55">
            <v>246.74</v>
          </cell>
          <cell r="G55">
            <v>968.53</v>
          </cell>
          <cell r="I55">
            <v>3357.68</v>
          </cell>
          <cell r="J55">
            <v>92046</v>
          </cell>
          <cell r="K55" t="str">
            <v>MP</v>
          </cell>
        </row>
        <row r="56">
          <cell r="A56" t="str">
            <v>993341-SLR</v>
          </cell>
          <cell r="B56">
            <v>11175</v>
          </cell>
          <cell r="C56">
            <v>150.21</v>
          </cell>
          <cell r="D56">
            <v>7.55</v>
          </cell>
          <cell r="E56">
            <v>530.16</v>
          </cell>
          <cell r="F56">
            <v>159.46</v>
          </cell>
          <cell r="G56">
            <v>170.53</v>
          </cell>
          <cell r="I56">
            <v>1060.32</v>
          </cell>
          <cell r="J56">
            <v>90097</v>
          </cell>
          <cell r="K56" t="str">
            <v>MP</v>
          </cell>
        </row>
        <row r="57">
          <cell r="A57" t="str">
            <v>993343-SLR</v>
          </cell>
          <cell r="B57">
            <v>11136</v>
          </cell>
          <cell r="C57">
            <v>141.38</v>
          </cell>
          <cell r="D57">
            <v>3.57</v>
          </cell>
          <cell r="E57">
            <v>530.16</v>
          </cell>
          <cell r="F57">
            <v>157.18</v>
          </cell>
          <cell r="G57">
            <v>156.37</v>
          </cell>
          <cell r="I57">
            <v>971.96</v>
          </cell>
          <cell r="J57">
            <v>92327</v>
          </cell>
          <cell r="K57" t="str">
            <v>MP</v>
          </cell>
        </row>
        <row r="58">
          <cell r="A58" t="str">
            <v>993344-SLR</v>
          </cell>
          <cell r="B58">
            <v>11137</v>
          </cell>
          <cell r="C58">
            <v>371.11</v>
          </cell>
          <cell r="D58">
            <v>9.3800000000000008</v>
          </cell>
          <cell r="E58">
            <v>530.16</v>
          </cell>
          <cell r="F58">
            <v>237.71</v>
          </cell>
          <cell r="G58">
            <v>892.24</v>
          </cell>
          <cell r="I58">
            <v>4315.5</v>
          </cell>
          <cell r="J58">
            <v>91591</v>
          </cell>
          <cell r="K58" t="str">
            <v>MP</v>
          </cell>
        </row>
        <row r="59">
          <cell r="A59" t="str">
            <v>993346-SLR</v>
          </cell>
          <cell r="B59">
            <v>11138</v>
          </cell>
          <cell r="C59">
            <v>172.3</v>
          </cell>
          <cell r="D59">
            <v>6.36</v>
          </cell>
          <cell r="E59">
            <v>530.16</v>
          </cell>
          <cell r="F59">
            <v>207.64</v>
          </cell>
          <cell r="G59">
            <v>470.35</v>
          </cell>
          <cell r="I59">
            <v>3180.96</v>
          </cell>
          <cell r="J59">
            <v>90697</v>
          </cell>
          <cell r="K59" t="str">
            <v>MP</v>
          </cell>
        </row>
        <row r="60">
          <cell r="A60" t="str">
            <v>993347-SLR</v>
          </cell>
          <cell r="B60">
            <v>11109</v>
          </cell>
          <cell r="C60">
            <v>141.38</v>
          </cell>
          <cell r="D60">
            <v>14.17</v>
          </cell>
          <cell r="E60">
            <v>530.16</v>
          </cell>
          <cell r="F60">
            <v>322.24</v>
          </cell>
          <cell r="G60">
            <v>1345.76</v>
          </cell>
          <cell r="I60">
            <v>6927.42</v>
          </cell>
          <cell r="J60">
            <v>90953</v>
          </cell>
          <cell r="K60" t="str">
            <v>MP</v>
          </cell>
        </row>
        <row r="61">
          <cell r="A61" t="str">
            <v>993348-SLR</v>
          </cell>
          <cell r="B61">
            <v>11139</v>
          </cell>
          <cell r="C61">
            <v>172.3</v>
          </cell>
          <cell r="D61">
            <v>2.19</v>
          </cell>
          <cell r="E61">
            <v>530.16</v>
          </cell>
          <cell r="F61">
            <v>156.65</v>
          </cell>
          <cell r="G61">
            <v>153.08000000000001</v>
          </cell>
          <cell r="I61">
            <v>918.94</v>
          </cell>
          <cell r="J61">
            <v>91682</v>
          </cell>
          <cell r="K61" t="str">
            <v>MP</v>
          </cell>
        </row>
        <row r="62">
          <cell r="A62" t="str">
            <v>993350-SLR</v>
          </cell>
          <cell r="B62">
            <v>11207</v>
          </cell>
          <cell r="C62">
            <v>2417.27</v>
          </cell>
          <cell r="D62">
            <v>56.38</v>
          </cell>
          <cell r="E62">
            <v>527.25</v>
          </cell>
          <cell r="F62">
            <v>891.67</v>
          </cell>
          <cell r="G62">
            <v>4996.9399999999996</v>
          </cell>
          <cell r="I62">
            <v>25776.37</v>
          </cell>
          <cell r="J62">
            <v>92251</v>
          </cell>
          <cell r="K62" t="str">
            <v>MP</v>
          </cell>
        </row>
        <row r="63">
          <cell r="A63" t="str">
            <v>993351-SLR</v>
          </cell>
          <cell r="B63">
            <v>11209</v>
          </cell>
          <cell r="C63">
            <v>2098.66</v>
          </cell>
          <cell r="D63">
            <v>196.89</v>
          </cell>
          <cell r="E63">
            <v>527.25</v>
          </cell>
          <cell r="F63">
            <v>2475.61</v>
          </cell>
          <cell r="G63">
            <v>12824.14</v>
          </cell>
          <cell r="I63">
            <v>96351.64</v>
          </cell>
          <cell r="J63">
            <v>91384</v>
          </cell>
          <cell r="K63" t="str">
            <v>MP</v>
          </cell>
        </row>
        <row r="64">
          <cell r="A64" t="str">
            <v>993352-SLR</v>
          </cell>
          <cell r="B64">
            <v>11110</v>
          </cell>
          <cell r="C64">
            <v>463.69</v>
          </cell>
          <cell r="D64">
            <v>15.69</v>
          </cell>
          <cell r="E64">
            <v>530.16</v>
          </cell>
          <cell r="F64">
            <v>352.09</v>
          </cell>
          <cell r="G64">
            <v>1395.69</v>
          </cell>
          <cell r="I64">
            <v>7274.47</v>
          </cell>
          <cell r="J64">
            <v>92088</v>
          </cell>
          <cell r="K64" t="str">
            <v>MP</v>
          </cell>
        </row>
        <row r="65">
          <cell r="A65" t="str">
            <v>993355-SLR</v>
          </cell>
          <cell r="B65">
            <v>11423</v>
          </cell>
          <cell r="C65">
            <v>393.9</v>
          </cell>
          <cell r="D65">
            <v>46.93</v>
          </cell>
          <cell r="E65">
            <v>477</v>
          </cell>
          <cell r="F65">
            <v>793.93</v>
          </cell>
          <cell r="G65">
            <v>3346.83</v>
          </cell>
          <cell r="I65">
            <v>23465.1</v>
          </cell>
          <cell r="J65">
            <v>92271</v>
          </cell>
          <cell r="K65" t="str">
            <v>MP</v>
          </cell>
        </row>
        <row r="66">
          <cell r="A66" t="str">
            <v>993356-SLR</v>
          </cell>
          <cell r="B66">
            <v>11111</v>
          </cell>
          <cell r="C66">
            <v>305.11</v>
          </cell>
          <cell r="D66">
            <v>7.07</v>
          </cell>
          <cell r="E66">
            <v>530.16</v>
          </cell>
          <cell r="F66">
            <v>218.6</v>
          </cell>
          <cell r="G66">
            <v>423.12</v>
          </cell>
          <cell r="I66">
            <v>3534.4</v>
          </cell>
          <cell r="J66">
            <v>93252</v>
          </cell>
          <cell r="K66" t="str">
            <v>MP</v>
          </cell>
        </row>
        <row r="67">
          <cell r="A67" t="str">
            <v>993357-SLR</v>
          </cell>
          <cell r="B67">
            <v>11140</v>
          </cell>
          <cell r="C67">
            <v>1952.84</v>
          </cell>
          <cell r="D67">
            <v>12.87</v>
          </cell>
          <cell r="E67">
            <v>530.16</v>
          </cell>
          <cell r="F67">
            <v>293.91000000000003</v>
          </cell>
          <cell r="G67">
            <v>838.01</v>
          </cell>
          <cell r="I67">
            <v>4480.49</v>
          </cell>
          <cell r="J67">
            <v>93276</v>
          </cell>
          <cell r="K67" t="str">
            <v>MP</v>
          </cell>
        </row>
        <row r="68">
          <cell r="A68" t="str">
            <v>993358-SLR</v>
          </cell>
          <cell r="B68">
            <v>11141</v>
          </cell>
          <cell r="C68">
            <v>544.6</v>
          </cell>
          <cell r="D68">
            <v>1.63</v>
          </cell>
          <cell r="E68">
            <v>530.16</v>
          </cell>
          <cell r="F68">
            <v>150.38</v>
          </cell>
          <cell r="G68">
            <v>97.78</v>
          </cell>
          <cell r="I68">
            <v>268.61</v>
          </cell>
          <cell r="J68">
            <v>92302</v>
          </cell>
          <cell r="K68" t="str">
            <v>MP</v>
          </cell>
        </row>
        <row r="69">
          <cell r="A69" t="str">
            <v>993359-SLR</v>
          </cell>
          <cell r="B69">
            <v>11255</v>
          </cell>
          <cell r="C69">
            <v>944.44</v>
          </cell>
          <cell r="D69">
            <v>9.76</v>
          </cell>
          <cell r="E69">
            <v>531.17999999999995</v>
          </cell>
          <cell r="F69">
            <v>242.12</v>
          </cell>
          <cell r="G69">
            <v>635.97</v>
          </cell>
          <cell r="I69">
            <v>3937.89</v>
          </cell>
          <cell r="J69">
            <v>93276</v>
          </cell>
          <cell r="K69" t="str">
            <v>MP</v>
          </cell>
        </row>
        <row r="70">
          <cell r="A70" t="str">
            <v>993360-SLR</v>
          </cell>
          <cell r="B70">
            <v>11112</v>
          </cell>
          <cell r="C70">
            <v>141.38</v>
          </cell>
          <cell r="D70">
            <v>0.65</v>
          </cell>
          <cell r="E70">
            <v>530.16</v>
          </cell>
          <cell r="F70">
            <v>139.44</v>
          </cell>
          <cell r="G70">
            <v>62.44</v>
          </cell>
          <cell r="I70">
            <v>186.62</v>
          </cell>
          <cell r="J70">
            <v>90219</v>
          </cell>
          <cell r="K70" t="str">
            <v>MP</v>
          </cell>
        </row>
        <row r="71">
          <cell r="A71" t="str">
            <v>993361-SLR</v>
          </cell>
          <cell r="B71">
            <v>11177</v>
          </cell>
          <cell r="C71">
            <v>169.85</v>
          </cell>
          <cell r="D71">
            <v>3.04</v>
          </cell>
          <cell r="E71">
            <v>530.85</v>
          </cell>
          <cell r="F71">
            <v>166.28</v>
          </cell>
          <cell r="G71">
            <v>182.54</v>
          </cell>
          <cell r="I71">
            <v>1348.27</v>
          </cell>
          <cell r="J71">
            <v>93112</v>
          </cell>
          <cell r="K71" t="str">
            <v>MP</v>
          </cell>
        </row>
        <row r="72">
          <cell r="A72" t="str">
            <v>993364-SLR</v>
          </cell>
          <cell r="B72">
            <v>11097</v>
          </cell>
          <cell r="C72">
            <v>200.95</v>
          </cell>
          <cell r="D72">
            <v>6.34</v>
          </cell>
          <cell r="E72">
            <v>530.16</v>
          </cell>
          <cell r="F72">
            <v>203.51</v>
          </cell>
          <cell r="G72">
            <v>444.67</v>
          </cell>
          <cell r="I72">
            <v>2968.9</v>
          </cell>
          <cell r="J72">
            <v>91750</v>
          </cell>
          <cell r="K72" t="str">
            <v>MP</v>
          </cell>
        </row>
        <row r="73">
          <cell r="A73" t="str">
            <v>993365-SLR</v>
          </cell>
          <cell r="B73">
            <v>11113</v>
          </cell>
          <cell r="C73">
            <v>194.39</v>
          </cell>
          <cell r="D73">
            <v>7.76</v>
          </cell>
          <cell r="E73">
            <v>530.16</v>
          </cell>
          <cell r="F73">
            <v>219.3</v>
          </cell>
          <cell r="G73">
            <v>736.81</v>
          </cell>
          <cell r="I73">
            <v>3675.78</v>
          </cell>
          <cell r="J73">
            <v>91978</v>
          </cell>
          <cell r="K73" t="str">
            <v>MP</v>
          </cell>
        </row>
        <row r="74">
          <cell r="A74" t="str">
            <v>993366-SLR</v>
          </cell>
          <cell r="B74">
            <v>11114</v>
          </cell>
          <cell r="C74">
            <v>463.69</v>
          </cell>
          <cell r="D74">
            <v>7.05</v>
          </cell>
          <cell r="E74">
            <v>530.16</v>
          </cell>
          <cell r="F74">
            <v>220.92</v>
          </cell>
          <cell r="G74">
            <v>750.49</v>
          </cell>
          <cell r="I74">
            <v>3479.23</v>
          </cell>
          <cell r="J74">
            <v>91437</v>
          </cell>
          <cell r="K74" t="str">
            <v>MP</v>
          </cell>
        </row>
        <row r="75">
          <cell r="A75" t="str">
            <v>993367-SLR</v>
          </cell>
          <cell r="B75">
            <v>11142</v>
          </cell>
          <cell r="C75">
            <v>463.69</v>
          </cell>
          <cell r="D75">
            <v>2.69</v>
          </cell>
          <cell r="E75">
            <v>530.16</v>
          </cell>
          <cell r="F75">
            <v>172.43</v>
          </cell>
          <cell r="G75">
            <v>341.38</v>
          </cell>
          <cell r="I75">
            <v>1330.37</v>
          </cell>
          <cell r="J75">
            <v>91553</v>
          </cell>
          <cell r="K75" t="str">
            <v>MP</v>
          </cell>
        </row>
        <row r="76">
          <cell r="A76" t="str">
            <v>993368-SLR</v>
          </cell>
          <cell r="B76">
            <v>11197</v>
          </cell>
          <cell r="C76">
            <v>2802.01</v>
          </cell>
          <cell r="D76">
            <v>54.31</v>
          </cell>
          <cell r="E76">
            <v>527.25</v>
          </cell>
          <cell r="F76">
            <v>870.79</v>
          </cell>
          <cell r="G76">
            <v>5056.9399999999996</v>
          </cell>
          <cell r="I76">
            <v>24465.53</v>
          </cell>
          <cell r="J76">
            <v>92336</v>
          </cell>
          <cell r="K76" t="str">
            <v>MP</v>
          </cell>
        </row>
        <row r="77">
          <cell r="A77" t="str">
            <v>993369-SLR</v>
          </cell>
          <cell r="B77">
            <v>11168</v>
          </cell>
          <cell r="C77">
            <v>1781.07</v>
          </cell>
          <cell r="D77">
            <v>124.27</v>
          </cell>
          <cell r="E77">
            <v>530.85</v>
          </cell>
          <cell r="F77">
            <v>1698.15</v>
          </cell>
          <cell r="G77">
            <v>8332.1200000000008</v>
          </cell>
          <cell r="I77">
            <v>62187.92</v>
          </cell>
          <cell r="J77">
            <v>92076</v>
          </cell>
          <cell r="K77" t="str">
            <v>MP</v>
          </cell>
        </row>
        <row r="78">
          <cell r="A78" t="str">
            <v>993370-SLR</v>
          </cell>
          <cell r="B78">
            <v>11115</v>
          </cell>
          <cell r="C78">
            <v>269.7</v>
          </cell>
          <cell r="D78">
            <v>0.85</v>
          </cell>
          <cell r="E78">
            <v>530.16</v>
          </cell>
          <cell r="F78">
            <v>141.52000000000001</v>
          </cell>
          <cell r="G78">
            <v>79.94</v>
          </cell>
          <cell r="I78">
            <v>150.18</v>
          </cell>
          <cell r="J78">
            <v>91163</v>
          </cell>
          <cell r="K78" t="str">
            <v>MP</v>
          </cell>
        </row>
        <row r="79">
          <cell r="A79" t="str">
            <v>993371-SLR</v>
          </cell>
          <cell r="B79">
            <v>11210</v>
          </cell>
          <cell r="C79">
            <v>264.01</v>
          </cell>
          <cell r="D79">
            <v>5.38</v>
          </cell>
          <cell r="E79">
            <v>527.25</v>
          </cell>
          <cell r="F79">
            <v>192.72</v>
          </cell>
          <cell r="G79">
            <v>512.37</v>
          </cell>
          <cell r="I79">
            <v>2427.2800000000002</v>
          </cell>
          <cell r="J79">
            <v>92340</v>
          </cell>
          <cell r="K79" t="str">
            <v>MP</v>
          </cell>
        </row>
        <row r="80">
          <cell r="A80" t="str">
            <v>993372-SLR</v>
          </cell>
          <cell r="B80">
            <v>11211</v>
          </cell>
          <cell r="C80">
            <v>264.01</v>
          </cell>
          <cell r="D80">
            <v>0.76</v>
          </cell>
          <cell r="E80">
            <v>527.25</v>
          </cell>
          <cell r="F80">
            <v>140.57</v>
          </cell>
          <cell r="G80">
            <v>71.94</v>
          </cell>
          <cell r="I80">
            <v>113.89</v>
          </cell>
          <cell r="J80">
            <v>91975</v>
          </cell>
          <cell r="K80" t="str">
            <v>MP</v>
          </cell>
        </row>
        <row r="81">
          <cell r="A81" t="str">
            <v>993373-SLR</v>
          </cell>
          <cell r="B81">
            <v>11254</v>
          </cell>
          <cell r="C81">
            <v>266.37</v>
          </cell>
          <cell r="D81">
            <v>3.04</v>
          </cell>
          <cell r="E81">
            <v>530.16</v>
          </cell>
          <cell r="F81">
            <v>165.92</v>
          </cell>
          <cell r="G81">
            <v>283.01</v>
          </cell>
          <cell r="I81">
            <v>1235.8800000000001</v>
          </cell>
          <cell r="J81">
            <v>93046</v>
          </cell>
          <cell r="K81" t="str">
            <v>MP</v>
          </cell>
        </row>
        <row r="82">
          <cell r="A82" t="str">
            <v>993375-SLR</v>
          </cell>
          <cell r="B82">
            <v>11169</v>
          </cell>
          <cell r="C82">
            <v>161.02000000000001</v>
          </cell>
          <cell r="D82">
            <v>32.17</v>
          </cell>
          <cell r="E82">
            <v>530.85</v>
          </cell>
          <cell r="F82">
            <v>618.73</v>
          </cell>
          <cell r="G82">
            <v>2256.62</v>
          </cell>
          <cell r="I82">
            <v>15925.5</v>
          </cell>
          <cell r="J82">
            <v>91750</v>
          </cell>
          <cell r="K82" t="str">
            <v>MP</v>
          </cell>
        </row>
        <row r="83">
          <cell r="A83" t="str">
            <v>993376-SLR</v>
          </cell>
          <cell r="B83">
            <v>11098</v>
          </cell>
          <cell r="C83">
            <v>34777.79</v>
          </cell>
          <cell r="D83">
            <v>96.97</v>
          </cell>
          <cell r="E83">
            <v>530.16</v>
          </cell>
          <cell r="F83">
            <v>1346.97</v>
          </cell>
          <cell r="G83">
            <v>5818.22</v>
          </cell>
          <cell r="I83">
            <v>13610.41</v>
          </cell>
          <cell r="J83">
            <v>93086</v>
          </cell>
          <cell r="K83" t="str">
            <v>MP</v>
          </cell>
        </row>
        <row r="84">
          <cell r="A84" t="str">
            <v>993381-SLR</v>
          </cell>
          <cell r="B84">
            <v>11116</v>
          </cell>
          <cell r="C84">
            <v>194.39</v>
          </cell>
          <cell r="D84">
            <v>3.92</v>
          </cell>
          <cell r="E84">
            <v>530.16</v>
          </cell>
          <cell r="F84">
            <v>176.27</v>
          </cell>
          <cell r="G84">
            <v>373.45</v>
          </cell>
          <cell r="I84">
            <v>1767.2</v>
          </cell>
          <cell r="J84">
            <v>92258</v>
          </cell>
          <cell r="K84" t="str">
            <v>MP</v>
          </cell>
        </row>
        <row r="85">
          <cell r="A85" t="str">
            <v>993382-SLR</v>
          </cell>
          <cell r="B85">
            <v>11212</v>
          </cell>
          <cell r="C85">
            <v>237.26</v>
          </cell>
          <cell r="D85">
            <v>104.38</v>
          </cell>
          <cell r="E85">
            <v>527.25</v>
          </cell>
          <cell r="F85">
            <v>1432.65</v>
          </cell>
          <cell r="G85">
            <v>9588.8700000000008</v>
          </cell>
          <cell r="I85">
            <v>51951.7</v>
          </cell>
          <cell r="J85">
            <v>91981</v>
          </cell>
          <cell r="K85" t="str">
            <v>MP</v>
          </cell>
        </row>
        <row r="86">
          <cell r="A86" t="str">
            <v>993383-SLR</v>
          </cell>
          <cell r="B86">
            <v>11193</v>
          </cell>
          <cell r="C86">
            <v>989.15</v>
          </cell>
          <cell r="D86">
            <v>12.65</v>
          </cell>
          <cell r="E86">
            <v>530.85</v>
          </cell>
          <cell r="F86">
            <v>289</v>
          </cell>
          <cell r="G86">
            <v>1023.94</v>
          </cell>
          <cell r="I86">
            <v>5334.37</v>
          </cell>
          <cell r="J86">
            <v>90219</v>
          </cell>
          <cell r="K86" t="str">
            <v>MP</v>
          </cell>
        </row>
        <row r="87">
          <cell r="A87" t="str">
            <v>993385-SLR</v>
          </cell>
          <cell r="B87">
            <v>11099</v>
          </cell>
          <cell r="C87">
            <v>150.21</v>
          </cell>
          <cell r="D87">
            <v>17.8</v>
          </cell>
          <cell r="E87">
            <v>530.16</v>
          </cell>
          <cell r="F87">
            <v>403</v>
          </cell>
          <cell r="G87">
            <v>1245.72</v>
          </cell>
          <cell r="I87">
            <v>8729.9699999999993</v>
          </cell>
          <cell r="J87">
            <v>90097</v>
          </cell>
          <cell r="K87" t="str">
            <v>MP</v>
          </cell>
        </row>
        <row r="88">
          <cell r="A88" t="str">
            <v>993386-SLR</v>
          </cell>
          <cell r="B88">
            <v>11213</v>
          </cell>
          <cell r="C88">
            <v>474.09</v>
          </cell>
          <cell r="D88">
            <v>446.48</v>
          </cell>
          <cell r="E88">
            <v>527.25</v>
          </cell>
          <cell r="F88">
            <v>5288.93</v>
          </cell>
          <cell r="G88">
            <v>6710.51</v>
          </cell>
          <cell r="I88">
            <v>222763.13</v>
          </cell>
          <cell r="J88">
            <v>93176</v>
          </cell>
          <cell r="K88" t="str">
            <v>MP</v>
          </cell>
        </row>
        <row r="89">
          <cell r="A89" t="str">
            <v>993387-SLR</v>
          </cell>
          <cell r="B89">
            <v>11242</v>
          </cell>
          <cell r="C89">
            <v>433.8</v>
          </cell>
          <cell r="D89">
            <v>32.76</v>
          </cell>
          <cell r="E89">
            <v>531.17999999999995</v>
          </cell>
          <cell r="F89">
            <v>625.29</v>
          </cell>
          <cell r="G89">
            <v>1680.76</v>
          </cell>
          <cell r="I89">
            <v>15944.25</v>
          </cell>
          <cell r="J89">
            <v>90061</v>
          </cell>
          <cell r="K89" t="str">
            <v>MP</v>
          </cell>
        </row>
        <row r="90">
          <cell r="A90" t="str">
            <v>993388-SLR</v>
          </cell>
          <cell r="B90">
            <v>11259</v>
          </cell>
          <cell r="C90">
            <v>340.84</v>
          </cell>
          <cell r="D90">
            <v>33.06</v>
          </cell>
          <cell r="E90">
            <v>531.17999999999995</v>
          </cell>
          <cell r="F90">
            <v>628.66999999999996</v>
          </cell>
          <cell r="G90">
            <v>2318.5</v>
          </cell>
          <cell r="I90">
            <v>16186.83</v>
          </cell>
          <cell r="J90">
            <v>90083</v>
          </cell>
          <cell r="K90" t="str">
            <v>MP</v>
          </cell>
        </row>
        <row r="91">
          <cell r="A91" t="str">
            <v>993389-SLR</v>
          </cell>
          <cell r="B91">
            <v>11087</v>
          </cell>
          <cell r="C91">
            <v>141.38</v>
          </cell>
          <cell r="D91">
            <v>11.88</v>
          </cell>
          <cell r="E91">
            <v>530.16</v>
          </cell>
          <cell r="F91">
            <v>278.10000000000002</v>
          </cell>
          <cell r="G91">
            <v>1157.3</v>
          </cell>
          <cell r="I91">
            <v>5937.79</v>
          </cell>
          <cell r="J91">
            <v>90953</v>
          </cell>
          <cell r="K91" t="str">
            <v>MP</v>
          </cell>
        </row>
        <row r="92">
          <cell r="A92" t="str">
            <v>993390-SLR</v>
          </cell>
          <cell r="B92">
            <v>11184</v>
          </cell>
          <cell r="C92">
            <v>946.68</v>
          </cell>
          <cell r="D92">
            <v>314.88</v>
          </cell>
          <cell r="E92">
            <v>530.85</v>
          </cell>
          <cell r="F92">
            <v>3798.43</v>
          </cell>
          <cell r="G92">
            <v>22041.29</v>
          </cell>
          <cell r="I92">
            <v>156177.84</v>
          </cell>
          <cell r="J92">
            <v>90062</v>
          </cell>
          <cell r="K92" t="str">
            <v>MP</v>
          </cell>
        </row>
        <row r="93">
          <cell r="A93" t="str">
            <v>993391-SLR</v>
          </cell>
          <cell r="B93">
            <v>11170</v>
          </cell>
          <cell r="C93">
            <v>197.53</v>
          </cell>
          <cell r="D93">
            <v>90.1</v>
          </cell>
          <cell r="E93">
            <v>530.85</v>
          </cell>
          <cell r="F93">
            <v>1271.81</v>
          </cell>
          <cell r="G93">
            <v>6320.22</v>
          </cell>
          <cell r="I93">
            <v>44856.83</v>
          </cell>
          <cell r="J93">
            <v>91360</v>
          </cell>
          <cell r="K93" t="str">
            <v>MP</v>
          </cell>
        </row>
        <row r="94">
          <cell r="A94" t="str">
            <v>993393-SLR</v>
          </cell>
          <cell r="B94">
            <v>11155</v>
          </cell>
          <cell r="C94">
            <v>172.53</v>
          </cell>
          <cell r="D94">
            <v>5.84</v>
          </cell>
          <cell r="E94">
            <v>530.85</v>
          </cell>
          <cell r="F94">
            <v>201.76</v>
          </cell>
          <cell r="G94">
            <v>433.73</v>
          </cell>
          <cell r="I94">
            <v>2919.68</v>
          </cell>
          <cell r="J94">
            <v>90236</v>
          </cell>
          <cell r="K94" t="str">
            <v>MP</v>
          </cell>
        </row>
        <row r="95">
          <cell r="A95" t="str">
            <v>993395-SLR</v>
          </cell>
          <cell r="B95">
            <v>11363</v>
          </cell>
          <cell r="C95">
            <v>3090.65</v>
          </cell>
          <cell r="D95">
            <v>31.36</v>
          </cell>
          <cell r="E95">
            <v>537.33000000000004</v>
          </cell>
          <cell r="F95">
            <v>150</v>
          </cell>
          <cell r="G95">
            <v>2593.02</v>
          </cell>
          <cell r="I95">
            <v>12592.87</v>
          </cell>
          <cell r="J95">
            <v>93038</v>
          </cell>
          <cell r="K95" t="str">
            <v>MP</v>
          </cell>
        </row>
        <row r="96">
          <cell r="A96" t="str">
            <v>993397-SLR</v>
          </cell>
          <cell r="B96">
            <v>11325</v>
          </cell>
          <cell r="C96">
            <v>9515.76</v>
          </cell>
          <cell r="D96">
            <v>162.33000000000001</v>
          </cell>
          <cell r="E96">
            <v>537.33000000000004</v>
          </cell>
          <cell r="F96">
            <v>2085.8000000000002</v>
          </cell>
          <cell r="G96">
            <v>10571.87</v>
          </cell>
          <cell r="I96">
            <v>71644</v>
          </cell>
          <cell r="J96">
            <v>92016</v>
          </cell>
          <cell r="K96" t="str">
            <v>MP</v>
          </cell>
        </row>
        <row r="97">
          <cell r="A97" t="str">
            <v>993398-SLR</v>
          </cell>
          <cell r="B97">
            <v>11214</v>
          </cell>
          <cell r="C97">
            <v>216.24</v>
          </cell>
          <cell r="D97">
            <v>0.91</v>
          </cell>
          <cell r="E97">
            <v>527.25</v>
          </cell>
          <cell r="F97">
            <v>142.16</v>
          </cell>
          <cell r="G97">
            <v>85.43</v>
          </cell>
          <cell r="I97">
            <v>232.46</v>
          </cell>
          <cell r="J97">
            <v>90338</v>
          </cell>
          <cell r="K97" t="str">
            <v>MP</v>
          </cell>
        </row>
        <row r="98">
          <cell r="A98" t="str">
            <v>993399-SLR</v>
          </cell>
          <cell r="B98">
            <v>11328</v>
          </cell>
          <cell r="C98">
            <v>2190.59</v>
          </cell>
          <cell r="D98">
            <v>14.78</v>
          </cell>
          <cell r="E98">
            <v>477</v>
          </cell>
          <cell r="F98">
            <v>336.65</v>
          </cell>
          <cell r="G98">
            <v>1407.28</v>
          </cell>
          <cell r="I98">
            <v>5201.3500000000004</v>
          </cell>
          <cell r="J98">
            <v>93011</v>
          </cell>
          <cell r="K98" t="str">
            <v>MP</v>
          </cell>
        </row>
        <row r="99">
          <cell r="A99" t="str">
            <v>993400-SLR</v>
          </cell>
          <cell r="B99">
            <v>11216</v>
          </cell>
          <cell r="C99">
            <v>205.17</v>
          </cell>
          <cell r="D99">
            <v>1.78</v>
          </cell>
          <cell r="E99">
            <v>527.25</v>
          </cell>
          <cell r="F99">
            <v>152.13</v>
          </cell>
          <cell r="G99">
            <v>107.08</v>
          </cell>
          <cell r="I99">
            <v>685.43</v>
          </cell>
          <cell r="J99">
            <v>93072</v>
          </cell>
          <cell r="K99" t="str">
            <v>MP</v>
          </cell>
        </row>
        <row r="100">
          <cell r="A100" t="str">
            <v>993402-SLR</v>
          </cell>
          <cell r="B100">
            <v>11544</v>
          </cell>
          <cell r="C100">
            <v>0</v>
          </cell>
          <cell r="D100">
            <v>0</v>
          </cell>
          <cell r="E100">
            <v>0</v>
          </cell>
          <cell r="F100">
            <v>10</v>
          </cell>
          <cell r="G100">
            <v>229.62</v>
          </cell>
          <cell r="I100">
            <v>382.79</v>
          </cell>
          <cell r="J100">
            <v>93104</v>
          </cell>
          <cell r="K100" t="str">
            <v>MP</v>
          </cell>
        </row>
        <row r="101">
          <cell r="A101" t="str">
            <v>993404-SLR</v>
          </cell>
          <cell r="B101">
            <v>11191</v>
          </cell>
          <cell r="C101">
            <v>205.35</v>
          </cell>
          <cell r="D101">
            <v>0.85</v>
          </cell>
          <cell r="E101">
            <v>530.85</v>
          </cell>
          <cell r="F101">
            <v>141.59</v>
          </cell>
          <cell r="G101">
            <v>80.53</v>
          </cell>
          <cell r="I101">
            <v>217.65</v>
          </cell>
          <cell r="J101">
            <v>90710</v>
          </cell>
          <cell r="K101" t="str">
            <v>MP</v>
          </cell>
        </row>
        <row r="102">
          <cell r="A102" t="str">
            <v>993405-SLR</v>
          </cell>
          <cell r="B102">
            <v>11123</v>
          </cell>
          <cell r="C102">
            <v>141.38</v>
          </cell>
          <cell r="D102">
            <v>23.7</v>
          </cell>
          <cell r="E102">
            <v>530.16</v>
          </cell>
          <cell r="F102">
            <v>523.15</v>
          </cell>
          <cell r="G102">
            <v>2255.4899999999998</v>
          </cell>
          <cell r="I102">
            <v>11705.93</v>
          </cell>
          <cell r="J102">
            <v>90856</v>
          </cell>
          <cell r="K102" t="str">
            <v>MP</v>
          </cell>
        </row>
        <row r="103">
          <cell r="A103" t="str">
            <v>993406-SLR</v>
          </cell>
          <cell r="B103">
            <v>11296</v>
          </cell>
          <cell r="C103">
            <v>229.03</v>
          </cell>
          <cell r="D103">
            <v>3.2</v>
          </cell>
          <cell r="E103">
            <v>532.62</v>
          </cell>
          <cell r="F103">
            <v>168.15</v>
          </cell>
          <cell r="G103">
            <v>304.86</v>
          </cell>
          <cell r="I103">
            <v>1372.33</v>
          </cell>
          <cell r="J103">
            <v>90322</v>
          </cell>
          <cell r="K103" t="str">
            <v>MP</v>
          </cell>
        </row>
        <row r="104">
          <cell r="A104" t="str">
            <v>993408-SLR</v>
          </cell>
          <cell r="B104">
            <v>11217</v>
          </cell>
          <cell r="C104">
            <v>203.87</v>
          </cell>
          <cell r="D104">
            <v>3.99</v>
          </cell>
          <cell r="E104">
            <v>527.25</v>
          </cell>
          <cell r="F104">
            <v>177.06</v>
          </cell>
          <cell r="G104">
            <v>420.11</v>
          </cell>
          <cell r="I104">
            <v>1792.65</v>
          </cell>
          <cell r="J104">
            <v>92281</v>
          </cell>
          <cell r="K104" t="str">
            <v>MP</v>
          </cell>
        </row>
        <row r="105">
          <cell r="A105" t="str">
            <v>993409-SLR</v>
          </cell>
          <cell r="B105">
            <v>11117</v>
          </cell>
          <cell r="C105">
            <v>178.49</v>
          </cell>
          <cell r="D105">
            <v>22.14</v>
          </cell>
          <cell r="E105">
            <v>530.16</v>
          </cell>
          <cell r="F105">
            <v>499.62</v>
          </cell>
          <cell r="G105">
            <v>1549.65</v>
          </cell>
          <cell r="I105">
            <v>10868.28</v>
          </cell>
          <cell r="J105">
            <v>91323</v>
          </cell>
          <cell r="K105" t="str">
            <v>MP</v>
          </cell>
        </row>
        <row r="106">
          <cell r="A106" t="str">
            <v>993410-SLR</v>
          </cell>
          <cell r="B106">
            <v>11203</v>
          </cell>
          <cell r="C106">
            <v>1987.35</v>
          </cell>
          <cell r="D106">
            <v>57.22</v>
          </cell>
          <cell r="E106">
            <v>527.25</v>
          </cell>
          <cell r="F106">
            <v>901.2</v>
          </cell>
          <cell r="G106">
            <v>5447.93</v>
          </cell>
          <cell r="I106">
            <v>26628.76</v>
          </cell>
          <cell r="J106">
            <v>91178</v>
          </cell>
          <cell r="K106" t="str">
            <v>MP</v>
          </cell>
        </row>
        <row r="107">
          <cell r="A107" t="str">
            <v>993411-SLR</v>
          </cell>
          <cell r="B107">
            <v>11202</v>
          </cell>
          <cell r="C107">
            <v>134.51</v>
          </cell>
          <cell r="D107">
            <v>10.46</v>
          </cell>
          <cell r="E107">
            <v>527.25</v>
          </cell>
          <cell r="F107">
            <v>249.81</v>
          </cell>
          <cell r="G107">
            <v>1046.78</v>
          </cell>
          <cell r="I107">
            <v>5088.93</v>
          </cell>
          <cell r="J107">
            <v>93238</v>
          </cell>
          <cell r="K107" t="str">
            <v>MP</v>
          </cell>
        </row>
        <row r="108">
          <cell r="A108" t="str">
            <v>993412-SLR</v>
          </cell>
          <cell r="B108">
            <v>11218</v>
          </cell>
          <cell r="C108">
            <v>344.88</v>
          </cell>
          <cell r="D108">
            <v>1.83</v>
          </cell>
          <cell r="E108">
            <v>527.25</v>
          </cell>
          <cell r="F108">
            <v>152.5</v>
          </cell>
          <cell r="G108">
            <v>172.74</v>
          </cell>
          <cell r="I108">
            <v>562.45000000000005</v>
          </cell>
          <cell r="J108">
            <v>90257</v>
          </cell>
          <cell r="K108" t="str">
            <v>MP</v>
          </cell>
        </row>
        <row r="109">
          <cell r="A109" t="str">
            <v>993413-SLR</v>
          </cell>
          <cell r="B109">
            <v>11144</v>
          </cell>
          <cell r="C109">
            <v>192.97</v>
          </cell>
          <cell r="D109">
            <v>5.44</v>
          </cell>
          <cell r="E109">
            <v>530.16</v>
          </cell>
          <cell r="F109">
            <v>193.54</v>
          </cell>
          <cell r="G109">
            <v>573.87</v>
          </cell>
          <cell r="I109">
            <v>2534.3000000000002</v>
          </cell>
          <cell r="J109">
            <v>90424</v>
          </cell>
          <cell r="K109" t="str">
            <v>MP</v>
          </cell>
        </row>
        <row r="110">
          <cell r="A110" t="str">
            <v>993414-SLR</v>
          </cell>
          <cell r="B110">
            <v>11145</v>
          </cell>
          <cell r="C110">
            <v>158.86000000000001</v>
          </cell>
          <cell r="D110">
            <v>1.98</v>
          </cell>
          <cell r="E110">
            <v>530.16</v>
          </cell>
          <cell r="F110">
            <v>154.16999999999999</v>
          </cell>
          <cell r="G110">
            <v>137.65</v>
          </cell>
          <cell r="I110">
            <v>822.34</v>
          </cell>
          <cell r="J110">
            <v>93081</v>
          </cell>
          <cell r="K110" t="str">
            <v>MP</v>
          </cell>
        </row>
        <row r="111">
          <cell r="A111" t="str">
            <v>993415-SLR</v>
          </cell>
          <cell r="B111">
            <v>11148</v>
          </cell>
          <cell r="C111">
            <v>196.24</v>
          </cell>
          <cell r="D111">
            <v>27.71</v>
          </cell>
          <cell r="E111">
            <v>530.16</v>
          </cell>
          <cell r="F111">
            <v>564.28</v>
          </cell>
          <cell r="G111">
            <v>2602.83</v>
          </cell>
          <cell r="I111">
            <v>13475.17</v>
          </cell>
          <cell r="J111">
            <v>90686</v>
          </cell>
          <cell r="K111" t="str">
            <v>MP</v>
          </cell>
        </row>
        <row r="112">
          <cell r="A112" t="str">
            <v>993416-SLR</v>
          </cell>
          <cell r="B112">
            <v>11086</v>
          </cell>
          <cell r="C112">
            <v>189.44</v>
          </cell>
          <cell r="D112">
            <v>0.67</v>
          </cell>
          <cell r="E112">
            <v>530.16</v>
          </cell>
          <cell r="F112">
            <v>139.56</v>
          </cell>
          <cell r="G112">
            <v>63.45</v>
          </cell>
          <cell r="I112">
            <v>143.85</v>
          </cell>
          <cell r="J112">
            <v>90013</v>
          </cell>
          <cell r="K112" t="str">
            <v>MP</v>
          </cell>
        </row>
        <row r="113">
          <cell r="A113" t="str">
            <v>993417-SLR</v>
          </cell>
          <cell r="B113">
            <v>11241</v>
          </cell>
          <cell r="C113">
            <v>282.61</v>
          </cell>
          <cell r="D113">
            <v>1.17</v>
          </cell>
          <cell r="E113">
            <v>529.89</v>
          </cell>
          <cell r="F113">
            <v>144.94</v>
          </cell>
          <cell r="G113">
            <v>108.87</v>
          </cell>
          <cell r="I113">
            <v>289.22000000000003</v>
          </cell>
          <cell r="J113">
            <v>90424</v>
          </cell>
          <cell r="K113" t="str">
            <v>MP</v>
          </cell>
        </row>
        <row r="114">
          <cell r="A114" t="str">
            <v>993418-SLR</v>
          </cell>
          <cell r="B114">
            <v>11149</v>
          </cell>
          <cell r="C114">
            <v>141.38</v>
          </cell>
          <cell r="D114">
            <v>19.93</v>
          </cell>
          <cell r="E114">
            <v>530.16</v>
          </cell>
          <cell r="F114">
            <v>451.47</v>
          </cell>
          <cell r="G114">
            <v>1797.65</v>
          </cell>
          <cell r="I114">
            <v>9825.6299999999992</v>
          </cell>
          <cell r="J114">
            <v>92015</v>
          </cell>
          <cell r="K114" t="str">
            <v>MP</v>
          </cell>
        </row>
        <row r="115">
          <cell r="A115" t="str">
            <v>993419-SLR</v>
          </cell>
          <cell r="B115">
            <v>11171</v>
          </cell>
          <cell r="C115">
            <v>89.54</v>
          </cell>
          <cell r="D115">
            <v>14.19</v>
          </cell>
          <cell r="E115">
            <v>530.85</v>
          </cell>
          <cell r="F115">
            <v>322.7</v>
          </cell>
          <cell r="G115">
            <v>993.05</v>
          </cell>
          <cell r="I115">
            <v>6989.53</v>
          </cell>
          <cell r="J115">
            <v>92240</v>
          </cell>
          <cell r="K115" t="str">
            <v>MP</v>
          </cell>
        </row>
        <row r="116">
          <cell r="A116" t="str">
            <v>993420-SLR</v>
          </cell>
          <cell r="B116">
            <v>11478</v>
          </cell>
          <cell r="C116">
            <v>5363.64</v>
          </cell>
          <cell r="D116">
            <v>171.84</v>
          </cell>
          <cell r="E116">
            <v>477</v>
          </cell>
          <cell r="F116">
            <v>2193.13</v>
          </cell>
          <cell r="G116">
            <v>12691.06</v>
          </cell>
          <cell r="I116">
            <v>80556.960000000006</v>
          </cell>
          <cell r="J116">
            <v>93049</v>
          </cell>
          <cell r="K116" t="str">
            <v>MP</v>
          </cell>
        </row>
        <row r="117">
          <cell r="A117" t="str">
            <v>993421-SLR</v>
          </cell>
          <cell r="B117">
            <v>11150</v>
          </cell>
          <cell r="C117">
            <v>185.56</v>
          </cell>
          <cell r="D117">
            <v>6.77</v>
          </cell>
          <cell r="E117">
            <v>530.16</v>
          </cell>
          <cell r="F117">
            <v>208.35</v>
          </cell>
          <cell r="G117">
            <v>644.36</v>
          </cell>
          <cell r="I117">
            <v>3199.02</v>
          </cell>
          <cell r="J117">
            <v>90219</v>
          </cell>
          <cell r="K117" t="str">
            <v>MP</v>
          </cell>
        </row>
        <row r="118">
          <cell r="A118" t="str">
            <v>993422-SLR</v>
          </cell>
          <cell r="B118">
            <v>11124</v>
          </cell>
          <cell r="C118">
            <v>649.92999999999995</v>
          </cell>
          <cell r="D118">
            <v>6.5</v>
          </cell>
          <cell r="E118">
            <v>530.16</v>
          </cell>
          <cell r="F118">
            <v>200.22</v>
          </cell>
          <cell r="G118">
            <v>575.66999999999996</v>
          </cell>
          <cell r="I118">
            <v>2373.39</v>
          </cell>
          <cell r="J118">
            <v>93030</v>
          </cell>
          <cell r="K118" t="str">
            <v>MP</v>
          </cell>
        </row>
        <row r="119">
          <cell r="A119" t="str">
            <v>993423-SLR</v>
          </cell>
          <cell r="B119">
            <v>11118</v>
          </cell>
          <cell r="C119">
            <v>226.38</v>
          </cell>
          <cell r="D119">
            <v>1.8</v>
          </cell>
          <cell r="E119">
            <v>530.16</v>
          </cell>
          <cell r="F119">
            <v>152.43</v>
          </cell>
          <cell r="G119">
            <v>185.95</v>
          </cell>
          <cell r="I119">
            <v>677.63</v>
          </cell>
          <cell r="J119">
            <v>91462</v>
          </cell>
          <cell r="K119" t="str">
            <v>MP</v>
          </cell>
        </row>
        <row r="120">
          <cell r="A120" t="str">
            <v>993425-SLR</v>
          </cell>
          <cell r="B120">
            <v>11266</v>
          </cell>
          <cell r="C120">
            <v>2056.19</v>
          </cell>
          <cell r="D120">
            <v>44.95</v>
          </cell>
          <cell r="E120">
            <v>529.89</v>
          </cell>
          <cell r="F120">
            <v>715.46</v>
          </cell>
          <cell r="G120">
            <v>2927.52</v>
          </cell>
          <cell r="I120">
            <v>20418.25</v>
          </cell>
          <cell r="J120">
            <v>90219</v>
          </cell>
          <cell r="K120" t="str">
            <v>MP</v>
          </cell>
        </row>
        <row r="121">
          <cell r="A121" t="str">
            <v>993426-SLR</v>
          </cell>
          <cell r="B121">
            <v>11188</v>
          </cell>
          <cell r="C121">
            <v>150.41</v>
          </cell>
          <cell r="D121">
            <v>6.23</v>
          </cell>
          <cell r="E121">
            <v>530.85</v>
          </cell>
          <cell r="F121">
            <v>202.34</v>
          </cell>
          <cell r="G121">
            <v>437.37</v>
          </cell>
          <cell r="I121">
            <v>2967.45</v>
          </cell>
          <cell r="J121">
            <v>90097</v>
          </cell>
          <cell r="K121" t="str">
            <v>MP</v>
          </cell>
        </row>
        <row r="122">
          <cell r="A122" t="str">
            <v>993427-SLR</v>
          </cell>
          <cell r="B122">
            <v>11526</v>
          </cell>
          <cell r="C122">
            <v>8359.56</v>
          </cell>
          <cell r="D122">
            <v>62.79</v>
          </cell>
          <cell r="E122">
            <v>477</v>
          </cell>
          <cell r="F122">
            <v>963.96</v>
          </cell>
          <cell r="G122">
            <v>5977.95</v>
          </cell>
          <cell r="I122">
            <v>23040.55</v>
          </cell>
          <cell r="J122">
            <v>93016</v>
          </cell>
          <cell r="K122" t="str">
            <v>MP</v>
          </cell>
        </row>
        <row r="123">
          <cell r="A123" t="str">
            <v>993428-SLR</v>
          </cell>
          <cell r="B123">
            <v>11282</v>
          </cell>
          <cell r="C123">
            <v>1624.38</v>
          </cell>
          <cell r="D123">
            <v>36.74</v>
          </cell>
          <cell r="E123">
            <v>529.89</v>
          </cell>
          <cell r="F123">
            <v>670.18</v>
          </cell>
          <cell r="G123">
            <v>3497.07</v>
          </cell>
          <cell r="I123">
            <v>16744.52</v>
          </cell>
          <cell r="J123">
            <v>92049</v>
          </cell>
          <cell r="K123" t="str">
            <v>MP</v>
          </cell>
        </row>
        <row r="124">
          <cell r="A124" t="str">
            <v>993430-SLR</v>
          </cell>
          <cell r="B124">
            <v>11219</v>
          </cell>
          <cell r="C124">
            <v>1290.4100000000001</v>
          </cell>
          <cell r="D124">
            <v>7.54</v>
          </cell>
          <cell r="E124">
            <v>527.25</v>
          </cell>
          <cell r="F124">
            <v>216.99</v>
          </cell>
          <cell r="G124">
            <v>453.01</v>
          </cell>
          <cell r="I124">
            <v>2477.16</v>
          </cell>
          <cell r="J124">
            <v>92253</v>
          </cell>
          <cell r="K124" t="str">
            <v>MP</v>
          </cell>
        </row>
        <row r="125">
          <cell r="A125" t="str">
            <v>993433-SLR</v>
          </cell>
          <cell r="B125">
            <v>11220</v>
          </cell>
          <cell r="C125">
            <v>140.6</v>
          </cell>
          <cell r="D125">
            <v>5.89</v>
          </cell>
          <cell r="E125">
            <v>527.25</v>
          </cell>
          <cell r="F125">
            <v>198.46</v>
          </cell>
          <cell r="G125">
            <v>188.37</v>
          </cell>
          <cell r="I125">
            <v>2804.97</v>
          </cell>
          <cell r="J125">
            <v>92259</v>
          </cell>
          <cell r="K125" t="str">
            <v>MP</v>
          </cell>
        </row>
        <row r="126">
          <cell r="A126" t="str">
            <v>993434-SLR</v>
          </cell>
          <cell r="B126">
            <v>11179</v>
          </cell>
          <cell r="C126">
            <v>368.85</v>
          </cell>
          <cell r="D126">
            <v>24.22</v>
          </cell>
          <cell r="E126">
            <v>530.85</v>
          </cell>
          <cell r="F126">
            <v>529.13</v>
          </cell>
          <cell r="G126">
            <v>2184.64</v>
          </cell>
          <cell r="I126">
            <v>11743.82</v>
          </cell>
          <cell r="J126">
            <v>91799</v>
          </cell>
          <cell r="K126" t="str">
            <v>MP</v>
          </cell>
        </row>
        <row r="127">
          <cell r="A127" t="str">
            <v>993438-SLR</v>
          </cell>
          <cell r="B127">
            <v>11090</v>
          </cell>
          <cell r="C127">
            <v>0</v>
          </cell>
          <cell r="D127">
            <v>0</v>
          </cell>
          <cell r="E127">
            <v>18.059999999999999</v>
          </cell>
          <cell r="F127">
            <v>0</v>
          </cell>
          <cell r="G127">
            <v>140</v>
          </cell>
          <cell r="I127">
            <v>249.87</v>
          </cell>
          <cell r="J127">
            <v>92235</v>
          </cell>
          <cell r="K127" t="str">
            <v>MP</v>
          </cell>
        </row>
        <row r="128">
          <cell r="A128" t="str">
            <v>993439-SLR</v>
          </cell>
          <cell r="B128">
            <v>11146</v>
          </cell>
          <cell r="C128">
            <v>172.3</v>
          </cell>
          <cell r="D128">
            <v>2.44</v>
          </cell>
          <cell r="E128">
            <v>530.16</v>
          </cell>
          <cell r="F128">
            <v>1292.5</v>
          </cell>
          <cell r="G128">
            <v>158.57</v>
          </cell>
          <cell r="I128">
            <v>1045.05</v>
          </cell>
          <cell r="J128">
            <v>93103</v>
          </cell>
          <cell r="K128" t="str">
            <v>MP</v>
          </cell>
        </row>
        <row r="129">
          <cell r="A129" t="str">
            <v>993441-SLR</v>
          </cell>
          <cell r="B129">
            <v>11101</v>
          </cell>
          <cell r="C129">
            <v>150.21</v>
          </cell>
          <cell r="D129">
            <v>0.64</v>
          </cell>
          <cell r="E129">
            <v>530.16</v>
          </cell>
          <cell r="F129">
            <v>139.16</v>
          </cell>
          <cell r="G129">
            <v>60.06</v>
          </cell>
          <cell r="I129">
            <v>165.23</v>
          </cell>
          <cell r="J129">
            <v>93247</v>
          </cell>
          <cell r="K129" t="str">
            <v>MP</v>
          </cell>
        </row>
        <row r="130">
          <cell r="A130" t="str">
            <v>993442-SLR</v>
          </cell>
          <cell r="B130">
            <v>11297</v>
          </cell>
          <cell r="C130">
            <v>194.76</v>
          </cell>
          <cell r="D130">
            <v>4.26</v>
          </cell>
          <cell r="E130">
            <v>532.62</v>
          </cell>
          <cell r="F130">
            <v>180.03</v>
          </cell>
          <cell r="G130">
            <v>405.16</v>
          </cell>
          <cell r="I130">
            <v>1933.41</v>
          </cell>
          <cell r="J130">
            <v>90402</v>
          </cell>
          <cell r="K130" t="str">
            <v>MP</v>
          </cell>
        </row>
        <row r="131">
          <cell r="A131" t="str">
            <v>993443-SLR</v>
          </cell>
          <cell r="B131">
            <v>11415</v>
          </cell>
          <cell r="C131">
            <v>154.62</v>
          </cell>
          <cell r="D131">
            <v>13.22</v>
          </cell>
          <cell r="E131">
            <v>477</v>
          </cell>
          <cell r="F131">
            <v>302.04000000000002</v>
          </cell>
          <cell r="G131">
            <v>928.05</v>
          </cell>
          <cell r="I131">
            <v>6461.09</v>
          </cell>
          <cell r="J131">
            <v>90097</v>
          </cell>
          <cell r="K131" t="str">
            <v>MP</v>
          </cell>
        </row>
        <row r="132">
          <cell r="A132" t="str">
            <v>993444-SLR</v>
          </cell>
          <cell r="B132">
            <v>11243</v>
          </cell>
          <cell r="C132">
            <v>501.43</v>
          </cell>
          <cell r="D132">
            <v>9.2799999999999994</v>
          </cell>
          <cell r="E132">
            <v>531.17999999999995</v>
          </cell>
          <cell r="F132">
            <v>236.66</v>
          </cell>
          <cell r="G132">
            <v>557.94000000000005</v>
          </cell>
          <cell r="I132">
            <v>4138.78</v>
          </cell>
          <cell r="J132">
            <v>92315</v>
          </cell>
          <cell r="K132" t="str">
            <v>MP</v>
          </cell>
        </row>
        <row r="133">
          <cell r="A133" t="str">
            <v>993445-SLR</v>
          </cell>
          <cell r="B133">
            <v>11390</v>
          </cell>
          <cell r="C133">
            <v>1939.46</v>
          </cell>
          <cell r="D133">
            <v>13.14</v>
          </cell>
          <cell r="E133">
            <v>477</v>
          </cell>
          <cell r="F133">
            <v>299.89999999999998</v>
          </cell>
          <cell r="G133">
            <v>1250.3699999999999</v>
          </cell>
          <cell r="I133">
            <v>4628.29</v>
          </cell>
          <cell r="J133">
            <v>93038</v>
          </cell>
          <cell r="K133" t="str">
            <v>MP</v>
          </cell>
        </row>
        <row r="134">
          <cell r="A134" t="str">
            <v>993446-SLR</v>
          </cell>
          <cell r="B134">
            <v>11267</v>
          </cell>
          <cell r="C134">
            <v>12011.41</v>
          </cell>
          <cell r="D134">
            <v>91.67</v>
          </cell>
          <cell r="E134">
            <v>529.89</v>
          </cell>
          <cell r="F134">
            <v>1289</v>
          </cell>
          <cell r="G134">
            <v>5971.06</v>
          </cell>
          <cell r="I134">
            <v>33828.18</v>
          </cell>
          <cell r="J134">
            <v>93016</v>
          </cell>
          <cell r="K134" t="str">
            <v>MP</v>
          </cell>
        </row>
        <row r="135">
          <cell r="A135" t="str">
            <v>993447-SLR</v>
          </cell>
          <cell r="B135">
            <v>11331</v>
          </cell>
          <cell r="C135">
            <v>201.5</v>
          </cell>
          <cell r="D135">
            <v>38.92</v>
          </cell>
          <cell r="E135">
            <v>477</v>
          </cell>
          <cell r="F135">
            <v>694.68</v>
          </cell>
          <cell r="G135">
            <v>2729.26</v>
          </cell>
          <cell r="I135">
            <v>19254.330000000002</v>
          </cell>
          <cell r="J135">
            <v>90468</v>
          </cell>
          <cell r="K135" t="str">
            <v>MP</v>
          </cell>
        </row>
        <row r="136">
          <cell r="A136" t="str">
            <v>993448-SLR</v>
          </cell>
          <cell r="B136">
            <v>11298</v>
          </cell>
          <cell r="C136">
            <v>1248.9000000000001</v>
          </cell>
          <cell r="D136">
            <v>3637.94</v>
          </cell>
          <cell r="E136">
            <v>529.89</v>
          </cell>
          <cell r="F136">
            <v>5068.68</v>
          </cell>
          <cell r="G136">
            <v>18951.79</v>
          </cell>
          <cell r="I136">
            <v>212219.15</v>
          </cell>
          <cell r="J136">
            <v>90570</v>
          </cell>
          <cell r="K136" t="str">
            <v>MP</v>
          </cell>
        </row>
        <row r="137">
          <cell r="A137" t="str">
            <v>993449-SLR</v>
          </cell>
          <cell r="B137">
            <v>11302</v>
          </cell>
          <cell r="C137">
            <v>56.81</v>
          </cell>
          <cell r="D137">
            <v>2.34</v>
          </cell>
          <cell r="E137">
            <v>532.62</v>
          </cell>
          <cell r="F137">
            <v>144.66999999999999</v>
          </cell>
          <cell r="G137">
            <v>50.48</v>
          </cell>
          <cell r="I137">
            <v>502.84</v>
          </cell>
          <cell r="J137">
            <v>93041</v>
          </cell>
          <cell r="K137" t="str">
            <v>MP</v>
          </cell>
        </row>
        <row r="138">
          <cell r="A138" t="str">
            <v>993450-SLR</v>
          </cell>
          <cell r="B138">
            <v>11222</v>
          </cell>
          <cell r="C138">
            <v>194.63</v>
          </cell>
          <cell r="D138">
            <v>2.5</v>
          </cell>
          <cell r="E138">
            <v>527.25</v>
          </cell>
          <cell r="F138">
            <v>160.19999999999999</v>
          </cell>
          <cell r="G138">
            <v>237.69</v>
          </cell>
          <cell r="I138">
            <v>1053.8499999999999</v>
          </cell>
          <cell r="J138">
            <v>91869</v>
          </cell>
          <cell r="K138" t="str">
            <v>MP</v>
          </cell>
        </row>
        <row r="139">
          <cell r="A139" t="str">
            <v>993451-SLR</v>
          </cell>
          <cell r="B139">
            <v>11085</v>
          </cell>
          <cell r="C139">
            <v>35.799999999999997</v>
          </cell>
          <cell r="D139">
            <v>1.77</v>
          </cell>
          <cell r="E139">
            <v>537</v>
          </cell>
          <cell r="F139">
            <v>152.02000000000001</v>
          </cell>
          <cell r="G139">
            <v>186.44</v>
          </cell>
          <cell r="I139">
            <v>850.25</v>
          </cell>
          <cell r="J139">
            <v>92112</v>
          </cell>
          <cell r="K139" t="str">
            <v>MP</v>
          </cell>
        </row>
        <row r="140">
          <cell r="A140" t="str">
            <v>993452-SLR</v>
          </cell>
          <cell r="B140">
            <v>11283</v>
          </cell>
          <cell r="C140">
            <v>928.65</v>
          </cell>
          <cell r="D140">
            <v>115.73</v>
          </cell>
          <cell r="E140">
            <v>529.89</v>
          </cell>
          <cell r="F140">
            <v>1560.42</v>
          </cell>
          <cell r="G140">
            <v>8116.11</v>
          </cell>
          <cell r="I140">
            <v>56927.85</v>
          </cell>
          <cell r="J140">
            <v>91395</v>
          </cell>
          <cell r="K140" t="str">
            <v>MP</v>
          </cell>
        </row>
        <row r="141">
          <cell r="A141" t="str">
            <v>993453-SLR</v>
          </cell>
          <cell r="B141">
            <v>11234</v>
          </cell>
          <cell r="C141">
            <v>263.8</v>
          </cell>
          <cell r="D141">
            <v>1.25</v>
          </cell>
          <cell r="E141">
            <v>527.25</v>
          </cell>
          <cell r="F141">
            <v>146.02000000000001</v>
          </cell>
          <cell r="G141">
            <v>117.98</v>
          </cell>
          <cell r="I141">
            <v>355.89</v>
          </cell>
          <cell r="J141">
            <v>93255</v>
          </cell>
          <cell r="K141" t="str">
            <v>MP</v>
          </cell>
        </row>
        <row r="142">
          <cell r="A142" t="str">
            <v>993454-SLR</v>
          </cell>
          <cell r="B142">
            <v>11336</v>
          </cell>
          <cell r="C142">
            <v>331.35</v>
          </cell>
          <cell r="D142">
            <v>54.54</v>
          </cell>
          <cell r="E142">
            <v>477</v>
          </cell>
          <cell r="F142">
            <v>870.79</v>
          </cell>
          <cell r="G142">
            <v>3325.86</v>
          </cell>
          <cell r="I142">
            <v>26936.07</v>
          </cell>
          <cell r="J142">
            <v>91750</v>
          </cell>
          <cell r="K142" t="str">
            <v>MP</v>
          </cell>
        </row>
        <row r="143">
          <cell r="A143" t="str">
            <v>993455-SLR</v>
          </cell>
          <cell r="B143">
            <v>11249</v>
          </cell>
          <cell r="C143">
            <v>194.65</v>
          </cell>
          <cell r="D143">
            <v>6.71</v>
          </cell>
          <cell r="E143">
            <v>530.85</v>
          </cell>
          <cell r="F143">
            <v>207.65</v>
          </cell>
          <cell r="G143">
            <v>403.19</v>
          </cell>
          <cell r="I143">
            <v>3158.56</v>
          </cell>
          <cell r="J143">
            <v>92299</v>
          </cell>
          <cell r="K143" t="str">
            <v>MP</v>
          </cell>
        </row>
        <row r="144">
          <cell r="A144" t="str">
            <v>993456-SLR</v>
          </cell>
          <cell r="B144">
            <v>11151</v>
          </cell>
          <cell r="C144">
            <v>167.88</v>
          </cell>
          <cell r="D144">
            <v>10.94</v>
          </cell>
          <cell r="E144">
            <v>530.16</v>
          </cell>
          <cell r="F144">
            <v>255.36</v>
          </cell>
          <cell r="G144">
            <v>931.67</v>
          </cell>
          <cell r="I144">
            <v>5301.6</v>
          </cell>
          <cell r="J144">
            <v>92278</v>
          </cell>
          <cell r="K144" t="str">
            <v>MP</v>
          </cell>
        </row>
        <row r="145">
          <cell r="A145" t="str">
            <v>993457-SLR</v>
          </cell>
          <cell r="B145">
            <v>11152</v>
          </cell>
          <cell r="C145">
            <v>167.88</v>
          </cell>
          <cell r="D145">
            <v>5.14</v>
          </cell>
          <cell r="E145">
            <v>530.16</v>
          </cell>
          <cell r="F145">
            <v>189.96</v>
          </cell>
          <cell r="G145">
            <v>540.54</v>
          </cell>
          <cell r="I145">
            <v>2400.9899999999998</v>
          </cell>
          <cell r="J145">
            <v>93130</v>
          </cell>
          <cell r="K145" t="str">
            <v>MP</v>
          </cell>
        </row>
        <row r="146">
          <cell r="A146" t="str">
            <v>993458-SLR</v>
          </cell>
          <cell r="B146">
            <v>11256</v>
          </cell>
          <cell r="C146">
            <v>290.38</v>
          </cell>
          <cell r="D146">
            <v>283.88</v>
          </cell>
          <cell r="E146">
            <v>531.17999999999995</v>
          </cell>
          <cell r="F146">
            <v>6643.13</v>
          </cell>
          <cell r="G146">
            <v>39741.839999999997</v>
          </cell>
          <cell r="I146">
            <v>283296</v>
          </cell>
          <cell r="J146">
            <v>92154</v>
          </cell>
          <cell r="K146" t="str">
            <v>MP</v>
          </cell>
        </row>
        <row r="147">
          <cell r="A147" t="str">
            <v>993460-SLR</v>
          </cell>
          <cell r="B147">
            <v>11257</v>
          </cell>
          <cell r="C147">
            <v>162.01</v>
          </cell>
          <cell r="D147">
            <v>4.28</v>
          </cell>
          <cell r="E147">
            <v>531.17999999999995</v>
          </cell>
          <cell r="F147">
            <v>180.25</v>
          </cell>
          <cell r="G147">
            <v>64.27</v>
          </cell>
          <cell r="I147">
            <v>1975.99</v>
          </cell>
          <cell r="J147">
            <v>90148</v>
          </cell>
          <cell r="K147" t="str">
            <v>MP</v>
          </cell>
        </row>
        <row r="148">
          <cell r="A148" t="str">
            <v>993462-SLR</v>
          </cell>
          <cell r="B148">
            <v>11447</v>
          </cell>
          <cell r="C148">
            <v>534.74</v>
          </cell>
          <cell r="D148">
            <v>6.49</v>
          </cell>
          <cell r="E148">
            <v>477</v>
          </cell>
          <cell r="F148">
            <v>203.37</v>
          </cell>
          <cell r="G148">
            <v>538.86</v>
          </cell>
          <cell r="I148">
            <v>2628.55</v>
          </cell>
          <cell r="J148">
            <v>91290</v>
          </cell>
          <cell r="K148" t="str">
            <v>MP</v>
          </cell>
        </row>
        <row r="149">
          <cell r="A149" t="str">
            <v>993464-SLR</v>
          </cell>
          <cell r="B149">
            <v>11391</v>
          </cell>
          <cell r="C149">
            <v>197.94</v>
          </cell>
          <cell r="D149">
            <v>3.07</v>
          </cell>
          <cell r="E149">
            <v>477</v>
          </cell>
          <cell r="F149">
            <v>166.53</v>
          </cell>
          <cell r="G149">
            <v>291.20999999999998</v>
          </cell>
          <cell r="I149">
            <v>1331.65</v>
          </cell>
          <cell r="J149">
            <v>90402</v>
          </cell>
          <cell r="K149" t="str">
            <v>MP</v>
          </cell>
        </row>
        <row r="150">
          <cell r="A150" t="str">
            <v>993465-SLR</v>
          </cell>
          <cell r="B150">
            <v>11268</v>
          </cell>
          <cell r="C150">
            <v>357.68</v>
          </cell>
          <cell r="D150">
            <v>289.95999999999998</v>
          </cell>
          <cell r="E150">
            <v>529.89</v>
          </cell>
          <cell r="F150">
            <v>3532.62</v>
          </cell>
          <cell r="G150">
            <v>20387.580000000002</v>
          </cell>
          <cell r="I150">
            <v>144977.9</v>
          </cell>
          <cell r="J150">
            <v>92018</v>
          </cell>
          <cell r="K150" t="str">
            <v>MP</v>
          </cell>
        </row>
        <row r="151">
          <cell r="A151" t="str">
            <v>993466-SLR</v>
          </cell>
          <cell r="B151">
            <v>11303</v>
          </cell>
          <cell r="C151">
            <v>282.11</v>
          </cell>
          <cell r="D151">
            <v>10</v>
          </cell>
          <cell r="E151">
            <v>532.62</v>
          </cell>
          <cell r="F151">
            <v>244.81</v>
          </cell>
          <cell r="G151">
            <v>952.25</v>
          </cell>
          <cell r="I151">
            <v>4719.72</v>
          </cell>
          <cell r="J151">
            <v>91792</v>
          </cell>
          <cell r="K151" t="str">
            <v>MP</v>
          </cell>
        </row>
        <row r="152">
          <cell r="A152" t="str">
            <v>993467-SLR</v>
          </cell>
          <cell r="B152">
            <v>11147</v>
          </cell>
          <cell r="C152">
            <v>155.96</v>
          </cell>
          <cell r="D152">
            <v>1.43</v>
          </cell>
          <cell r="E152">
            <v>530.16</v>
          </cell>
          <cell r="F152">
            <v>148.16999999999999</v>
          </cell>
          <cell r="G152">
            <v>85.98</v>
          </cell>
          <cell r="I152">
            <v>559.14</v>
          </cell>
          <cell r="J152">
            <v>92282</v>
          </cell>
          <cell r="K152" t="str">
            <v>MP</v>
          </cell>
        </row>
        <row r="153">
          <cell r="A153" t="str">
            <v>993468-SLR</v>
          </cell>
          <cell r="B153">
            <v>11260</v>
          </cell>
          <cell r="C153">
            <v>194.77</v>
          </cell>
          <cell r="D153">
            <v>3.79</v>
          </cell>
          <cell r="E153">
            <v>531.17999999999995</v>
          </cell>
          <cell r="F153">
            <v>174.84</v>
          </cell>
          <cell r="G153">
            <v>361.36</v>
          </cell>
          <cell r="I153">
            <v>1703.32</v>
          </cell>
          <cell r="J153">
            <v>90379</v>
          </cell>
          <cell r="K153" t="str">
            <v>MP</v>
          </cell>
        </row>
        <row r="154">
          <cell r="A154" t="str">
            <v>993469-SLR</v>
          </cell>
          <cell r="B154">
            <v>11338</v>
          </cell>
          <cell r="C154">
            <v>174.63</v>
          </cell>
          <cell r="D154">
            <v>8.8699999999999992</v>
          </cell>
          <cell r="E154">
            <v>477</v>
          </cell>
          <cell r="F154">
            <v>231.89</v>
          </cell>
          <cell r="G154">
            <v>843.1</v>
          </cell>
          <cell r="I154">
            <v>4253.8599999999997</v>
          </cell>
          <cell r="J154">
            <v>90685</v>
          </cell>
          <cell r="K154" t="str">
            <v>MP</v>
          </cell>
        </row>
        <row r="155">
          <cell r="A155" t="str">
            <v>993471-SLR</v>
          </cell>
          <cell r="B155">
            <v>11381</v>
          </cell>
          <cell r="C155">
            <v>175.93</v>
          </cell>
          <cell r="D155">
            <v>2.81</v>
          </cell>
          <cell r="E155">
            <v>477</v>
          </cell>
          <cell r="F155">
            <v>163.78</v>
          </cell>
          <cell r="G155">
            <v>267.95</v>
          </cell>
          <cell r="I155">
            <v>1231.5</v>
          </cell>
          <cell r="J155">
            <v>91178</v>
          </cell>
          <cell r="K155" t="str">
            <v>MP</v>
          </cell>
        </row>
        <row r="156">
          <cell r="A156" t="str">
            <v>993472-SLR</v>
          </cell>
          <cell r="B156">
            <v>11226</v>
          </cell>
          <cell r="C156">
            <v>1060.6199999999999</v>
          </cell>
          <cell r="D156">
            <v>106.54</v>
          </cell>
          <cell r="E156">
            <v>531.17999999999995</v>
          </cell>
          <cell r="F156">
            <v>1457.05</v>
          </cell>
          <cell r="G156">
            <v>6694.85</v>
          </cell>
          <cell r="I156">
            <v>52210.94</v>
          </cell>
          <cell r="J156">
            <v>92243</v>
          </cell>
          <cell r="K156" t="str">
            <v>MP</v>
          </cell>
        </row>
        <row r="157">
          <cell r="A157" t="str">
            <v>993473-SLR</v>
          </cell>
          <cell r="B157">
            <v>11341</v>
          </cell>
          <cell r="C157">
            <v>183.59</v>
          </cell>
          <cell r="D157">
            <v>58.41</v>
          </cell>
          <cell r="E157">
            <v>477</v>
          </cell>
          <cell r="F157">
            <v>914.35</v>
          </cell>
          <cell r="G157">
            <v>4096.1000000000004</v>
          </cell>
          <cell r="I157">
            <v>29015.82</v>
          </cell>
          <cell r="J157">
            <v>93023</v>
          </cell>
          <cell r="K157" t="str">
            <v>MP</v>
          </cell>
        </row>
        <row r="158">
          <cell r="A158" t="str">
            <v>993474-SLR</v>
          </cell>
          <cell r="B158">
            <v>11342</v>
          </cell>
          <cell r="C158">
            <v>152.24</v>
          </cell>
          <cell r="D158">
            <v>3.53</v>
          </cell>
          <cell r="E158">
            <v>477</v>
          </cell>
          <cell r="F158">
            <v>171.82</v>
          </cell>
          <cell r="G158">
            <v>247.49</v>
          </cell>
          <cell r="I158">
            <v>1611.99</v>
          </cell>
          <cell r="J158">
            <v>90097</v>
          </cell>
          <cell r="K158" t="str">
            <v>MP</v>
          </cell>
        </row>
        <row r="159">
          <cell r="A159" t="str">
            <v>993475-SLR</v>
          </cell>
          <cell r="B159">
            <v>11366</v>
          </cell>
          <cell r="C159">
            <v>7121.25</v>
          </cell>
          <cell r="D159">
            <v>75.48</v>
          </cell>
          <cell r="E159">
            <v>477</v>
          </cell>
          <cell r="F159">
            <v>1106.94</v>
          </cell>
          <cell r="G159">
            <v>6107.51</v>
          </cell>
          <cell r="I159">
            <v>30620.67</v>
          </cell>
          <cell r="J159">
            <v>93038</v>
          </cell>
          <cell r="K159" t="str">
            <v>MP</v>
          </cell>
        </row>
        <row r="160">
          <cell r="A160" t="str">
            <v>993476-SLR</v>
          </cell>
          <cell r="B160">
            <v>11343</v>
          </cell>
          <cell r="C160">
            <v>13987.56</v>
          </cell>
          <cell r="D160">
            <v>132.58000000000001</v>
          </cell>
          <cell r="E160">
            <v>537.33000000000004</v>
          </cell>
          <cell r="F160">
            <v>1750.51</v>
          </cell>
          <cell r="G160">
            <v>11291.44</v>
          </cell>
          <cell r="I160">
            <v>52300.12</v>
          </cell>
          <cell r="J160">
            <v>92371</v>
          </cell>
          <cell r="K160" t="str">
            <v>MP</v>
          </cell>
        </row>
        <row r="161">
          <cell r="A161" t="str">
            <v>993477-SLR</v>
          </cell>
          <cell r="B161">
            <v>11275</v>
          </cell>
          <cell r="C161">
            <v>331.79</v>
          </cell>
          <cell r="D161">
            <v>48.01</v>
          </cell>
          <cell r="E161">
            <v>529.89</v>
          </cell>
          <cell r="F161">
            <v>788.59</v>
          </cell>
          <cell r="G161">
            <v>3148.68</v>
          </cell>
          <cell r="I161">
            <v>23289.02</v>
          </cell>
          <cell r="J161">
            <v>90503</v>
          </cell>
          <cell r="K161" t="str">
            <v>MP</v>
          </cell>
        </row>
        <row r="162">
          <cell r="A162" t="str">
            <v>993478-SLR</v>
          </cell>
          <cell r="B162">
            <v>11398</v>
          </cell>
          <cell r="C162">
            <v>10636.94</v>
          </cell>
          <cell r="D162">
            <v>33.11</v>
          </cell>
          <cell r="E162">
            <v>477</v>
          </cell>
          <cell r="F162">
            <v>629.23</v>
          </cell>
          <cell r="G162">
            <v>1990.28</v>
          </cell>
          <cell r="I162">
            <v>5915.65</v>
          </cell>
          <cell r="J162">
            <v>93204</v>
          </cell>
          <cell r="K162" t="str">
            <v>MP</v>
          </cell>
        </row>
        <row r="163">
          <cell r="A163" t="str">
            <v>993479-SLR</v>
          </cell>
          <cell r="B163">
            <v>11393</v>
          </cell>
          <cell r="C163">
            <v>9440.6200000000008</v>
          </cell>
          <cell r="D163">
            <v>39.770000000000003</v>
          </cell>
          <cell r="E163">
            <v>477</v>
          </cell>
          <cell r="F163">
            <v>704.27</v>
          </cell>
          <cell r="G163">
            <v>2390.5300000000002</v>
          </cell>
          <cell r="I163">
            <v>10440.69</v>
          </cell>
          <cell r="J163">
            <v>93086</v>
          </cell>
          <cell r="K163" t="str">
            <v>MP</v>
          </cell>
        </row>
        <row r="164">
          <cell r="A164" t="str">
            <v>993480-SLR</v>
          </cell>
          <cell r="B164">
            <v>11394</v>
          </cell>
          <cell r="C164">
            <v>9440.6200000000008</v>
          </cell>
          <cell r="D164">
            <v>39.770000000000003</v>
          </cell>
          <cell r="E164">
            <v>477</v>
          </cell>
          <cell r="F164">
            <v>704.27</v>
          </cell>
          <cell r="G164">
            <v>2390.5300000000002</v>
          </cell>
          <cell r="I164">
            <v>10440.69</v>
          </cell>
          <cell r="J164">
            <v>93086</v>
          </cell>
          <cell r="K164" t="str">
            <v>MP</v>
          </cell>
        </row>
        <row r="165">
          <cell r="A165" t="str">
            <v>993481-SLR</v>
          </cell>
          <cell r="B165">
            <v>11395</v>
          </cell>
          <cell r="C165">
            <v>9440.6200000000008</v>
          </cell>
          <cell r="D165">
            <v>39.770000000000003</v>
          </cell>
          <cell r="E165">
            <v>477</v>
          </cell>
          <cell r="F165">
            <v>484.27</v>
          </cell>
          <cell r="G165">
            <v>2390.5300000000002</v>
          </cell>
          <cell r="I165">
            <v>10440.69</v>
          </cell>
          <cell r="J165">
            <v>93086</v>
          </cell>
          <cell r="K165" t="str">
            <v>MP</v>
          </cell>
        </row>
        <row r="166">
          <cell r="A166" t="str">
            <v>993482-SLR</v>
          </cell>
          <cell r="B166">
            <v>11396</v>
          </cell>
          <cell r="C166">
            <v>9870.07</v>
          </cell>
          <cell r="D166">
            <v>47.53</v>
          </cell>
          <cell r="E166">
            <v>477</v>
          </cell>
          <cell r="F166">
            <v>791.88</v>
          </cell>
          <cell r="G166">
            <v>2857.74</v>
          </cell>
          <cell r="I166">
            <v>13896.91</v>
          </cell>
          <cell r="J166">
            <v>93086</v>
          </cell>
          <cell r="K166" t="str">
            <v>MP</v>
          </cell>
        </row>
        <row r="167">
          <cell r="A167" t="str">
            <v>993483-SLR</v>
          </cell>
          <cell r="B167">
            <v>11400</v>
          </cell>
          <cell r="C167">
            <v>9870.07</v>
          </cell>
          <cell r="D167">
            <v>47.53</v>
          </cell>
          <cell r="E167">
            <v>477</v>
          </cell>
          <cell r="F167">
            <v>791.88</v>
          </cell>
          <cell r="G167">
            <v>2857.74</v>
          </cell>
          <cell r="I167">
            <v>13896.91</v>
          </cell>
          <cell r="J167">
            <v>93086</v>
          </cell>
          <cell r="K167" t="str">
            <v>MP</v>
          </cell>
        </row>
        <row r="168">
          <cell r="A168" t="str">
            <v>993484-SLR</v>
          </cell>
          <cell r="B168">
            <v>11399</v>
          </cell>
          <cell r="C168">
            <v>9870.07</v>
          </cell>
          <cell r="D168">
            <v>46.14</v>
          </cell>
          <cell r="E168">
            <v>477</v>
          </cell>
          <cell r="F168">
            <v>776.21</v>
          </cell>
          <cell r="G168">
            <v>2774.19</v>
          </cell>
          <cell r="I168">
            <v>13202.07</v>
          </cell>
          <cell r="J168">
            <v>93086</v>
          </cell>
          <cell r="K168" t="str">
            <v>MP</v>
          </cell>
        </row>
        <row r="169">
          <cell r="A169" t="str">
            <v>993485-SLR</v>
          </cell>
          <cell r="B169">
            <v>11401</v>
          </cell>
          <cell r="C169">
            <v>34184.36</v>
          </cell>
          <cell r="D169">
            <v>81.430000000000007</v>
          </cell>
          <cell r="E169">
            <v>477</v>
          </cell>
          <cell r="F169">
            <v>1943.2</v>
          </cell>
          <cell r="G169">
            <v>8998.14</v>
          </cell>
          <cell r="I169">
            <v>40718.699999999997</v>
          </cell>
          <cell r="J169">
            <v>93086</v>
          </cell>
          <cell r="K169" t="str">
            <v>MP</v>
          </cell>
        </row>
        <row r="170">
          <cell r="A170" t="str">
            <v>993486-SLR</v>
          </cell>
          <cell r="B170">
            <v>11182</v>
          </cell>
          <cell r="C170">
            <v>0</v>
          </cell>
          <cell r="D170">
            <v>0</v>
          </cell>
          <cell r="E170">
            <v>0</v>
          </cell>
          <cell r="F170">
            <v>0</v>
          </cell>
          <cell r="G170">
            <v>196.29</v>
          </cell>
          <cell r="I170">
            <v>324.22000000000003</v>
          </cell>
          <cell r="J170">
            <v>92376</v>
          </cell>
          <cell r="K170" t="str">
            <v>MP</v>
          </cell>
        </row>
        <row r="171">
          <cell r="A171" t="str">
            <v>993489-SLR</v>
          </cell>
          <cell r="B171">
            <v>11154</v>
          </cell>
          <cell r="C171">
            <v>189.97</v>
          </cell>
          <cell r="D171">
            <v>4.84</v>
          </cell>
          <cell r="E171">
            <v>530.16</v>
          </cell>
          <cell r="F171">
            <v>186.53</v>
          </cell>
          <cell r="G171">
            <v>508.51</v>
          </cell>
          <cell r="I171">
            <v>2226.67</v>
          </cell>
          <cell r="J171">
            <v>91681</v>
          </cell>
          <cell r="K171" t="str">
            <v>MP</v>
          </cell>
        </row>
        <row r="172">
          <cell r="A172" t="str">
            <v>993490-SLR</v>
          </cell>
          <cell r="B172">
            <v>11189</v>
          </cell>
          <cell r="C172">
            <v>168.1</v>
          </cell>
          <cell r="D172">
            <v>0.64</v>
          </cell>
          <cell r="E172">
            <v>530.85</v>
          </cell>
          <cell r="F172">
            <v>139.28</v>
          </cell>
          <cell r="G172">
            <v>9.64</v>
          </cell>
          <cell r="I172">
            <v>152.72999999999999</v>
          </cell>
          <cell r="J172">
            <v>90061</v>
          </cell>
          <cell r="K172" t="str">
            <v>MP</v>
          </cell>
        </row>
        <row r="173">
          <cell r="A173" t="str">
            <v>993491-SLR</v>
          </cell>
          <cell r="B173">
            <v>11125</v>
          </cell>
          <cell r="C173">
            <v>74.760000000000005</v>
          </cell>
          <cell r="D173">
            <v>0.88</v>
          </cell>
          <cell r="E173">
            <v>530.16</v>
          </cell>
          <cell r="F173">
            <v>141.91999999999999</v>
          </cell>
          <cell r="G173">
            <v>83.33</v>
          </cell>
          <cell r="I173">
            <v>362.95</v>
          </cell>
          <cell r="J173">
            <v>90444</v>
          </cell>
          <cell r="K173" t="str">
            <v>MP</v>
          </cell>
        </row>
        <row r="174">
          <cell r="A174" t="str">
            <v>993492-SLR</v>
          </cell>
          <cell r="B174">
            <v>11284</v>
          </cell>
          <cell r="C174">
            <v>341.41</v>
          </cell>
          <cell r="D174">
            <v>97.61</v>
          </cell>
          <cell r="E174">
            <v>529.89</v>
          </cell>
          <cell r="F174">
            <v>1356.24</v>
          </cell>
          <cell r="G174">
            <v>2738.66</v>
          </cell>
          <cell r="I174">
            <v>48458.44</v>
          </cell>
          <cell r="J174">
            <v>91578</v>
          </cell>
          <cell r="K174" t="str">
            <v>MP</v>
          </cell>
        </row>
        <row r="175">
          <cell r="A175" t="str">
            <v>993493-SLR</v>
          </cell>
          <cell r="B175">
            <v>11235</v>
          </cell>
          <cell r="C175">
            <v>716.27</v>
          </cell>
          <cell r="D175">
            <v>398.14</v>
          </cell>
          <cell r="E175">
            <v>527.25</v>
          </cell>
          <cell r="F175">
            <v>4744.13</v>
          </cell>
          <cell r="G175">
            <v>27925.84</v>
          </cell>
          <cell r="I175">
            <v>198355.84</v>
          </cell>
          <cell r="J175">
            <v>90097</v>
          </cell>
          <cell r="K175" t="str">
            <v>MP</v>
          </cell>
        </row>
        <row r="176">
          <cell r="A176" t="str">
            <v>993495-SLR</v>
          </cell>
          <cell r="B176">
            <v>11153</v>
          </cell>
          <cell r="C176">
            <v>167.88</v>
          </cell>
          <cell r="D176">
            <v>4.3600000000000003</v>
          </cell>
          <cell r="E176">
            <v>530.16</v>
          </cell>
          <cell r="F176">
            <v>181.22</v>
          </cell>
          <cell r="G176">
            <v>262.26</v>
          </cell>
          <cell r="I176">
            <v>2013.28</v>
          </cell>
          <cell r="J176">
            <v>92282</v>
          </cell>
          <cell r="K176" t="str">
            <v>MP</v>
          </cell>
        </row>
        <row r="177">
          <cell r="A177" t="str">
            <v>993496-SLR</v>
          </cell>
          <cell r="B177">
            <v>11176</v>
          </cell>
          <cell r="C177">
            <v>220.9</v>
          </cell>
          <cell r="D177">
            <v>13.66</v>
          </cell>
          <cell r="E177">
            <v>530.16</v>
          </cell>
          <cell r="F177">
            <v>311.45</v>
          </cell>
          <cell r="G177">
            <v>1299.67</v>
          </cell>
          <cell r="I177">
            <v>6605.78</v>
          </cell>
          <cell r="J177">
            <v>92172</v>
          </cell>
          <cell r="K177" t="str">
            <v>MP</v>
          </cell>
        </row>
        <row r="178">
          <cell r="A178" t="str">
            <v>993498-SLR</v>
          </cell>
          <cell r="B178">
            <v>11261</v>
          </cell>
          <cell r="C178">
            <v>226.65</v>
          </cell>
          <cell r="D178">
            <v>8.25</v>
          </cell>
          <cell r="E178">
            <v>531.17999999999995</v>
          </cell>
          <cell r="F178">
            <v>224.98</v>
          </cell>
          <cell r="G178">
            <v>578.23</v>
          </cell>
          <cell r="I178">
            <v>3895.32</v>
          </cell>
          <cell r="J178">
            <v>91814</v>
          </cell>
          <cell r="K178" t="str">
            <v>MP</v>
          </cell>
        </row>
        <row r="179">
          <cell r="A179" t="str">
            <v>993499-SLR</v>
          </cell>
          <cell r="B179">
            <v>11346</v>
          </cell>
          <cell r="C179">
            <v>875.85</v>
          </cell>
          <cell r="D179">
            <v>9.8000000000000007</v>
          </cell>
          <cell r="E179">
            <v>537.33000000000004</v>
          </cell>
          <cell r="F179">
            <v>242.41</v>
          </cell>
          <cell r="G179">
            <v>931.93</v>
          </cell>
          <cell r="I179">
            <v>4019.23</v>
          </cell>
          <cell r="J179">
            <v>92007</v>
          </cell>
          <cell r="K179" t="str">
            <v>MP</v>
          </cell>
        </row>
        <row r="180">
          <cell r="A180" t="str">
            <v>993500-SLR</v>
          </cell>
          <cell r="B180">
            <v>11270</v>
          </cell>
          <cell r="C180">
            <v>409.75</v>
          </cell>
          <cell r="D180">
            <v>11.27</v>
          </cell>
          <cell r="E180">
            <v>529.89</v>
          </cell>
          <cell r="F180">
            <v>258.29000000000002</v>
          </cell>
          <cell r="G180">
            <v>1072.69</v>
          </cell>
          <cell r="I180">
            <v>5224.72</v>
          </cell>
          <cell r="J180">
            <v>90721</v>
          </cell>
          <cell r="K180" t="str">
            <v>MP</v>
          </cell>
        </row>
        <row r="181">
          <cell r="A181" t="str">
            <v>993501-SLR</v>
          </cell>
          <cell r="B181">
            <v>11244</v>
          </cell>
          <cell r="C181">
            <v>247.88</v>
          </cell>
          <cell r="D181">
            <v>22.33</v>
          </cell>
          <cell r="E181">
            <v>531.17999999999995</v>
          </cell>
          <cell r="F181">
            <v>507.82</v>
          </cell>
          <cell r="G181">
            <v>612.22</v>
          </cell>
          <cell r="I181">
            <v>10919.73</v>
          </cell>
          <cell r="J181">
            <v>91591</v>
          </cell>
          <cell r="K181" t="str">
            <v>MP</v>
          </cell>
        </row>
        <row r="182">
          <cell r="A182" t="str">
            <v>993502-SLR</v>
          </cell>
          <cell r="B182">
            <v>11348</v>
          </cell>
          <cell r="C182">
            <v>188.07</v>
          </cell>
          <cell r="D182">
            <v>37.99</v>
          </cell>
          <cell r="E182">
            <v>477</v>
          </cell>
          <cell r="F182">
            <v>684.28</v>
          </cell>
          <cell r="G182">
            <v>2664.57</v>
          </cell>
          <cell r="I182">
            <v>18806.55</v>
          </cell>
          <cell r="J182">
            <v>92190</v>
          </cell>
          <cell r="K182" t="str">
            <v>MP</v>
          </cell>
        </row>
        <row r="183">
          <cell r="A183" t="str">
            <v>993504-SLR</v>
          </cell>
          <cell r="B183">
            <v>11371</v>
          </cell>
          <cell r="C183">
            <v>469.14</v>
          </cell>
          <cell r="D183">
            <v>98.68</v>
          </cell>
          <cell r="E183">
            <v>477</v>
          </cell>
          <cell r="F183">
            <v>1378.95</v>
          </cell>
          <cell r="G183">
            <v>2466.42</v>
          </cell>
          <cell r="I183">
            <v>49338.79</v>
          </cell>
          <cell r="J183">
            <v>90061</v>
          </cell>
          <cell r="K183" t="str">
            <v>MP</v>
          </cell>
        </row>
        <row r="184">
          <cell r="A184" t="str">
            <v>993505-SLR</v>
          </cell>
          <cell r="B184">
            <v>11264</v>
          </cell>
          <cell r="C184">
            <v>205.48</v>
          </cell>
          <cell r="D184">
            <v>6.18</v>
          </cell>
          <cell r="E184">
            <v>531.17999999999995</v>
          </cell>
          <cell r="F184">
            <v>309</v>
          </cell>
          <cell r="G184">
            <v>588.84</v>
          </cell>
          <cell r="I184">
            <v>2887.49</v>
          </cell>
          <cell r="J184">
            <v>91792</v>
          </cell>
          <cell r="K184" t="str">
            <v>MP</v>
          </cell>
        </row>
        <row r="185">
          <cell r="A185" t="str">
            <v>993506-SLR</v>
          </cell>
          <cell r="B185">
            <v>11362</v>
          </cell>
          <cell r="C185">
            <v>1779.08</v>
          </cell>
          <cell r="D185">
            <v>48.99</v>
          </cell>
          <cell r="E185">
            <v>477</v>
          </cell>
          <cell r="F185">
            <v>808.31</v>
          </cell>
          <cell r="G185">
            <v>4663.57</v>
          </cell>
          <cell r="I185">
            <v>22717.06</v>
          </cell>
          <cell r="J185">
            <v>90013</v>
          </cell>
          <cell r="K185" t="str">
            <v>MP</v>
          </cell>
        </row>
        <row r="186">
          <cell r="A186" t="str">
            <v>993507-SLR</v>
          </cell>
          <cell r="B186">
            <v>11285</v>
          </cell>
          <cell r="C186">
            <v>238.45</v>
          </cell>
          <cell r="D186">
            <v>4.43</v>
          </cell>
          <cell r="E186">
            <v>529.89</v>
          </cell>
          <cell r="F186">
            <v>181.96</v>
          </cell>
          <cell r="G186">
            <v>421.48</v>
          </cell>
          <cell r="I186">
            <v>1975.43</v>
          </cell>
          <cell r="J186">
            <v>92001</v>
          </cell>
          <cell r="K186" t="str">
            <v>MP</v>
          </cell>
        </row>
        <row r="187">
          <cell r="A187" t="str">
            <v>993508-SLR</v>
          </cell>
          <cell r="B187">
            <v>11416</v>
          </cell>
          <cell r="C187">
            <v>212.82</v>
          </cell>
          <cell r="D187">
            <v>15.5</v>
          </cell>
          <cell r="E187">
            <v>477</v>
          </cell>
          <cell r="F187">
            <v>352.72</v>
          </cell>
          <cell r="G187">
            <v>1087.53</v>
          </cell>
          <cell r="I187">
            <v>7539.76</v>
          </cell>
          <cell r="J187">
            <v>90097</v>
          </cell>
          <cell r="K187" t="str">
            <v>MP</v>
          </cell>
        </row>
        <row r="188">
          <cell r="A188" t="str">
            <v>993509-SLR</v>
          </cell>
          <cell r="B188">
            <v>11224</v>
          </cell>
          <cell r="C188">
            <v>663.69</v>
          </cell>
          <cell r="D188">
            <v>20.18</v>
          </cell>
          <cell r="E188">
            <v>531.17999999999995</v>
          </cell>
          <cell r="F188">
            <v>349</v>
          </cell>
          <cell r="G188">
            <v>1422.49</v>
          </cell>
          <cell r="I188">
            <v>9476.7800000000007</v>
          </cell>
          <cell r="J188">
            <v>90061</v>
          </cell>
          <cell r="K188" t="str">
            <v>MP</v>
          </cell>
        </row>
        <row r="189">
          <cell r="A189" t="str">
            <v>993510-SLR</v>
          </cell>
          <cell r="B189">
            <v>11246</v>
          </cell>
          <cell r="C189">
            <v>185.91</v>
          </cell>
          <cell r="D189">
            <v>2.71</v>
          </cell>
          <cell r="E189">
            <v>531.17999999999995</v>
          </cell>
          <cell r="F189">
            <v>162.59</v>
          </cell>
          <cell r="G189">
            <v>190.01</v>
          </cell>
          <cell r="I189">
            <v>1168.5999999999999</v>
          </cell>
          <cell r="J189">
            <v>90349</v>
          </cell>
          <cell r="K189" t="str">
            <v>MP</v>
          </cell>
        </row>
        <row r="190">
          <cell r="A190" t="str">
            <v>993511-SLR</v>
          </cell>
          <cell r="B190">
            <v>11434</v>
          </cell>
          <cell r="C190">
            <v>362</v>
          </cell>
          <cell r="D190">
            <v>7.66</v>
          </cell>
          <cell r="E190">
            <v>477</v>
          </cell>
          <cell r="F190">
            <v>218.58</v>
          </cell>
          <cell r="G190">
            <v>461.49</v>
          </cell>
          <cell r="I190">
            <v>3476.11</v>
          </cell>
          <cell r="J190">
            <v>93072</v>
          </cell>
          <cell r="K190" t="str">
            <v>MP</v>
          </cell>
        </row>
        <row r="191">
          <cell r="A191" t="str">
            <v>993512-SLR</v>
          </cell>
          <cell r="B191">
            <v>11483</v>
          </cell>
          <cell r="C191">
            <v>855.23</v>
          </cell>
          <cell r="D191">
            <v>31.38</v>
          </cell>
          <cell r="E191">
            <v>477</v>
          </cell>
          <cell r="F191">
            <v>589.75</v>
          </cell>
          <cell r="G191">
            <v>2986.4</v>
          </cell>
          <cell r="I191">
            <v>14831.31</v>
          </cell>
          <cell r="J191">
            <v>92323</v>
          </cell>
          <cell r="K191" t="str">
            <v>MP</v>
          </cell>
        </row>
        <row r="192">
          <cell r="A192" t="str">
            <v>993513-SLR</v>
          </cell>
          <cell r="B192">
            <v>11518</v>
          </cell>
          <cell r="C192">
            <v>4621.24</v>
          </cell>
          <cell r="D192">
            <v>71.599999999999994</v>
          </cell>
          <cell r="E192">
            <v>477</v>
          </cell>
          <cell r="F192">
            <v>1063.1099999999999</v>
          </cell>
          <cell r="G192">
            <v>4663.01</v>
          </cell>
          <cell r="I192">
            <v>31176.45</v>
          </cell>
          <cell r="J192">
            <v>91722</v>
          </cell>
          <cell r="K192" t="str">
            <v>MP</v>
          </cell>
        </row>
        <row r="193">
          <cell r="A193" t="str">
            <v>993515-SLR</v>
          </cell>
          <cell r="B193">
            <v>11482</v>
          </cell>
          <cell r="C193">
            <v>193.12</v>
          </cell>
          <cell r="D193">
            <v>35.97</v>
          </cell>
          <cell r="E193">
            <v>477</v>
          </cell>
          <cell r="F193">
            <v>661.67</v>
          </cell>
          <cell r="G193">
            <v>3425.28</v>
          </cell>
          <cell r="I193">
            <v>17798.669999999998</v>
          </cell>
          <cell r="J193">
            <v>92376</v>
          </cell>
          <cell r="K193" t="str">
            <v>MP</v>
          </cell>
        </row>
        <row r="194">
          <cell r="A194" t="str">
            <v>993516-SLR</v>
          </cell>
          <cell r="B194">
            <v>11350</v>
          </cell>
          <cell r="C194">
            <v>557.75</v>
          </cell>
          <cell r="D194">
            <v>3.33</v>
          </cell>
          <cell r="E194">
            <v>477</v>
          </cell>
          <cell r="F194">
            <v>169.55</v>
          </cell>
          <cell r="G194">
            <v>316.7</v>
          </cell>
          <cell r="I194">
            <v>1105.74</v>
          </cell>
          <cell r="J194">
            <v>93193</v>
          </cell>
          <cell r="K194" t="str">
            <v>MP</v>
          </cell>
        </row>
        <row r="195">
          <cell r="A195" t="str">
            <v>993517-SLR</v>
          </cell>
          <cell r="B195">
            <v>11172</v>
          </cell>
          <cell r="C195">
            <v>847.96</v>
          </cell>
          <cell r="D195">
            <v>8.64</v>
          </cell>
          <cell r="E195">
            <v>530.85</v>
          </cell>
          <cell r="F195">
            <v>229.39</v>
          </cell>
          <cell r="G195">
            <v>689.8</v>
          </cell>
          <cell r="I195">
            <v>3469.99</v>
          </cell>
          <cell r="J195">
            <v>92285</v>
          </cell>
          <cell r="K195" t="str">
            <v>MP</v>
          </cell>
        </row>
        <row r="196">
          <cell r="A196" t="str">
            <v>993518-SLR</v>
          </cell>
          <cell r="B196">
            <v>11195</v>
          </cell>
          <cell r="C196">
            <v>121.39</v>
          </cell>
          <cell r="D196">
            <v>5.56</v>
          </cell>
          <cell r="E196">
            <v>530.85</v>
          </cell>
          <cell r="F196">
            <v>194.63</v>
          </cell>
          <cell r="G196">
            <v>389.37</v>
          </cell>
          <cell r="I196">
            <v>2654.25</v>
          </cell>
          <cell r="J196">
            <v>92066</v>
          </cell>
          <cell r="K196" t="str">
            <v>MP</v>
          </cell>
        </row>
        <row r="197">
          <cell r="A197" t="str">
            <v>993519-SLR</v>
          </cell>
          <cell r="B197">
            <v>11204</v>
          </cell>
          <cell r="C197">
            <v>103.34</v>
          </cell>
          <cell r="D197">
            <v>3.73</v>
          </cell>
          <cell r="E197">
            <v>527.25</v>
          </cell>
          <cell r="F197">
            <v>174</v>
          </cell>
          <cell r="G197">
            <v>261.04000000000002</v>
          </cell>
          <cell r="I197">
            <v>1757.5</v>
          </cell>
          <cell r="J197">
            <v>92066</v>
          </cell>
          <cell r="K197" t="str">
            <v>MP</v>
          </cell>
        </row>
        <row r="198">
          <cell r="A198" t="str">
            <v>993520-SLR</v>
          </cell>
          <cell r="B198">
            <v>11205</v>
          </cell>
          <cell r="C198">
            <v>219.13</v>
          </cell>
          <cell r="D198">
            <v>3.27</v>
          </cell>
          <cell r="E198">
            <v>527.25</v>
          </cell>
          <cell r="F198">
            <v>168.89</v>
          </cell>
          <cell r="G198">
            <v>196.46</v>
          </cell>
          <cell r="I198">
            <v>1414.79</v>
          </cell>
          <cell r="J198">
            <v>93115</v>
          </cell>
          <cell r="K198" t="str">
            <v>MP</v>
          </cell>
        </row>
        <row r="199">
          <cell r="A199" t="str">
            <v>993521-SLR</v>
          </cell>
          <cell r="B199">
            <v>11258</v>
          </cell>
          <cell r="C199">
            <v>190.34</v>
          </cell>
          <cell r="D199">
            <v>19.3</v>
          </cell>
          <cell r="E199">
            <v>531.17999999999995</v>
          </cell>
          <cell r="F199">
            <v>437.12</v>
          </cell>
          <cell r="G199">
            <v>2029.58</v>
          </cell>
          <cell r="I199">
            <v>9455</v>
          </cell>
          <cell r="J199">
            <v>91681</v>
          </cell>
          <cell r="K199" t="str">
            <v>MP</v>
          </cell>
        </row>
        <row r="200">
          <cell r="A200" t="str">
            <v>993522-SLR</v>
          </cell>
          <cell r="B200">
            <v>11236</v>
          </cell>
          <cell r="C200">
            <v>241.96</v>
          </cell>
          <cell r="D200">
            <v>10.4</v>
          </cell>
          <cell r="E200">
            <v>527.25</v>
          </cell>
          <cell r="F200">
            <v>247.15</v>
          </cell>
          <cell r="G200">
            <v>971.98</v>
          </cell>
          <cell r="I200">
            <v>4863.32</v>
          </cell>
          <cell r="J200">
            <v>92174</v>
          </cell>
          <cell r="K200" t="str">
            <v>MP</v>
          </cell>
        </row>
        <row r="201">
          <cell r="A201" t="str">
            <v>993523-SLR</v>
          </cell>
          <cell r="B201">
            <v>11286</v>
          </cell>
          <cell r="C201">
            <v>227.85</v>
          </cell>
          <cell r="D201">
            <v>2.95</v>
          </cell>
          <cell r="E201">
            <v>529.89</v>
          </cell>
          <cell r="F201">
            <v>165.2</v>
          </cell>
          <cell r="G201">
            <v>279.94</v>
          </cell>
          <cell r="I201">
            <v>1242.5899999999999</v>
          </cell>
          <cell r="J201">
            <v>90322</v>
          </cell>
          <cell r="K201" t="str">
            <v>MP</v>
          </cell>
        </row>
        <row r="202">
          <cell r="A202" t="str">
            <v>993524-SLR</v>
          </cell>
          <cell r="B202">
            <v>11304</v>
          </cell>
          <cell r="C202">
            <v>142.03</v>
          </cell>
          <cell r="D202">
            <v>3.05</v>
          </cell>
          <cell r="E202">
            <v>532.62</v>
          </cell>
          <cell r="F202">
            <v>166.47</v>
          </cell>
          <cell r="G202">
            <v>45.9</v>
          </cell>
          <cell r="I202">
            <v>1384.81</v>
          </cell>
          <cell r="J202">
            <v>92235</v>
          </cell>
          <cell r="K202" t="str">
            <v>MP</v>
          </cell>
        </row>
        <row r="203">
          <cell r="A203" t="str">
            <v>993525-SLR</v>
          </cell>
          <cell r="B203">
            <v>11287</v>
          </cell>
          <cell r="C203">
            <v>194.29</v>
          </cell>
          <cell r="D203">
            <v>11.64</v>
          </cell>
          <cell r="E203">
            <v>529.89</v>
          </cell>
          <cell r="F203">
            <v>266.26</v>
          </cell>
          <cell r="G203">
            <v>816.42</v>
          </cell>
          <cell r="I203">
            <v>5625.67</v>
          </cell>
          <cell r="J203">
            <v>90463</v>
          </cell>
          <cell r="K203" t="str">
            <v>MP</v>
          </cell>
        </row>
        <row r="204">
          <cell r="A204" t="str">
            <v>993526-SLR</v>
          </cell>
          <cell r="B204">
            <v>11323</v>
          </cell>
          <cell r="C204">
            <v>174.63</v>
          </cell>
          <cell r="D204">
            <v>4.6399999999999997</v>
          </cell>
          <cell r="E204">
            <v>477</v>
          </cell>
          <cell r="F204">
            <v>184.3</v>
          </cell>
          <cell r="G204">
            <v>441.23</v>
          </cell>
          <cell r="I204">
            <v>2142.98</v>
          </cell>
          <cell r="J204">
            <v>90685</v>
          </cell>
          <cell r="K204" t="str">
            <v>MP</v>
          </cell>
        </row>
        <row r="205">
          <cell r="A205" t="str">
            <v>993527-SLR</v>
          </cell>
          <cell r="B205">
            <v>11449</v>
          </cell>
          <cell r="C205">
            <v>179.32</v>
          </cell>
          <cell r="D205">
            <v>61.06</v>
          </cell>
          <cell r="E205">
            <v>477</v>
          </cell>
          <cell r="F205">
            <v>944.26</v>
          </cell>
          <cell r="G205">
            <v>4282.21</v>
          </cell>
          <cell r="I205">
            <v>30346.799999999999</v>
          </cell>
          <cell r="J205">
            <v>93023</v>
          </cell>
          <cell r="K205" t="str">
            <v>MP</v>
          </cell>
        </row>
        <row r="206">
          <cell r="A206" t="str">
            <v>993528-SLR</v>
          </cell>
          <cell r="B206">
            <v>11247</v>
          </cell>
          <cell r="C206">
            <v>169.09</v>
          </cell>
          <cell r="D206">
            <v>6.43</v>
          </cell>
          <cell r="E206">
            <v>531.17999999999995</v>
          </cell>
          <cell r="F206">
            <v>204.52</v>
          </cell>
          <cell r="G206">
            <v>676.4</v>
          </cell>
          <cell r="I206">
            <v>3045.43</v>
          </cell>
          <cell r="J206">
            <v>90506</v>
          </cell>
          <cell r="K206" t="str">
            <v>MP</v>
          </cell>
        </row>
        <row r="207">
          <cell r="A207" t="str">
            <v>993529-SLR</v>
          </cell>
          <cell r="B207">
            <v>11248</v>
          </cell>
          <cell r="C207">
            <v>169.09</v>
          </cell>
          <cell r="D207">
            <v>24.13</v>
          </cell>
          <cell r="E207">
            <v>531.17999999999995</v>
          </cell>
          <cell r="F207">
            <v>528.11</v>
          </cell>
          <cell r="G207">
            <v>2539.25</v>
          </cell>
          <cell r="I207">
            <v>11898.43</v>
          </cell>
          <cell r="J207">
            <v>90506</v>
          </cell>
          <cell r="K207" t="str">
            <v>MP</v>
          </cell>
        </row>
        <row r="208">
          <cell r="A208" t="str">
            <v>993530-SLR</v>
          </cell>
          <cell r="B208">
            <v>11324</v>
          </cell>
          <cell r="C208">
            <v>171.05</v>
          </cell>
          <cell r="D208">
            <v>13.08</v>
          </cell>
          <cell r="E208">
            <v>477</v>
          </cell>
          <cell r="F208">
            <v>150.51</v>
          </cell>
          <cell r="G208">
            <v>155.9</v>
          </cell>
          <cell r="I208">
            <v>636.74</v>
          </cell>
          <cell r="J208">
            <v>90219</v>
          </cell>
          <cell r="K208" t="str">
            <v>MP</v>
          </cell>
        </row>
        <row r="209">
          <cell r="A209" t="str">
            <v>993531-SLR</v>
          </cell>
          <cell r="B209">
            <v>11435</v>
          </cell>
          <cell r="C209">
            <v>145.52000000000001</v>
          </cell>
          <cell r="D209">
            <v>24.79</v>
          </cell>
          <cell r="E209">
            <v>477</v>
          </cell>
          <cell r="F209">
            <v>535.70000000000005</v>
          </cell>
          <cell r="G209">
            <v>621.45000000000005</v>
          </cell>
          <cell r="I209">
            <v>12258.6</v>
          </cell>
          <cell r="J209">
            <v>90062</v>
          </cell>
          <cell r="K209" t="str">
            <v>MP</v>
          </cell>
        </row>
        <row r="210">
          <cell r="A210" t="str">
            <v>993532-SLR</v>
          </cell>
          <cell r="B210">
            <v>11424</v>
          </cell>
          <cell r="C210">
            <v>3330.68</v>
          </cell>
          <cell r="D210">
            <v>20.63</v>
          </cell>
          <cell r="E210">
            <v>477</v>
          </cell>
          <cell r="F210">
            <v>467.1</v>
          </cell>
          <cell r="G210">
            <v>1257.29</v>
          </cell>
          <cell r="I210">
            <v>6986.91</v>
          </cell>
          <cell r="J210">
            <v>93182</v>
          </cell>
          <cell r="K210" t="str">
            <v>MP</v>
          </cell>
        </row>
        <row r="211">
          <cell r="A211" t="str">
            <v>993533-SLR</v>
          </cell>
          <cell r="B211">
            <v>11516</v>
          </cell>
          <cell r="C211">
            <v>3044.05</v>
          </cell>
          <cell r="D211">
            <v>61.93</v>
          </cell>
          <cell r="E211">
            <v>477</v>
          </cell>
          <cell r="F211">
            <v>954.23</v>
          </cell>
          <cell r="G211">
            <v>3723.61</v>
          </cell>
          <cell r="I211">
            <v>27924.080000000002</v>
          </cell>
          <cell r="J211">
            <v>93203</v>
          </cell>
          <cell r="K211" t="str">
            <v>MP</v>
          </cell>
        </row>
        <row r="212">
          <cell r="A212" t="str">
            <v>993534-SLR</v>
          </cell>
          <cell r="B212">
            <v>11375</v>
          </cell>
          <cell r="C212">
            <v>628.47</v>
          </cell>
          <cell r="D212">
            <v>24.68</v>
          </cell>
          <cell r="E212">
            <v>477</v>
          </cell>
          <cell r="F212">
            <v>534.37</v>
          </cell>
          <cell r="G212">
            <v>2267.29</v>
          </cell>
          <cell r="I212">
            <v>11716.71</v>
          </cell>
          <cell r="J212">
            <v>92243</v>
          </cell>
          <cell r="K212" t="str">
            <v>MP</v>
          </cell>
        </row>
        <row r="213">
          <cell r="A213" t="str">
            <v>993535-SLR</v>
          </cell>
          <cell r="B213">
            <v>11468</v>
          </cell>
          <cell r="C213">
            <v>1198.79</v>
          </cell>
          <cell r="D213">
            <v>5.79</v>
          </cell>
          <cell r="E213">
            <v>477</v>
          </cell>
          <cell r="F213">
            <v>197.34</v>
          </cell>
          <cell r="G213">
            <v>366.11</v>
          </cell>
          <cell r="I213">
            <v>1697.14</v>
          </cell>
          <cell r="J213">
            <v>93001</v>
          </cell>
          <cell r="K213" t="str">
            <v>MP</v>
          </cell>
        </row>
        <row r="214">
          <cell r="A214" t="str">
            <v>993536-SLR</v>
          </cell>
          <cell r="B214">
            <v>11326</v>
          </cell>
          <cell r="C214">
            <v>143.29</v>
          </cell>
          <cell r="D214">
            <v>19.420000000000002</v>
          </cell>
          <cell r="E214">
            <v>537.33000000000004</v>
          </cell>
          <cell r="F214">
            <v>439.91</v>
          </cell>
          <cell r="G214">
            <v>1361.81</v>
          </cell>
          <cell r="I214">
            <v>9564.4699999999993</v>
          </cell>
          <cell r="J214">
            <v>90971</v>
          </cell>
          <cell r="K214" t="str">
            <v>MP</v>
          </cell>
        </row>
        <row r="215">
          <cell r="A215" t="str">
            <v>993537-SLR</v>
          </cell>
          <cell r="B215">
            <v>11385</v>
          </cell>
          <cell r="C215">
            <v>5294.11</v>
          </cell>
          <cell r="D215">
            <v>37.86</v>
          </cell>
          <cell r="E215">
            <v>477</v>
          </cell>
          <cell r="F215">
            <v>801.92</v>
          </cell>
          <cell r="G215">
            <v>4275.72</v>
          </cell>
          <cell r="I215">
            <v>18929.599999999999</v>
          </cell>
          <cell r="J215">
            <v>92003</v>
          </cell>
          <cell r="K215" t="str">
            <v>MP</v>
          </cell>
        </row>
        <row r="216">
          <cell r="A216" t="str">
            <v>993538-SLR</v>
          </cell>
          <cell r="B216">
            <v>11402</v>
          </cell>
          <cell r="C216">
            <v>3467.91</v>
          </cell>
          <cell r="D216">
            <v>20.28</v>
          </cell>
          <cell r="E216">
            <v>477</v>
          </cell>
          <cell r="F216">
            <v>459.41</v>
          </cell>
          <cell r="G216">
            <v>1684.44</v>
          </cell>
          <cell r="I216">
            <v>6677.18</v>
          </cell>
          <cell r="J216">
            <v>93016</v>
          </cell>
          <cell r="K216" t="str">
            <v>MP</v>
          </cell>
        </row>
        <row r="217">
          <cell r="A217" t="str">
            <v>993539-SLR</v>
          </cell>
          <cell r="B217">
            <v>11327</v>
          </cell>
          <cell r="C217">
            <v>3505.92</v>
          </cell>
          <cell r="D217">
            <v>27.26</v>
          </cell>
          <cell r="E217">
            <v>477</v>
          </cell>
          <cell r="F217">
            <v>563.44000000000005</v>
          </cell>
          <cell r="G217">
            <v>1776.01</v>
          </cell>
          <cell r="I217">
            <v>10128.459999999999</v>
          </cell>
          <cell r="J217">
            <v>92046</v>
          </cell>
          <cell r="K217" t="str">
            <v>MP</v>
          </cell>
        </row>
        <row r="218">
          <cell r="A218" t="str">
            <v>993540-SLR</v>
          </cell>
          <cell r="B218">
            <v>11528</v>
          </cell>
          <cell r="C218">
            <v>8281.2199999999993</v>
          </cell>
          <cell r="D218">
            <v>182.33</v>
          </cell>
          <cell r="E218">
            <v>477</v>
          </cell>
          <cell r="F218">
            <v>2311.41</v>
          </cell>
          <cell r="G218">
            <v>13410.54</v>
          </cell>
          <cell r="I218">
            <v>82886.05</v>
          </cell>
          <cell r="J218">
            <v>93016</v>
          </cell>
          <cell r="K218" t="str">
            <v>MP</v>
          </cell>
        </row>
        <row r="219">
          <cell r="A219" t="str">
            <v>993541-SLR</v>
          </cell>
          <cell r="B219">
            <v>11329</v>
          </cell>
          <cell r="C219">
            <v>297.86</v>
          </cell>
          <cell r="D219">
            <v>15.99</v>
          </cell>
          <cell r="E219">
            <v>477</v>
          </cell>
          <cell r="F219">
            <v>363.74</v>
          </cell>
          <cell r="G219">
            <v>240.47</v>
          </cell>
          <cell r="I219">
            <v>7701.73</v>
          </cell>
          <cell r="J219">
            <v>92271</v>
          </cell>
          <cell r="K219" t="str">
            <v>MP</v>
          </cell>
        </row>
        <row r="220">
          <cell r="A220" t="str">
            <v>993542-SLR</v>
          </cell>
          <cell r="B220">
            <v>11305</v>
          </cell>
          <cell r="C220">
            <v>571.6</v>
          </cell>
          <cell r="D220">
            <v>12.2</v>
          </cell>
          <cell r="E220">
            <v>532.62</v>
          </cell>
          <cell r="F220">
            <v>375.45</v>
          </cell>
          <cell r="G220">
            <v>1572.97</v>
          </cell>
          <cell r="I220">
            <v>7695.01</v>
          </cell>
          <cell r="J220">
            <v>91673</v>
          </cell>
          <cell r="K220" t="str">
            <v>MP</v>
          </cell>
        </row>
        <row r="221">
          <cell r="A221" t="str">
            <v>993543-SLR</v>
          </cell>
          <cell r="B221">
            <v>11574</v>
          </cell>
          <cell r="C221">
            <v>846.25</v>
          </cell>
          <cell r="D221">
            <v>10.75</v>
          </cell>
          <cell r="E221">
            <v>477</v>
          </cell>
          <cell r="F221">
            <v>253.29</v>
          </cell>
          <cell r="G221">
            <v>1023.81</v>
          </cell>
          <cell r="I221">
            <v>4531.46</v>
          </cell>
          <cell r="J221">
            <v>93038</v>
          </cell>
          <cell r="K221" t="str">
            <v>MP</v>
          </cell>
        </row>
        <row r="222">
          <cell r="A222" t="str">
            <v>993544-SLR</v>
          </cell>
          <cell r="B222">
            <v>11271</v>
          </cell>
          <cell r="C222">
            <v>224.03</v>
          </cell>
          <cell r="D222">
            <v>1.22</v>
          </cell>
          <cell r="E222">
            <v>529.89</v>
          </cell>
          <cell r="F222">
            <v>139.22999999999999</v>
          </cell>
          <cell r="G222">
            <v>60.61</v>
          </cell>
          <cell r="I222">
            <v>94.33</v>
          </cell>
          <cell r="J222">
            <v>93030</v>
          </cell>
          <cell r="K222" t="str">
            <v>MP</v>
          </cell>
        </row>
        <row r="223">
          <cell r="A223" t="str">
            <v>993545-SLR</v>
          </cell>
          <cell r="B223">
            <v>11306</v>
          </cell>
          <cell r="C223">
            <v>694.18</v>
          </cell>
          <cell r="D223">
            <v>9.91</v>
          </cell>
          <cell r="E223">
            <v>532.62</v>
          </cell>
          <cell r="F223">
            <v>243.76</v>
          </cell>
          <cell r="G223">
            <v>844.06</v>
          </cell>
          <cell r="I223">
            <v>4260.96</v>
          </cell>
          <cell r="J223">
            <v>92309</v>
          </cell>
          <cell r="K223" t="str">
            <v>MP</v>
          </cell>
        </row>
        <row r="224">
          <cell r="A224" t="str">
            <v>993546-SLR</v>
          </cell>
          <cell r="B224">
            <v>11272</v>
          </cell>
          <cell r="C224">
            <v>122.86</v>
          </cell>
          <cell r="D224">
            <v>0.62</v>
          </cell>
          <cell r="E224">
            <v>529.89</v>
          </cell>
          <cell r="F224">
            <v>143.13999999999999</v>
          </cell>
          <cell r="G224">
            <v>93.69</v>
          </cell>
          <cell r="I224">
            <v>369.26</v>
          </cell>
          <cell r="J224">
            <v>90338</v>
          </cell>
          <cell r="K224" t="str">
            <v>MP</v>
          </cell>
        </row>
        <row r="225">
          <cell r="A225" t="str">
            <v>993549-SLR</v>
          </cell>
          <cell r="B225">
            <v>11330</v>
          </cell>
          <cell r="C225">
            <v>263.29000000000002</v>
          </cell>
          <cell r="D225">
            <v>17.77</v>
          </cell>
          <cell r="E225">
            <v>477</v>
          </cell>
          <cell r="F225">
            <v>403.18</v>
          </cell>
          <cell r="G225">
            <v>1246.25</v>
          </cell>
          <cell r="I225">
            <v>8620.74</v>
          </cell>
          <cell r="J225">
            <v>91750</v>
          </cell>
          <cell r="K225" t="str">
            <v>MP</v>
          </cell>
        </row>
        <row r="226">
          <cell r="A226" t="str">
            <v>993550-SLR</v>
          </cell>
          <cell r="B226">
            <v>11332</v>
          </cell>
          <cell r="C226">
            <v>205.98</v>
          </cell>
          <cell r="D226">
            <v>11.77</v>
          </cell>
          <cell r="E226">
            <v>537.33000000000004</v>
          </cell>
          <cell r="F226">
            <v>269.56</v>
          </cell>
          <cell r="G226">
            <v>825.88</v>
          </cell>
          <cell r="I226">
            <v>5681.37</v>
          </cell>
          <cell r="J226">
            <v>91750</v>
          </cell>
          <cell r="K226" t="str">
            <v>MP</v>
          </cell>
        </row>
        <row r="227">
          <cell r="A227" t="str">
            <v>993552-SLR</v>
          </cell>
          <cell r="B227">
            <v>11288</v>
          </cell>
          <cell r="C227">
            <v>167.8</v>
          </cell>
          <cell r="D227">
            <v>24.22</v>
          </cell>
          <cell r="E227">
            <v>529.89</v>
          </cell>
          <cell r="F227">
            <v>529.02</v>
          </cell>
          <cell r="G227">
            <v>1698.51</v>
          </cell>
          <cell r="I227">
            <v>11940.19</v>
          </cell>
          <cell r="J227">
            <v>90061</v>
          </cell>
          <cell r="K227" t="str">
            <v>MP</v>
          </cell>
        </row>
        <row r="228">
          <cell r="A228" t="str">
            <v>993553-SLR</v>
          </cell>
          <cell r="B228">
            <v>11289</v>
          </cell>
          <cell r="C228">
            <v>167.8</v>
          </cell>
          <cell r="D228">
            <v>3.87</v>
          </cell>
          <cell r="E228">
            <v>529.89</v>
          </cell>
          <cell r="F228">
            <v>175.65</v>
          </cell>
          <cell r="G228">
            <v>271.32</v>
          </cell>
          <cell r="I228">
            <v>1766.3</v>
          </cell>
          <cell r="J228">
            <v>90061</v>
          </cell>
          <cell r="K228" t="str">
            <v>MP</v>
          </cell>
        </row>
        <row r="229">
          <cell r="A229" t="str">
            <v>993554-SLR</v>
          </cell>
          <cell r="B229">
            <v>11530</v>
          </cell>
          <cell r="C229">
            <v>213.42</v>
          </cell>
          <cell r="D229">
            <v>1.21</v>
          </cell>
          <cell r="E229">
            <v>477</v>
          </cell>
          <cell r="F229">
            <v>133.6</v>
          </cell>
          <cell r="G229">
            <v>108.12</v>
          </cell>
          <cell r="I229">
            <v>386.03</v>
          </cell>
          <cell r="J229">
            <v>93179</v>
          </cell>
          <cell r="K229" t="str">
            <v>MP</v>
          </cell>
        </row>
        <row r="230">
          <cell r="A230" t="str">
            <v>993555-SLR</v>
          </cell>
          <cell r="B230">
            <v>11277</v>
          </cell>
          <cell r="C230">
            <v>327.74</v>
          </cell>
          <cell r="D230">
            <v>56.72</v>
          </cell>
          <cell r="E230">
            <v>532.62</v>
          </cell>
          <cell r="F230">
            <v>895.48</v>
          </cell>
          <cell r="G230">
            <v>3978.65</v>
          </cell>
          <cell r="I230">
            <v>28034.45</v>
          </cell>
          <cell r="J230">
            <v>93047</v>
          </cell>
          <cell r="K230" t="str">
            <v>MP</v>
          </cell>
        </row>
        <row r="231">
          <cell r="A231" t="str">
            <v>993556-SLR</v>
          </cell>
          <cell r="B231">
            <v>11307</v>
          </cell>
          <cell r="C231">
            <v>173.1</v>
          </cell>
          <cell r="D231">
            <v>13.12</v>
          </cell>
          <cell r="E231">
            <v>532.62</v>
          </cell>
          <cell r="F231">
            <v>299.56</v>
          </cell>
          <cell r="G231">
            <v>920.28</v>
          </cell>
          <cell r="I231">
            <v>6387.18</v>
          </cell>
          <cell r="J231">
            <v>91923</v>
          </cell>
          <cell r="K231" t="str">
            <v>MP</v>
          </cell>
        </row>
        <row r="232">
          <cell r="A232" t="str">
            <v>993557-SLR</v>
          </cell>
          <cell r="B232">
            <v>11629</v>
          </cell>
          <cell r="C232">
            <v>2314.9899999999998</v>
          </cell>
          <cell r="D232">
            <v>173.85</v>
          </cell>
          <cell r="E232">
            <v>477</v>
          </cell>
          <cell r="F232">
            <v>528.63</v>
          </cell>
          <cell r="G232">
            <v>2301.85</v>
          </cell>
          <cell r="I232">
            <v>9775.66</v>
          </cell>
          <cell r="J232">
            <v>92358</v>
          </cell>
          <cell r="K232" t="str">
            <v>MP</v>
          </cell>
        </row>
        <row r="233">
          <cell r="A233" t="str">
            <v>993558-SLR</v>
          </cell>
          <cell r="B233">
            <v>11576</v>
          </cell>
          <cell r="C233">
            <v>273.02</v>
          </cell>
          <cell r="D233">
            <v>19.22</v>
          </cell>
          <cell r="E233">
            <v>477</v>
          </cell>
          <cell r="F233">
            <v>157.82</v>
          </cell>
          <cell r="G233">
            <v>217.63</v>
          </cell>
          <cell r="I233">
            <v>870.15</v>
          </cell>
          <cell r="J233">
            <v>92130</v>
          </cell>
          <cell r="K233" t="str">
            <v>MP</v>
          </cell>
        </row>
        <row r="234">
          <cell r="A234" t="str">
            <v>993559-SLR</v>
          </cell>
          <cell r="B234">
            <v>11622</v>
          </cell>
          <cell r="C234">
            <v>273.02</v>
          </cell>
          <cell r="D234">
            <v>5</v>
          </cell>
          <cell r="E234">
            <v>477</v>
          </cell>
          <cell r="F234">
            <v>189.47</v>
          </cell>
          <cell r="G234">
            <v>535.9</v>
          </cell>
          <cell r="I234">
            <v>2278.31</v>
          </cell>
          <cell r="J234">
            <v>91162</v>
          </cell>
          <cell r="K234" t="str">
            <v>MP</v>
          </cell>
        </row>
        <row r="235">
          <cell r="A235" t="str">
            <v>993560-SLR</v>
          </cell>
          <cell r="B235">
            <v>11623</v>
          </cell>
          <cell r="C235">
            <v>752.14</v>
          </cell>
          <cell r="D235">
            <v>5.2</v>
          </cell>
          <cell r="E235">
            <v>477</v>
          </cell>
          <cell r="F235">
            <v>192.46</v>
          </cell>
          <cell r="G235">
            <v>510.15</v>
          </cell>
          <cell r="I235">
            <v>1927.67</v>
          </cell>
          <cell r="J235">
            <v>91975</v>
          </cell>
          <cell r="K235" t="str">
            <v>MP</v>
          </cell>
        </row>
        <row r="236">
          <cell r="A236" t="str">
            <v>993561-SLR</v>
          </cell>
          <cell r="B236">
            <v>11484</v>
          </cell>
          <cell r="C236">
            <v>273.26</v>
          </cell>
          <cell r="D236">
            <v>7.26</v>
          </cell>
          <cell r="E236">
            <v>477</v>
          </cell>
          <cell r="F236">
            <v>141.57</v>
          </cell>
          <cell r="G236">
            <v>80.540000000000006</v>
          </cell>
          <cell r="I236">
            <v>149.79</v>
          </cell>
          <cell r="J236">
            <v>92096</v>
          </cell>
          <cell r="K236" t="str">
            <v>MP</v>
          </cell>
        </row>
        <row r="237">
          <cell r="A237" t="str">
            <v>993562-SLR</v>
          </cell>
          <cell r="B237">
            <v>11458</v>
          </cell>
          <cell r="C237">
            <v>9570.56</v>
          </cell>
          <cell r="D237">
            <v>4304.59</v>
          </cell>
          <cell r="E237">
            <v>477</v>
          </cell>
          <cell r="F237">
            <v>5901.52</v>
          </cell>
          <cell r="G237">
            <v>47672.85</v>
          </cell>
          <cell r="I237">
            <v>240838.35</v>
          </cell>
          <cell r="J237">
            <v>91437</v>
          </cell>
          <cell r="K237" t="str">
            <v>MP</v>
          </cell>
        </row>
        <row r="238">
          <cell r="A238" t="str">
            <v>993563-SLR</v>
          </cell>
          <cell r="B238">
            <v>11333</v>
          </cell>
          <cell r="C238">
            <v>267.66000000000003</v>
          </cell>
          <cell r="D238">
            <v>0.56000000000000005</v>
          </cell>
          <cell r="E238">
            <v>477</v>
          </cell>
          <cell r="F238">
            <v>138.37</v>
          </cell>
          <cell r="G238">
            <v>53.35</v>
          </cell>
          <cell r="I238">
            <v>12.58</v>
          </cell>
          <cell r="J238">
            <v>91163</v>
          </cell>
          <cell r="K238" t="str">
            <v>MP</v>
          </cell>
        </row>
        <row r="239">
          <cell r="A239" t="str">
            <v>993564-SLR</v>
          </cell>
          <cell r="B239">
            <v>11372</v>
          </cell>
          <cell r="C239">
            <v>2228.39</v>
          </cell>
          <cell r="D239">
            <v>230.66</v>
          </cell>
          <cell r="E239">
            <v>477</v>
          </cell>
          <cell r="F239">
            <v>2906.34</v>
          </cell>
          <cell r="G239">
            <v>11693.62</v>
          </cell>
          <cell r="I239">
            <v>115331.83</v>
          </cell>
          <cell r="J239">
            <v>92107</v>
          </cell>
          <cell r="K239" t="str">
            <v>MP</v>
          </cell>
        </row>
        <row r="240">
          <cell r="A240" t="str">
            <v>993565-SLR</v>
          </cell>
          <cell r="B240">
            <v>11436</v>
          </cell>
          <cell r="C240">
            <v>575.82000000000005</v>
          </cell>
          <cell r="D240">
            <v>223.74</v>
          </cell>
          <cell r="E240">
            <v>477</v>
          </cell>
          <cell r="F240">
            <v>549.24</v>
          </cell>
          <cell r="G240">
            <v>2345.5300000000002</v>
          </cell>
          <cell r="I240">
            <v>12428.97</v>
          </cell>
          <cell r="J240">
            <v>92088</v>
          </cell>
          <cell r="K240" t="str">
            <v>MP</v>
          </cell>
        </row>
        <row r="241">
          <cell r="A241" t="str">
            <v>993566-SLR</v>
          </cell>
          <cell r="B241">
            <v>11437</v>
          </cell>
          <cell r="C241">
            <v>270.04000000000002</v>
          </cell>
          <cell r="D241">
            <v>6.15</v>
          </cell>
          <cell r="E241">
            <v>477</v>
          </cell>
          <cell r="F241">
            <v>140.1</v>
          </cell>
          <cell r="G241">
            <v>64.400000000000006</v>
          </cell>
          <cell r="I241">
            <v>87.04</v>
          </cell>
          <cell r="J241">
            <v>91553</v>
          </cell>
          <cell r="K241" t="str">
            <v>MP</v>
          </cell>
        </row>
        <row r="242">
          <cell r="A242" t="str">
            <v>993567-SLR</v>
          </cell>
          <cell r="B242">
            <v>11485</v>
          </cell>
          <cell r="C242">
            <v>201.76</v>
          </cell>
          <cell r="D242">
            <v>22.31</v>
          </cell>
          <cell r="E242">
            <v>477</v>
          </cell>
          <cell r="F242">
            <v>384.01</v>
          </cell>
          <cell r="G242">
            <v>1609.5</v>
          </cell>
          <cell r="I242">
            <v>8246.9699999999993</v>
          </cell>
          <cell r="J242">
            <v>90402</v>
          </cell>
          <cell r="K242" t="str">
            <v>MP</v>
          </cell>
        </row>
        <row r="243">
          <cell r="A243" t="str">
            <v>993568-SLR</v>
          </cell>
          <cell r="B243">
            <v>11290</v>
          </cell>
          <cell r="C243">
            <v>193.76</v>
          </cell>
          <cell r="D243">
            <v>11.68</v>
          </cell>
          <cell r="E243">
            <v>529.89</v>
          </cell>
          <cell r="F243">
            <v>267.32</v>
          </cell>
          <cell r="G243">
            <v>1228.24</v>
          </cell>
          <cell r="I243">
            <v>5643.33</v>
          </cell>
          <cell r="J243">
            <v>92225</v>
          </cell>
          <cell r="K243" t="str">
            <v>MP</v>
          </cell>
        </row>
        <row r="244">
          <cell r="A244" t="str">
            <v>993569-SLR</v>
          </cell>
          <cell r="B244">
            <v>11377</v>
          </cell>
          <cell r="C244">
            <v>469.84</v>
          </cell>
          <cell r="D244">
            <v>10.029999999999999</v>
          </cell>
          <cell r="E244">
            <v>529.89</v>
          </cell>
          <cell r="F244">
            <v>250.62</v>
          </cell>
          <cell r="G244">
            <v>995.11</v>
          </cell>
          <cell r="I244">
            <v>5011.5200000000004</v>
          </cell>
          <cell r="J244">
            <v>93050</v>
          </cell>
          <cell r="K244" t="str">
            <v>MP</v>
          </cell>
        </row>
        <row r="245">
          <cell r="A245" t="str">
            <v>993570-SLR</v>
          </cell>
          <cell r="B245">
            <v>11237</v>
          </cell>
          <cell r="C245">
            <v>224.08</v>
          </cell>
          <cell r="D245">
            <v>1.78</v>
          </cell>
          <cell r="E245">
            <v>527.25</v>
          </cell>
          <cell r="F245">
            <v>152.09</v>
          </cell>
          <cell r="G245">
            <v>169.14</v>
          </cell>
          <cell r="I245">
            <v>664.34</v>
          </cell>
          <cell r="J245">
            <v>91990</v>
          </cell>
          <cell r="K245" t="str">
            <v>MP</v>
          </cell>
        </row>
        <row r="246">
          <cell r="A246" t="str">
            <v>993571-SLR</v>
          </cell>
          <cell r="B246">
            <v>11251</v>
          </cell>
          <cell r="C246">
            <v>121.46</v>
          </cell>
          <cell r="D246">
            <v>5.56</v>
          </cell>
          <cell r="E246">
            <v>531.17999999999995</v>
          </cell>
          <cell r="F246">
            <v>194.67</v>
          </cell>
          <cell r="G246">
            <v>389.61</v>
          </cell>
          <cell r="I246">
            <v>2655.9</v>
          </cell>
          <cell r="J246">
            <v>92066</v>
          </cell>
          <cell r="K246" t="str">
            <v>MP</v>
          </cell>
        </row>
        <row r="247">
          <cell r="A247" t="str">
            <v>993572-SLR</v>
          </cell>
          <cell r="B247">
            <v>11263</v>
          </cell>
          <cell r="C247">
            <v>1630.37</v>
          </cell>
          <cell r="D247">
            <v>18.2</v>
          </cell>
          <cell r="E247">
            <v>531.17999999999995</v>
          </cell>
          <cell r="F247">
            <v>412.89</v>
          </cell>
          <cell r="G247">
            <v>1732.79</v>
          </cell>
          <cell r="I247">
            <v>7471.4</v>
          </cell>
          <cell r="J247">
            <v>93247</v>
          </cell>
          <cell r="K247" t="str">
            <v>MP</v>
          </cell>
        </row>
        <row r="248">
          <cell r="A248" t="str">
            <v>993573-SLR</v>
          </cell>
          <cell r="B248">
            <v>11499</v>
          </cell>
          <cell r="C248">
            <v>663.33</v>
          </cell>
          <cell r="D248">
            <v>10.34</v>
          </cell>
          <cell r="E248">
            <v>477</v>
          </cell>
          <cell r="F248">
            <v>248.59</v>
          </cell>
          <cell r="G248">
            <v>621.57000000000005</v>
          </cell>
          <cell r="I248">
            <v>4506.04</v>
          </cell>
          <cell r="J248">
            <v>93140</v>
          </cell>
          <cell r="K248" t="str">
            <v>MP</v>
          </cell>
        </row>
        <row r="249">
          <cell r="A249" t="str">
            <v>993574-SLR</v>
          </cell>
          <cell r="B249">
            <v>11500</v>
          </cell>
          <cell r="C249">
            <v>561.97</v>
          </cell>
          <cell r="D249">
            <v>7.74</v>
          </cell>
          <cell r="E249">
            <v>477</v>
          </cell>
          <cell r="F249">
            <v>219.35</v>
          </cell>
          <cell r="G249">
            <v>737.25</v>
          </cell>
          <cell r="I249">
            <v>3310.56</v>
          </cell>
          <cell r="J249">
            <v>93126</v>
          </cell>
          <cell r="K249" t="str">
            <v>MP</v>
          </cell>
        </row>
        <row r="250">
          <cell r="A250" t="str">
            <v>993575-SLR</v>
          </cell>
          <cell r="B250">
            <v>11353</v>
          </cell>
          <cell r="C250">
            <v>2061.84</v>
          </cell>
          <cell r="D250">
            <v>39.08</v>
          </cell>
          <cell r="E250">
            <v>477</v>
          </cell>
          <cell r="F250">
            <v>696.52</v>
          </cell>
          <cell r="G250">
            <v>3335.71</v>
          </cell>
          <cell r="I250">
            <v>17477.27</v>
          </cell>
          <cell r="J250">
            <v>91969</v>
          </cell>
          <cell r="K250" t="str">
            <v>MP</v>
          </cell>
        </row>
        <row r="251">
          <cell r="A251" t="str">
            <v>993576-SLR</v>
          </cell>
          <cell r="B251">
            <v>11368</v>
          </cell>
          <cell r="C251">
            <v>317.36</v>
          </cell>
          <cell r="D251">
            <v>51.88</v>
          </cell>
          <cell r="E251">
            <v>477</v>
          </cell>
          <cell r="F251">
            <v>840.86</v>
          </cell>
          <cell r="G251">
            <v>3638.84</v>
          </cell>
          <cell r="I251">
            <v>25622.48</v>
          </cell>
          <cell r="J251">
            <v>93043</v>
          </cell>
          <cell r="K251" t="str">
            <v>MP</v>
          </cell>
        </row>
        <row r="252">
          <cell r="A252" t="str">
            <v>993577-SLR</v>
          </cell>
          <cell r="B252">
            <v>11273</v>
          </cell>
          <cell r="C252">
            <v>663.17</v>
          </cell>
          <cell r="D252">
            <v>19.940000000000001</v>
          </cell>
          <cell r="E252">
            <v>529.89</v>
          </cell>
          <cell r="F252">
            <v>450.88</v>
          </cell>
          <cell r="G252">
            <v>1898.52</v>
          </cell>
          <cell r="I252">
            <v>9309.11</v>
          </cell>
          <cell r="J252">
            <v>90013</v>
          </cell>
          <cell r="K252" t="str">
            <v>MP</v>
          </cell>
        </row>
        <row r="253">
          <cell r="A253" t="str">
            <v>993578-SLR</v>
          </cell>
          <cell r="B253">
            <v>11409</v>
          </cell>
          <cell r="C253">
            <v>256.41000000000003</v>
          </cell>
          <cell r="D253">
            <v>137.57</v>
          </cell>
          <cell r="E253">
            <v>477</v>
          </cell>
          <cell r="F253">
            <v>1806.74</v>
          </cell>
          <cell r="G253">
            <v>3485.21</v>
          </cell>
          <cell r="I253">
            <v>68525.7</v>
          </cell>
          <cell r="J253">
            <v>90379</v>
          </cell>
          <cell r="K253" t="str">
            <v>MP</v>
          </cell>
        </row>
        <row r="254">
          <cell r="A254" t="str">
            <v>993579-SLR</v>
          </cell>
          <cell r="B254">
            <v>11308</v>
          </cell>
          <cell r="C254">
            <v>173.1</v>
          </cell>
          <cell r="D254">
            <v>3.98</v>
          </cell>
          <cell r="E254">
            <v>532.62</v>
          </cell>
          <cell r="F254">
            <v>176.88</v>
          </cell>
          <cell r="G254">
            <v>239.07</v>
          </cell>
          <cell r="I254">
            <v>1815.17</v>
          </cell>
          <cell r="J254">
            <v>92001</v>
          </cell>
          <cell r="K254" t="str">
            <v>MP</v>
          </cell>
        </row>
        <row r="255">
          <cell r="A255" t="str">
            <v>993580-SLR</v>
          </cell>
          <cell r="B255">
            <v>11334</v>
          </cell>
          <cell r="C255">
            <v>147.77000000000001</v>
          </cell>
          <cell r="D255">
            <v>209.86</v>
          </cell>
          <cell r="E255">
            <v>477</v>
          </cell>
          <cell r="F255">
            <v>23961.63</v>
          </cell>
          <cell r="G255">
            <v>3154.11</v>
          </cell>
          <cell r="I255">
            <v>104779.35</v>
          </cell>
          <cell r="J255">
            <v>93176</v>
          </cell>
          <cell r="K255" t="str">
            <v>MP</v>
          </cell>
        </row>
        <row r="256">
          <cell r="A256" t="str">
            <v>993581-SLR</v>
          </cell>
          <cell r="B256">
            <v>11280</v>
          </cell>
          <cell r="C256">
            <v>395.65</v>
          </cell>
          <cell r="D256">
            <v>36.090000000000003</v>
          </cell>
          <cell r="E256">
            <v>529.89</v>
          </cell>
          <cell r="F256">
            <v>662.78</v>
          </cell>
          <cell r="G256">
            <v>3434.65</v>
          </cell>
          <cell r="I256">
            <v>17645.34</v>
          </cell>
          <cell r="J256">
            <v>92254</v>
          </cell>
          <cell r="K256" t="str">
            <v>MP</v>
          </cell>
        </row>
        <row r="257">
          <cell r="A257" t="str">
            <v>993582-SLR</v>
          </cell>
          <cell r="B257">
            <v>11309</v>
          </cell>
          <cell r="C257">
            <v>142.03</v>
          </cell>
          <cell r="D257">
            <v>7.39</v>
          </cell>
          <cell r="E257">
            <v>532.62</v>
          </cell>
          <cell r="F257">
            <v>215.3</v>
          </cell>
          <cell r="G257">
            <v>518.03</v>
          </cell>
          <cell r="I257">
            <v>3550.8</v>
          </cell>
          <cell r="J257">
            <v>90097</v>
          </cell>
          <cell r="K257" t="str">
            <v>MP</v>
          </cell>
        </row>
        <row r="258">
          <cell r="A258" t="str">
            <v>993583-SLR</v>
          </cell>
          <cell r="B258">
            <v>11240</v>
          </cell>
          <cell r="C258">
            <v>176.63</v>
          </cell>
          <cell r="D258">
            <v>2.86</v>
          </cell>
          <cell r="E258">
            <v>529.89</v>
          </cell>
          <cell r="F258">
            <v>164.22</v>
          </cell>
          <cell r="G258">
            <v>185.86</v>
          </cell>
          <cell r="I258">
            <v>1250.2</v>
          </cell>
          <cell r="J258">
            <v>92116</v>
          </cell>
          <cell r="K258" t="str">
            <v>MP</v>
          </cell>
        </row>
        <row r="259">
          <cell r="A259" t="str">
            <v>993584-SLR</v>
          </cell>
          <cell r="B259">
            <v>11519</v>
          </cell>
          <cell r="C259">
            <v>1048.8699999999999</v>
          </cell>
          <cell r="D259">
            <v>115.52</v>
          </cell>
          <cell r="E259">
            <v>477</v>
          </cell>
          <cell r="F259">
            <v>1558.26</v>
          </cell>
          <cell r="G259">
            <v>4815.32</v>
          </cell>
          <cell r="I259">
            <v>56712.05</v>
          </cell>
          <cell r="J259">
            <v>90061</v>
          </cell>
          <cell r="K259" t="str">
            <v>MP</v>
          </cell>
        </row>
        <row r="260">
          <cell r="A260" t="str">
            <v>993585-SLR</v>
          </cell>
          <cell r="B260">
            <v>11531</v>
          </cell>
          <cell r="C260">
            <v>173.67</v>
          </cell>
          <cell r="D260">
            <v>1.43</v>
          </cell>
          <cell r="E260">
            <v>477</v>
          </cell>
          <cell r="F260">
            <v>148.08000000000001</v>
          </cell>
          <cell r="G260">
            <v>99.76</v>
          </cell>
          <cell r="I260">
            <v>537.46</v>
          </cell>
          <cell r="J260">
            <v>90061</v>
          </cell>
          <cell r="K260" t="str">
            <v>MP</v>
          </cell>
        </row>
        <row r="261">
          <cell r="A261" t="str">
            <v>993586-SLR</v>
          </cell>
          <cell r="B261">
            <v>11299</v>
          </cell>
          <cell r="C261">
            <v>173.1</v>
          </cell>
          <cell r="D261">
            <v>11.72</v>
          </cell>
          <cell r="E261">
            <v>532.62</v>
          </cell>
          <cell r="F261">
            <v>268.08999999999997</v>
          </cell>
          <cell r="G261">
            <v>175.98</v>
          </cell>
          <cell r="I261">
            <v>5681.28</v>
          </cell>
          <cell r="J261">
            <v>90468</v>
          </cell>
          <cell r="K261" t="str">
            <v>MP</v>
          </cell>
        </row>
        <row r="262">
          <cell r="A262" t="str">
            <v>993587-SLR</v>
          </cell>
          <cell r="B262">
            <v>11517</v>
          </cell>
          <cell r="C262">
            <v>226.36</v>
          </cell>
          <cell r="D262">
            <v>61.3</v>
          </cell>
          <cell r="E262">
            <v>477</v>
          </cell>
          <cell r="F262">
            <v>947.04</v>
          </cell>
          <cell r="G262">
            <v>4299.51</v>
          </cell>
          <cell r="I262">
            <v>30423.119999999999</v>
          </cell>
          <cell r="J262">
            <v>90236</v>
          </cell>
          <cell r="K262" t="str">
            <v>MP</v>
          </cell>
        </row>
        <row r="263">
          <cell r="A263" t="str">
            <v>993588-SLR</v>
          </cell>
          <cell r="B263">
            <v>11310</v>
          </cell>
          <cell r="C263">
            <v>173.1</v>
          </cell>
          <cell r="D263">
            <v>14.65</v>
          </cell>
          <cell r="E263">
            <v>532.62</v>
          </cell>
          <cell r="F263">
            <v>333.4</v>
          </cell>
          <cell r="G263">
            <v>1026.72</v>
          </cell>
          <cell r="I263">
            <v>7145.99</v>
          </cell>
          <cell r="J263">
            <v>90697</v>
          </cell>
          <cell r="K263" t="str">
            <v>MP</v>
          </cell>
        </row>
        <row r="264">
          <cell r="A264" t="str">
            <v>993589-SLR</v>
          </cell>
          <cell r="B264">
            <v>11407</v>
          </cell>
          <cell r="C264">
            <v>380.52</v>
          </cell>
          <cell r="D264">
            <v>17.809999999999999</v>
          </cell>
          <cell r="E264">
            <v>532.62</v>
          </cell>
          <cell r="F264">
            <v>403.76</v>
          </cell>
          <cell r="G264">
            <v>1248.8399999999999</v>
          </cell>
          <cell r="I264">
            <v>8521.92</v>
          </cell>
          <cell r="J264">
            <v>93163</v>
          </cell>
          <cell r="K264" t="str">
            <v>MP</v>
          </cell>
        </row>
        <row r="265">
          <cell r="A265" t="str">
            <v>993590-SLR</v>
          </cell>
          <cell r="B265">
            <v>11311</v>
          </cell>
          <cell r="C265">
            <v>142.03</v>
          </cell>
          <cell r="D265">
            <v>12.53</v>
          </cell>
          <cell r="E265">
            <v>532.62</v>
          </cell>
          <cell r="F265">
            <v>286.33999999999997</v>
          </cell>
          <cell r="G265">
            <v>879.16</v>
          </cell>
          <cell r="I265">
            <v>6125.13</v>
          </cell>
          <cell r="J265">
            <v>92166</v>
          </cell>
          <cell r="K265" t="str">
            <v>MP</v>
          </cell>
        </row>
        <row r="266">
          <cell r="A266" t="str">
            <v>993591-SLR</v>
          </cell>
          <cell r="B266">
            <v>11549</v>
          </cell>
          <cell r="C266">
            <v>637.08000000000004</v>
          </cell>
          <cell r="D266">
            <v>9.42</v>
          </cell>
          <cell r="E266">
            <v>477</v>
          </cell>
          <cell r="F266">
            <v>238.11</v>
          </cell>
          <cell r="G266">
            <v>895.67</v>
          </cell>
          <cell r="I266">
            <v>4067.56</v>
          </cell>
          <cell r="J266">
            <v>90219</v>
          </cell>
          <cell r="K266" t="str">
            <v>MP</v>
          </cell>
        </row>
        <row r="267">
          <cell r="A267" t="str">
            <v>993592-SLR</v>
          </cell>
          <cell r="B267">
            <v>11403</v>
          </cell>
          <cell r="C267">
            <v>376.67</v>
          </cell>
          <cell r="D267">
            <v>20.16</v>
          </cell>
          <cell r="E267">
            <v>477</v>
          </cell>
          <cell r="F267">
            <v>456.38</v>
          </cell>
          <cell r="G267">
            <v>1211.67</v>
          </cell>
          <cell r="I267">
            <v>9700.4500000000007</v>
          </cell>
          <cell r="J267">
            <v>92001</v>
          </cell>
          <cell r="K267" t="str">
            <v>MP</v>
          </cell>
        </row>
        <row r="268">
          <cell r="A268" t="str">
            <v>993593-SLR</v>
          </cell>
          <cell r="B268">
            <v>11335</v>
          </cell>
          <cell r="C268">
            <v>223.89</v>
          </cell>
          <cell r="D268">
            <v>6.97</v>
          </cell>
          <cell r="E268">
            <v>477</v>
          </cell>
          <cell r="F268">
            <v>211.31</v>
          </cell>
          <cell r="G268">
            <v>493.14</v>
          </cell>
          <cell r="I268">
            <v>3292.04</v>
          </cell>
          <cell r="J268">
            <v>92172</v>
          </cell>
          <cell r="K268" t="str">
            <v>MP</v>
          </cell>
        </row>
        <row r="269">
          <cell r="A269" t="str">
            <v>993594=SLR</v>
          </cell>
          <cell r="B269">
            <v>11408</v>
          </cell>
          <cell r="C269">
            <v>1807.2</v>
          </cell>
          <cell r="D269">
            <v>35.119999999999997</v>
          </cell>
          <cell r="E269">
            <v>477</v>
          </cell>
          <cell r="F269">
            <v>652.04</v>
          </cell>
          <cell r="G269">
            <v>3343.9</v>
          </cell>
          <cell r="I269">
            <v>15757.16</v>
          </cell>
          <cell r="J269">
            <v>91975</v>
          </cell>
          <cell r="K269" t="str">
            <v>MP</v>
          </cell>
        </row>
        <row r="270">
          <cell r="A270" t="str">
            <v>993595-SLR</v>
          </cell>
          <cell r="B270">
            <v>11427</v>
          </cell>
          <cell r="C270">
            <v>469.25</v>
          </cell>
          <cell r="D270">
            <v>11.81</v>
          </cell>
          <cell r="E270">
            <v>477</v>
          </cell>
          <cell r="F270">
            <v>184.82</v>
          </cell>
          <cell r="G270">
            <v>422.2</v>
          </cell>
          <cell r="I270">
            <v>1864.48</v>
          </cell>
          <cell r="J270">
            <v>93024</v>
          </cell>
          <cell r="K270" t="str">
            <v>MP</v>
          </cell>
        </row>
        <row r="271">
          <cell r="A271" t="str">
            <v>993596-SLR</v>
          </cell>
          <cell r="B271">
            <v>11459</v>
          </cell>
          <cell r="C271">
            <v>10718.86</v>
          </cell>
          <cell r="D271">
            <v>82.05</v>
          </cell>
          <cell r="E271">
            <v>477</v>
          </cell>
          <cell r="F271">
            <v>1180.96</v>
          </cell>
          <cell r="G271">
            <v>4932.87</v>
          </cell>
          <cell r="I271">
            <v>30306.34</v>
          </cell>
          <cell r="J271">
            <v>92315</v>
          </cell>
          <cell r="K271" t="str">
            <v>MP</v>
          </cell>
        </row>
        <row r="272">
          <cell r="A272" t="str">
            <v>993597-SLR</v>
          </cell>
          <cell r="B272">
            <v>11312</v>
          </cell>
          <cell r="C272">
            <v>173.1</v>
          </cell>
          <cell r="D272">
            <v>19.649999999999999</v>
          </cell>
          <cell r="E272">
            <v>532.62</v>
          </cell>
          <cell r="F272">
            <v>477.66</v>
          </cell>
          <cell r="G272">
            <v>1378.88</v>
          </cell>
          <cell r="I272">
            <v>9656.4</v>
          </cell>
          <cell r="J272">
            <v>91147</v>
          </cell>
          <cell r="K272" t="str">
            <v>MP</v>
          </cell>
        </row>
        <row r="273">
          <cell r="A273" t="str">
            <v>993598-SLR</v>
          </cell>
          <cell r="B273">
            <v>11313</v>
          </cell>
          <cell r="C273">
            <v>1495.28</v>
          </cell>
          <cell r="D273">
            <v>18.96</v>
          </cell>
          <cell r="E273">
            <v>532.62</v>
          </cell>
          <cell r="F273">
            <v>469.88</v>
          </cell>
          <cell r="G273">
            <v>1140.43</v>
          </cell>
          <cell r="I273">
            <v>7989.3</v>
          </cell>
          <cell r="J273">
            <v>92282</v>
          </cell>
          <cell r="K273" t="str">
            <v>MP</v>
          </cell>
        </row>
        <row r="274">
          <cell r="A274" t="str">
            <v>993599-SLR</v>
          </cell>
          <cell r="B274">
            <v>11314</v>
          </cell>
          <cell r="C274">
            <v>462.85</v>
          </cell>
          <cell r="D274">
            <v>11.42</v>
          </cell>
          <cell r="E274">
            <v>532.62</v>
          </cell>
          <cell r="F274">
            <v>261.61</v>
          </cell>
          <cell r="G274">
            <v>1086.9100000000001</v>
          </cell>
          <cell r="I274">
            <v>5246.31</v>
          </cell>
          <cell r="J274">
            <v>91591</v>
          </cell>
          <cell r="K274" t="str">
            <v>MP</v>
          </cell>
        </row>
        <row r="275">
          <cell r="A275" t="str">
            <v>993600-SLR</v>
          </cell>
          <cell r="B275">
            <v>11387</v>
          </cell>
          <cell r="C275">
            <v>198.48</v>
          </cell>
          <cell r="D275">
            <v>41.1</v>
          </cell>
          <cell r="E275">
            <v>477</v>
          </cell>
          <cell r="F275">
            <v>719.4</v>
          </cell>
          <cell r="G275">
            <v>4324.57</v>
          </cell>
          <cell r="I275">
            <v>20353.63</v>
          </cell>
          <cell r="J275">
            <v>91981</v>
          </cell>
          <cell r="K275" t="str">
            <v>MP</v>
          </cell>
        </row>
        <row r="276">
          <cell r="A276" t="str">
            <v>993601-SLR</v>
          </cell>
          <cell r="B276">
            <v>11337</v>
          </cell>
          <cell r="C276">
            <v>716.69</v>
          </cell>
          <cell r="D276">
            <v>101.34</v>
          </cell>
          <cell r="E276">
            <v>477</v>
          </cell>
          <cell r="F276">
            <v>1398.33</v>
          </cell>
          <cell r="G276">
            <v>10661.33</v>
          </cell>
          <cell r="I276">
            <v>49950.2</v>
          </cell>
          <cell r="J276">
            <v>90506</v>
          </cell>
          <cell r="K276" t="str">
            <v>MP</v>
          </cell>
        </row>
        <row r="277">
          <cell r="A277" t="str">
            <v>993602-SLR</v>
          </cell>
          <cell r="B277">
            <v>11340</v>
          </cell>
          <cell r="C277">
            <v>286.58</v>
          </cell>
          <cell r="D277">
            <v>11.07</v>
          </cell>
          <cell r="E277">
            <v>537.33000000000004</v>
          </cell>
          <cell r="F277">
            <v>197.33</v>
          </cell>
          <cell r="G277">
            <v>551.23</v>
          </cell>
          <cell r="I277">
            <v>2608.8200000000002</v>
          </cell>
          <cell r="J277">
            <v>90424</v>
          </cell>
          <cell r="K277" t="str">
            <v>MP</v>
          </cell>
        </row>
        <row r="278">
          <cell r="A278" t="str">
            <v>993603-SLR</v>
          </cell>
          <cell r="B278">
            <v>11252</v>
          </cell>
          <cell r="C278">
            <v>164.67</v>
          </cell>
          <cell r="D278">
            <v>4.0199999999999996</v>
          </cell>
          <cell r="E278">
            <v>531.17999999999995</v>
          </cell>
          <cell r="F278">
            <v>177.28</v>
          </cell>
          <cell r="G278">
            <v>281.42</v>
          </cell>
          <cell r="I278">
            <v>1841.42</v>
          </cell>
          <cell r="J278">
            <v>91682</v>
          </cell>
          <cell r="K278" t="str">
            <v>MP</v>
          </cell>
        </row>
        <row r="279">
          <cell r="A279" t="str">
            <v>993604-SLR</v>
          </cell>
          <cell r="B279">
            <v>11471</v>
          </cell>
          <cell r="C279">
            <v>923.33</v>
          </cell>
          <cell r="D279">
            <v>1307.8599999999999</v>
          </cell>
          <cell r="E279">
            <v>477</v>
          </cell>
          <cell r="F279">
            <v>1971.31</v>
          </cell>
          <cell r="G279">
            <v>10798.1</v>
          </cell>
          <cell r="I279">
            <v>75158.27</v>
          </cell>
          <cell r="J279">
            <v>90570</v>
          </cell>
          <cell r="K279" t="str">
            <v>MP</v>
          </cell>
        </row>
        <row r="280">
          <cell r="A280" t="str">
            <v>993605-SLR</v>
          </cell>
          <cell r="B280">
            <v>11577</v>
          </cell>
          <cell r="C280">
            <v>322.72000000000003</v>
          </cell>
          <cell r="D280">
            <v>201.79</v>
          </cell>
          <cell r="E280">
            <v>477</v>
          </cell>
          <cell r="F280">
            <v>2475.66</v>
          </cell>
          <cell r="G280">
            <v>4932.4799999999996</v>
          </cell>
          <cell r="I280">
            <v>98125.1</v>
          </cell>
          <cell r="J280">
            <v>91395</v>
          </cell>
          <cell r="K280" t="str">
            <v>MP</v>
          </cell>
        </row>
        <row r="281">
          <cell r="A281" t="str">
            <v>993607-SLR</v>
          </cell>
          <cell r="B281">
            <v>11374</v>
          </cell>
          <cell r="C281">
            <v>1525.49</v>
          </cell>
          <cell r="D281">
            <v>193.22</v>
          </cell>
          <cell r="E281">
            <v>477</v>
          </cell>
          <cell r="F281">
            <v>2433.7600000000002</v>
          </cell>
          <cell r="G281">
            <v>12582.33</v>
          </cell>
          <cell r="I281">
            <v>95068.42</v>
          </cell>
          <cell r="J281">
            <v>92107</v>
          </cell>
          <cell r="K281" t="str">
            <v>MP</v>
          </cell>
        </row>
        <row r="282">
          <cell r="A282" t="str">
            <v>993608-SLR</v>
          </cell>
          <cell r="B282">
            <v>11278</v>
          </cell>
          <cell r="C282">
            <v>1050.18</v>
          </cell>
          <cell r="D282">
            <v>11.38</v>
          </cell>
          <cell r="E282">
            <v>532.62</v>
          </cell>
          <cell r="F282">
            <v>260.27</v>
          </cell>
          <cell r="G282">
            <v>814.25</v>
          </cell>
          <cell r="I282">
            <v>4637.34</v>
          </cell>
          <cell r="J282">
            <v>92243</v>
          </cell>
          <cell r="K282" t="str">
            <v>MP</v>
          </cell>
        </row>
        <row r="283">
          <cell r="A283" t="str">
            <v>993609-SLR</v>
          </cell>
          <cell r="B283">
            <v>11532</v>
          </cell>
          <cell r="C283">
            <v>7086.45</v>
          </cell>
          <cell r="D283">
            <v>126.29</v>
          </cell>
          <cell r="E283">
            <v>477</v>
          </cell>
          <cell r="F283">
            <v>1679.7</v>
          </cell>
          <cell r="G283">
            <v>8225.52</v>
          </cell>
          <cell r="I283">
            <v>56060.51</v>
          </cell>
          <cell r="J283">
            <v>91722</v>
          </cell>
          <cell r="K283" t="str">
            <v>MP</v>
          </cell>
        </row>
        <row r="284">
          <cell r="A284" t="str">
            <v>993611-SLR</v>
          </cell>
          <cell r="B284">
            <v>11533</v>
          </cell>
          <cell r="C284">
            <v>1262.8499999999999</v>
          </cell>
          <cell r="D284">
            <v>29.67</v>
          </cell>
          <cell r="E284">
            <v>477</v>
          </cell>
          <cell r="F284">
            <v>590.6</v>
          </cell>
          <cell r="G284">
            <v>431195</v>
          </cell>
          <cell r="I284">
            <v>13576.27</v>
          </cell>
          <cell r="J284">
            <v>92260</v>
          </cell>
          <cell r="K284" t="str">
            <v>MP</v>
          </cell>
        </row>
        <row r="285">
          <cell r="A285" t="str">
            <v>993612-SLR</v>
          </cell>
          <cell r="B285">
            <v>11534</v>
          </cell>
          <cell r="C285">
            <v>235.66</v>
          </cell>
          <cell r="D285">
            <v>55.14</v>
          </cell>
          <cell r="E285">
            <v>477</v>
          </cell>
          <cell r="F285">
            <v>228.75</v>
          </cell>
          <cell r="G285">
            <v>816.59</v>
          </cell>
          <cell r="I285">
            <v>4053.61</v>
          </cell>
          <cell r="J285">
            <v>92174</v>
          </cell>
          <cell r="K285" t="str">
            <v>MP</v>
          </cell>
        </row>
        <row r="286">
          <cell r="A286" t="str">
            <v>993613-SLR</v>
          </cell>
          <cell r="B286">
            <v>11446</v>
          </cell>
          <cell r="C286">
            <v>923.06</v>
          </cell>
          <cell r="D286">
            <v>31.23</v>
          </cell>
          <cell r="E286">
            <v>477</v>
          </cell>
          <cell r="F286">
            <v>608.41999999999996</v>
          </cell>
          <cell r="G286">
            <v>1879.31</v>
          </cell>
          <cell r="I286">
            <v>14706.62</v>
          </cell>
          <cell r="J286">
            <v>93072</v>
          </cell>
          <cell r="K286" t="str">
            <v>MP</v>
          </cell>
        </row>
        <row r="287">
          <cell r="A287" t="str">
            <v>993614-SLR</v>
          </cell>
          <cell r="B287">
            <v>11524</v>
          </cell>
          <cell r="C287">
            <v>917.27</v>
          </cell>
          <cell r="D287">
            <v>9.7799999999999994</v>
          </cell>
          <cell r="E287">
            <v>477</v>
          </cell>
          <cell r="F287">
            <v>241.77</v>
          </cell>
          <cell r="G287">
            <v>1024.06</v>
          </cell>
          <cell r="I287">
            <v>3949.43</v>
          </cell>
          <cell r="J287">
            <v>91375</v>
          </cell>
          <cell r="K287" t="str">
            <v>MP</v>
          </cell>
        </row>
        <row r="288">
          <cell r="A288" t="str">
            <v>993615-SLR</v>
          </cell>
          <cell r="B288">
            <v>11613</v>
          </cell>
          <cell r="C288">
            <v>220.46</v>
          </cell>
          <cell r="D288">
            <v>47.29</v>
          </cell>
          <cell r="E288">
            <v>477</v>
          </cell>
          <cell r="F288">
            <v>540.21</v>
          </cell>
          <cell r="G288">
            <v>2399.61</v>
          </cell>
          <cell r="I288">
            <v>12383.86</v>
          </cell>
          <cell r="J288">
            <v>92109</v>
          </cell>
          <cell r="K288" t="str">
            <v>MP</v>
          </cell>
        </row>
        <row r="289">
          <cell r="A289" t="str">
            <v>993617-SLR</v>
          </cell>
          <cell r="B289">
            <v>11344</v>
          </cell>
          <cell r="C289">
            <v>1878.38</v>
          </cell>
          <cell r="D289">
            <v>5.09</v>
          </cell>
          <cell r="E289">
            <v>477</v>
          </cell>
          <cell r="F289">
            <v>189.48</v>
          </cell>
          <cell r="G289">
            <v>306.29000000000002</v>
          </cell>
          <cell r="I289">
            <v>668.98</v>
          </cell>
          <cell r="J289">
            <v>93182</v>
          </cell>
          <cell r="K289" t="str">
            <v>MP</v>
          </cell>
        </row>
        <row r="290">
          <cell r="A290" t="str">
            <v>993618-SLR</v>
          </cell>
          <cell r="B290">
            <v>11460</v>
          </cell>
          <cell r="C290">
            <v>20040.84</v>
          </cell>
          <cell r="D290">
            <v>157.56</v>
          </cell>
          <cell r="E290">
            <v>477</v>
          </cell>
          <cell r="F290">
            <v>2042.61</v>
          </cell>
          <cell r="G290">
            <v>9528.33</v>
          </cell>
          <cell r="I290">
            <v>59204.38</v>
          </cell>
          <cell r="J290">
            <v>93175</v>
          </cell>
          <cell r="K290" t="str">
            <v>MP</v>
          </cell>
        </row>
        <row r="291">
          <cell r="A291" t="str">
            <v>993619-SLR</v>
          </cell>
          <cell r="B291">
            <v>11315</v>
          </cell>
          <cell r="C291">
            <v>170.44</v>
          </cell>
          <cell r="D291">
            <v>2.29</v>
          </cell>
          <cell r="E291">
            <v>532.62</v>
          </cell>
          <cell r="F291">
            <v>157.91</v>
          </cell>
          <cell r="G291">
            <v>241.33</v>
          </cell>
          <cell r="I291">
            <v>976.47</v>
          </cell>
          <cell r="J291">
            <v>91185</v>
          </cell>
          <cell r="K291" t="str">
            <v>MP</v>
          </cell>
        </row>
        <row r="292">
          <cell r="A292" t="str">
            <v>993620-SLR</v>
          </cell>
          <cell r="B292">
            <v>11450</v>
          </cell>
          <cell r="C292">
            <v>868.77</v>
          </cell>
          <cell r="D292">
            <v>352.17</v>
          </cell>
          <cell r="E292">
            <v>477</v>
          </cell>
          <cell r="F292">
            <v>717.92</v>
          </cell>
          <cell r="G292">
            <v>3694.97</v>
          </cell>
          <cell r="I292">
            <v>19617.87</v>
          </cell>
          <cell r="J292">
            <v>93298</v>
          </cell>
          <cell r="K292" t="str">
            <v>MP</v>
          </cell>
        </row>
        <row r="293">
          <cell r="A293" t="str">
            <v>993621-SLR</v>
          </cell>
          <cell r="B293">
            <v>11269</v>
          </cell>
          <cell r="C293">
            <v>106.98</v>
          </cell>
          <cell r="D293">
            <v>0</v>
          </cell>
          <cell r="E293">
            <v>0</v>
          </cell>
          <cell r="F293">
            <v>17.62</v>
          </cell>
          <cell r="G293">
            <v>189.24</v>
          </cell>
          <cell r="I293">
            <v>208.41</v>
          </cell>
          <cell r="J293">
            <v>93191</v>
          </cell>
          <cell r="K293" t="str">
            <v>MP</v>
          </cell>
        </row>
        <row r="294">
          <cell r="A294" t="str">
            <v>993622-SLR</v>
          </cell>
          <cell r="B294">
            <v>11316</v>
          </cell>
          <cell r="C294">
            <v>425.99</v>
          </cell>
          <cell r="D294">
            <v>0</v>
          </cell>
          <cell r="E294">
            <v>0</v>
          </cell>
          <cell r="F294">
            <v>17.62</v>
          </cell>
          <cell r="G294">
            <v>747.67</v>
          </cell>
          <cell r="I294">
            <v>820.13</v>
          </cell>
          <cell r="J294">
            <v>91496</v>
          </cell>
          <cell r="K294" t="str">
            <v>MP</v>
          </cell>
        </row>
        <row r="295">
          <cell r="A295" t="str">
            <v>993625-SLR</v>
          </cell>
          <cell r="B295">
            <v>11475</v>
          </cell>
          <cell r="C295">
            <v>273.26</v>
          </cell>
          <cell r="D295">
            <v>7.43</v>
          </cell>
          <cell r="E295">
            <v>477</v>
          </cell>
          <cell r="F295">
            <v>141.80000000000001</v>
          </cell>
          <cell r="G295">
            <v>82.3</v>
          </cell>
          <cell r="I295">
            <v>159.03</v>
          </cell>
          <cell r="J295">
            <v>91162</v>
          </cell>
          <cell r="K295" t="str">
            <v>MP</v>
          </cell>
        </row>
        <row r="296">
          <cell r="A296" t="str">
            <v>993626-SLR</v>
          </cell>
          <cell r="B296">
            <v>11438</v>
          </cell>
          <cell r="C296">
            <v>258.3</v>
          </cell>
          <cell r="D296">
            <v>3.22</v>
          </cell>
          <cell r="E296">
            <v>477</v>
          </cell>
          <cell r="F296">
            <v>168.24</v>
          </cell>
          <cell r="G296">
            <v>239.94</v>
          </cell>
          <cell r="I296">
            <v>1347.1</v>
          </cell>
          <cell r="J296">
            <v>90013</v>
          </cell>
          <cell r="K296" t="str">
            <v>MP</v>
          </cell>
        </row>
        <row r="297">
          <cell r="A297" t="str">
            <v>993628-SLR</v>
          </cell>
          <cell r="B297">
            <v>11451</v>
          </cell>
          <cell r="C297">
            <v>307.14999999999998</v>
          </cell>
          <cell r="D297">
            <v>51.59</v>
          </cell>
          <cell r="E297">
            <v>551.76</v>
          </cell>
          <cell r="F297">
            <v>837.55</v>
          </cell>
          <cell r="G297">
            <v>3618.2</v>
          </cell>
          <cell r="I297">
            <v>25485.57</v>
          </cell>
          <cell r="J297">
            <v>91750</v>
          </cell>
          <cell r="K297" t="str">
            <v>MP</v>
          </cell>
        </row>
        <row r="298">
          <cell r="A298" t="str">
            <v>993629-SLR</v>
          </cell>
          <cell r="B298">
            <v>11445</v>
          </cell>
          <cell r="C298">
            <v>208.64</v>
          </cell>
          <cell r="D298">
            <v>30.12</v>
          </cell>
          <cell r="E298">
            <v>477</v>
          </cell>
          <cell r="F298">
            <v>595.63</v>
          </cell>
          <cell r="G298">
            <v>2112.9699999999998</v>
          </cell>
          <cell r="I298">
            <v>14853.86</v>
          </cell>
          <cell r="J298">
            <v>90097</v>
          </cell>
          <cell r="K298" t="str">
            <v>MP</v>
          </cell>
        </row>
        <row r="299">
          <cell r="A299" t="str">
            <v>993630-SLR</v>
          </cell>
          <cell r="B299">
            <v>11477</v>
          </cell>
          <cell r="C299">
            <v>179.32</v>
          </cell>
          <cell r="D299">
            <v>2.48</v>
          </cell>
          <cell r="E299">
            <v>477</v>
          </cell>
          <cell r="F299">
            <v>159.94</v>
          </cell>
          <cell r="G299">
            <v>173.51</v>
          </cell>
          <cell r="I299">
            <v>1057.54</v>
          </cell>
          <cell r="J299">
            <v>90697</v>
          </cell>
          <cell r="K299" t="str">
            <v>MP</v>
          </cell>
        </row>
        <row r="300">
          <cell r="A300" t="str">
            <v>993631-SLR</v>
          </cell>
          <cell r="B300">
            <v>11428</v>
          </cell>
          <cell r="C300">
            <v>177.35</v>
          </cell>
          <cell r="D300">
            <v>14.88</v>
          </cell>
          <cell r="E300">
            <v>477</v>
          </cell>
          <cell r="F300">
            <v>338.58</v>
          </cell>
          <cell r="G300">
            <v>1043.01</v>
          </cell>
          <cell r="I300">
            <v>7257.81</v>
          </cell>
          <cell r="J300">
            <v>91682</v>
          </cell>
          <cell r="K300" t="str">
            <v>MP</v>
          </cell>
        </row>
        <row r="301">
          <cell r="A301" t="str">
            <v>993632-SLR</v>
          </cell>
          <cell r="B301">
            <v>11317</v>
          </cell>
          <cell r="C301">
            <v>3448.36</v>
          </cell>
          <cell r="D301">
            <v>16.78</v>
          </cell>
          <cell r="E301">
            <v>532.62</v>
          </cell>
          <cell r="F301">
            <v>386.58</v>
          </cell>
          <cell r="G301">
            <v>1023.45</v>
          </cell>
          <cell r="I301">
            <v>5063.6000000000004</v>
          </cell>
          <cell r="J301">
            <v>93175</v>
          </cell>
          <cell r="K301" t="str">
            <v>MP</v>
          </cell>
        </row>
        <row r="302">
          <cell r="A302" t="str">
            <v>993633-SLR</v>
          </cell>
          <cell r="B302">
            <v>11370</v>
          </cell>
          <cell r="C302">
            <v>102.45</v>
          </cell>
          <cell r="D302">
            <v>26.26</v>
          </cell>
          <cell r="E302">
            <v>477</v>
          </cell>
          <cell r="F302">
            <v>552.13</v>
          </cell>
          <cell r="G302">
            <v>1842.25</v>
          </cell>
          <cell r="I302">
            <v>13030.25</v>
          </cell>
          <cell r="J302">
            <v>92240</v>
          </cell>
          <cell r="K302" t="str">
            <v>MP</v>
          </cell>
        </row>
        <row r="303">
          <cell r="A303" t="str">
            <v>993634-SLR</v>
          </cell>
          <cell r="B303">
            <v>11429</v>
          </cell>
          <cell r="C303">
            <v>92.04</v>
          </cell>
          <cell r="D303">
            <v>9</v>
          </cell>
          <cell r="E303">
            <v>477</v>
          </cell>
          <cell r="F303">
            <v>233.57</v>
          </cell>
          <cell r="G303">
            <v>631.70000000000005</v>
          </cell>
          <cell r="I303">
            <v>4411.08</v>
          </cell>
          <cell r="J303">
            <v>92240</v>
          </cell>
          <cell r="K303" t="str">
            <v>MP</v>
          </cell>
        </row>
        <row r="304">
          <cell r="A304" t="str">
            <v>993635-SLR</v>
          </cell>
          <cell r="B304">
            <v>11345</v>
          </cell>
          <cell r="C304">
            <v>246.17</v>
          </cell>
          <cell r="D304">
            <v>46.14</v>
          </cell>
          <cell r="E304">
            <v>477</v>
          </cell>
          <cell r="F304">
            <v>213.23</v>
          </cell>
          <cell r="G304">
            <v>685.52</v>
          </cell>
          <cell r="I304">
            <v>3354.64</v>
          </cell>
          <cell r="J304">
            <v>92174</v>
          </cell>
          <cell r="K304" t="str">
            <v>MP</v>
          </cell>
        </row>
        <row r="305">
          <cell r="A305" t="str">
            <v>993636-SLR</v>
          </cell>
          <cell r="B305">
            <v>11318</v>
          </cell>
          <cell r="C305">
            <v>173.1</v>
          </cell>
          <cell r="D305">
            <v>22.73</v>
          </cell>
          <cell r="E305">
            <v>532.62</v>
          </cell>
          <cell r="F305">
            <v>512.12</v>
          </cell>
          <cell r="G305">
            <v>1593.32</v>
          </cell>
          <cell r="I305">
            <v>11185.02</v>
          </cell>
          <cell r="J305">
            <v>91874</v>
          </cell>
          <cell r="K305" t="str">
            <v>MP</v>
          </cell>
        </row>
        <row r="306">
          <cell r="A306" t="str">
            <v>993637-SLR</v>
          </cell>
          <cell r="B306">
            <v>11473</v>
          </cell>
          <cell r="C306">
            <v>4463.01</v>
          </cell>
          <cell r="D306">
            <v>9.86</v>
          </cell>
          <cell r="E306">
            <v>477</v>
          </cell>
          <cell r="F306">
            <v>243.24</v>
          </cell>
          <cell r="G306">
            <v>938.96</v>
          </cell>
          <cell r="I306">
            <v>469</v>
          </cell>
          <cell r="J306">
            <v>93191</v>
          </cell>
          <cell r="K306" t="str">
            <v>MP</v>
          </cell>
        </row>
        <row r="307">
          <cell r="A307" t="str">
            <v>993638-SLR</v>
          </cell>
          <cell r="B307">
            <v>11347</v>
          </cell>
          <cell r="C307">
            <v>684.11</v>
          </cell>
          <cell r="D307">
            <v>47.23</v>
          </cell>
          <cell r="E307">
            <v>477</v>
          </cell>
          <cell r="F307">
            <v>534.74</v>
          </cell>
          <cell r="G307">
            <v>2353.41</v>
          </cell>
          <cell r="I307">
            <v>11677.55</v>
          </cell>
          <cell r="J307">
            <v>90257</v>
          </cell>
          <cell r="K307" t="str">
            <v>MP</v>
          </cell>
        </row>
        <row r="308">
          <cell r="A308" t="str">
            <v>993639-SLR</v>
          </cell>
          <cell r="B308">
            <v>11389</v>
          </cell>
          <cell r="C308">
            <v>374.84</v>
          </cell>
          <cell r="D308">
            <v>168.71</v>
          </cell>
          <cell r="E308">
            <v>477</v>
          </cell>
          <cell r="F308">
            <v>2157.86</v>
          </cell>
          <cell r="G308">
            <v>4226.24</v>
          </cell>
          <cell r="I308">
            <v>83981.29</v>
          </cell>
          <cell r="J308">
            <v>91578</v>
          </cell>
          <cell r="K308" t="str">
            <v>MP</v>
          </cell>
        </row>
        <row r="309">
          <cell r="A309" t="str">
            <v>993640-SLR</v>
          </cell>
          <cell r="B309">
            <v>11369</v>
          </cell>
          <cell r="C309">
            <v>259.83</v>
          </cell>
          <cell r="D309">
            <v>39.770000000000003</v>
          </cell>
          <cell r="E309">
            <v>477</v>
          </cell>
          <cell r="F309">
            <v>704.3</v>
          </cell>
          <cell r="G309">
            <v>2788.83</v>
          </cell>
          <cell r="I309">
            <v>19622.849999999999</v>
          </cell>
          <cell r="J309">
            <v>91750</v>
          </cell>
          <cell r="K309" t="str">
            <v>MP</v>
          </cell>
        </row>
        <row r="310">
          <cell r="A310" t="str">
            <v>993641-SLR</v>
          </cell>
          <cell r="B310">
            <v>11417</v>
          </cell>
          <cell r="C310">
            <v>200.09</v>
          </cell>
          <cell r="D310">
            <v>0.71</v>
          </cell>
          <cell r="E310">
            <v>477</v>
          </cell>
          <cell r="F310">
            <v>139.94</v>
          </cell>
          <cell r="G310">
            <v>66.67</v>
          </cell>
          <cell r="I310">
            <v>150.07</v>
          </cell>
          <cell r="J310">
            <v>91591</v>
          </cell>
          <cell r="K310" t="str">
            <v>MP</v>
          </cell>
        </row>
        <row r="311">
          <cell r="A311" t="str">
            <v>993644-SLR</v>
          </cell>
          <cell r="B311">
            <v>11319</v>
          </cell>
          <cell r="C311">
            <v>192.97</v>
          </cell>
          <cell r="D311">
            <v>7.71</v>
          </cell>
          <cell r="E311">
            <v>532.62</v>
          </cell>
          <cell r="F311">
            <v>218.85</v>
          </cell>
          <cell r="G311">
            <v>499.66</v>
          </cell>
          <cell r="I311">
            <v>3657.32</v>
          </cell>
          <cell r="J311">
            <v>90503</v>
          </cell>
          <cell r="K311" t="str">
            <v>MP</v>
          </cell>
        </row>
        <row r="312">
          <cell r="A312" t="str">
            <v>993646-SLR</v>
          </cell>
          <cell r="B312">
            <v>11430</v>
          </cell>
          <cell r="C312">
            <v>181.9</v>
          </cell>
          <cell r="D312">
            <v>1.1599999999999999</v>
          </cell>
          <cell r="E312">
            <v>477</v>
          </cell>
          <cell r="F312">
            <v>145.16999999999999</v>
          </cell>
          <cell r="G312">
            <v>81.650000000000006</v>
          </cell>
          <cell r="I312">
            <v>400.18</v>
          </cell>
          <cell r="J312">
            <v>93000</v>
          </cell>
          <cell r="K312" t="str">
            <v>MP</v>
          </cell>
        </row>
        <row r="313">
          <cell r="A313" t="str">
            <v>993647-SLR</v>
          </cell>
          <cell r="B313">
            <v>11431</v>
          </cell>
          <cell r="C313">
            <v>211.09</v>
          </cell>
          <cell r="D313">
            <v>1.95</v>
          </cell>
          <cell r="E313">
            <v>477</v>
          </cell>
          <cell r="F313">
            <v>154.03</v>
          </cell>
          <cell r="G313">
            <v>185.63</v>
          </cell>
          <cell r="I313">
            <v>763.98</v>
          </cell>
          <cell r="J313">
            <v>90379</v>
          </cell>
          <cell r="K313" t="str">
            <v>MP</v>
          </cell>
        </row>
        <row r="314">
          <cell r="A314" t="str">
            <v>993648-SLR</v>
          </cell>
          <cell r="B314">
            <v>11535</v>
          </cell>
          <cell r="C314">
            <v>908.97</v>
          </cell>
          <cell r="D314">
            <v>485.05</v>
          </cell>
          <cell r="E314">
            <v>477</v>
          </cell>
          <cell r="F314">
            <v>892.74</v>
          </cell>
          <cell r="G314">
            <v>5093.53</v>
          </cell>
          <cell r="I314">
            <v>27331.96</v>
          </cell>
          <cell r="J314">
            <v>92088</v>
          </cell>
          <cell r="K314" t="str">
            <v>MP</v>
          </cell>
        </row>
        <row r="315">
          <cell r="A315" t="str">
            <v>993649-SLR</v>
          </cell>
          <cell r="B315">
            <v>11418</v>
          </cell>
          <cell r="C315">
            <v>1489.79</v>
          </cell>
          <cell r="D315">
            <v>124.24</v>
          </cell>
          <cell r="E315">
            <v>477</v>
          </cell>
          <cell r="F315">
            <v>1656.76</v>
          </cell>
          <cell r="G315">
            <v>8093.02</v>
          </cell>
          <cell r="I315">
            <v>60640</v>
          </cell>
          <cell r="J315">
            <v>92107</v>
          </cell>
          <cell r="K315" t="str">
            <v>MP</v>
          </cell>
        </row>
        <row r="316">
          <cell r="A316" t="str">
            <v>993652-SLR</v>
          </cell>
          <cell r="B316">
            <v>11452</v>
          </cell>
          <cell r="C316">
            <v>1506.23</v>
          </cell>
          <cell r="D316">
            <v>9.9499999999999993</v>
          </cell>
          <cell r="E316">
            <v>477</v>
          </cell>
          <cell r="F316">
            <v>244.17</v>
          </cell>
          <cell r="G316">
            <v>647.79</v>
          </cell>
          <cell r="I316">
            <v>3466.82</v>
          </cell>
          <cell r="J316">
            <v>93016</v>
          </cell>
          <cell r="K316" t="str">
            <v>MP</v>
          </cell>
        </row>
        <row r="317">
          <cell r="A317" t="str">
            <v>993653-SLR</v>
          </cell>
          <cell r="B317">
            <v>11646</v>
          </cell>
          <cell r="C317">
            <v>2577.04</v>
          </cell>
          <cell r="D317">
            <v>37.51</v>
          </cell>
          <cell r="E317">
            <v>477</v>
          </cell>
          <cell r="F317">
            <v>678.87</v>
          </cell>
          <cell r="G317">
            <v>1999.22</v>
          </cell>
          <cell r="I317">
            <v>16177.47</v>
          </cell>
          <cell r="J317">
            <v>92243</v>
          </cell>
          <cell r="K317" t="str">
            <v>MP</v>
          </cell>
        </row>
        <row r="318">
          <cell r="A318" t="str">
            <v>993654-SLR</v>
          </cell>
          <cell r="B318">
            <v>11666</v>
          </cell>
          <cell r="C318">
            <v>224.87</v>
          </cell>
          <cell r="D318">
            <v>34.94</v>
          </cell>
          <cell r="E318">
            <v>477</v>
          </cell>
          <cell r="F318">
            <v>289.60000000000002</v>
          </cell>
          <cell r="G318">
            <v>680.48</v>
          </cell>
          <cell r="I318">
            <v>17471.419999999998</v>
          </cell>
          <cell r="J318">
            <v>90083</v>
          </cell>
          <cell r="K318" t="str">
            <v>MP</v>
          </cell>
        </row>
        <row r="319">
          <cell r="A319" t="str">
            <v>993655-SLR</v>
          </cell>
          <cell r="B319">
            <v>11440</v>
          </cell>
          <cell r="C319">
            <v>306.87</v>
          </cell>
          <cell r="D319">
            <v>4.33</v>
          </cell>
          <cell r="E319">
            <v>477</v>
          </cell>
          <cell r="F319">
            <v>180.77</v>
          </cell>
          <cell r="G319">
            <v>411.37</v>
          </cell>
          <cell r="I319">
            <v>1853.92</v>
          </cell>
          <cell r="J319">
            <v>90219</v>
          </cell>
          <cell r="K319" t="str">
            <v>MP</v>
          </cell>
        </row>
        <row r="320">
          <cell r="A320" t="str">
            <v>993658-SLR</v>
          </cell>
          <cell r="B320">
            <v>11397</v>
          </cell>
          <cell r="C320">
            <v>180.73</v>
          </cell>
          <cell r="D320">
            <v>16.93</v>
          </cell>
          <cell r="E320">
            <v>477</v>
          </cell>
          <cell r="F320">
            <v>384.27</v>
          </cell>
          <cell r="G320">
            <v>1186.78</v>
          </cell>
          <cell r="I320">
            <v>8279.31</v>
          </cell>
          <cell r="J320">
            <v>91814</v>
          </cell>
          <cell r="K320" t="str">
            <v>MP</v>
          </cell>
        </row>
        <row r="321">
          <cell r="A321" t="str">
            <v>993659-SLR</v>
          </cell>
          <cell r="B321">
            <v>11419</v>
          </cell>
          <cell r="C321">
            <v>200.09</v>
          </cell>
          <cell r="D321">
            <v>6.22</v>
          </cell>
          <cell r="E321">
            <v>477</v>
          </cell>
          <cell r="F321">
            <v>202.18</v>
          </cell>
          <cell r="G321">
            <v>436.34</v>
          </cell>
          <cell r="I321">
            <v>2910.4</v>
          </cell>
          <cell r="J321">
            <v>93157</v>
          </cell>
          <cell r="K321" t="str">
            <v>MP</v>
          </cell>
        </row>
        <row r="322">
          <cell r="A322" t="str">
            <v>993660-SLR</v>
          </cell>
          <cell r="B322">
            <v>11479</v>
          </cell>
          <cell r="C322">
            <v>145.52000000000001</v>
          </cell>
          <cell r="D322">
            <v>12.48</v>
          </cell>
          <cell r="E322">
            <v>477</v>
          </cell>
          <cell r="F322">
            <v>285.29000000000002</v>
          </cell>
          <cell r="G322">
            <v>875.23</v>
          </cell>
          <cell r="I322">
            <v>6093.65</v>
          </cell>
          <cell r="J322">
            <v>92235</v>
          </cell>
          <cell r="K322" t="str">
            <v>MP</v>
          </cell>
        </row>
        <row r="323">
          <cell r="A323" t="str">
            <v>993661-SLR</v>
          </cell>
          <cell r="B323">
            <v>11432</v>
          </cell>
          <cell r="C323">
            <v>200.09</v>
          </cell>
          <cell r="D323">
            <v>4.4400000000000004</v>
          </cell>
          <cell r="E323">
            <v>477</v>
          </cell>
          <cell r="F323">
            <v>182.16</v>
          </cell>
          <cell r="G323">
            <v>423.18</v>
          </cell>
          <cell r="I323">
            <v>2022.73</v>
          </cell>
          <cell r="J323">
            <v>92099</v>
          </cell>
          <cell r="K323" t="str">
            <v>MP</v>
          </cell>
        </row>
        <row r="324">
          <cell r="A324" t="str">
            <v>993663-SLR</v>
          </cell>
          <cell r="B324">
            <v>11382</v>
          </cell>
          <cell r="C324">
            <v>185.85</v>
          </cell>
          <cell r="D324">
            <v>0.49</v>
          </cell>
          <cell r="E324">
            <v>477</v>
          </cell>
          <cell r="F324">
            <v>137.57</v>
          </cell>
          <cell r="G324">
            <v>44.16</v>
          </cell>
          <cell r="I324">
            <v>59</v>
          </cell>
          <cell r="J324">
            <v>92304</v>
          </cell>
          <cell r="K324" t="str">
            <v>MP</v>
          </cell>
        </row>
        <row r="325">
          <cell r="A325" t="str">
            <v>993664-SLR</v>
          </cell>
          <cell r="B325">
            <v>11404</v>
          </cell>
          <cell r="C325">
            <v>635.76</v>
          </cell>
          <cell r="D325">
            <v>25.51</v>
          </cell>
          <cell r="E325">
            <v>477</v>
          </cell>
          <cell r="F325">
            <v>543.75</v>
          </cell>
          <cell r="G325">
            <v>2173.7600000000002</v>
          </cell>
          <cell r="I325">
            <v>12125.57</v>
          </cell>
          <cell r="J325">
            <v>92272</v>
          </cell>
          <cell r="K325" t="str">
            <v>MP</v>
          </cell>
        </row>
        <row r="326">
          <cell r="A326" t="str">
            <v>993665-SLR</v>
          </cell>
          <cell r="B326">
            <v>11383</v>
          </cell>
          <cell r="C326">
            <v>625.95000000000005</v>
          </cell>
          <cell r="D326">
            <v>10.18</v>
          </cell>
          <cell r="E326">
            <v>477</v>
          </cell>
          <cell r="F326">
            <v>246.85</v>
          </cell>
          <cell r="G326">
            <v>612.24</v>
          </cell>
          <cell r="I326">
            <v>4465.8900000000003</v>
          </cell>
          <cell r="J326">
            <v>92315</v>
          </cell>
          <cell r="K326" t="str">
            <v>MP</v>
          </cell>
        </row>
        <row r="327">
          <cell r="A327" t="str">
            <v>993666-SLR</v>
          </cell>
          <cell r="B327">
            <v>11486</v>
          </cell>
          <cell r="C327">
            <v>367.64</v>
          </cell>
          <cell r="D327">
            <v>3.37</v>
          </cell>
          <cell r="E327">
            <v>477</v>
          </cell>
          <cell r="F327">
            <v>170.01</v>
          </cell>
          <cell r="G327">
            <v>320.58999999999997</v>
          </cell>
          <cell r="I327">
            <v>1316.28</v>
          </cell>
          <cell r="J327">
            <v>92252</v>
          </cell>
          <cell r="K327" t="str">
            <v>MP</v>
          </cell>
        </row>
        <row r="328">
          <cell r="A328" t="str">
            <v>993668-SLR</v>
          </cell>
          <cell r="B328">
            <v>11384</v>
          </cell>
          <cell r="C328">
            <v>169.02</v>
          </cell>
          <cell r="D328">
            <v>1.28</v>
          </cell>
          <cell r="E328">
            <v>477</v>
          </cell>
          <cell r="F328">
            <v>146.47999999999999</v>
          </cell>
          <cell r="G328">
            <v>76.959999999999994</v>
          </cell>
          <cell r="I328">
            <v>471.02</v>
          </cell>
          <cell r="J328">
            <v>93140</v>
          </cell>
          <cell r="K328" t="str">
            <v>MP</v>
          </cell>
        </row>
        <row r="329">
          <cell r="A329" t="str">
            <v>993669-SLR</v>
          </cell>
          <cell r="B329">
            <v>11461</v>
          </cell>
          <cell r="C329">
            <v>253.34</v>
          </cell>
          <cell r="D329">
            <v>18.84</v>
          </cell>
          <cell r="E329">
            <v>477</v>
          </cell>
          <cell r="F329">
            <v>438.21</v>
          </cell>
          <cell r="G329">
            <v>1162.67</v>
          </cell>
          <cell r="I329">
            <v>9416.26</v>
          </cell>
          <cell r="J329">
            <v>92299</v>
          </cell>
          <cell r="K329" t="str">
            <v>MP</v>
          </cell>
        </row>
        <row r="330">
          <cell r="A330" t="str">
            <v>993670-SLR</v>
          </cell>
          <cell r="B330">
            <v>11557</v>
          </cell>
          <cell r="C330">
            <v>1368.31</v>
          </cell>
          <cell r="D330">
            <v>28.54</v>
          </cell>
          <cell r="E330">
            <v>477</v>
          </cell>
          <cell r="F330">
            <v>577.74</v>
          </cell>
          <cell r="G330">
            <v>1715.69</v>
          </cell>
          <cell r="I330">
            <v>12900.35</v>
          </cell>
          <cell r="J330">
            <v>92280</v>
          </cell>
          <cell r="K330" t="str">
            <v>MP</v>
          </cell>
        </row>
        <row r="331">
          <cell r="A331" t="str">
            <v>993671-SLR</v>
          </cell>
          <cell r="B331">
            <v>11503</v>
          </cell>
          <cell r="C331">
            <v>985.24</v>
          </cell>
          <cell r="D331">
            <v>7.57</v>
          </cell>
          <cell r="E331">
            <v>477</v>
          </cell>
          <cell r="F331">
            <v>239.61</v>
          </cell>
          <cell r="G331">
            <v>1003.86</v>
          </cell>
          <cell r="I331">
            <v>3785.51</v>
          </cell>
          <cell r="J331">
            <v>92243</v>
          </cell>
          <cell r="K331" t="str">
            <v>MP</v>
          </cell>
        </row>
        <row r="332">
          <cell r="A332" t="str">
            <v>993672-SLR</v>
          </cell>
          <cell r="B332">
            <v>11420</v>
          </cell>
          <cell r="C332">
            <v>966.4</v>
          </cell>
          <cell r="D332">
            <v>125.06</v>
          </cell>
          <cell r="E332">
            <v>477</v>
          </cell>
          <cell r="F332">
            <v>331.15</v>
          </cell>
          <cell r="G332">
            <v>1426.1</v>
          </cell>
          <cell r="I332">
            <v>6302.25</v>
          </cell>
          <cell r="J332">
            <v>91553</v>
          </cell>
          <cell r="K332" t="str">
            <v>MP</v>
          </cell>
        </row>
        <row r="333">
          <cell r="A333" t="str">
            <v>993674-SLR</v>
          </cell>
          <cell r="B333">
            <v>11462</v>
          </cell>
          <cell r="C333">
            <v>215.55</v>
          </cell>
          <cell r="D333">
            <v>1.43</v>
          </cell>
          <cell r="E333">
            <v>477</v>
          </cell>
          <cell r="F333">
            <v>148.25</v>
          </cell>
          <cell r="G333">
            <v>136.80000000000001</v>
          </cell>
          <cell r="I333">
            <v>503.02</v>
          </cell>
          <cell r="J333">
            <v>92202</v>
          </cell>
          <cell r="K333" t="str">
            <v>MP</v>
          </cell>
        </row>
        <row r="334">
          <cell r="A334" t="str">
            <v>993675-SLR</v>
          </cell>
          <cell r="B334">
            <v>11453</v>
          </cell>
          <cell r="C334">
            <v>318.18</v>
          </cell>
          <cell r="D334">
            <v>3.02</v>
          </cell>
          <cell r="E334">
            <v>477</v>
          </cell>
          <cell r="F334">
            <v>166.09</v>
          </cell>
          <cell r="G334">
            <v>272.33999999999997</v>
          </cell>
          <cell r="I334">
            <v>1191.8</v>
          </cell>
          <cell r="J334">
            <v>90379</v>
          </cell>
          <cell r="K334" t="str">
            <v>MP</v>
          </cell>
        </row>
        <row r="335">
          <cell r="A335" t="str">
            <v>993677-SLR</v>
          </cell>
          <cell r="B335">
            <v>11504</v>
          </cell>
          <cell r="C335">
            <v>658.52</v>
          </cell>
          <cell r="D335">
            <v>4.42</v>
          </cell>
          <cell r="E335">
            <v>477</v>
          </cell>
          <cell r="F335">
            <v>196.61</v>
          </cell>
          <cell r="G335">
            <v>414.31</v>
          </cell>
          <cell r="I335">
            <v>2205.39</v>
          </cell>
          <cell r="J335">
            <v>90793</v>
          </cell>
          <cell r="K335" t="str">
            <v>MP</v>
          </cell>
        </row>
        <row r="336">
          <cell r="A336" t="str">
            <v>993678-SLR</v>
          </cell>
          <cell r="B336">
            <v>11487</v>
          </cell>
          <cell r="C336">
            <v>257.49</v>
          </cell>
          <cell r="D336">
            <v>3.9</v>
          </cell>
          <cell r="E336">
            <v>477</v>
          </cell>
          <cell r="F336">
            <v>175.91</v>
          </cell>
          <cell r="G336">
            <v>370.35</v>
          </cell>
          <cell r="I336">
            <v>1687.83</v>
          </cell>
          <cell r="J336">
            <v>91591</v>
          </cell>
          <cell r="K336" t="str">
            <v>MP</v>
          </cell>
        </row>
        <row r="337">
          <cell r="A337" t="str">
            <v>993679-SLR</v>
          </cell>
          <cell r="B337">
            <v>11536</v>
          </cell>
          <cell r="C337">
            <v>155.38999999999999</v>
          </cell>
          <cell r="D337">
            <v>38.659999999999997</v>
          </cell>
          <cell r="E337">
            <v>477</v>
          </cell>
          <cell r="F337">
            <v>691.89</v>
          </cell>
          <cell r="G337">
            <v>2711.91</v>
          </cell>
          <cell r="I337">
            <v>19176.77</v>
          </cell>
          <cell r="J337">
            <v>90097</v>
          </cell>
          <cell r="K337" t="str">
            <v>MP</v>
          </cell>
        </row>
        <row r="338">
          <cell r="A338" t="str">
            <v>993680-SLR</v>
          </cell>
          <cell r="B338">
            <v>11433</v>
          </cell>
          <cell r="C338">
            <v>181.9</v>
          </cell>
          <cell r="D338">
            <v>2.64</v>
          </cell>
          <cell r="E338">
            <v>477</v>
          </cell>
          <cell r="F338">
            <v>161.78</v>
          </cell>
          <cell r="G338">
            <v>251.07</v>
          </cell>
          <cell r="I338">
            <v>1136.8800000000001</v>
          </cell>
          <cell r="J338">
            <v>92116</v>
          </cell>
          <cell r="K338" t="str">
            <v>MP</v>
          </cell>
        </row>
        <row r="339">
          <cell r="A339" t="str">
            <v>993681-SLR</v>
          </cell>
          <cell r="B339">
            <v>11598</v>
          </cell>
          <cell r="C339">
            <v>3341.42</v>
          </cell>
          <cell r="D339">
            <v>16.510000000000002</v>
          </cell>
          <cell r="E339">
            <v>477</v>
          </cell>
          <cell r="F339">
            <v>517.30999999999995</v>
          </cell>
          <cell r="G339">
            <v>2438.4499999999998</v>
          </cell>
          <cell r="I339">
            <v>8253.74</v>
          </cell>
          <cell r="J339">
            <v>93129</v>
          </cell>
          <cell r="K339" t="str">
            <v>MP</v>
          </cell>
        </row>
        <row r="340">
          <cell r="A340" t="str">
            <v>993683-SLR</v>
          </cell>
          <cell r="B340">
            <v>11474</v>
          </cell>
          <cell r="C340">
            <v>7946.74</v>
          </cell>
          <cell r="D340">
            <v>39.119999999999997</v>
          </cell>
          <cell r="E340">
            <v>477</v>
          </cell>
          <cell r="F340">
            <v>696.87</v>
          </cell>
          <cell r="G340">
            <v>3723.37</v>
          </cell>
          <cell r="I340">
            <v>11610.8</v>
          </cell>
          <cell r="J340">
            <v>90219</v>
          </cell>
          <cell r="K340" t="str">
            <v>MP</v>
          </cell>
        </row>
        <row r="341">
          <cell r="A341" t="str">
            <v>993684-SLR</v>
          </cell>
          <cell r="B341">
            <v>11454</v>
          </cell>
          <cell r="C341">
            <v>367.84</v>
          </cell>
          <cell r="D341">
            <v>45.76</v>
          </cell>
          <cell r="E341">
            <v>477</v>
          </cell>
          <cell r="F341">
            <v>771.87</v>
          </cell>
          <cell r="G341">
            <v>1948.27</v>
          </cell>
          <cell r="I341">
            <v>22511.81</v>
          </cell>
          <cell r="J341">
            <v>96013</v>
          </cell>
          <cell r="K341" t="str">
            <v>MP</v>
          </cell>
        </row>
        <row r="342">
          <cell r="A342" t="str">
            <v>993685-SLR</v>
          </cell>
          <cell r="B342">
            <v>11618</v>
          </cell>
          <cell r="C342">
            <v>883.37</v>
          </cell>
          <cell r="D342">
            <v>105.27</v>
          </cell>
          <cell r="E342">
            <v>477</v>
          </cell>
          <cell r="F342">
            <v>1442.59</v>
          </cell>
          <cell r="G342">
            <v>5797.75</v>
          </cell>
          <cell r="I342">
            <v>51746.69</v>
          </cell>
          <cell r="J342">
            <v>90061</v>
          </cell>
          <cell r="K342" t="str">
            <v>MP</v>
          </cell>
        </row>
        <row r="343">
          <cell r="A343" t="str">
            <v>993688-SLR</v>
          </cell>
          <cell r="B343">
            <v>11578</v>
          </cell>
          <cell r="C343">
            <v>9417.89</v>
          </cell>
          <cell r="D343">
            <v>162.68</v>
          </cell>
          <cell r="E343">
            <v>477</v>
          </cell>
          <cell r="F343">
            <v>2089.9899999999998</v>
          </cell>
          <cell r="G343">
            <v>10596.11</v>
          </cell>
          <cell r="I343">
            <v>71928</v>
          </cell>
          <cell r="J343">
            <v>92016</v>
          </cell>
          <cell r="K343" t="str">
            <v>MP</v>
          </cell>
        </row>
        <row r="344">
          <cell r="A344" t="str">
            <v>993689-SLR</v>
          </cell>
          <cell r="B344">
            <v>11653</v>
          </cell>
          <cell r="C344">
            <v>9626.48</v>
          </cell>
          <cell r="D344">
            <v>150.82</v>
          </cell>
          <cell r="E344">
            <v>477</v>
          </cell>
          <cell r="F344">
            <v>1956.21</v>
          </cell>
          <cell r="G344">
            <v>9823.15</v>
          </cell>
          <cell r="I344">
            <v>65785.350000000006</v>
          </cell>
          <cell r="J344">
            <v>91722</v>
          </cell>
          <cell r="K344" t="str">
            <v>MP</v>
          </cell>
        </row>
        <row r="345">
          <cell r="A345" t="str">
            <v>993690-SLR</v>
          </cell>
          <cell r="B345">
            <v>11562</v>
          </cell>
          <cell r="C345">
            <v>190.12</v>
          </cell>
          <cell r="D345">
            <v>1.01</v>
          </cell>
          <cell r="E345">
            <v>477</v>
          </cell>
          <cell r="F345">
            <v>143.52000000000001</v>
          </cell>
          <cell r="G345">
            <v>71.37</v>
          </cell>
          <cell r="I345">
            <v>318.68</v>
          </cell>
          <cell r="J345">
            <v>91337</v>
          </cell>
          <cell r="K345" t="str">
            <v>MP</v>
          </cell>
        </row>
        <row r="346">
          <cell r="A346" t="str">
            <v>993692-SLR</v>
          </cell>
          <cell r="B346">
            <v>11490</v>
          </cell>
          <cell r="C346">
            <v>372.65</v>
          </cell>
          <cell r="D346">
            <v>4.62</v>
          </cell>
          <cell r="E346">
            <v>477</v>
          </cell>
          <cell r="F346">
            <v>159.18</v>
          </cell>
          <cell r="G346">
            <v>229.07</v>
          </cell>
          <cell r="I346">
            <v>830.56</v>
          </cell>
          <cell r="J346">
            <v>93030</v>
          </cell>
          <cell r="K346" t="str">
            <v>MP</v>
          </cell>
        </row>
        <row r="347">
          <cell r="A347" t="str">
            <v>993693-SLR</v>
          </cell>
          <cell r="B347">
            <v>11507</v>
          </cell>
          <cell r="C347">
            <v>198.8</v>
          </cell>
          <cell r="D347">
            <v>52.73</v>
          </cell>
          <cell r="E347">
            <v>477</v>
          </cell>
          <cell r="F347">
            <v>571.27</v>
          </cell>
          <cell r="G347">
            <v>2661.89</v>
          </cell>
          <cell r="I347">
            <v>13783.19</v>
          </cell>
          <cell r="J347">
            <v>90686</v>
          </cell>
          <cell r="K347" t="str">
            <v>MP</v>
          </cell>
        </row>
        <row r="348">
          <cell r="A348" t="str">
            <v>993694-SLR</v>
          </cell>
          <cell r="B348">
            <v>11491</v>
          </cell>
          <cell r="C348">
            <v>310.63</v>
          </cell>
          <cell r="D348">
            <v>7.65</v>
          </cell>
          <cell r="E348">
            <v>477</v>
          </cell>
          <cell r="F348">
            <v>218.49</v>
          </cell>
          <cell r="G348">
            <v>729.95</v>
          </cell>
          <cell r="I348">
            <v>3523.54</v>
          </cell>
          <cell r="J348">
            <v>90335</v>
          </cell>
          <cell r="K348" t="str">
            <v>MP</v>
          </cell>
        </row>
        <row r="349">
          <cell r="A349" t="str">
            <v>993695-SLR</v>
          </cell>
          <cell r="B349">
            <v>11476</v>
          </cell>
          <cell r="C349">
            <v>507.42</v>
          </cell>
          <cell r="D349">
            <v>14.77</v>
          </cell>
          <cell r="E349">
            <v>477</v>
          </cell>
          <cell r="F349">
            <v>336.47</v>
          </cell>
          <cell r="G349">
            <v>1384.45</v>
          </cell>
          <cell r="I349">
            <v>6880.37</v>
          </cell>
          <cell r="J349">
            <v>90013</v>
          </cell>
          <cell r="K349" t="str">
            <v>MP</v>
          </cell>
        </row>
        <row r="350">
          <cell r="A350" t="str">
            <v>993696-SLR</v>
          </cell>
          <cell r="B350">
            <v>11464</v>
          </cell>
          <cell r="C350">
            <v>213.44</v>
          </cell>
          <cell r="D350">
            <v>4.1399999999999997</v>
          </cell>
          <cell r="E350">
            <v>477</v>
          </cell>
          <cell r="F350">
            <v>178.66</v>
          </cell>
          <cell r="G350">
            <v>393.58</v>
          </cell>
          <cell r="I350">
            <v>1853.91</v>
          </cell>
          <cell r="J350">
            <v>90379</v>
          </cell>
          <cell r="K350" t="str">
            <v>MP</v>
          </cell>
        </row>
        <row r="351">
          <cell r="A351" t="str">
            <v>993698-SLR</v>
          </cell>
          <cell r="B351">
            <v>11558</v>
          </cell>
          <cell r="C351">
            <v>273.43</v>
          </cell>
          <cell r="D351">
            <v>7.19</v>
          </cell>
          <cell r="E351">
            <v>477</v>
          </cell>
          <cell r="F351">
            <v>225</v>
          </cell>
          <cell r="G351">
            <v>87.8</v>
          </cell>
          <cell r="I351">
            <v>143.80000000000001</v>
          </cell>
          <cell r="J351">
            <v>91064</v>
          </cell>
          <cell r="K351" t="str">
            <v>MP</v>
          </cell>
        </row>
        <row r="352">
          <cell r="A352" t="str">
            <v>993699-SLR</v>
          </cell>
          <cell r="B352">
            <v>11422</v>
          </cell>
          <cell r="C352">
            <v>348.71</v>
          </cell>
          <cell r="D352">
            <v>5.78</v>
          </cell>
          <cell r="E352">
            <v>477</v>
          </cell>
          <cell r="F352">
            <v>197.23</v>
          </cell>
          <cell r="G352">
            <v>86.91</v>
          </cell>
          <cell r="I352">
            <v>2542.5300000000002</v>
          </cell>
          <cell r="J352">
            <v>91250</v>
          </cell>
          <cell r="K352" t="str">
            <v>MP</v>
          </cell>
        </row>
        <row r="353">
          <cell r="A353" t="str">
            <v>993700-SLR</v>
          </cell>
          <cell r="B353">
            <v>11465</v>
          </cell>
          <cell r="C353">
            <v>147.13999999999999</v>
          </cell>
          <cell r="D353">
            <v>20.75</v>
          </cell>
          <cell r="E353">
            <v>477</v>
          </cell>
          <cell r="F353">
            <v>469.57</v>
          </cell>
          <cell r="G353">
            <v>1870.89</v>
          </cell>
          <cell r="I353">
            <v>10225.950000000001</v>
          </cell>
          <cell r="J353">
            <v>92015</v>
          </cell>
          <cell r="K353" t="str">
            <v>MP</v>
          </cell>
        </row>
        <row r="354">
          <cell r="A354" t="str">
            <v>993701-SLR</v>
          </cell>
          <cell r="B354">
            <v>11466</v>
          </cell>
          <cell r="C354">
            <v>202.31</v>
          </cell>
          <cell r="D354">
            <v>32.590000000000003</v>
          </cell>
          <cell r="E354">
            <v>477</v>
          </cell>
          <cell r="F354">
            <v>623.42999999999995</v>
          </cell>
          <cell r="G354">
            <v>2285.91</v>
          </cell>
          <cell r="I354">
            <v>16093</v>
          </cell>
          <cell r="J354">
            <v>91643</v>
          </cell>
          <cell r="K354" t="str">
            <v>MP</v>
          </cell>
        </row>
        <row r="355">
          <cell r="A355" t="str">
            <v>993702-SLR</v>
          </cell>
          <cell r="B355">
            <v>11599</v>
          </cell>
          <cell r="C355">
            <v>534.82000000000005</v>
          </cell>
          <cell r="D355">
            <v>7.43</v>
          </cell>
          <cell r="E355">
            <v>477</v>
          </cell>
          <cell r="F355">
            <v>227.9</v>
          </cell>
          <cell r="G355">
            <v>581.79</v>
          </cell>
          <cell r="I355">
            <v>3717.76</v>
          </cell>
          <cell r="J355">
            <v>90219</v>
          </cell>
          <cell r="K355" t="str">
            <v>MP</v>
          </cell>
        </row>
        <row r="356">
          <cell r="A356" t="str">
            <v>993703-SLR</v>
          </cell>
          <cell r="B356">
            <v>11505</v>
          </cell>
          <cell r="C356">
            <v>217.31</v>
          </cell>
          <cell r="D356">
            <v>24.99</v>
          </cell>
          <cell r="E356">
            <v>477</v>
          </cell>
          <cell r="F356">
            <v>542.65</v>
          </cell>
          <cell r="G356">
            <v>1783.31</v>
          </cell>
          <cell r="I356">
            <v>12495.21</v>
          </cell>
          <cell r="J356">
            <v>90697</v>
          </cell>
          <cell r="K356" t="str">
            <v>MP</v>
          </cell>
        </row>
        <row r="357">
          <cell r="A357" t="str">
            <v>993704-SLR</v>
          </cell>
          <cell r="B357">
            <v>11492</v>
          </cell>
          <cell r="C357">
            <v>179.32</v>
          </cell>
          <cell r="D357">
            <v>3.68</v>
          </cell>
          <cell r="E357">
            <v>477</v>
          </cell>
          <cell r="F357">
            <v>173.41</v>
          </cell>
          <cell r="G357">
            <v>257.36</v>
          </cell>
          <cell r="I357">
            <v>1655.28</v>
          </cell>
          <cell r="J357">
            <v>90121</v>
          </cell>
          <cell r="K357" t="str">
            <v>MP</v>
          </cell>
        </row>
        <row r="358">
          <cell r="A358" t="str">
            <v>993705-SLR</v>
          </cell>
          <cell r="B358">
            <v>11563</v>
          </cell>
          <cell r="C358">
            <v>1597.94</v>
          </cell>
          <cell r="D358">
            <v>525.16</v>
          </cell>
          <cell r="E358">
            <v>477</v>
          </cell>
          <cell r="F358">
            <v>6175.86</v>
          </cell>
          <cell r="G358">
            <v>34807.31</v>
          </cell>
          <cell r="I358">
            <v>260980.08</v>
          </cell>
          <cell r="J358">
            <v>90062</v>
          </cell>
          <cell r="K358" t="str">
            <v>MP</v>
          </cell>
        </row>
        <row r="359">
          <cell r="A359" t="str">
            <v>993706-SLR</v>
          </cell>
          <cell r="B359">
            <v>11600</v>
          </cell>
          <cell r="C359">
            <v>224.78</v>
          </cell>
          <cell r="D359">
            <v>62.81</v>
          </cell>
          <cell r="E359">
            <v>477</v>
          </cell>
          <cell r="F359">
            <v>969.16</v>
          </cell>
          <cell r="G359">
            <v>950.82</v>
          </cell>
          <cell r="I359">
            <v>31406.28</v>
          </cell>
          <cell r="J359">
            <v>90061</v>
          </cell>
          <cell r="K359" t="str">
            <v>MP</v>
          </cell>
        </row>
        <row r="360">
          <cell r="A360" t="str">
            <v>993707-SLR</v>
          </cell>
          <cell r="B360">
            <v>11515</v>
          </cell>
          <cell r="C360">
            <v>153.93</v>
          </cell>
          <cell r="D360">
            <v>16.39</v>
          </cell>
          <cell r="E360">
            <v>477</v>
          </cell>
          <cell r="F360">
            <v>372.23</v>
          </cell>
          <cell r="G360">
            <v>1148.8800000000001</v>
          </cell>
          <cell r="I360">
            <v>8035.96</v>
          </cell>
          <cell r="J360">
            <v>90097</v>
          </cell>
          <cell r="K360" t="str">
            <v>MP</v>
          </cell>
        </row>
        <row r="361">
          <cell r="A361" t="str">
            <v>993708-SLR</v>
          </cell>
          <cell r="B361">
            <v>11493</v>
          </cell>
          <cell r="C361">
            <v>147.13999999999999</v>
          </cell>
          <cell r="D361">
            <v>2.3199999999999998</v>
          </cell>
          <cell r="E361">
            <v>477</v>
          </cell>
          <cell r="F361">
            <v>158.16999999999999</v>
          </cell>
          <cell r="G361">
            <v>162.54</v>
          </cell>
          <cell r="I361">
            <v>1011.56</v>
          </cell>
          <cell r="J361">
            <v>90349</v>
          </cell>
          <cell r="K361" t="str">
            <v>MP</v>
          </cell>
        </row>
        <row r="362">
          <cell r="A362" t="str">
            <v>993709-SLR</v>
          </cell>
          <cell r="B362">
            <v>11494</v>
          </cell>
          <cell r="C362">
            <v>193.12</v>
          </cell>
          <cell r="D362">
            <v>5.98</v>
          </cell>
          <cell r="E362">
            <v>477</v>
          </cell>
          <cell r="F362">
            <v>199.43</v>
          </cell>
          <cell r="G362">
            <v>568.99</v>
          </cell>
          <cell r="I362">
            <v>2795.58</v>
          </cell>
          <cell r="J362">
            <v>91468</v>
          </cell>
          <cell r="K362" t="str">
            <v>MP</v>
          </cell>
        </row>
        <row r="363">
          <cell r="A363" t="str">
            <v>993711-SLR</v>
          </cell>
          <cell r="B363">
            <v>11550</v>
          </cell>
          <cell r="C363">
            <v>270.01</v>
          </cell>
          <cell r="D363">
            <v>0.71</v>
          </cell>
          <cell r="E363">
            <v>477</v>
          </cell>
          <cell r="F363">
            <v>140</v>
          </cell>
          <cell r="G363">
            <v>67.11</v>
          </cell>
          <cell r="I363">
            <v>82.5</v>
          </cell>
          <cell r="J363">
            <v>91975</v>
          </cell>
          <cell r="K363" t="str">
            <v>MP</v>
          </cell>
        </row>
        <row r="364">
          <cell r="A364" t="str">
            <v>993712-SLR</v>
          </cell>
          <cell r="B364">
            <v>11508</v>
          </cell>
          <cell r="C364">
            <v>527.01</v>
          </cell>
          <cell r="D364">
            <v>3.59</v>
          </cell>
          <cell r="E364">
            <v>477</v>
          </cell>
          <cell r="F364">
            <v>172.51</v>
          </cell>
          <cell r="G364">
            <v>377.63</v>
          </cell>
          <cell r="I364">
            <v>1267.6300000000001</v>
          </cell>
          <cell r="J364">
            <v>91365</v>
          </cell>
          <cell r="K364" t="str">
            <v>MP</v>
          </cell>
        </row>
        <row r="365">
          <cell r="A365" t="str">
            <v>993713-SLR</v>
          </cell>
          <cell r="B365">
            <v>11510</v>
          </cell>
          <cell r="C365">
            <v>627.73</v>
          </cell>
          <cell r="D365">
            <v>3.35</v>
          </cell>
          <cell r="E365">
            <v>477</v>
          </cell>
          <cell r="F365">
            <v>169.72</v>
          </cell>
          <cell r="G365">
            <v>318.08999999999997</v>
          </cell>
          <cell r="I365">
            <v>1043.08</v>
          </cell>
          <cell r="J365">
            <v>93016</v>
          </cell>
          <cell r="K365" t="str">
            <v>MP</v>
          </cell>
        </row>
        <row r="366">
          <cell r="A366" t="str">
            <v>993714-SLR</v>
          </cell>
          <cell r="B366">
            <v>11567</v>
          </cell>
          <cell r="C366">
            <v>6847.72</v>
          </cell>
          <cell r="D366">
            <v>49.11</v>
          </cell>
          <cell r="E366">
            <v>477</v>
          </cell>
          <cell r="F366">
            <v>809.51</v>
          </cell>
          <cell r="G366">
            <v>4673.66</v>
          </cell>
          <cell r="I366">
            <v>17701.400000000001</v>
          </cell>
          <cell r="J366">
            <v>92046</v>
          </cell>
          <cell r="K366" t="str">
            <v>MP</v>
          </cell>
        </row>
        <row r="367">
          <cell r="A367" t="str">
            <v>993715-SLR</v>
          </cell>
          <cell r="B367">
            <v>11512</v>
          </cell>
          <cell r="C367">
            <v>3598.29</v>
          </cell>
          <cell r="D367">
            <v>26.02</v>
          </cell>
          <cell r="E367">
            <v>477</v>
          </cell>
          <cell r="F367">
            <v>549.47</v>
          </cell>
          <cell r="G367">
            <v>1695.33</v>
          </cell>
          <cell r="I367">
            <v>9416.68</v>
          </cell>
          <cell r="J367">
            <v>93016</v>
          </cell>
          <cell r="K367" t="str">
            <v>MP</v>
          </cell>
        </row>
        <row r="368">
          <cell r="A368" t="str">
            <v>993716-SLR</v>
          </cell>
          <cell r="B368">
            <v>11654</v>
          </cell>
          <cell r="C368">
            <v>273.02</v>
          </cell>
          <cell r="D368">
            <v>6.87</v>
          </cell>
          <cell r="E368">
            <v>477</v>
          </cell>
          <cell r="F368">
            <v>209.44</v>
          </cell>
          <cell r="G368">
            <v>608.66999999999996</v>
          </cell>
          <cell r="I368">
            <v>3159.92</v>
          </cell>
          <cell r="J368">
            <v>92130</v>
          </cell>
          <cell r="K368" t="str">
            <v>MP</v>
          </cell>
        </row>
        <row r="369">
          <cell r="A369" t="str">
            <v>993717-SLR</v>
          </cell>
          <cell r="B369">
            <v>11688</v>
          </cell>
          <cell r="C369">
            <v>5026.26</v>
          </cell>
          <cell r="D369">
            <v>48.48</v>
          </cell>
          <cell r="E369">
            <v>477</v>
          </cell>
          <cell r="F369">
            <v>805.84</v>
          </cell>
          <cell r="G369">
            <v>4398.3100000000004</v>
          </cell>
          <cell r="I369">
            <v>19360.34</v>
          </cell>
          <cell r="J369">
            <v>92158</v>
          </cell>
          <cell r="K369" t="str">
            <v>MP</v>
          </cell>
        </row>
        <row r="370">
          <cell r="A370" t="str">
            <v>993718-SLR</v>
          </cell>
          <cell r="B370">
            <v>11656</v>
          </cell>
          <cell r="C370">
            <v>447.69</v>
          </cell>
          <cell r="D370">
            <v>7.32</v>
          </cell>
          <cell r="E370">
            <v>477</v>
          </cell>
          <cell r="F370">
            <v>214.51</v>
          </cell>
          <cell r="G370">
            <v>696.31</v>
          </cell>
          <cell r="I370">
            <v>3209.79</v>
          </cell>
          <cell r="J370">
            <v>93053</v>
          </cell>
          <cell r="K370" t="str">
            <v>MP</v>
          </cell>
        </row>
        <row r="371">
          <cell r="A371" t="str">
            <v>993720-SLR</v>
          </cell>
          <cell r="B371">
            <v>11657</v>
          </cell>
          <cell r="C371">
            <v>493.66</v>
          </cell>
          <cell r="D371">
            <v>8.2200000000000006</v>
          </cell>
          <cell r="E371">
            <v>477</v>
          </cell>
          <cell r="F371">
            <v>224.66</v>
          </cell>
          <cell r="G371">
            <v>782.09</v>
          </cell>
          <cell r="I371">
            <v>3614.38</v>
          </cell>
          <cell r="J371">
            <v>93053</v>
          </cell>
          <cell r="K371" t="str">
            <v>MP</v>
          </cell>
        </row>
        <row r="372">
          <cell r="A372" t="str">
            <v>993721-SLR</v>
          </cell>
          <cell r="B372">
            <v>11480</v>
          </cell>
          <cell r="C372">
            <v>2886.52</v>
          </cell>
          <cell r="D372">
            <v>13.32</v>
          </cell>
          <cell r="E372">
            <v>477</v>
          </cell>
          <cell r="F372">
            <v>303.77999999999997</v>
          </cell>
          <cell r="G372">
            <v>1266.96</v>
          </cell>
          <cell r="I372">
            <v>3768.39</v>
          </cell>
          <cell r="J372">
            <v>92233</v>
          </cell>
          <cell r="K372" t="str">
            <v>MP</v>
          </cell>
        </row>
        <row r="373">
          <cell r="A373" t="str">
            <v>993722-SLR</v>
          </cell>
          <cell r="B373">
            <v>11414</v>
          </cell>
          <cell r="C373">
            <v>227.38</v>
          </cell>
          <cell r="D373">
            <v>1.1599999999999999</v>
          </cell>
          <cell r="E373">
            <v>477</v>
          </cell>
          <cell r="F373">
            <v>145.09</v>
          </cell>
          <cell r="G373">
            <v>110.13</v>
          </cell>
          <cell r="I373">
            <v>351.07</v>
          </cell>
          <cell r="J373">
            <v>92172</v>
          </cell>
          <cell r="K373" t="str">
            <v>MP</v>
          </cell>
        </row>
        <row r="374">
          <cell r="A374" t="str">
            <v>993723-SLR</v>
          </cell>
          <cell r="B374">
            <v>11498</v>
          </cell>
          <cell r="C374">
            <v>229.66</v>
          </cell>
          <cell r="D374">
            <v>7.04</v>
          </cell>
          <cell r="E374">
            <v>477</v>
          </cell>
          <cell r="F374">
            <v>211.39</v>
          </cell>
          <cell r="G374">
            <v>423.13</v>
          </cell>
          <cell r="I374">
            <v>3289.41</v>
          </cell>
          <cell r="J374">
            <v>92299</v>
          </cell>
          <cell r="K374" t="str">
            <v>MP</v>
          </cell>
        </row>
        <row r="375">
          <cell r="A375" t="str">
            <v>993724-SLR</v>
          </cell>
          <cell r="B375">
            <v>11441</v>
          </cell>
          <cell r="C375">
            <v>1033.3599999999999</v>
          </cell>
          <cell r="D375">
            <v>2.62</v>
          </cell>
          <cell r="E375">
            <v>477</v>
          </cell>
          <cell r="F375">
            <v>161.65</v>
          </cell>
          <cell r="G375">
            <v>157.84</v>
          </cell>
          <cell r="I375">
            <v>279.38</v>
          </cell>
          <cell r="J375">
            <v>91997</v>
          </cell>
          <cell r="K375" t="str">
            <v>MP</v>
          </cell>
        </row>
        <row r="376">
          <cell r="A376" t="str">
            <v>993725-SLR</v>
          </cell>
          <cell r="B376">
            <v>11497</v>
          </cell>
          <cell r="C376">
            <v>555.45000000000005</v>
          </cell>
          <cell r="D376">
            <v>2.5099999999999998</v>
          </cell>
          <cell r="E376">
            <v>477</v>
          </cell>
          <cell r="F376">
            <v>160.32</v>
          </cell>
          <cell r="G376">
            <v>238.73</v>
          </cell>
          <cell r="I376">
            <v>698.5</v>
          </cell>
          <cell r="J376">
            <v>92251</v>
          </cell>
          <cell r="K376" t="str">
            <v>MP</v>
          </cell>
        </row>
        <row r="377">
          <cell r="A377" t="str">
            <v>993727-SLR</v>
          </cell>
          <cell r="B377">
            <v>11455</v>
          </cell>
          <cell r="C377">
            <v>638.73</v>
          </cell>
          <cell r="D377">
            <v>358.73</v>
          </cell>
          <cell r="E377">
            <v>477</v>
          </cell>
          <cell r="F377">
            <v>4321.6000000000004</v>
          </cell>
          <cell r="G377">
            <v>9034.56</v>
          </cell>
          <cell r="I377">
            <v>179691.9</v>
          </cell>
          <cell r="J377">
            <v>91578</v>
          </cell>
          <cell r="K377" t="str">
            <v>MP</v>
          </cell>
        </row>
        <row r="378">
          <cell r="A378" t="str">
            <v>993729-SLR</v>
          </cell>
          <cell r="B378">
            <v>11442</v>
          </cell>
          <cell r="C378">
            <v>261.10000000000002</v>
          </cell>
          <cell r="D378">
            <v>2.62</v>
          </cell>
          <cell r="E378">
            <v>477</v>
          </cell>
          <cell r="F378">
            <v>161.54</v>
          </cell>
          <cell r="G378">
            <v>249.02</v>
          </cell>
          <cell r="I378">
            <v>1046.9100000000001</v>
          </cell>
          <cell r="J378">
            <v>92303</v>
          </cell>
          <cell r="K378" t="str">
            <v>MP</v>
          </cell>
        </row>
        <row r="379">
          <cell r="A379" t="str">
            <v>993730-SLR</v>
          </cell>
          <cell r="B379">
            <v>11456</v>
          </cell>
          <cell r="C379">
            <v>399.68</v>
          </cell>
          <cell r="D379">
            <v>23.03</v>
          </cell>
          <cell r="E379">
            <v>477</v>
          </cell>
          <cell r="F379">
            <v>515.66999999999996</v>
          </cell>
          <cell r="G379">
            <v>576.94000000000005</v>
          </cell>
          <cell r="I379">
            <v>11116.12</v>
          </cell>
          <cell r="J379">
            <v>91814</v>
          </cell>
          <cell r="K379" t="str">
            <v>MP</v>
          </cell>
        </row>
        <row r="380">
          <cell r="A380" t="str">
            <v>993731-SLR</v>
          </cell>
          <cell r="B380">
            <v>11513</v>
          </cell>
          <cell r="C380">
            <v>194.67</v>
          </cell>
          <cell r="D380">
            <v>13.51</v>
          </cell>
          <cell r="E380">
            <v>477</v>
          </cell>
          <cell r="F380">
            <v>308.02999999999997</v>
          </cell>
          <cell r="G380">
            <v>1420.36</v>
          </cell>
          <cell r="I380">
            <v>6555.46</v>
          </cell>
          <cell r="J380">
            <v>91681</v>
          </cell>
          <cell r="K380" t="str">
            <v>MP</v>
          </cell>
        </row>
        <row r="381">
          <cell r="A381" t="str">
            <v>993732-SLR</v>
          </cell>
          <cell r="B381">
            <v>11514</v>
          </cell>
          <cell r="C381">
            <v>468.36</v>
          </cell>
          <cell r="D381">
            <v>26.78</v>
          </cell>
          <cell r="E381">
            <v>477</v>
          </cell>
          <cell r="F381">
            <v>557.87</v>
          </cell>
          <cell r="G381">
            <v>1743.83</v>
          </cell>
          <cell r="I381">
            <v>12918.96</v>
          </cell>
          <cell r="J381">
            <v>92107</v>
          </cell>
          <cell r="K381" t="str">
            <v>MP</v>
          </cell>
        </row>
        <row r="382">
          <cell r="A382" t="str">
            <v>993733-SLR</v>
          </cell>
          <cell r="B382">
            <v>11506</v>
          </cell>
          <cell r="C382">
            <v>468.36</v>
          </cell>
          <cell r="D382">
            <v>1.72</v>
          </cell>
          <cell r="E382">
            <v>477</v>
          </cell>
          <cell r="F382">
            <v>162.07</v>
          </cell>
          <cell r="G382">
            <v>226.61</v>
          </cell>
          <cell r="I382">
            <v>861.99</v>
          </cell>
          <cell r="J382">
            <v>91395</v>
          </cell>
          <cell r="K382" t="str">
            <v>MP</v>
          </cell>
        </row>
        <row r="383">
          <cell r="A383" t="str">
            <v>993734-SLR</v>
          </cell>
          <cell r="B383">
            <v>11568</v>
          </cell>
          <cell r="C383">
            <v>1795.86</v>
          </cell>
          <cell r="D383">
            <v>3598.73</v>
          </cell>
          <cell r="E383">
            <v>477</v>
          </cell>
          <cell r="F383">
            <v>249</v>
          </cell>
          <cell r="G383">
            <v>28133.77</v>
          </cell>
          <cell r="I383">
            <v>208159.71</v>
          </cell>
          <cell r="J383">
            <v>90570</v>
          </cell>
          <cell r="K383" t="str">
            <v>MP</v>
          </cell>
        </row>
        <row r="384">
          <cell r="A384" t="str">
            <v>993735-SLR</v>
          </cell>
          <cell r="B384">
            <v>11457</v>
          </cell>
          <cell r="C384">
            <v>244.91</v>
          </cell>
          <cell r="D384">
            <v>152.41</v>
          </cell>
          <cell r="E384">
            <v>477</v>
          </cell>
          <cell r="F384">
            <v>1974.06</v>
          </cell>
          <cell r="G384">
            <v>10689.83</v>
          </cell>
          <cell r="I384">
            <v>75958.59</v>
          </cell>
          <cell r="J384">
            <v>93285</v>
          </cell>
          <cell r="K384" t="str">
            <v>MP</v>
          </cell>
        </row>
        <row r="385">
          <cell r="A385" t="str">
            <v>993736-SLR</v>
          </cell>
          <cell r="B385">
            <v>11511</v>
          </cell>
          <cell r="C385">
            <v>198.66</v>
          </cell>
          <cell r="D385">
            <v>6.19</v>
          </cell>
          <cell r="E385">
            <v>477</v>
          </cell>
          <cell r="F385">
            <v>201.93</v>
          </cell>
          <cell r="G385">
            <v>590.12</v>
          </cell>
          <cell r="I385">
            <v>2901.06</v>
          </cell>
          <cell r="J385">
            <v>90402</v>
          </cell>
          <cell r="K385" t="str">
            <v>MP</v>
          </cell>
        </row>
        <row r="386">
          <cell r="A386" t="str">
            <v>993737-SLR</v>
          </cell>
          <cell r="B386">
            <v>11537</v>
          </cell>
          <cell r="C386">
            <v>292.5</v>
          </cell>
          <cell r="D386">
            <v>2.27</v>
          </cell>
          <cell r="E386">
            <v>477</v>
          </cell>
          <cell r="F386">
            <v>145.37</v>
          </cell>
          <cell r="G386">
            <v>112.49</v>
          </cell>
          <cell r="I386">
            <v>298.38</v>
          </cell>
          <cell r="J386">
            <v>90424</v>
          </cell>
          <cell r="K386" t="str">
            <v>MP</v>
          </cell>
        </row>
        <row r="387">
          <cell r="A387" t="str">
            <v>993738-SLR</v>
          </cell>
          <cell r="B387">
            <v>11579</v>
          </cell>
          <cell r="C387">
            <v>1062.47</v>
          </cell>
          <cell r="D387">
            <v>35.770000000000003</v>
          </cell>
          <cell r="E387">
            <v>477</v>
          </cell>
          <cell r="F387">
            <v>659.15</v>
          </cell>
          <cell r="G387">
            <v>3403.97</v>
          </cell>
          <cell r="I387">
            <v>16817.38</v>
          </cell>
          <cell r="J387">
            <v>90013</v>
          </cell>
          <cell r="K387" t="str">
            <v>MP</v>
          </cell>
        </row>
        <row r="388">
          <cell r="A388" t="str">
            <v>993739-SLR</v>
          </cell>
          <cell r="B388">
            <v>11551</v>
          </cell>
          <cell r="C388">
            <v>298.77</v>
          </cell>
          <cell r="D388">
            <v>88.6</v>
          </cell>
          <cell r="E388">
            <v>477</v>
          </cell>
          <cell r="F388">
            <v>1254.77</v>
          </cell>
          <cell r="G388">
            <v>6214.23</v>
          </cell>
          <cell r="I388">
            <v>44000.01</v>
          </cell>
          <cell r="J388">
            <v>90468</v>
          </cell>
          <cell r="K388" t="str">
            <v>MP</v>
          </cell>
        </row>
        <row r="389">
          <cell r="A389" t="str">
            <v>993740-SLR</v>
          </cell>
          <cell r="B389">
            <v>11538</v>
          </cell>
          <cell r="C389">
            <v>178.24</v>
          </cell>
          <cell r="D389">
            <v>2.39</v>
          </cell>
          <cell r="E389">
            <v>477</v>
          </cell>
          <cell r="F389">
            <v>159.11000000000001</v>
          </cell>
          <cell r="G389">
            <v>228.55</v>
          </cell>
          <cell r="I389">
            <v>1022.27</v>
          </cell>
          <cell r="J389">
            <v>92001</v>
          </cell>
          <cell r="K389" t="str">
            <v>MP</v>
          </cell>
        </row>
        <row r="390">
          <cell r="A390" t="str">
            <v>993741-SLR</v>
          </cell>
          <cell r="B390">
            <v>11668</v>
          </cell>
          <cell r="C390">
            <v>10989.15</v>
          </cell>
          <cell r="D390">
            <v>73.59</v>
          </cell>
          <cell r="E390">
            <v>477</v>
          </cell>
          <cell r="F390">
            <v>1332.88</v>
          </cell>
          <cell r="G390">
            <v>8136.03</v>
          </cell>
          <cell r="I390">
            <v>36796.28</v>
          </cell>
          <cell r="J390">
            <v>92371</v>
          </cell>
          <cell r="K390" t="str">
            <v>MP</v>
          </cell>
        </row>
        <row r="391">
          <cell r="A391" t="str">
            <v>993742-SLR</v>
          </cell>
          <cell r="B391">
            <v>11570</v>
          </cell>
          <cell r="C391">
            <v>160.96</v>
          </cell>
          <cell r="D391">
            <v>0.67</v>
          </cell>
          <cell r="E391">
            <v>477</v>
          </cell>
          <cell r="F391">
            <v>135.96</v>
          </cell>
          <cell r="G391">
            <v>32.99</v>
          </cell>
          <cell r="I391">
            <v>12.31</v>
          </cell>
          <cell r="J391">
            <v>93013</v>
          </cell>
          <cell r="K391" t="str">
            <v>MP</v>
          </cell>
        </row>
        <row r="392">
          <cell r="A392" t="str">
            <v>993743-SLR</v>
          </cell>
          <cell r="B392">
            <v>11545</v>
          </cell>
          <cell r="C392">
            <v>162.19</v>
          </cell>
          <cell r="D392">
            <v>35.39</v>
          </cell>
          <cell r="E392">
            <v>477</v>
          </cell>
          <cell r="F392">
            <v>418.84</v>
          </cell>
          <cell r="G392">
            <v>1295.52</v>
          </cell>
          <cell r="I392">
            <v>9073.0400000000009</v>
          </cell>
          <cell r="J392">
            <v>93081</v>
          </cell>
          <cell r="K392" t="str">
            <v>MP</v>
          </cell>
        </row>
        <row r="393">
          <cell r="A393" t="str">
            <v>993744-SLR</v>
          </cell>
          <cell r="B393">
            <v>11630</v>
          </cell>
          <cell r="C393">
            <v>151.29</v>
          </cell>
          <cell r="D393">
            <v>181.26</v>
          </cell>
          <cell r="E393">
            <v>477</v>
          </cell>
          <cell r="F393">
            <v>149.24</v>
          </cell>
          <cell r="G393">
            <v>106.96</v>
          </cell>
          <cell r="I393">
            <v>611.21</v>
          </cell>
          <cell r="J393">
            <v>90614</v>
          </cell>
          <cell r="K393" t="str">
            <v>MP</v>
          </cell>
        </row>
        <row r="394">
          <cell r="A394" t="str">
            <v>993745=SLR</v>
          </cell>
          <cell r="B394">
            <v>11580</v>
          </cell>
          <cell r="C394">
            <v>1543.72</v>
          </cell>
          <cell r="D394">
            <v>18.27</v>
          </cell>
          <cell r="E394">
            <v>477</v>
          </cell>
          <cell r="F394">
            <v>414.57</v>
          </cell>
          <cell r="G394">
            <v>1190.49</v>
          </cell>
          <cell r="I394">
            <v>7595.6</v>
          </cell>
          <cell r="J394">
            <v>92046</v>
          </cell>
          <cell r="K394" t="str">
            <v>MP</v>
          </cell>
        </row>
        <row r="395">
          <cell r="A395" t="str">
            <v>993748-SLR</v>
          </cell>
          <cell r="B395">
            <v>11615</v>
          </cell>
          <cell r="C395">
            <v>2092.27</v>
          </cell>
          <cell r="D395">
            <v>21.25</v>
          </cell>
          <cell r="E395">
            <v>477</v>
          </cell>
          <cell r="F395">
            <v>481.2</v>
          </cell>
          <cell r="G395">
            <v>2024.44</v>
          </cell>
          <cell r="I395">
            <v>8541.4500000000007</v>
          </cell>
          <cell r="J395">
            <v>92373</v>
          </cell>
          <cell r="K395" t="str">
            <v>MP</v>
          </cell>
        </row>
        <row r="396">
          <cell r="A396" t="str">
            <v>993749-SLR</v>
          </cell>
          <cell r="B396">
            <v>11631</v>
          </cell>
          <cell r="C396">
            <v>1078.29</v>
          </cell>
          <cell r="D396">
            <v>22.86</v>
          </cell>
          <cell r="E396">
            <v>477</v>
          </cell>
          <cell r="F396">
            <v>522.07000000000005</v>
          </cell>
          <cell r="G396">
            <v>2246.4499999999998</v>
          </cell>
          <cell r="I396">
            <v>10722.26</v>
          </cell>
          <cell r="J396">
            <v>90442</v>
          </cell>
          <cell r="K396" t="str">
            <v>MP</v>
          </cell>
        </row>
        <row r="397">
          <cell r="A397" t="str">
            <v>993752-SLR</v>
          </cell>
          <cell r="B397">
            <v>11495</v>
          </cell>
          <cell r="C397">
            <v>156.28</v>
          </cell>
          <cell r="D397">
            <v>10.52</v>
          </cell>
          <cell r="E397">
            <v>477</v>
          </cell>
          <cell r="F397">
            <v>250.58</v>
          </cell>
          <cell r="G397">
            <v>737.56</v>
          </cell>
          <cell r="I397">
            <v>5101.4799999999996</v>
          </cell>
          <cell r="J397">
            <v>90349</v>
          </cell>
          <cell r="K397" t="str">
            <v>MP</v>
          </cell>
        </row>
        <row r="398">
          <cell r="A398" t="str">
            <v>993753-SLR</v>
          </cell>
          <cell r="B398">
            <v>11667</v>
          </cell>
          <cell r="C398">
            <v>374.05</v>
          </cell>
          <cell r="D398">
            <v>6.87</v>
          </cell>
          <cell r="E398">
            <v>477</v>
          </cell>
          <cell r="F398">
            <v>209.48</v>
          </cell>
          <cell r="G398">
            <v>653.82000000000005</v>
          </cell>
          <cell r="I398">
            <v>3060.23</v>
          </cell>
          <cell r="J398">
            <v>92285</v>
          </cell>
          <cell r="K398" t="str">
            <v>MP</v>
          </cell>
        </row>
        <row r="399">
          <cell r="A399" t="str">
            <v>993754-SLR</v>
          </cell>
          <cell r="B399">
            <v>11632</v>
          </cell>
          <cell r="C399">
            <v>308.69</v>
          </cell>
          <cell r="D399">
            <v>3.45</v>
          </cell>
          <cell r="E399">
            <v>477</v>
          </cell>
          <cell r="F399">
            <v>152.84</v>
          </cell>
          <cell r="G399">
            <v>129.35</v>
          </cell>
          <cell r="I399">
            <v>613.44000000000005</v>
          </cell>
          <cell r="J399">
            <v>90982</v>
          </cell>
          <cell r="K399" t="str">
            <v>MP</v>
          </cell>
        </row>
        <row r="400">
          <cell r="A400" t="str">
            <v>993755-SLR</v>
          </cell>
          <cell r="B400">
            <v>11658</v>
          </cell>
          <cell r="C400">
            <v>312.26</v>
          </cell>
          <cell r="D400">
            <v>69.05</v>
          </cell>
          <cell r="E400">
            <v>477</v>
          </cell>
          <cell r="F400">
            <v>1034.4100000000001</v>
          </cell>
          <cell r="G400">
            <v>5263.05</v>
          </cell>
          <cell r="I400">
            <v>34212.699999999997</v>
          </cell>
          <cell r="J400">
            <v>90379</v>
          </cell>
          <cell r="K400" t="str">
            <v>MP</v>
          </cell>
        </row>
        <row r="401">
          <cell r="A401" t="str">
            <v>993756-SLR</v>
          </cell>
          <cell r="B401">
            <v>11581</v>
          </cell>
          <cell r="C401">
            <v>251.67</v>
          </cell>
          <cell r="D401">
            <v>44.16</v>
          </cell>
          <cell r="E401">
            <v>477</v>
          </cell>
          <cell r="F401">
            <v>211.17</v>
          </cell>
          <cell r="G401">
            <v>668.17</v>
          </cell>
          <cell r="I401">
            <v>3258.01</v>
          </cell>
          <cell r="J401">
            <v>92174</v>
          </cell>
          <cell r="K401" t="str">
            <v>MP</v>
          </cell>
        </row>
        <row r="402">
          <cell r="A402" t="str">
            <v>993758-SLR</v>
          </cell>
          <cell r="B402">
            <v>11413</v>
          </cell>
          <cell r="C402">
            <v>170.86</v>
          </cell>
          <cell r="D402">
            <v>0</v>
          </cell>
          <cell r="E402">
            <v>0</v>
          </cell>
          <cell r="F402">
            <v>17.809999999999999</v>
          </cell>
          <cell r="G402">
            <v>339.58</v>
          </cell>
          <cell r="I402">
            <v>395.08</v>
          </cell>
          <cell r="J402">
            <v>91969</v>
          </cell>
          <cell r="K402" t="str">
            <v>MP</v>
          </cell>
        </row>
        <row r="403">
          <cell r="A403" t="str">
            <v>993760-SLR</v>
          </cell>
          <cell r="B403">
            <v>11411</v>
          </cell>
          <cell r="C403">
            <v>89.13</v>
          </cell>
          <cell r="D403">
            <v>0</v>
          </cell>
          <cell r="E403">
            <v>0</v>
          </cell>
          <cell r="F403">
            <v>17.809999999999999</v>
          </cell>
          <cell r="G403">
            <v>72.59</v>
          </cell>
          <cell r="I403">
            <v>34.82</v>
          </cell>
          <cell r="J403">
            <v>91969</v>
          </cell>
          <cell r="K403" t="str">
            <v>MP</v>
          </cell>
        </row>
        <row r="404">
          <cell r="A404" t="str">
            <v>993761-SLR</v>
          </cell>
          <cell r="B404">
            <v>0</v>
          </cell>
          <cell r="C404">
            <v>0</v>
          </cell>
          <cell r="D404">
            <v>0</v>
          </cell>
          <cell r="E404">
            <v>0</v>
          </cell>
          <cell r="F404">
            <v>10</v>
          </cell>
          <cell r="G404">
            <v>53.25</v>
          </cell>
          <cell r="I404">
            <v>88.53</v>
          </cell>
          <cell r="J404">
            <v>93299</v>
          </cell>
          <cell r="K404" t="str">
            <v>MP</v>
          </cell>
        </row>
        <row r="405">
          <cell r="A405" t="str">
            <v>993764-SLR</v>
          </cell>
          <cell r="B405">
            <v>11674</v>
          </cell>
          <cell r="C405">
            <v>5633.01</v>
          </cell>
          <cell r="D405">
            <v>32.29</v>
          </cell>
          <cell r="E405">
            <v>477</v>
          </cell>
          <cell r="F405">
            <v>620.09</v>
          </cell>
          <cell r="G405">
            <v>1941.54</v>
          </cell>
          <cell r="I405">
            <v>10514.18</v>
          </cell>
          <cell r="J405">
            <v>93086</v>
          </cell>
          <cell r="K405" t="str">
            <v>MP</v>
          </cell>
        </row>
        <row r="406">
          <cell r="A406" t="str">
            <v>993765-SLR</v>
          </cell>
          <cell r="B406">
            <v>11601</v>
          </cell>
          <cell r="C406">
            <v>171.73</v>
          </cell>
          <cell r="D406">
            <v>1.85</v>
          </cell>
          <cell r="E406">
            <v>477</v>
          </cell>
          <cell r="F406">
            <v>156.77000000000001</v>
          </cell>
          <cell r="G406">
            <v>158.44</v>
          </cell>
          <cell r="I406">
            <v>925.07</v>
          </cell>
          <cell r="J406">
            <v>90219</v>
          </cell>
          <cell r="K406" t="str">
            <v>MP</v>
          </cell>
        </row>
        <row r="407">
          <cell r="A407" t="str">
            <v>993766-SLR</v>
          </cell>
          <cell r="B407">
            <v>11616</v>
          </cell>
          <cell r="C407">
            <v>782.22</v>
          </cell>
          <cell r="D407">
            <v>85.95</v>
          </cell>
          <cell r="E407">
            <v>477</v>
          </cell>
          <cell r="F407">
            <v>1225.04</v>
          </cell>
          <cell r="G407">
            <v>3252.45</v>
          </cell>
          <cell r="I407">
            <v>42198.36</v>
          </cell>
          <cell r="J407">
            <v>91750</v>
          </cell>
          <cell r="K407" t="str">
            <v>MP</v>
          </cell>
        </row>
        <row r="408">
          <cell r="A408" t="str">
            <v>993767-SLR</v>
          </cell>
          <cell r="B408">
            <v>11582</v>
          </cell>
          <cell r="C408">
            <v>197.26</v>
          </cell>
          <cell r="D408">
            <v>3.38</v>
          </cell>
          <cell r="E408">
            <v>477</v>
          </cell>
          <cell r="F408">
            <v>170.1</v>
          </cell>
          <cell r="G408">
            <v>321.29000000000002</v>
          </cell>
          <cell r="I408">
            <v>1490.35</v>
          </cell>
          <cell r="J408">
            <v>90402</v>
          </cell>
          <cell r="K408" t="str">
            <v>MP</v>
          </cell>
        </row>
        <row r="409">
          <cell r="A409" t="str">
            <v>993768-SLR</v>
          </cell>
          <cell r="B409">
            <v>11509</v>
          </cell>
          <cell r="C409">
            <v>678.67</v>
          </cell>
          <cell r="D409">
            <v>23.31</v>
          </cell>
          <cell r="E409">
            <v>477</v>
          </cell>
          <cell r="F409">
            <v>518.70000000000005</v>
          </cell>
          <cell r="G409">
            <v>1517.56</v>
          </cell>
          <cell r="I409">
            <v>10971.55</v>
          </cell>
          <cell r="J409">
            <v>92243</v>
          </cell>
          <cell r="K409" t="str">
            <v>MP</v>
          </cell>
        </row>
        <row r="410">
          <cell r="A410" t="str">
            <v>993769-SLR</v>
          </cell>
          <cell r="B410">
            <v>11552</v>
          </cell>
          <cell r="C410">
            <v>202.13</v>
          </cell>
          <cell r="D410">
            <v>48.6</v>
          </cell>
          <cell r="E410">
            <v>477</v>
          </cell>
          <cell r="F410">
            <v>808.53</v>
          </cell>
          <cell r="G410">
            <v>3437.66</v>
          </cell>
          <cell r="I410">
            <v>24304.01</v>
          </cell>
          <cell r="J410">
            <v>91923</v>
          </cell>
          <cell r="K410" t="str">
            <v>MP</v>
          </cell>
        </row>
        <row r="411">
          <cell r="A411" t="str">
            <v>993770-SLR</v>
          </cell>
          <cell r="B411">
            <v>11540</v>
          </cell>
          <cell r="C411">
            <v>178.24</v>
          </cell>
          <cell r="D411">
            <v>3.22</v>
          </cell>
          <cell r="E411">
            <v>477</v>
          </cell>
          <cell r="F411">
            <v>168.22</v>
          </cell>
          <cell r="G411">
            <v>225.03</v>
          </cell>
          <cell r="I411">
            <v>1425.92</v>
          </cell>
          <cell r="J411">
            <v>91682</v>
          </cell>
          <cell r="K411" t="str">
            <v>MP</v>
          </cell>
        </row>
        <row r="412">
          <cell r="A412" t="str">
            <v>993772-SLR</v>
          </cell>
          <cell r="B412">
            <v>11602</v>
          </cell>
          <cell r="C412">
            <v>175.32</v>
          </cell>
          <cell r="D412">
            <v>16.059999999999999</v>
          </cell>
          <cell r="E412">
            <v>477</v>
          </cell>
          <cell r="F412">
            <v>365.09</v>
          </cell>
          <cell r="G412">
            <v>1126.43</v>
          </cell>
          <cell r="I412">
            <v>7854.54</v>
          </cell>
          <cell r="J412">
            <v>90121</v>
          </cell>
          <cell r="K412" t="str">
            <v>MP</v>
          </cell>
        </row>
        <row r="413">
          <cell r="A413" t="str">
            <v>993773-SLR</v>
          </cell>
          <cell r="B413">
            <v>11619</v>
          </cell>
          <cell r="C413">
            <v>170.83</v>
          </cell>
          <cell r="D413">
            <v>1.69</v>
          </cell>
          <cell r="E413">
            <v>477</v>
          </cell>
          <cell r="F413">
            <v>151.02000000000001</v>
          </cell>
          <cell r="G413">
            <v>118.05</v>
          </cell>
          <cell r="I413">
            <v>670.73</v>
          </cell>
          <cell r="J413">
            <v>90061</v>
          </cell>
          <cell r="K413" t="str">
            <v>MP</v>
          </cell>
        </row>
        <row r="414">
          <cell r="A414" t="str">
            <v>993774-SLR</v>
          </cell>
          <cell r="B414">
            <v>11553</v>
          </cell>
          <cell r="C414">
            <v>146.25</v>
          </cell>
          <cell r="D414">
            <v>1.74</v>
          </cell>
          <cell r="E414">
            <v>477</v>
          </cell>
          <cell r="F414">
            <v>151.66999999999999</v>
          </cell>
          <cell r="G414">
            <v>165.67</v>
          </cell>
          <cell r="I414">
            <v>723.93</v>
          </cell>
          <cell r="J414">
            <v>92309</v>
          </cell>
          <cell r="K414" t="str">
            <v>MP</v>
          </cell>
        </row>
        <row r="415">
          <cell r="A415" t="str">
            <v>993775-SLR</v>
          </cell>
          <cell r="B415">
            <v>11649</v>
          </cell>
          <cell r="C415">
            <v>1245.46</v>
          </cell>
          <cell r="D415">
            <v>11.78</v>
          </cell>
          <cell r="E415">
            <v>477</v>
          </cell>
          <cell r="F415">
            <v>271.05</v>
          </cell>
          <cell r="G415">
            <v>1245.8399999999999</v>
          </cell>
          <cell r="I415">
            <v>4675.32</v>
          </cell>
          <cell r="J415">
            <v>93273</v>
          </cell>
          <cell r="K415" t="str">
            <v>MP</v>
          </cell>
        </row>
        <row r="416">
          <cell r="A416" t="str">
            <v>993776-SLR</v>
          </cell>
          <cell r="B416">
            <v>11546</v>
          </cell>
          <cell r="C416">
            <v>13900.58</v>
          </cell>
          <cell r="D416">
            <v>78.040000000000006</v>
          </cell>
          <cell r="E416">
            <v>477</v>
          </cell>
          <cell r="F416">
            <v>1135.83</v>
          </cell>
          <cell r="G416">
            <v>4692.1499999999996</v>
          </cell>
          <cell r="I416">
            <v>25122.59</v>
          </cell>
          <cell r="J416">
            <v>92253</v>
          </cell>
          <cell r="K416" t="str">
            <v>MP</v>
          </cell>
        </row>
        <row r="417">
          <cell r="A417" t="str">
            <v>993777-SLR</v>
          </cell>
          <cell r="B417">
            <v>11522</v>
          </cell>
          <cell r="C417">
            <v>766.14</v>
          </cell>
          <cell r="D417">
            <v>5.03</v>
          </cell>
          <cell r="E417">
            <v>477</v>
          </cell>
          <cell r="F417">
            <v>188.66</v>
          </cell>
          <cell r="G417">
            <v>408.41</v>
          </cell>
          <cell r="I417">
            <v>1745.1</v>
          </cell>
          <cell r="J417">
            <v>92316</v>
          </cell>
          <cell r="K417" t="str">
            <v>MP</v>
          </cell>
        </row>
        <row r="418">
          <cell r="A418" t="str">
            <v>993778-SLR</v>
          </cell>
          <cell r="B418">
            <v>11470</v>
          </cell>
          <cell r="C418">
            <v>106.07</v>
          </cell>
          <cell r="D418">
            <v>1.0900000000000001</v>
          </cell>
          <cell r="E418">
            <v>477</v>
          </cell>
          <cell r="F418">
            <v>139.69999999999999</v>
          </cell>
          <cell r="G418">
            <v>64.63</v>
          </cell>
          <cell r="I418">
            <v>233.5</v>
          </cell>
          <cell r="J418">
            <v>93030</v>
          </cell>
          <cell r="K418" t="str">
            <v>MP</v>
          </cell>
        </row>
        <row r="419">
          <cell r="A419" t="str">
            <v>993779-SLR</v>
          </cell>
          <cell r="B419">
            <v>11443</v>
          </cell>
          <cell r="C419">
            <v>1035.32</v>
          </cell>
          <cell r="D419">
            <v>11.71</v>
          </cell>
          <cell r="E419">
            <v>477</v>
          </cell>
          <cell r="F419">
            <v>268.12</v>
          </cell>
          <cell r="G419">
            <v>704</v>
          </cell>
          <cell r="I419">
            <v>4819.62</v>
          </cell>
          <cell r="J419">
            <v>93136</v>
          </cell>
          <cell r="K419" t="str">
            <v>MP</v>
          </cell>
        </row>
        <row r="420">
          <cell r="A420" t="str">
            <v>993780-SLR</v>
          </cell>
          <cell r="B420">
            <v>11444</v>
          </cell>
          <cell r="C420">
            <v>990.95</v>
          </cell>
          <cell r="D420">
            <v>5.24</v>
          </cell>
          <cell r="E420">
            <v>477</v>
          </cell>
          <cell r="F420">
            <v>191.14</v>
          </cell>
          <cell r="G420">
            <v>315.18</v>
          </cell>
          <cell r="I420">
            <v>1630.28</v>
          </cell>
          <cell r="J420">
            <v>91997</v>
          </cell>
          <cell r="K420" t="str">
            <v>MP</v>
          </cell>
        </row>
        <row r="421">
          <cell r="A421" t="str">
            <v>993782-SLR</v>
          </cell>
          <cell r="B421">
            <v>11501</v>
          </cell>
          <cell r="C421">
            <v>540.54999999999995</v>
          </cell>
          <cell r="D421">
            <v>4.13</v>
          </cell>
          <cell r="E421">
            <v>477</v>
          </cell>
          <cell r="F421">
            <v>225</v>
          </cell>
          <cell r="G421">
            <v>392.51</v>
          </cell>
          <cell r="I421">
            <v>1521.16</v>
          </cell>
          <cell r="J421">
            <v>92144</v>
          </cell>
          <cell r="K421" t="str">
            <v>MP</v>
          </cell>
        </row>
        <row r="422">
          <cell r="A422" t="str">
            <v>993783-SLR</v>
          </cell>
          <cell r="B422">
            <v>11554</v>
          </cell>
          <cell r="C422">
            <v>190.12</v>
          </cell>
          <cell r="D422">
            <v>29.35</v>
          </cell>
          <cell r="E422">
            <v>477</v>
          </cell>
          <cell r="F422">
            <v>586.91</v>
          </cell>
          <cell r="G422">
            <v>2058.71</v>
          </cell>
          <cell r="I422">
            <v>14485.6</v>
          </cell>
          <cell r="J422">
            <v>92190</v>
          </cell>
          <cell r="K422" t="str">
            <v>MP</v>
          </cell>
        </row>
        <row r="423">
          <cell r="A423" t="str">
            <v>993784-SLR</v>
          </cell>
          <cell r="B423">
            <v>11650</v>
          </cell>
          <cell r="C423">
            <v>447.69</v>
          </cell>
          <cell r="D423">
            <v>5.32</v>
          </cell>
          <cell r="E423">
            <v>477</v>
          </cell>
          <cell r="F423">
            <v>192.08</v>
          </cell>
          <cell r="G423">
            <v>506.98</v>
          </cell>
          <cell r="I423">
            <v>2215.3200000000002</v>
          </cell>
          <cell r="J423">
            <v>93006</v>
          </cell>
          <cell r="K423" t="str">
            <v>MP</v>
          </cell>
        </row>
        <row r="424">
          <cell r="A424" t="str">
            <v>993785-SLR</v>
          </cell>
          <cell r="B424">
            <v>11571</v>
          </cell>
          <cell r="C424">
            <v>194.65</v>
          </cell>
          <cell r="D424">
            <v>5.47</v>
          </cell>
          <cell r="E424">
            <v>477</v>
          </cell>
          <cell r="F424">
            <v>193.59</v>
          </cell>
          <cell r="G424">
            <v>574.37</v>
          </cell>
          <cell r="I424">
            <v>2534.98</v>
          </cell>
          <cell r="J424">
            <v>91681</v>
          </cell>
          <cell r="K424" t="str">
            <v>MP</v>
          </cell>
        </row>
        <row r="425">
          <cell r="A425" t="str">
            <v>993787-SLR</v>
          </cell>
          <cell r="B425">
            <v>0</v>
          </cell>
          <cell r="C425">
            <v>1851.33</v>
          </cell>
          <cell r="D425">
            <v>88.82</v>
          </cell>
          <cell r="E425">
            <v>477</v>
          </cell>
          <cell r="F425">
            <v>1257.75</v>
          </cell>
          <cell r="G425">
            <v>5787.63</v>
          </cell>
          <cell r="I425">
            <v>42580.1</v>
          </cell>
          <cell r="J425">
            <v>92107</v>
          </cell>
          <cell r="K425" t="str">
            <v>MP</v>
          </cell>
        </row>
        <row r="426">
          <cell r="A426" t="str">
            <v>993789-SLR</v>
          </cell>
          <cell r="B426">
            <v>11525</v>
          </cell>
          <cell r="C426">
            <v>201.09</v>
          </cell>
          <cell r="D426">
            <v>3.51</v>
          </cell>
          <cell r="E426">
            <v>477</v>
          </cell>
          <cell r="F426">
            <v>171.51</v>
          </cell>
          <cell r="G426">
            <v>333.24</v>
          </cell>
          <cell r="I426">
            <v>1549.31</v>
          </cell>
          <cell r="J426">
            <v>91591</v>
          </cell>
          <cell r="K426" t="str">
            <v>MP</v>
          </cell>
        </row>
        <row r="427">
          <cell r="A427" t="str">
            <v>993790-SLR</v>
          </cell>
          <cell r="B427">
            <v>11583</v>
          </cell>
          <cell r="C427">
            <v>441.46</v>
          </cell>
          <cell r="D427">
            <v>1.35</v>
          </cell>
          <cell r="E427">
            <v>477</v>
          </cell>
          <cell r="F427">
            <v>147.19</v>
          </cell>
          <cell r="G427">
            <v>141.33000000000001</v>
          </cell>
          <cell r="I427">
            <v>230.17</v>
          </cell>
          <cell r="J427">
            <v>93301</v>
          </cell>
          <cell r="K427" t="str">
            <v>MP</v>
          </cell>
        </row>
        <row r="428">
          <cell r="A428" t="str">
            <v>993791-SLR</v>
          </cell>
          <cell r="B428">
            <v>11603</v>
          </cell>
          <cell r="C428">
            <v>206.25</v>
          </cell>
          <cell r="D428">
            <v>42.92</v>
          </cell>
          <cell r="E428">
            <v>477</v>
          </cell>
          <cell r="F428">
            <v>739.88</v>
          </cell>
          <cell r="G428">
            <v>3010.55</v>
          </cell>
          <cell r="I428">
            <v>21254.720000000001</v>
          </cell>
          <cell r="J428">
            <v>90097</v>
          </cell>
          <cell r="K428" t="str">
            <v>MP</v>
          </cell>
        </row>
        <row r="429">
          <cell r="A429" t="str">
            <v>993792-SLR</v>
          </cell>
          <cell r="B429">
            <v>11584</v>
          </cell>
          <cell r="C429">
            <v>687.81</v>
          </cell>
          <cell r="D429">
            <v>36.159999999999997</v>
          </cell>
          <cell r="E429">
            <v>477</v>
          </cell>
          <cell r="F429">
            <v>663.62</v>
          </cell>
          <cell r="G429">
            <v>2354.84</v>
          </cell>
          <cell r="I429">
            <v>17390.21</v>
          </cell>
          <cell r="J429">
            <v>91468</v>
          </cell>
          <cell r="K429" t="str">
            <v>MP</v>
          </cell>
        </row>
        <row r="430">
          <cell r="A430" t="str">
            <v>993793-SLR</v>
          </cell>
          <cell r="B430">
            <v>11585</v>
          </cell>
          <cell r="C430">
            <v>214.26</v>
          </cell>
          <cell r="D430">
            <v>12.28</v>
          </cell>
          <cell r="E430">
            <v>477</v>
          </cell>
          <cell r="F430">
            <v>280.94</v>
          </cell>
          <cell r="G430">
            <v>861.68</v>
          </cell>
          <cell r="I430">
            <v>5928.31</v>
          </cell>
          <cell r="J430">
            <v>92003</v>
          </cell>
          <cell r="K430" t="str">
            <v>MP</v>
          </cell>
        </row>
        <row r="431">
          <cell r="A431" t="str">
            <v>993795-SLR</v>
          </cell>
          <cell r="B431">
            <v>11586</v>
          </cell>
          <cell r="C431">
            <v>474.42</v>
          </cell>
          <cell r="D431">
            <v>152.44999999999999</v>
          </cell>
          <cell r="E431">
            <v>477</v>
          </cell>
          <cell r="F431">
            <v>411.13</v>
          </cell>
          <cell r="G431">
            <v>1364.11</v>
          </cell>
          <cell r="I431">
            <v>8588.23</v>
          </cell>
          <cell r="J431">
            <v>93021</v>
          </cell>
          <cell r="K431" t="str">
            <v>MP</v>
          </cell>
        </row>
        <row r="432">
          <cell r="A432" t="str">
            <v>993796-SLR</v>
          </cell>
          <cell r="B432">
            <v>11587</v>
          </cell>
          <cell r="C432">
            <v>2837.73</v>
          </cell>
          <cell r="D432">
            <v>43.97</v>
          </cell>
          <cell r="E432">
            <v>477</v>
          </cell>
          <cell r="F432">
            <v>752.95</v>
          </cell>
          <cell r="G432">
            <v>4196.0200000000004</v>
          </cell>
          <cell r="I432">
            <v>19202.64</v>
          </cell>
          <cell r="J432">
            <v>91975</v>
          </cell>
          <cell r="K432" t="str">
            <v>MP</v>
          </cell>
        </row>
        <row r="433">
          <cell r="A433" t="str">
            <v>993798-SLR</v>
          </cell>
          <cell r="B433">
            <v>11543</v>
          </cell>
          <cell r="C433">
            <v>307.25</v>
          </cell>
          <cell r="D433">
            <v>6.12</v>
          </cell>
          <cell r="E433">
            <v>477</v>
          </cell>
          <cell r="F433">
            <v>168.02</v>
          </cell>
          <cell r="G433">
            <v>223.85</v>
          </cell>
          <cell r="I433">
            <v>1288.45</v>
          </cell>
          <cell r="J433">
            <v>90982</v>
          </cell>
          <cell r="K433" t="str">
            <v>MP</v>
          </cell>
        </row>
        <row r="434">
          <cell r="A434" t="str">
            <v>993799-SLR</v>
          </cell>
          <cell r="B434">
            <v>11572</v>
          </cell>
          <cell r="C434">
            <v>178.81</v>
          </cell>
          <cell r="D434">
            <v>0.78</v>
          </cell>
          <cell r="E434">
            <v>477</v>
          </cell>
          <cell r="F434">
            <v>140.74</v>
          </cell>
          <cell r="G434">
            <v>46.32</v>
          </cell>
          <cell r="I434">
            <v>206.42</v>
          </cell>
          <cell r="J434">
            <v>92285</v>
          </cell>
          <cell r="K434" t="str">
            <v>MP</v>
          </cell>
        </row>
        <row r="435">
          <cell r="A435" t="str">
            <v>993802-SLR</v>
          </cell>
          <cell r="B435">
            <v>11573</v>
          </cell>
          <cell r="C435">
            <v>176.54</v>
          </cell>
          <cell r="D435">
            <v>45.99</v>
          </cell>
          <cell r="E435">
            <v>477</v>
          </cell>
          <cell r="F435">
            <v>774.39</v>
          </cell>
          <cell r="G435">
            <v>3225.23</v>
          </cell>
          <cell r="I435">
            <v>22814.82</v>
          </cell>
          <cell r="J435">
            <v>91874</v>
          </cell>
          <cell r="K435" t="str">
            <v>MP</v>
          </cell>
        </row>
        <row r="436">
          <cell r="A436" t="str">
            <v>993804-SLR</v>
          </cell>
          <cell r="B436">
            <v>11704</v>
          </cell>
          <cell r="C436">
            <v>0</v>
          </cell>
          <cell r="D436">
            <v>0</v>
          </cell>
          <cell r="E436">
            <v>18.23</v>
          </cell>
          <cell r="F436">
            <v>0</v>
          </cell>
          <cell r="G436">
            <v>433.06</v>
          </cell>
          <cell r="I436">
            <v>721.76</v>
          </cell>
          <cell r="J436">
            <v>90002</v>
          </cell>
          <cell r="K436" t="str">
            <v>MP</v>
          </cell>
        </row>
        <row r="437">
          <cell r="A437" t="str">
            <v>993806-SLR</v>
          </cell>
          <cell r="B437">
            <v>11588</v>
          </cell>
          <cell r="C437">
            <v>230.17</v>
          </cell>
          <cell r="D437">
            <v>35.35</v>
          </cell>
          <cell r="E437">
            <v>477</v>
          </cell>
          <cell r="F437">
            <v>654.48</v>
          </cell>
          <cell r="G437">
            <v>2479.13</v>
          </cell>
          <cell r="I437">
            <v>17442.54</v>
          </cell>
          <cell r="J437">
            <v>93157</v>
          </cell>
          <cell r="K437" t="str">
            <v>MP</v>
          </cell>
        </row>
        <row r="438">
          <cell r="A438" t="str">
            <v>993807-SLR</v>
          </cell>
          <cell r="B438">
            <v>11604</v>
          </cell>
          <cell r="C438">
            <v>206.79</v>
          </cell>
          <cell r="D438">
            <v>11.22</v>
          </cell>
          <cell r="E438">
            <v>477</v>
          </cell>
          <cell r="F438">
            <v>200.07</v>
          </cell>
          <cell r="G438">
            <v>423.25</v>
          </cell>
          <cell r="I438">
            <v>2805.19</v>
          </cell>
          <cell r="J438">
            <v>90463</v>
          </cell>
          <cell r="K438" t="str">
            <v>MP</v>
          </cell>
        </row>
        <row r="439">
          <cell r="A439" t="str">
            <v>993809-SLR</v>
          </cell>
          <cell r="B439">
            <v>11612</v>
          </cell>
          <cell r="C439">
            <v>1541.48</v>
          </cell>
          <cell r="D439">
            <v>61.55</v>
          </cell>
          <cell r="E439">
            <v>477</v>
          </cell>
          <cell r="F439">
            <v>950.55</v>
          </cell>
          <cell r="G439">
            <v>4012.7</v>
          </cell>
          <cell r="I439">
            <v>29263.91</v>
          </cell>
          <cell r="J439">
            <v>92107</v>
          </cell>
          <cell r="K439" t="str">
            <v>MP</v>
          </cell>
        </row>
        <row r="440">
          <cell r="A440" t="str">
            <v>993810-SLR</v>
          </cell>
          <cell r="B440">
            <v>11635</v>
          </cell>
          <cell r="C440">
            <v>154.44999999999999</v>
          </cell>
          <cell r="D440">
            <v>10.48</v>
          </cell>
          <cell r="E440">
            <v>477</v>
          </cell>
          <cell r="F440">
            <v>250.24</v>
          </cell>
          <cell r="G440">
            <v>998.03</v>
          </cell>
          <cell r="I440">
            <v>5087.88</v>
          </cell>
          <cell r="J440">
            <v>92116</v>
          </cell>
          <cell r="K440" t="str">
            <v>MP</v>
          </cell>
        </row>
        <row r="441">
          <cell r="A441" t="str">
            <v>993812-SLR</v>
          </cell>
          <cell r="B441">
            <v>11589</v>
          </cell>
          <cell r="C441">
            <v>717.48</v>
          </cell>
          <cell r="D441">
            <v>68.28</v>
          </cell>
          <cell r="E441">
            <v>477</v>
          </cell>
          <cell r="F441">
            <v>1025.6600000000001</v>
          </cell>
          <cell r="G441">
            <v>4898.96</v>
          </cell>
          <cell r="I441">
            <v>33419.08</v>
          </cell>
          <cell r="J441">
            <v>92259</v>
          </cell>
          <cell r="K441" t="str">
            <v>MP</v>
          </cell>
        </row>
        <row r="442">
          <cell r="A442" t="str">
            <v>993813-SLR</v>
          </cell>
          <cell r="B442">
            <v>11605</v>
          </cell>
          <cell r="C442">
            <v>1373.82</v>
          </cell>
          <cell r="D442">
            <v>11.02</v>
          </cell>
          <cell r="E442">
            <v>477</v>
          </cell>
          <cell r="F442">
            <v>313.74</v>
          </cell>
          <cell r="G442">
            <v>1447.28</v>
          </cell>
          <cell r="I442">
            <v>5506.99</v>
          </cell>
          <cell r="J442">
            <v>93131</v>
          </cell>
          <cell r="K442" t="str">
            <v>MP</v>
          </cell>
        </row>
        <row r="443">
          <cell r="A443" t="str">
            <v>993814-SLR</v>
          </cell>
          <cell r="B443">
            <v>11555</v>
          </cell>
          <cell r="C443">
            <v>4188.1499999999996</v>
          </cell>
          <cell r="D443">
            <v>25.15</v>
          </cell>
          <cell r="E443">
            <v>477</v>
          </cell>
          <cell r="F443">
            <v>539.46</v>
          </cell>
          <cell r="G443">
            <v>1511.53</v>
          </cell>
          <cell r="I443">
            <v>8382.82</v>
          </cell>
          <cell r="J443">
            <v>91996</v>
          </cell>
          <cell r="K443" t="str">
            <v>MP</v>
          </cell>
        </row>
        <row r="444">
          <cell r="A444" t="str">
            <v>993815-SLR</v>
          </cell>
          <cell r="B444">
            <v>11591</v>
          </cell>
          <cell r="C444">
            <v>224.78</v>
          </cell>
          <cell r="D444">
            <v>4.71</v>
          </cell>
          <cell r="E444">
            <v>477</v>
          </cell>
          <cell r="F444">
            <v>185.14</v>
          </cell>
          <cell r="G444">
            <v>448.3</v>
          </cell>
          <cell r="I444">
            <v>2129.9699999999998</v>
          </cell>
          <cell r="J444">
            <v>92172</v>
          </cell>
          <cell r="K444" t="str">
            <v>MP</v>
          </cell>
        </row>
        <row r="445">
          <cell r="A445" t="str">
            <v>993816-SLR</v>
          </cell>
          <cell r="B445">
            <v>11624</v>
          </cell>
          <cell r="C445">
            <v>774.97</v>
          </cell>
          <cell r="D445">
            <v>11.15</v>
          </cell>
          <cell r="E445">
            <v>477</v>
          </cell>
          <cell r="F445">
            <v>290.29000000000002</v>
          </cell>
          <cell r="G445">
            <v>1209.33</v>
          </cell>
          <cell r="I445">
            <v>5578.79</v>
          </cell>
          <cell r="J445">
            <v>92303</v>
          </cell>
          <cell r="K445" t="str">
            <v>MP</v>
          </cell>
        </row>
        <row r="446">
          <cell r="A446" t="str">
            <v>993817-SLR</v>
          </cell>
          <cell r="B446">
            <v>11593</v>
          </cell>
          <cell r="C446">
            <v>64.739999999999995</v>
          </cell>
          <cell r="D446">
            <v>9.6199999999999992</v>
          </cell>
          <cell r="E446">
            <v>477</v>
          </cell>
          <cell r="F446">
            <v>240.54</v>
          </cell>
          <cell r="G446">
            <v>1012.54</v>
          </cell>
          <cell r="I446">
            <v>4747.25</v>
          </cell>
          <cell r="J446">
            <v>96013</v>
          </cell>
          <cell r="K446" t="str">
            <v>MP</v>
          </cell>
        </row>
        <row r="447">
          <cell r="A447" t="str">
            <v>993818-SLR</v>
          </cell>
          <cell r="B447">
            <v>11547</v>
          </cell>
          <cell r="C447">
            <v>197.37</v>
          </cell>
          <cell r="D447">
            <v>3.37</v>
          </cell>
          <cell r="E447">
            <v>477</v>
          </cell>
          <cell r="F447">
            <v>170.01</v>
          </cell>
          <cell r="G447">
            <v>244.65</v>
          </cell>
          <cell r="I447">
            <v>1486.49</v>
          </cell>
          <cell r="J447">
            <v>91969</v>
          </cell>
          <cell r="K447" t="str">
            <v>MP</v>
          </cell>
        </row>
        <row r="448">
          <cell r="A448" t="str">
            <v>993820-SLR</v>
          </cell>
          <cell r="B448">
            <v>11633</v>
          </cell>
          <cell r="C448">
            <v>287.70999999999998</v>
          </cell>
          <cell r="D448">
            <v>5.75</v>
          </cell>
          <cell r="E448">
            <v>477</v>
          </cell>
          <cell r="F448">
            <v>197.04</v>
          </cell>
          <cell r="G448">
            <v>548.87</v>
          </cell>
          <cell r="I448">
            <v>2598.02</v>
          </cell>
          <cell r="J448">
            <v>90424</v>
          </cell>
          <cell r="K448" t="str">
            <v>MP</v>
          </cell>
        </row>
        <row r="449">
          <cell r="A449" t="str">
            <v>993821-SLR</v>
          </cell>
          <cell r="B449">
            <v>11660</v>
          </cell>
          <cell r="C449">
            <v>197.8</v>
          </cell>
          <cell r="D449">
            <v>3.87</v>
          </cell>
          <cell r="E449">
            <v>477</v>
          </cell>
          <cell r="F449">
            <v>175.67</v>
          </cell>
          <cell r="G449">
            <v>407.13</v>
          </cell>
          <cell r="I449">
            <v>1737.06</v>
          </cell>
          <cell r="J449">
            <v>90710</v>
          </cell>
          <cell r="K449" t="str">
            <v>MP</v>
          </cell>
        </row>
        <row r="450">
          <cell r="A450" t="str">
            <v>993822-SLR</v>
          </cell>
          <cell r="B450">
            <v>11636</v>
          </cell>
          <cell r="C450">
            <v>199.34</v>
          </cell>
          <cell r="D450">
            <v>3.27</v>
          </cell>
          <cell r="E450">
            <v>477</v>
          </cell>
          <cell r="F450">
            <v>168.89</v>
          </cell>
          <cell r="G450">
            <v>311.10000000000002</v>
          </cell>
          <cell r="I450">
            <v>1434.78</v>
          </cell>
          <cell r="J450">
            <v>90402</v>
          </cell>
          <cell r="K450" t="str">
            <v>MP</v>
          </cell>
        </row>
        <row r="451">
          <cell r="A451" t="str">
            <v>993823-SLR</v>
          </cell>
          <cell r="B451">
            <v>11710</v>
          </cell>
          <cell r="C451">
            <v>177.19</v>
          </cell>
          <cell r="D451">
            <v>3.27</v>
          </cell>
          <cell r="E451">
            <v>477</v>
          </cell>
          <cell r="F451">
            <v>168.82</v>
          </cell>
          <cell r="G451">
            <v>228.8</v>
          </cell>
          <cell r="I451">
            <v>1453.84</v>
          </cell>
          <cell r="J451">
            <v>91682</v>
          </cell>
          <cell r="K451" t="str">
            <v>MP</v>
          </cell>
        </row>
        <row r="452">
          <cell r="A452" t="str">
            <v>993824-SLR</v>
          </cell>
          <cell r="B452">
            <v>11711</v>
          </cell>
          <cell r="C452">
            <v>154.47</v>
          </cell>
          <cell r="D452">
            <v>36.35</v>
          </cell>
          <cell r="E452">
            <v>477</v>
          </cell>
          <cell r="F452">
            <v>665.72</v>
          </cell>
          <cell r="G452">
            <v>2549.0500000000002</v>
          </cell>
          <cell r="I452">
            <v>18016.71</v>
          </cell>
          <cell r="J452">
            <v>90097</v>
          </cell>
          <cell r="K452" t="str">
            <v>MP</v>
          </cell>
        </row>
        <row r="453">
          <cell r="A453" t="str">
            <v>993825-SLR</v>
          </cell>
          <cell r="B453">
            <v>11716</v>
          </cell>
          <cell r="C453">
            <v>1523.53</v>
          </cell>
          <cell r="D453">
            <v>16.39</v>
          </cell>
          <cell r="E453">
            <v>477</v>
          </cell>
          <cell r="F453">
            <v>372.53</v>
          </cell>
          <cell r="G453">
            <v>1560.48</v>
          </cell>
          <cell r="I453">
            <v>6673.13</v>
          </cell>
          <cell r="J453">
            <v>92007</v>
          </cell>
          <cell r="K453" t="str">
            <v>MP</v>
          </cell>
        </row>
        <row r="454">
          <cell r="A454" t="str">
            <v>993826-SLR</v>
          </cell>
          <cell r="B454">
            <v>11714</v>
          </cell>
          <cell r="C454">
            <v>17591.830000000002</v>
          </cell>
          <cell r="D454">
            <v>266.08999999999997</v>
          </cell>
          <cell r="E454">
            <v>477</v>
          </cell>
          <cell r="F454">
            <v>3255.56</v>
          </cell>
          <cell r="G454">
            <v>17330.52</v>
          </cell>
          <cell r="I454">
            <v>115453.8</v>
          </cell>
          <cell r="J454">
            <v>92056</v>
          </cell>
          <cell r="K454" t="str">
            <v>MP</v>
          </cell>
        </row>
        <row r="455">
          <cell r="A455" t="str">
            <v>993827-SLR</v>
          </cell>
          <cell r="B455">
            <v>11594</v>
          </cell>
          <cell r="C455">
            <v>314.69</v>
          </cell>
          <cell r="D455">
            <v>2.3199999999999998</v>
          </cell>
          <cell r="E455">
            <v>477</v>
          </cell>
          <cell r="F455">
            <v>158.12</v>
          </cell>
          <cell r="G455">
            <v>162.19999999999999</v>
          </cell>
          <cell r="I455">
            <v>841.56</v>
          </cell>
          <cell r="J455">
            <v>92243</v>
          </cell>
          <cell r="K455" t="str">
            <v>MP</v>
          </cell>
        </row>
        <row r="456">
          <cell r="A456" t="str">
            <v>993828-SLR</v>
          </cell>
          <cell r="B456">
            <v>11595</v>
          </cell>
          <cell r="C456">
            <v>20970.61</v>
          </cell>
          <cell r="D456">
            <v>44.67</v>
          </cell>
          <cell r="E456">
            <v>477</v>
          </cell>
          <cell r="F456">
            <v>759.54</v>
          </cell>
          <cell r="G456">
            <v>2685.29</v>
          </cell>
          <cell r="I456">
            <v>1362.14</v>
          </cell>
          <cell r="J456">
            <v>93204</v>
          </cell>
          <cell r="K456" t="str">
            <v>MP</v>
          </cell>
        </row>
        <row r="457">
          <cell r="A457" t="str">
            <v>993833-SLR</v>
          </cell>
          <cell r="B457">
            <v>11606</v>
          </cell>
          <cell r="C457">
            <v>475.27</v>
          </cell>
          <cell r="D457">
            <v>140.26</v>
          </cell>
          <cell r="E457">
            <v>477</v>
          </cell>
          <cell r="F457">
            <v>399.98</v>
          </cell>
          <cell r="G457">
            <v>1589.41</v>
          </cell>
          <cell r="I457">
            <v>8338.08</v>
          </cell>
          <cell r="J457">
            <v>92093</v>
          </cell>
          <cell r="K457" t="str">
            <v>MP</v>
          </cell>
        </row>
        <row r="458">
          <cell r="A458" t="str">
            <v>993840-SLR</v>
          </cell>
          <cell r="B458">
            <v>11669</v>
          </cell>
          <cell r="C458">
            <v>477.22</v>
          </cell>
          <cell r="D458">
            <v>6.07</v>
          </cell>
          <cell r="E458">
            <v>477</v>
          </cell>
          <cell r="F458">
            <v>168.95</v>
          </cell>
          <cell r="G458">
            <v>311.58999999999997</v>
          </cell>
          <cell r="I458">
            <v>1159.44</v>
          </cell>
          <cell r="J458">
            <v>93013</v>
          </cell>
          <cell r="K458" t="str">
            <v>MP</v>
          </cell>
        </row>
        <row r="459">
          <cell r="A459" t="str">
            <v>993842-SLR</v>
          </cell>
          <cell r="B459">
            <v>11611</v>
          </cell>
          <cell r="C459">
            <v>188.81</v>
          </cell>
          <cell r="D459">
            <v>1.1000000000000001</v>
          </cell>
          <cell r="E459">
            <v>477</v>
          </cell>
          <cell r="F459">
            <v>144.41</v>
          </cell>
          <cell r="G459">
            <v>104.42</v>
          </cell>
          <cell r="I459">
            <v>359.64</v>
          </cell>
          <cell r="J459">
            <v>90390</v>
          </cell>
          <cell r="K459" t="str">
            <v>MP</v>
          </cell>
        </row>
        <row r="460">
          <cell r="A460" t="str">
            <v>993844-SLR</v>
          </cell>
          <cell r="B460">
            <v>11661</v>
          </cell>
          <cell r="C460">
            <v>188.81</v>
          </cell>
          <cell r="D460">
            <v>6.49</v>
          </cell>
          <cell r="E460">
            <v>477</v>
          </cell>
          <cell r="F460">
            <v>205.22</v>
          </cell>
          <cell r="G460">
            <v>97.57</v>
          </cell>
          <cell r="I460">
            <v>3056.94</v>
          </cell>
          <cell r="J460">
            <v>92166</v>
          </cell>
          <cell r="K460" t="str">
            <v>MP</v>
          </cell>
        </row>
        <row r="461">
          <cell r="A461" t="str">
            <v>993845-SLR</v>
          </cell>
          <cell r="B461">
            <v>11662</v>
          </cell>
          <cell r="C461">
            <v>188.81</v>
          </cell>
          <cell r="D461">
            <v>4.21</v>
          </cell>
          <cell r="E461">
            <v>477</v>
          </cell>
          <cell r="F461">
            <v>179.44</v>
          </cell>
          <cell r="G461">
            <v>400.2</v>
          </cell>
          <cell r="I461">
            <v>1913.28</v>
          </cell>
          <cell r="J461">
            <v>92372</v>
          </cell>
          <cell r="K461" t="str">
            <v>MP</v>
          </cell>
        </row>
        <row r="462">
          <cell r="A462" t="str">
            <v>993848-SLR</v>
          </cell>
          <cell r="B462">
            <v>11712</v>
          </cell>
          <cell r="C462">
            <v>320.3</v>
          </cell>
          <cell r="D462">
            <v>14.88</v>
          </cell>
          <cell r="E462">
            <v>477</v>
          </cell>
          <cell r="F462">
            <v>338.97</v>
          </cell>
          <cell r="G462">
            <v>1044.26</v>
          </cell>
          <cell r="I462">
            <v>7123.82</v>
          </cell>
          <cell r="J462">
            <v>90061</v>
          </cell>
          <cell r="K462" t="str">
            <v>MP</v>
          </cell>
        </row>
        <row r="463">
          <cell r="A463" t="str">
            <v>993850-SLR</v>
          </cell>
          <cell r="B463">
            <v>11607</v>
          </cell>
          <cell r="C463">
            <v>475.27</v>
          </cell>
          <cell r="D463">
            <v>13.09</v>
          </cell>
          <cell r="E463">
            <v>477</v>
          </cell>
          <cell r="F463">
            <v>299.19</v>
          </cell>
          <cell r="G463">
            <v>1247.32</v>
          </cell>
          <cell r="I463">
            <v>6076.48</v>
          </cell>
          <cell r="J463">
            <v>93018</v>
          </cell>
          <cell r="K463" t="str">
            <v>MP</v>
          </cell>
        </row>
        <row r="464">
          <cell r="A464" t="str">
            <v>993851-SLR</v>
          </cell>
          <cell r="B464">
            <v>11651</v>
          </cell>
          <cell r="C464">
            <v>428.66</v>
          </cell>
          <cell r="D464">
            <v>25.32</v>
          </cell>
          <cell r="E464">
            <v>477</v>
          </cell>
          <cell r="F464">
            <v>307.31</v>
          </cell>
          <cell r="G464">
            <v>1282.02</v>
          </cell>
          <cell r="I464">
            <v>6305.3</v>
          </cell>
          <cell r="J464">
            <v>93025</v>
          </cell>
          <cell r="K464" t="str">
            <v>MP</v>
          </cell>
        </row>
        <row r="465">
          <cell r="A465" t="str">
            <v>993852-SLR</v>
          </cell>
          <cell r="B465">
            <v>11596</v>
          </cell>
          <cell r="C465">
            <v>475.27</v>
          </cell>
          <cell r="D465">
            <v>15.68</v>
          </cell>
          <cell r="E465">
            <v>477</v>
          </cell>
          <cell r="F465">
            <v>356.88</v>
          </cell>
          <cell r="G465">
            <v>478</v>
          </cell>
          <cell r="I465">
            <v>7370.64</v>
          </cell>
          <cell r="J465">
            <v>91250</v>
          </cell>
          <cell r="K465" t="str">
            <v>MP</v>
          </cell>
        </row>
        <row r="466">
          <cell r="A466" t="str">
            <v>993853-SLR</v>
          </cell>
          <cell r="B466">
            <v>11608</v>
          </cell>
          <cell r="C466">
            <v>475.3</v>
          </cell>
          <cell r="D466">
            <v>24.04</v>
          </cell>
          <cell r="E466">
            <v>477</v>
          </cell>
          <cell r="F466">
            <v>292.82</v>
          </cell>
          <cell r="G466">
            <v>1220.1600000000001</v>
          </cell>
          <cell r="I466">
            <v>5933.76</v>
          </cell>
          <cell r="J466">
            <v>90257</v>
          </cell>
          <cell r="K466" t="str">
            <v>MP</v>
          </cell>
        </row>
        <row r="467">
          <cell r="A467" t="str">
            <v>993854-SLR</v>
          </cell>
          <cell r="B467">
            <v>11597</v>
          </cell>
          <cell r="C467">
            <v>477.78</v>
          </cell>
          <cell r="D467">
            <v>12.88</v>
          </cell>
          <cell r="E467">
            <v>477</v>
          </cell>
          <cell r="F467">
            <v>294.13</v>
          </cell>
          <cell r="G467">
            <v>1225.75</v>
          </cell>
          <cell r="I467">
            <v>5960.67</v>
          </cell>
          <cell r="J467">
            <v>90013</v>
          </cell>
          <cell r="K467" t="str">
            <v>MP</v>
          </cell>
        </row>
        <row r="468">
          <cell r="A468" t="str">
            <v>993856-SLR</v>
          </cell>
          <cell r="B468">
            <v>11556</v>
          </cell>
          <cell r="C468">
            <v>217.28</v>
          </cell>
          <cell r="D468">
            <v>9.1300000000000008</v>
          </cell>
          <cell r="E468">
            <v>477</v>
          </cell>
          <cell r="F468">
            <v>234.92</v>
          </cell>
          <cell r="G468">
            <v>868.7</v>
          </cell>
          <cell r="I468">
            <v>4345.68</v>
          </cell>
          <cell r="J468">
            <v>92249</v>
          </cell>
          <cell r="K468" t="str">
            <v>MP</v>
          </cell>
        </row>
        <row r="469">
          <cell r="A469" t="str">
            <v>993862-SLR</v>
          </cell>
          <cell r="B469">
            <v>11715</v>
          </cell>
          <cell r="C469">
            <v>1012.09</v>
          </cell>
          <cell r="D469">
            <v>2.5299999999999998</v>
          </cell>
          <cell r="E469">
            <v>477</v>
          </cell>
          <cell r="F469">
            <v>160.56</v>
          </cell>
          <cell r="G469">
            <v>164.75</v>
          </cell>
          <cell r="I469">
            <v>252.7</v>
          </cell>
          <cell r="J469">
            <v>92376</v>
          </cell>
          <cell r="K469" t="str">
            <v>MP</v>
          </cell>
        </row>
        <row r="470">
          <cell r="A470" t="str">
            <v>993863-SLR</v>
          </cell>
          <cell r="B470">
            <v>11684</v>
          </cell>
          <cell r="C470">
            <v>172.4</v>
          </cell>
          <cell r="D470">
            <v>3.54</v>
          </cell>
          <cell r="E470">
            <v>477</v>
          </cell>
          <cell r="F470">
            <v>171.94</v>
          </cell>
          <cell r="G470">
            <v>248.2</v>
          </cell>
          <cell r="I470">
            <v>1596.94</v>
          </cell>
          <cell r="J470">
            <v>91337</v>
          </cell>
          <cell r="K470" t="str">
            <v>MP</v>
          </cell>
        </row>
        <row r="471">
          <cell r="A471" t="str">
            <v>993864-SLR</v>
          </cell>
          <cell r="B471">
            <v>11620</v>
          </cell>
          <cell r="C471">
            <v>5919.87</v>
          </cell>
          <cell r="D471">
            <v>42.91</v>
          </cell>
          <cell r="E471">
            <v>477</v>
          </cell>
          <cell r="F471">
            <v>739.7</v>
          </cell>
          <cell r="G471">
            <v>4084.2</v>
          </cell>
          <cell r="I471">
            <v>15533</v>
          </cell>
          <cell r="J471">
            <v>90219</v>
          </cell>
          <cell r="K471" t="str">
            <v>MP</v>
          </cell>
        </row>
        <row r="472">
          <cell r="A472" t="str">
            <v>993867-SLR</v>
          </cell>
          <cell r="B472">
            <v>11610</v>
          </cell>
          <cell r="C472">
            <v>207.08</v>
          </cell>
          <cell r="D472">
            <v>6.01</v>
          </cell>
          <cell r="E472">
            <v>477</v>
          </cell>
          <cell r="F472">
            <v>199.74</v>
          </cell>
          <cell r="G472">
            <v>421.2</v>
          </cell>
          <cell r="I472">
            <v>2795.48</v>
          </cell>
          <cell r="J472">
            <v>91814</v>
          </cell>
          <cell r="K472" t="str">
            <v>MP</v>
          </cell>
        </row>
        <row r="473">
          <cell r="A473" t="str">
            <v>993871-SLR</v>
          </cell>
          <cell r="B473">
            <v>11670</v>
          </cell>
          <cell r="C473">
            <v>143.55000000000001</v>
          </cell>
          <cell r="D473">
            <v>1.54</v>
          </cell>
          <cell r="E473">
            <v>477</v>
          </cell>
          <cell r="F473">
            <v>149.38</v>
          </cell>
          <cell r="G473">
            <v>146.36000000000001</v>
          </cell>
          <cell r="I473">
            <v>625.21</v>
          </cell>
          <cell r="J473">
            <v>90322</v>
          </cell>
          <cell r="K473" t="str">
            <v>MP</v>
          </cell>
        </row>
        <row r="474">
          <cell r="A474" t="str">
            <v>993873-SLR</v>
          </cell>
          <cell r="B474">
            <v>11614</v>
          </cell>
          <cell r="C474">
            <v>224.78</v>
          </cell>
          <cell r="D474">
            <v>1.82</v>
          </cell>
          <cell r="E474">
            <v>477</v>
          </cell>
          <cell r="F474">
            <v>152.44</v>
          </cell>
          <cell r="G474">
            <v>172.2</v>
          </cell>
          <cell r="I474">
            <v>679.72</v>
          </cell>
          <cell r="J474">
            <v>93173</v>
          </cell>
          <cell r="K474" t="str">
            <v>MP</v>
          </cell>
        </row>
        <row r="475">
          <cell r="A475" t="str">
            <v>993876-SLR</v>
          </cell>
          <cell r="B475">
            <v>11681</v>
          </cell>
          <cell r="C475">
            <v>90.12</v>
          </cell>
          <cell r="D475">
            <v>0</v>
          </cell>
          <cell r="E475">
            <v>0</v>
          </cell>
          <cell r="F475">
            <v>18.149999999999999</v>
          </cell>
          <cell r="G475">
            <v>78.91</v>
          </cell>
          <cell r="I475">
            <v>41.38</v>
          </cell>
          <cell r="J475">
            <v>90435</v>
          </cell>
          <cell r="K475" t="str">
            <v>MP</v>
          </cell>
        </row>
        <row r="476">
          <cell r="A476" t="str">
            <v>993881-SLR</v>
          </cell>
          <cell r="B476">
            <v>11706</v>
          </cell>
          <cell r="C476">
            <v>488.57</v>
          </cell>
          <cell r="D476">
            <v>84.09</v>
          </cell>
          <cell r="E476">
            <v>477</v>
          </cell>
          <cell r="F476">
            <v>246.43</v>
          </cell>
          <cell r="G476">
            <v>965.91</v>
          </cell>
          <cell r="I476">
            <v>4585.01</v>
          </cell>
          <cell r="J476">
            <v>90570</v>
          </cell>
          <cell r="K476" t="str">
            <v>MP</v>
          </cell>
        </row>
        <row r="477">
          <cell r="A477" t="str">
            <v>993882-SLR</v>
          </cell>
          <cell r="B477">
            <v>11708</v>
          </cell>
          <cell r="C477">
            <v>264.77999999999997</v>
          </cell>
          <cell r="D477">
            <v>9.69</v>
          </cell>
          <cell r="E477">
            <v>477</v>
          </cell>
          <cell r="F477">
            <v>190.2</v>
          </cell>
          <cell r="G477">
            <v>361.86</v>
          </cell>
          <cell r="I477">
            <v>2314.7800000000002</v>
          </cell>
          <cell r="J477">
            <v>93081</v>
          </cell>
          <cell r="K477" t="str">
            <v>MP</v>
          </cell>
        </row>
        <row r="478">
          <cell r="A478" t="str">
            <v>993885-SLR</v>
          </cell>
          <cell r="B478">
            <v>11625</v>
          </cell>
          <cell r="C478">
            <v>215.24</v>
          </cell>
          <cell r="D478">
            <v>8.69</v>
          </cell>
          <cell r="E478">
            <v>477</v>
          </cell>
          <cell r="F478">
            <v>229.91</v>
          </cell>
          <cell r="G478">
            <v>826.4</v>
          </cell>
          <cell r="I478">
            <v>4125.5200000000004</v>
          </cell>
          <cell r="J478">
            <v>90402</v>
          </cell>
          <cell r="K478" t="str">
            <v>MP</v>
          </cell>
        </row>
        <row r="479">
          <cell r="A479" t="str">
            <v>993886-SLR</v>
          </cell>
          <cell r="B479">
            <v>11637</v>
          </cell>
          <cell r="C479">
            <v>181.71</v>
          </cell>
          <cell r="D479">
            <v>9.25</v>
          </cell>
          <cell r="E479">
            <v>477</v>
          </cell>
          <cell r="F479">
            <v>236.27</v>
          </cell>
          <cell r="G479">
            <v>880.07</v>
          </cell>
          <cell r="I479">
            <v>4440.99</v>
          </cell>
          <cell r="J479">
            <v>92116</v>
          </cell>
          <cell r="K479" t="str">
            <v>MP</v>
          </cell>
        </row>
        <row r="480">
          <cell r="A480" t="str">
            <v>993894-SLR</v>
          </cell>
          <cell r="B480">
            <v>11559</v>
          </cell>
          <cell r="C480">
            <v>67.349999999999994</v>
          </cell>
          <cell r="D480">
            <v>0</v>
          </cell>
          <cell r="E480">
            <v>0</v>
          </cell>
          <cell r="F480">
            <v>18.149999999999999</v>
          </cell>
          <cell r="G480">
            <v>209.91</v>
          </cell>
          <cell r="I480">
            <v>282.5</v>
          </cell>
          <cell r="J480">
            <v>92243</v>
          </cell>
          <cell r="K480" t="str">
            <v>MP</v>
          </cell>
        </row>
        <row r="481">
          <cell r="A481" t="str">
            <v>993896-SLR</v>
          </cell>
          <cell r="B481">
            <v>11707</v>
          </cell>
          <cell r="C481">
            <v>949.99</v>
          </cell>
          <cell r="D481">
            <v>8.4499999999999993</v>
          </cell>
          <cell r="E481">
            <v>477</v>
          </cell>
          <cell r="F481">
            <v>227.22</v>
          </cell>
          <cell r="G481">
            <v>803.62</v>
          </cell>
          <cell r="I481">
            <v>3271.14</v>
          </cell>
          <cell r="J481">
            <v>92285</v>
          </cell>
          <cell r="K481" t="str">
            <v>MP</v>
          </cell>
        </row>
        <row r="482">
          <cell r="A482" t="str">
            <v>993897-SLR</v>
          </cell>
          <cell r="B482">
            <v>11561</v>
          </cell>
          <cell r="C482">
            <v>141.97</v>
          </cell>
          <cell r="D482">
            <v>0</v>
          </cell>
          <cell r="E482">
            <v>0</v>
          </cell>
          <cell r="F482">
            <v>18.329999999999998</v>
          </cell>
          <cell r="G482">
            <v>489.38</v>
          </cell>
          <cell r="I482">
            <v>673.65</v>
          </cell>
          <cell r="J482">
            <v>93050</v>
          </cell>
          <cell r="K482" t="str">
            <v>MP</v>
          </cell>
        </row>
        <row r="483">
          <cell r="A483" t="str">
            <v>993900-SLR</v>
          </cell>
          <cell r="B483">
            <v>11680</v>
          </cell>
          <cell r="C483">
            <v>158.13</v>
          </cell>
          <cell r="D483">
            <v>0</v>
          </cell>
          <cell r="E483">
            <v>0</v>
          </cell>
          <cell r="F483">
            <v>0</v>
          </cell>
          <cell r="G483">
            <v>168.23</v>
          </cell>
          <cell r="I483">
            <v>122.24</v>
          </cell>
          <cell r="J483">
            <v>92124</v>
          </cell>
          <cell r="K483" t="str">
            <v>MP</v>
          </cell>
        </row>
        <row r="484">
          <cell r="A484" t="str">
            <v>993912-SLR</v>
          </cell>
          <cell r="B484">
            <v>11713</v>
          </cell>
          <cell r="C484">
            <v>145.38</v>
          </cell>
          <cell r="D484">
            <v>42.89</v>
          </cell>
          <cell r="E484">
            <v>477</v>
          </cell>
          <cell r="F484">
            <v>739.59</v>
          </cell>
          <cell r="G484">
            <v>1519.9</v>
          </cell>
          <cell r="I484">
            <v>21302.39</v>
          </cell>
          <cell r="J484">
            <v>90062</v>
          </cell>
          <cell r="K484" t="str">
            <v>MP</v>
          </cell>
        </row>
        <row r="485">
          <cell r="A485" t="str">
            <v>993913-SLR</v>
          </cell>
          <cell r="B485">
            <v>11626</v>
          </cell>
          <cell r="C485">
            <v>198.64</v>
          </cell>
          <cell r="D485">
            <v>6.46</v>
          </cell>
          <cell r="E485">
            <v>477</v>
          </cell>
          <cell r="F485">
            <v>204.94</v>
          </cell>
          <cell r="G485">
            <v>680.31</v>
          </cell>
          <cell r="I485">
            <v>3034.46</v>
          </cell>
          <cell r="J485">
            <v>90071</v>
          </cell>
          <cell r="K485" t="str">
            <v>MP</v>
          </cell>
        </row>
        <row r="486">
          <cell r="A486" t="str">
            <v>993915-SLR</v>
          </cell>
          <cell r="B486">
            <v>11634</v>
          </cell>
          <cell r="C486">
            <v>143.86000000000001</v>
          </cell>
          <cell r="D486">
            <v>11.35</v>
          </cell>
          <cell r="E486">
            <v>477</v>
          </cell>
          <cell r="F486">
            <v>259.85000000000002</v>
          </cell>
          <cell r="G486">
            <v>795.23</v>
          </cell>
          <cell r="I486">
            <v>5524.97</v>
          </cell>
          <cell r="J486">
            <v>90971</v>
          </cell>
          <cell r="K486" t="str">
            <v>MP</v>
          </cell>
        </row>
        <row r="487">
          <cell r="A487" t="str">
            <v>993916-SLR</v>
          </cell>
          <cell r="B487">
            <v>11671</v>
          </cell>
          <cell r="C487">
            <v>382.67</v>
          </cell>
          <cell r="D487">
            <v>39.299999999999997</v>
          </cell>
          <cell r="E487">
            <v>477</v>
          </cell>
          <cell r="F487">
            <v>699.58</v>
          </cell>
          <cell r="G487">
            <v>2759.79</v>
          </cell>
          <cell r="I487">
            <v>19290.84</v>
          </cell>
          <cell r="J487">
            <v>90503</v>
          </cell>
          <cell r="K487" t="str">
            <v>MP</v>
          </cell>
        </row>
        <row r="488">
          <cell r="A488" t="str">
            <v>993917-SLR</v>
          </cell>
          <cell r="B488">
            <v>11663</v>
          </cell>
          <cell r="C488">
            <v>1139.83</v>
          </cell>
          <cell r="D488">
            <v>18.47</v>
          </cell>
          <cell r="E488">
            <v>477</v>
          </cell>
          <cell r="F488">
            <v>418.68</v>
          </cell>
          <cell r="G488">
            <v>1110.02</v>
          </cell>
          <cell r="I488">
            <v>8091.9</v>
          </cell>
          <cell r="J488">
            <v>93140</v>
          </cell>
          <cell r="K488" t="str">
            <v>MP</v>
          </cell>
        </row>
        <row r="489">
          <cell r="A489" t="str">
            <v>993918-SLR</v>
          </cell>
          <cell r="B489">
            <v>11627</v>
          </cell>
          <cell r="C489">
            <v>287.70999999999998</v>
          </cell>
          <cell r="D489">
            <v>4.68</v>
          </cell>
          <cell r="E489">
            <v>477</v>
          </cell>
          <cell r="F489">
            <v>160.09</v>
          </cell>
          <cell r="G489">
            <v>236.8</v>
          </cell>
          <cell r="I489">
            <v>956.11</v>
          </cell>
          <cell r="J489">
            <v>90424</v>
          </cell>
          <cell r="K489" t="str">
            <v>MP</v>
          </cell>
        </row>
        <row r="490">
          <cell r="A490" t="str">
            <v>993921-SLR</v>
          </cell>
          <cell r="B490">
            <v>11628</v>
          </cell>
          <cell r="C490">
            <v>251.67</v>
          </cell>
          <cell r="D490">
            <v>54.41</v>
          </cell>
          <cell r="E490">
            <v>477</v>
          </cell>
          <cell r="F490">
            <v>229.54</v>
          </cell>
          <cell r="G490">
            <v>823.24</v>
          </cell>
          <cell r="I490">
            <v>4072.51</v>
          </cell>
          <cell r="J490">
            <v>92174</v>
          </cell>
          <cell r="K490" t="str">
            <v>MP</v>
          </cell>
        </row>
        <row r="491">
          <cell r="A491" t="str">
            <v>993923-SLR</v>
          </cell>
          <cell r="B491">
            <v>11672</v>
          </cell>
          <cell r="C491">
            <v>9208.41</v>
          </cell>
          <cell r="D491">
            <v>62</v>
          </cell>
          <cell r="E491">
            <v>477</v>
          </cell>
          <cell r="F491">
            <v>955.03</v>
          </cell>
          <cell r="G491">
            <v>3727.87</v>
          </cell>
          <cell r="I491">
            <v>21795.21</v>
          </cell>
          <cell r="J491">
            <v>92000</v>
          </cell>
          <cell r="K491" t="str">
            <v>MP</v>
          </cell>
        </row>
        <row r="492">
          <cell r="A492" t="str">
            <v>993924-SLR</v>
          </cell>
          <cell r="B492">
            <v>11638</v>
          </cell>
          <cell r="C492">
            <v>254.39</v>
          </cell>
          <cell r="D492">
            <v>6.43</v>
          </cell>
          <cell r="E492">
            <v>477</v>
          </cell>
          <cell r="F492">
            <v>204.61</v>
          </cell>
          <cell r="G492">
            <v>612.74</v>
          </cell>
          <cell r="I492">
            <v>2964.14</v>
          </cell>
          <cell r="J492">
            <v>91591</v>
          </cell>
          <cell r="K492" t="str">
            <v>MP</v>
          </cell>
        </row>
        <row r="493">
          <cell r="A493" t="str">
            <v>993925-SLR</v>
          </cell>
          <cell r="B493">
            <v>11673</v>
          </cell>
          <cell r="C493">
            <v>3119.96</v>
          </cell>
          <cell r="D493">
            <v>47.66</v>
          </cell>
          <cell r="E493">
            <v>477</v>
          </cell>
          <cell r="F493">
            <v>793.26</v>
          </cell>
          <cell r="G493">
            <v>2865.12</v>
          </cell>
          <cell r="I493">
            <v>20708.400000000001</v>
          </cell>
          <cell r="J493">
            <v>92282</v>
          </cell>
          <cell r="K493" t="str">
            <v>MP</v>
          </cell>
        </row>
        <row r="494">
          <cell r="A494" t="str">
            <v>993928-SLR</v>
          </cell>
          <cell r="B494">
            <v>11717</v>
          </cell>
          <cell r="C494">
            <v>199.9</v>
          </cell>
          <cell r="D494">
            <v>2.76</v>
          </cell>
          <cell r="E494">
            <v>477</v>
          </cell>
          <cell r="F494">
            <v>163.11000000000001</v>
          </cell>
          <cell r="G494">
            <v>248.45</v>
          </cell>
          <cell r="I494">
            <v>1177.6099999999999</v>
          </cell>
          <cell r="J494">
            <v>90379</v>
          </cell>
          <cell r="K494" t="str">
            <v>MP</v>
          </cell>
        </row>
        <row r="495">
          <cell r="A495" t="str">
            <v>993930-SLR</v>
          </cell>
          <cell r="B495">
            <v>11733</v>
          </cell>
          <cell r="C495">
            <v>250.81</v>
          </cell>
          <cell r="D495">
            <v>2.88</v>
          </cell>
          <cell r="E495">
            <v>477</v>
          </cell>
          <cell r="F495">
            <v>164.47</v>
          </cell>
          <cell r="G495">
            <v>273.74</v>
          </cell>
          <cell r="I495">
            <v>1187.05</v>
          </cell>
          <cell r="J495">
            <v>91591</v>
          </cell>
          <cell r="K495" t="str">
            <v>MP</v>
          </cell>
        </row>
        <row r="496">
          <cell r="A496" t="str">
            <v>993935-SLR</v>
          </cell>
          <cell r="B496">
            <v>11682</v>
          </cell>
          <cell r="C496">
            <v>141.97</v>
          </cell>
          <cell r="D496">
            <v>0</v>
          </cell>
          <cell r="E496">
            <v>18.149999999999999</v>
          </cell>
          <cell r="F496">
            <v>0</v>
          </cell>
          <cell r="G496">
            <v>159.07</v>
          </cell>
          <cell r="I496">
            <v>123.14</v>
          </cell>
          <cell r="J496">
            <v>93050</v>
          </cell>
          <cell r="K496" t="str">
            <v>MP</v>
          </cell>
        </row>
        <row r="497">
          <cell r="A497" t="str">
            <v>993948-SLR</v>
          </cell>
          <cell r="B497">
            <v>11685</v>
          </cell>
          <cell r="C497">
            <v>1820.37</v>
          </cell>
          <cell r="D497">
            <v>68.52</v>
          </cell>
          <cell r="E497">
            <v>477</v>
          </cell>
          <cell r="F497">
            <v>1069.76</v>
          </cell>
          <cell r="G497">
            <v>5382.99</v>
          </cell>
          <cell r="I497">
            <v>34263.870000000003</v>
          </cell>
          <cell r="J497">
            <v>92243</v>
          </cell>
          <cell r="K497" t="str">
            <v>MP</v>
          </cell>
        </row>
        <row r="498">
          <cell r="A498" t="str">
            <v>993949-SLR</v>
          </cell>
          <cell r="B498">
            <v>11679</v>
          </cell>
          <cell r="C498">
            <v>202.46</v>
          </cell>
          <cell r="D498">
            <v>2.63</v>
          </cell>
          <cell r="E498">
            <v>477</v>
          </cell>
          <cell r="F498">
            <v>161.75</v>
          </cell>
          <cell r="G498">
            <v>190.72</v>
          </cell>
          <cell r="I498">
            <v>1115.17</v>
          </cell>
          <cell r="J498">
            <v>92243</v>
          </cell>
          <cell r="K498" t="str">
            <v>MP</v>
          </cell>
        </row>
        <row r="499">
          <cell r="A499" t="str">
            <v>993952-SLR</v>
          </cell>
          <cell r="B499">
            <v>11718</v>
          </cell>
          <cell r="C499">
            <v>255.33</v>
          </cell>
          <cell r="D499">
            <v>34.979999999999997</v>
          </cell>
          <cell r="E499">
            <v>477</v>
          </cell>
          <cell r="F499">
            <v>650.1</v>
          </cell>
          <cell r="G499">
            <v>2609.39</v>
          </cell>
          <cell r="I499">
            <v>17222.919999999998</v>
          </cell>
          <cell r="J499">
            <v>92116</v>
          </cell>
          <cell r="K499" t="str">
            <v>MP</v>
          </cell>
        </row>
        <row r="500">
          <cell r="A500" t="str">
            <v>993960-SLR</v>
          </cell>
          <cell r="B500">
            <v>11687</v>
          </cell>
          <cell r="C500">
            <v>165.65</v>
          </cell>
          <cell r="D500">
            <v>23.26</v>
          </cell>
          <cell r="E500">
            <v>477</v>
          </cell>
          <cell r="F500">
            <v>521.04999999999995</v>
          </cell>
          <cell r="G500">
            <v>1631.91</v>
          </cell>
          <cell r="I500">
            <v>11467.89</v>
          </cell>
          <cell r="J500">
            <v>91874</v>
          </cell>
          <cell r="K500" t="str">
            <v>MP</v>
          </cell>
        </row>
        <row r="501">
          <cell r="A501" t="str">
            <v>993968-SLR</v>
          </cell>
          <cell r="B501">
            <v>11686</v>
          </cell>
          <cell r="C501">
            <v>453.38</v>
          </cell>
          <cell r="D501">
            <v>6.39</v>
          </cell>
          <cell r="E501">
            <v>477</v>
          </cell>
          <cell r="F501">
            <v>205.24</v>
          </cell>
          <cell r="G501">
            <v>611.71</v>
          </cell>
          <cell r="I501">
            <v>2759.76</v>
          </cell>
          <cell r="J501">
            <v>93035</v>
          </cell>
          <cell r="K501" t="str">
            <v>MP</v>
          </cell>
        </row>
        <row r="502">
          <cell r="A502" t="str">
            <v>993976-SLR</v>
          </cell>
          <cell r="B502">
            <v>11719</v>
          </cell>
          <cell r="C502">
            <v>301.67</v>
          </cell>
          <cell r="D502">
            <v>15.97</v>
          </cell>
          <cell r="E502">
            <v>477</v>
          </cell>
          <cell r="F502">
            <v>363.56</v>
          </cell>
          <cell r="G502">
            <v>627.22</v>
          </cell>
          <cell r="I502">
            <v>7687.18</v>
          </cell>
          <cell r="J502">
            <v>93157</v>
          </cell>
          <cell r="K502" t="str">
            <v>MP</v>
          </cell>
        </row>
        <row r="503">
          <cell r="A503" t="str">
            <v>993978-SLR</v>
          </cell>
          <cell r="B503">
            <v>11720</v>
          </cell>
          <cell r="C503">
            <v>170.68</v>
          </cell>
          <cell r="D503">
            <v>19.77</v>
          </cell>
          <cell r="E503">
            <v>477</v>
          </cell>
          <cell r="F503">
            <v>447.86</v>
          </cell>
          <cell r="G503">
            <v>1386.8</v>
          </cell>
          <cell r="I503">
            <v>9715.2900000000009</v>
          </cell>
          <cell r="J503">
            <v>93227</v>
          </cell>
          <cell r="K503" t="str">
            <v>MP</v>
          </cell>
        </row>
        <row r="504">
          <cell r="A504" t="str">
            <v>993979-SLR</v>
          </cell>
          <cell r="B504">
            <v>11721</v>
          </cell>
          <cell r="C504">
            <v>190.82</v>
          </cell>
          <cell r="D504">
            <v>1.91</v>
          </cell>
          <cell r="E504">
            <v>477</v>
          </cell>
          <cell r="F504">
            <v>153.56</v>
          </cell>
          <cell r="G504">
            <v>181.64</v>
          </cell>
          <cell r="I504">
            <v>763.27</v>
          </cell>
          <cell r="J504">
            <v>91471</v>
          </cell>
          <cell r="K504" t="str">
            <v>MP</v>
          </cell>
        </row>
        <row r="505">
          <cell r="A505" t="str">
            <v>993989-SLR</v>
          </cell>
          <cell r="B505">
            <v>11722</v>
          </cell>
          <cell r="C505">
            <v>319.66000000000003</v>
          </cell>
          <cell r="D505">
            <v>38.74</v>
          </cell>
          <cell r="E505">
            <v>477</v>
          </cell>
          <cell r="F505">
            <v>692.76</v>
          </cell>
          <cell r="G505">
            <v>3687.74</v>
          </cell>
          <cell r="I505">
            <v>19050.759999999998</v>
          </cell>
          <cell r="J505">
            <v>92243</v>
          </cell>
          <cell r="K505" t="str">
            <v>MP</v>
          </cell>
        </row>
        <row r="506">
          <cell r="A506" t="str">
            <v>994014-SLR</v>
          </cell>
          <cell r="B506">
            <v>11731</v>
          </cell>
          <cell r="C506">
            <v>192.05</v>
          </cell>
          <cell r="D506">
            <v>3.19</v>
          </cell>
          <cell r="E506">
            <v>477</v>
          </cell>
          <cell r="F506">
            <v>167.95</v>
          </cell>
          <cell r="G506">
            <v>303.19</v>
          </cell>
          <cell r="I506">
            <v>1400.51</v>
          </cell>
          <cell r="J506">
            <v>90013</v>
          </cell>
          <cell r="K506" t="str">
            <v>MP</v>
          </cell>
        </row>
        <row r="507">
          <cell r="A507" t="str">
            <v>994018-SLR</v>
          </cell>
          <cell r="B507">
            <v>11705</v>
          </cell>
          <cell r="C507">
            <v>252.2</v>
          </cell>
          <cell r="D507">
            <v>126.43</v>
          </cell>
          <cell r="E507">
            <v>477</v>
          </cell>
          <cell r="F507">
            <v>1681.38</v>
          </cell>
          <cell r="G507">
            <v>3167.4</v>
          </cell>
          <cell r="I507">
            <v>62969.45</v>
          </cell>
          <cell r="J507">
            <v>91471</v>
          </cell>
          <cell r="K507" t="str">
            <v>MP</v>
          </cell>
        </row>
        <row r="508">
          <cell r="A508" t="str">
            <v>994019=SLR</v>
          </cell>
          <cell r="B508">
            <v>11723</v>
          </cell>
          <cell r="C508">
            <v>163.56</v>
          </cell>
          <cell r="D508">
            <v>3.87</v>
          </cell>
          <cell r="E508">
            <v>477</v>
          </cell>
          <cell r="F508">
            <v>175.77</v>
          </cell>
          <cell r="G508">
            <v>369.21</v>
          </cell>
          <cell r="I508">
            <v>1775.77</v>
          </cell>
          <cell r="J508">
            <v>91969</v>
          </cell>
          <cell r="K508" t="str">
            <v>MP</v>
          </cell>
        </row>
        <row r="509">
          <cell r="A509" t="str">
            <v>994022-SLR</v>
          </cell>
          <cell r="B509">
            <v>11709</v>
          </cell>
          <cell r="C509">
            <v>1852.16</v>
          </cell>
          <cell r="D509">
            <v>20.72</v>
          </cell>
          <cell r="E509">
            <v>477</v>
          </cell>
          <cell r="F509">
            <v>468.85</v>
          </cell>
          <cell r="G509">
            <v>1971.79</v>
          </cell>
          <cell r="I509">
            <v>8504.9599999999991</v>
          </cell>
          <cell r="J509">
            <v>91178</v>
          </cell>
          <cell r="K509" t="str">
            <v>MP</v>
          </cell>
        </row>
        <row r="510">
          <cell r="A510" t="str">
            <v>994029-SLR</v>
          </cell>
          <cell r="B510">
            <v>11724</v>
          </cell>
          <cell r="C510">
            <v>279.08</v>
          </cell>
          <cell r="D510">
            <v>5.47</v>
          </cell>
          <cell r="E510">
            <v>477</v>
          </cell>
          <cell r="F510">
            <v>193.65</v>
          </cell>
          <cell r="G510">
            <v>383.31</v>
          </cell>
          <cell r="I510">
            <v>2453.36</v>
          </cell>
          <cell r="J510">
            <v>93163</v>
          </cell>
          <cell r="K510" t="str">
            <v>MP</v>
          </cell>
        </row>
        <row r="511">
          <cell r="A511" t="str">
            <v>994042-SLR</v>
          </cell>
          <cell r="B511">
            <v>11683</v>
          </cell>
          <cell r="C511">
            <v>0</v>
          </cell>
          <cell r="D511">
            <v>0</v>
          </cell>
          <cell r="E511">
            <v>18.149999999999999</v>
          </cell>
          <cell r="F511">
            <v>0</v>
          </cell>
          <cell r="G511">
            <v>304.23</v>
          </cell>
          <cell r="I511">
            <v>507.05</v>
          </cell>
          <cell r="J511">
            <v>90953</v>
          </cell>
          <cell r="K511" t="str">
            <v>MP</v>
          </cell>
        </row>
        <row r="512">
          <cell r="A512" t="str">
            <v>994044-SLR</v>
          </cell>
          <cell r="B512">
            <v>11699</v>
          </cell>
          <cell r="C512">
            <v>438.65</v>
          </cell>
          <cell r="D512">
            <v>0</v>
          </cell>
          <cell r="E512">
            <v>18.21</v>
          </cell>
          <cell r="F512">
            <v>0</v>
          </cell>
          <cell r="G512">
            <v>767.59</v>
          </cell>
          <cell r="I512">
            <v>840.66</v>
          </cell>
          <cell r="J512">
            <v>93050</v>
          </cell>
          <cell r="K512" t="str">
            <v>MP</v>
          </cell>
        </row>
        <row r="513">
          <cell r="A513" t="str">
            <v>994065-SLR</v>
          </cell>
          <cell r="B513">
            <v>11728</v>
          </cell>
          <cell r="C513">
            <v>145.38</v>
          </cell>
          <cell r="D513">
            <v>3.89</v>
          </cell>
          <cell r="E513">
            <v>477</v>
          </cell>
          <cell r="F513">
            <v>175.81</v>
          </cell>
          <cell r="G513">
            <v>369.5</v>
          </cell>
          <cell r="I513">
            <v>1795.49</v>
          </cell>
          <cell r="J513">
            <v>96013</v>
          </cell>
          <cell r="K513" t="str">
            <v>MP</v>
          </cell>
        </row>
        <row r="514">
          <cell r="A514" t="str">
            <v>994068-SLR</v>
          </cell>
          <cell r="B514">
            <v>11700</v>
          </cell>
          <cell r="C514">
            <v>0</v>
          </cell>
          <cell r="D514">
            <v>0</v>
          </cell>
          <cell r="E514">
            <v>18.16</v>
          </cell>
          <cell r="F514">
            <v>0</v>
          </cell>
          <cell r="G514">
            <v>111.2</v>
          </cell>
          <cell r="I514">
            <v>185.34</v>
          </cell>
          <cell r="J514">
            <v>90061</v>
          </cell>
          <cell r="K514" t="str">
            <v>MP</v>
          </cell>
        </row>
        <row r="515">
          <cell r="A515" t="str">
            <v>994069-SLR</v>
          </cell>
          <cell r="B515">
            <v>11726</v>
          </cell>
          <cell r="C515">
            <v>89.04</v>
          </cell>
          <cell r="D515">
            <v>0</v>
          </cell>
          <cell r="E515">
            <v>0</v>
          </cell>
          <cell r="F515">
            <v>0</v>
          </cell>
          <cell r="G515">
            <v>79.59</v>
          </cell>
          <cell r="I515">
            <v>43.61</v>
          </cell>
          <cell r="J515">
            <v>92202</v>
          </cell>
          <cell r="K515" t="str">
            <v>MP</v>
          </cell>
        </row>
        <row r="516">
          <cell r="A516" t="str">
            <v>994070-SLR</v>
          </cell>
          <cell r="B516">
            <v>11701</v>
          </cell>
          <cell r="C516">
            <v>106.85</v>
          </cell>
          <cell r="D516">
            <v>0</v>
          </cell>
          <cell r="E516">
            <v>18.2</v>
          </cell>
          <cell r="F516">
            <v>0</v>
          </cell>
          <cell r="G516">
            <v>240.73</v>
          </cell>
          <cell r="I516">
            <v>294.37</v>
          </cell>
          <cell r="J516">
            <v>91814</v>
          </cell>
          <cell r="K516" t="str">
            <v>MP</v>
          </cell>
        </row>
        <row r="517">
          <cell r="A517" t="str">
            <v>994091-SLR</v>
          </cell>
          <cell r="B517">
            <v>11730</v>
          </cell>
          <cell r="C517">
            <v>564.09</v>
          </cell>
          <cell r="D517">
            <v>26.1</v>
          </cell>
          <cell r="E517">
            <v>477</v>
          </cell>
          <cell r="F517">
            <v>530.08000000000004</v>
          </cell>
          <cell r="G517">
            <v>1461.49</v>
          </cell>
          <cell r="I517">
            <v>11588.93</v>
          </cell>
          <cell r="J517">
            <v>92317</v>
          </cell>
          <cell r="K517" t="str">
            <v>MP</v>
          </cell>
        </row>
        <row r="518">
          <cell r="A518" t="str">
            <v>994093-SLR</v>
          </cell>
          <cell r="B518">
            <v>11729</v>
          </cell>
          <cell r="C518">
            <v>949.53</v>
          </cell>
          <cell r="D518">
            <v>5.25</v>
          </cell>
          <cell r="E518">
            <v>477</v>
          </cell>
          <cell r="F518">
            <v>191.18</v>
          </cell>
          <cell r="G518">
            <v>551.85</v>
          </cell>
          <cell r="I518">
            <v>1673.08</v>
          </cell>
          <cell r="J518">
            <v>93054</v>
          </cell>
          <cell r="K518" t="str">
            <v>MP</v>
          </cell>
        </row>
        <row r="519">
          <cell r="A519" t="str">
            <v>994098-SLR</v>
          </cell>
          <cell r="B519">
            <v>11725</v>
          </cell>
          <cell r="C519">
            <v>374.59</v>
          </cell>
          <cell r="D519">
            <v>915.96</v>
          </cell>
          <cell r="E519">
            <v>477</v>
          </cell>
          <cell r="F519">
            <v>220.73</v>
          </cell>
          <cell r="G519">
            <v>551.77</v>
          </cell>
          <cell r="I519">
            <v>3558.78</v>
          </cell>
          <cell r="J519">
            <v>90809</v>
          </cell>
          <cell r="K519" t="str">
            <v>MP</v>
          </cell>
        </row>
        <row r="520">
          <cell r="A520" t="str">
            <v>994131-SLR</v>
          </cell>
          <cell r="B520">
            <v>11702</v>
          </cell>
          <cell r="C520">
            <v>106.7</v>
          </cell>
          <cell r="D520">
            <v>0</v>
          </cell>
          <cell r="E520">
            <v>0</v>
          </cell>
          <cell r="F520">
            <v>0</v>
          </cell>
          <cell r="G520">
            <v>77.09</v>
          </cell>
          <cell r="I520">
            <v>21.78</v>
          </cell>
          <cell r="J520">
            <v>92202</v>
          </cell>
          <cell r="K520" t="str">
            <v>MP</v>
          </cell>
        </row>
        <row r="522">
          <cell r="H522">
            <v>0</v>
          </cell>
        </row>
        <row r="523">
          <cell r="A523" t="str">
            <v>TOTAIS</v>
          </cell>
          <cell r="C523">
            <v>750554.83000000007</v>
          </cell>
          <cell r="D523">
            <v>37001.389999999956</v>
          </cell>
          <cell r="E523">
            <v>247379.77999999991</v>
          </cell>
          <cell r="F523">
            <v>330881.37999999995</v>
          </cell>
          <cell r="G523">
            <v>1776339.9000000006</v>
          </cell>
          <cell r="H523">
            <v>0</v>
          </cell>
          <cell r="I523">
            <v>9151774.6100000031</v>
          </cell>
        </row>
        <row r="526">
          <cell r="A526" t="str">
            <v>ATIVO FIXO - LOCAL 91</v>
          </cell>
        </row>
        <row r="527">
          <cell r="A527" t="str">
            <v>PROC</v>
          </cell>
          <cell r="B527" t="str">
            <v>NF</v>
          </cell>
          <cell r="C527" t="str">
            <v>FRETE</v>
          </cell>
          <cell r="D527" t="str">
            <v>SEG</v>
          </cell>
          <cell r="E527" t="str">
            <v>COM</v>
          </cell>
          <cell r="F527" t="str">
            <v>ALF</v>
          </cell>
          <cell r="G527" t="str">
            <v>IMP</v>
          </cell>
          <cell r="H527" t="str">
            <v>TOTAL</v>
          </cell>
          <cell r="I527" t="str">
            <v>FOB</v>
          </cell>
          <cell r="J527" t="str">
            <v>FORN</v>
          </cell>
          <cell r="K527" t="str">
            <v>TIPO</v>
          </cell>
          <cell r="L527" t="str">
            <v>ICMS</v>
          </cell>
          <cell r="N527" t="str">
            <v>IPI</v>
          </cell>
        </row>
        <row r="528">
          <cell r="A528" t="str">
            <v>992631-SLR</v>
          </cell>
          <cell r="B528">
            <v>11250</v>
          </cell>
          <cell r="C528">
            <v>146.35</v>
          </cell>
          <cell r="D528">
            <v>0.96</v>
          </cell>
          <cell r="E528">
            <v>535.44000000000005</v>
          </cell>
          <cell r="F528">
            <v>138.79</v>
          </cell>
          <cell r="G528">
            <v>62.89</v>
          </cell>
          <cell r="I528">
            <v>152.15</v>
          </cell>
          <cell r="J528">
            <v>91952</v>
          </cell>
          <cell r="K528" t="str">
            <v>AF</v>
          </cell>
        </row>
        <row r="529">
          <cell r="A529" t="str">
            <v>993134-SLR</v>
          </cell>
          <cell r="B529">
            <v>11405</v>
          </cell>
          <cell r="C529">
            <v>7322.37</v>
          </cell>
          <cell r="D529">
            <v>53.31</v>
          </cell>
          <cell r="E529">
            <v>529.89</v>
          </cell>
          <cell r="F529">
            <v>856.86</v>
          </cell>
          <cell r="G529">
            <v>5607.54</v>
          </cell>
          <cell r="I529">
            <v>19326.91</v>
          </cell>
          <cell r="J529">
            <v>91532</v>
          </cell>
          <cell r="K529" t="str">
            <v>AF</v>
          </cell>
        </row>
        <row r="530">
          <cell r="A530" t="str">
            <v>993319-SLR</v>
          </cell>
          <cell r="B530">
            <v>11262</v>
          </cell>
          <cell r="C530">
            <v>142.78</v>
          </cell>
          <cell r="D530">
            <v>0.73</v>
          </cell>
          <cell r="E530">
            <v>535.44000000000005</v>
          </cell>
          <cell r="F530">
            <v>137.18</v>
          </cell>
          <cell r="G530">
            <v>43.29</v>
          </cell>
          <cell r="I530">
            <v>84.33</v>
          </cell>
          <cell r="J530">
            <v>91952</v>
          </cell>
          <cell r="K530" t="str">
            <v>AF</v>
          </cell>
        </row>
        <row r="531">
          <cell r="A531" t="str">
            <v>993392-SLR</v>
          </cell>
          <cell r="B531">
            <v>11100</v>
          </cell>
          <cell r="C531">
            <v>216.48</v>
          </cell>
          <cell r="D531">
            <v>2.39</v>
          </cell>
          <cell r="E531">
            <v>530.16</v>
          </cell>
          <cell r="F531">
            <v>158.84</v>
          </cell>
          <cell r="G531">
            <v>238.17</v>
          </cell>
          <cell r="I531">
            <v>971.96</v>
          </cell>
          <cell r="J531">
            <v>92346</v>
          </cell>
          <cell r="K531" t="str">
            <v>AF</v>
          </cell>
        </row>
        <row r="532">
          <cell r="A532" t="str">
            <v>993407-SLR</v>
          </cell>
          <cell r="B532">
            <v>11196</v>
          </cell>
          <cell r="C532">
            <v>245.96</v>
          </cell>
          <cell r="D532">
            <v>9.24</v>
          </cell>
          <cell r="E532">
            <v>530.85</v>
          </cell>
          <cell r="F532">
            <v>236.3</v>
          </cell>
          <cell r="G532">
            <v>880.34</v>
          </cell>
          <cell r="I532">
            <v>4378.17</v>
          </cell>
          <cell r="J532">
            <v>91330</v>
          </cell>
          <cell r="K532" t="str">
            <v>AF</v>
          </cell>
        </row>
        <row r="533">
          <cell r="A533" t="str">
            <v>993551-SLR</v>
          </cell>
          <cell r="B533">
            <v>11575</v>
          </cell>
          <cell r="C533">
            <v>143.86000000000001</v>
          </cell>
          <cell r="D533">
            <v>45.87</v>
          </cell>
          <cell r="E533">
            <v>477</v>
          </cell>
          <cell r="F533">
            <v>773.08</v>
          </cell>
          <cell r="G533">
            <v>4366.05</v>
          </cell>
          <cell r="I533">
            <v>22789.49</v>
          </cell>
          <cell r="J533">
            <v>91672</v>
          </cell>
          <cell r="K533" t="str">
            <v>AF</v>
          </cell>
        </row>
        <row r="534">
          <cell r="A534" t="str">
            <v>993667-SLR</v>
          </cell>
          <cell r="B534">
            <v>11664</v>
          </cell>
          <cell r="C534">
            <v>218.05</v>
          </cell>
          <cell r="D534">
            <v>44.7</v>
          </cell>
          <cell r="E534">
            <v>477</v>
          </cell>
          <cell r="F534">
            <v>764.92</v>
          </cell>
          <cell r="G534">
            <v>4429.1099999999997</v>
          </cell>
          <cell r="I534">
            <v>22353.96</v>
          </cell>
          <cell r="J534">
            <v>92084</v>
          </cell>
          <cell r="K534" t="str">
            <v>AF</v>
          </cell>
        </row>
        <row r="535">
          <cell r="A535" t="str">
            <v>993781-SLR</v>
          </cell>
          <cell r="B535">
            <v>11541</v>
          </cell>
          <cell r="C535">
            <v>1156.57</v>
          </cell>
          <cell r="D535">
            <v>82.94</v>
          </cell>
          <cell r="E535">
            <v>477</v>
          </cell>
          <cell r="F535">
            <v>240.93</v>
          </cell>
          <cell r="G535">
            <v>1016.22</v>
          </cell>
          <cell r="I535">
            <v>3672.93</v>
          </cell>
          <cell r="J535">
            <v>91062</v>
          </cell>
          <cell r="K535" t="str">
            <v>AF</v>
          </cell>
        </row>
        <row r="537">
          <cell r="H537">
            <v>0</v>
          </cell>
        </row>
        <row r="538">
          <cell r="A538" t="str">
            <v>TOTAIS</v>
          </cell>
          <cell r="C538">
            <v>146.35</v>
          </cell>
          <cell r="D538">
            <v>0.96</v>
          </cell>
          <cell r="E538">
            <v>535.44000000000005</v>
          </cell>
          <cell r="F538">
            <v>138.79</v>
          </cell>
          <cell r="G538">
            <v>62.89</v>
          </cell>
          <cell r="H538">
            <v>0</v>
          </cell>
          <cell r="I538">
            <v>152.15</v>
          </cell>
          <cell r="L538">
            <v>0</v>
          </cell>
          <cell r="N538">
            <v>0</v>
          </cell>
        </row>
        <row r="541">
          <cell r="A541" t="str">
            <v>MATERIAL DE CONSUMO - LOCAL 91</v>
          </cell>
        </row>
        <row r="542">
          <cell r="A542" t="str">
            <v>PROC</v>
          </cell>
          <cell r="B542" t="str">
            <v>NF</v>
          </cell>
          <cell r="C542" t="str">
            <v>FRETE</v>
          </cell>
          <cell r="D542" t="str">
            <v>SEG</v>
          </cell>
          <cell r="E542" t="str">
            <v>COM</v>
          </cell>
          <cell r="F542" t="str">
            <v>ALF</v>
          </cell>
          <cell r="G542" t="str">
            <v>IMP</v>
          </cell>
          <cell r="H542" t="str">
            <v>TOTAL</v>
          </cell>
          <cell r="I542" t="str">
            <v>FOB</v>
          </cell>
          <cell r="J542" t="str">
            <v>FORN</v>
          </cell>
          <cell r="K542" t="str">
            <v>TIPO</v>
          </cell>
          <cell r="L542" t="str">
            <v>DESP</v>
          </cell>
          <cell r="M542" t="str">
            <v>CC</v>
          </cell>
          <cell r="N542" t="str">
            <v>IPI</v>
          </cell>
          <cell r="O542" t="str">
            <v>ICMS</v>
          </cell>
        </row>
        <row r="543">
          <cell r="A543" t="str">
            <v>992815-SLR</v>
          </cell>
          <cell r="B543">
            <v>11410</v>
          </cell>
          <cell r="C543">
            <v>0</v>
          </cell>
          <cell r="D543">
            <v>0</v>
          </cell>
          <cell r="E543">
            <v>0</v>
          </cell>
          <cell r="F543">
            <v>16.75</v>
          </cell>
          <cell r="G543">
            <v>100.41</v>
          </cell>
          <cell r="I543">
            <v>167.35</v>
          </cell>
          <cell r="J543">
            <v>91976</v>
          </cell>
          <cell r="K543" t="str">
            <v>MC</v>
          </cell>
        </row>
        <row r="544">
          <cell r="A544" t="str">
            <v>993071-SLR</v>
          </cell>
          <cell r="B544">
            <v>11160</v>
          </cell>
          <cell r="C544">
            <v>203.49</v>
          </cell>
          <cell r="D544">
            <v>5.86</v>
          </cell>
          <cell r="E544">
            <v>530.85</v>
          </cell>
          <cell r="F544">
            <v>198.04</v>
          </cell>
          <cell r="G544">
            <v>502.18</v>
          </cell>
          <cell r="I544">
            <v>2723.61</v>
          </cell>
          <cell r="J544">
            <v>91330</v>
          </cell>
          <cell r="K544" t="str">
            <v>MC</v>
          </cell>
        </row>
        <row r="545">
          <cell r="A545" t="str">
            <v>993181-SLR</v>
          </cell>
          <cell r="B545">
            <v>11093</v>
          </cell>
          <cell r="C545">
            <v>175.34</v>
          </cell>
          <cell r="D545">
            <v>208.65</v>
          </cell>
          <cell r="E545">
            <v>530.16</v>
          </cell>
          <cell r="F545">
            <v>324.79000000000002</v>
          </cell>
          <cell r="G545">
            <v>6339.58</v>
          </cell>
          <cell r="I545">
            <v>32982.21</v>
          </cell>
          <cell r="J545">
            <v>91953</v>
          </cell>
          <cell r="K545" t="str">
            <v>MC</v>
          </cell>
        </row>
        <row r="546">
          <cell r="A546" t="str">
            <v>993246-SLR</v>
          </cell>
          <cell r="B546">
            <v>11265</v>
          </cell>
          <cell r="C546">
            <v>436.01</v>
          </cell>
          <cell r="D546">
            <v>3.54</v>
          </cell>
          <cell r="E546">
            <v>531.17999999999995</v>
          </cell>
          <cell r="F546">
            <v>172.02</v>
          </cell>
          <cell r="G546">
            <v>337.51</v>
          </cell>
          <cell r="I546">
            <v>1336.8</v>
          </cell>
          <cell r="J546">
            <v>91915</v>
          </cell>
          <cell r="K546" t="str">
            <v>MC</v>
          </cell>
        </row>
        <row r="547">
          <cell r="A547" t="str">
            <v>993396-SLR</v>
          </cell>
          <cell r="B547">
            <v>11143</v>
          </cell>
          <cell r="C547">
            <v>56.55</v>
          </cell>
          <cell r="D547">
            <v>2.76</v>
          </cell>
          <cell r="E547">
            <v>530.16</v>
          </cell>
          <cell r="F547">
            <v>163.19999999999999</v>
          </cell>
          <cell r="G547">
            <v>249.25</v>
          </cell>
          <cell r="I547">
            <v>1325.4</v>
          </cell>
          <cell r="J547">
            <v>96009</v>
          </cell>
          <cell r="K547" t="str">
            <v>MC</v>
          </cell>
        </row>
        <row r="548">
          <cell r="A548" t="str">
            <v>993424-SLR</v>
          </cell>
          <cell r="B548">
            <v>11502</v>
          </cell>
          <cell r="C548">
            <v>290.18</v>
          </cell>
          <cell r="D548">
            <v>1.05</v>
          </cell>
          <cell r="E548">
            <v>477</v>
          </cell>
          <cell r="F548">
            <v>150.44</v>
          </cell>
          <cell r="G548">
            <v>171.66</v>
          </cell>
          <cell r="I548">
            <v>525.61</v>
          </cell>
          <cell r="J548">
            <v>92196</v>
          </cell>
          <cell r="K548" t="str">
            <v>MC</v>
          </cell>
        </row>
        <row r="549">
          <cell r="A549" t="str">
            <v>993436-SLR</v>
          </cell>
          <cell r="B549">
            <v>11092</v>
          </cell>
          <cell r="C549">
            <v>0</v>
          </cell>
          <cell r="D549">
            <v>0</v>
          </cell>
          <cell r="E549">
            <v>17.850000000000001</v>
          </cell>
          <cell r="F549">
            <v>0</v>
          </cell>
          <cell r="G549">
            <v>424.51</v>
          </cell>
          <cell r="I549">
            <v>707.52</v>
          </cell>
          <cell r="J549">
            <v>91976</v>
          </cell>
          <cell r="K549" t="str">
            <v>MC</v>
          </cell>
        </row>
        <row r="550">
          <cell r="A550" t="str">
            <v>993437-SLR</v>
          </cell>
          <cell r="B550">
            <v>11156</v>
          </cell>
          <cell r="C550">
            <v>0</v>
          </cell>
          <cell r="D550">
            <v>0</v>
          </cell>
          <cell r="E550">
            <v>0</v>
          </cell>
          <cell r="F550">
            <v>0</v>
          </cell>
          <cell r="G550">
            <v>286.31</v>
          </cell>
          <cell r="I550">
            <v>477.18</v>
          </cell>
          <cell r="J550">
            <v>91976</v>
          </cell>
          <cell r="K550" t="str">
            <v>MC</v>
          </cell>
        </row>
        <row r="551">
          <cell r="A551" t="str">
            <v>993470-SLR</v>
          </cell>
          <cell r="B551">
            <v>11648</v>
          </cell>
          <cell r="C551">
            <v>178.24</v>
          </cell>
          <cell r="D551">
            <v>2.52</v>
          </cell>
          <cell r="E551">
            <v>477</v>
          </cell>
          <cell r="F551">
            <v>160.51</v>
          </cell>
          <cell r="G551">
            <v>265.61</v>
          </cell>
          <cell r="I551">
            <v>1084.06</v>
          </cell>
          <cell r="J551">
            <v>91915</v>
          </cell>
          <cell r="K551" t="str">
            <v>MC</v>
          </cell>
        </row>
        <row r="552">
          <cell r="A552" t="str">
            <v>993503-SLR</v>
          </cell>
          <cell r="B552">
            <v>11091</v>
          </cell>
          <cell r="C552">
            <v>0</v>
          </cell>
          <cell r="D552">
            <v>0</v>
          </cell>
          <cell r="E552">
            <v>0</v>
          </cell>
          <cell r="F552">
            <v>0</v>
          </cell>
          <cell r="G552">
            <v>428.35</v>
          </cell>
          <cell r="I552">
            <v>713.92</v>
          </cell>
          <cell r="J552">
            <v>90002</v>
          </cell>
          <cell r="K552" t="str">
            <v>MC</v>
          </cell>
        </row>
        <row r="553">
          <cell r="A553" t="str">
            <v>993623-SLR</v>
          </cell>
          <cell r="B553">
            <v>11412</v>
          </cell>
          <cell r="C553">
            <v>0</v>
          </cell>
          <cell r="D553">
            <v>0</v>
          </cell>
          <cell r="E553">
            <v>0</v>
          </cell>
          <cell r="F553">
            <v>0</v>
          </cell>
          <cell r="G553">
            <v>0</v>
          </cell>
          <cell r="I553">
            <v>8.19</v>
          </cell>
          <cell r="J553">
            <v>91532</v>
          </cell>
          <cell r="K553" t="str">
            <v>MC</v>
          </cell>
        </row>
        <row r="554">
          <cell r="A554" t="str">
            <v>993643-SLR</v>
          </cell>
          <cell r="B554">
            <v>11689</v>
          </cell>
          <cell r="C554">
            <v>129.91</v>
          </cell>
          <cell r="D554">
            <v>1.98</v>
          </cell>
          <cell r="E554">
            <v>477</v>
          </cell>
          <cell r="F554">
            <v>154.69999999999999</v>
          </cell>
          <cell r="G554">
            <v>139.51</v>
          </cell>
          <cell r="I554">
            <v>864.64</v>
          </cell>
          <cell r="J554">
            <v>93158</v>
          </cell>
          <cell r="K554" t="str">
            <v>MC</v>
          </cell>
        </row>
        <row r="555">
          <cell r="A555" t="str">
            <v>993651-SLR</v>
          </cell>
          <cell r="B555">
            <v>11388</v>
          </cell>
          <cell r="C555">
            <v>0</v>
          </cell>
          <cell r="D555">
            <v>0</v>
          </cell>
          <cell r="E555">
            <v>0</v>
          </cell>
          <cell r="F555">
            <v>17.68</v>
          </cell>
          <cell r="G555">
            <v>424.94</v>
          </cell>
          <cell r="I555">
            <v>708.24</v>
          </cell>
          <cell r="J555">
            <v>91976</v>
          </cell>
          <cell r="K555" t="str">
            <v>MC</v>
          </cell>
        </row>
        <row r="556">
          <cell r="A556" t="str">
            <v>993726-SLR</v>
          </cell>
          <cell r="B556">
            <v>11639</v>
          </cell>
          <cell r="C556">
            <v>224.78</v>
          </cell>
          <cell r="D556">
            <v>26.6</v>
          </cell>
          <cell r="E556">
            <v>477</v>
          </cell>
          <cell r="F556">
            <v>555.76</v>
          </cell>
          <cell r="G556">
            <v>2626.4</v>
          </cell>
          <cell r="I556">
            <v>13069.71</v>
          </cell>
          <cell r="J556">
            <v>91330</v>
          </cell>
          <cell r="K556" t="str">
            <v>MC</v>
          </cell>
        </row>
        <row r="557">
          <cell r="A557" t="str">
            <v>993759-SLR</v>
          </cell>
          <cell r="B557">
            <v>11467</v>
          </cell>
          <cell r="C557">
            <v>0</v>
          </cell>
          <cell r="D557">
            <v>0</v>
          </cell>
          <cell r="E557">
            <v>0</v>
          </cell>
          <cell r="F557">
            <v>0</v>
          </cell>
          <cell r="G557">
            <v>426.1</v>
          </cell>
          <cell r="I557">
            <v>710.16</v>
          </cell>
          <cell r="J557">
            <v>90002</v>
          </cell>
          <cell r="K557" t="str">
            <v>MC</v>
          </cell>
        </row>
        <row r="558">
          <cell r="A558" t="str">
            <v>993763-SLR</v>
          </cell>
          <cell r="B558">
            <v>11560</v>
          </cell>
          <cell r="C558">
            <v>233.15</v>
          </cell>
          <cell r="D558">
            <v>0</v>
          </cell>
          <cell r="E558">
            <v>0</v>
          </cell>
          <cell r="F558">
            <v>17.809999999999999</v>
          </cell>
          <cell r="G558">
            <v>246.41</v>
          </cell>
          <cell r="I558">
            <v>177.54</v>
          </cell>
          <cell r="J558">
            <v>91976</v>
          </cell>
          <cell r="K558" t="str">
            <v>MC</v>
          </cell>
        </row>
        <row r="559">
          <cell r="A559" t="str">
            <v>993771-SLR</v>
          </cell>
          <cell r="B559">
            <v>11542</v>
          </cell>
          <cell r="C559">
            <v>388.47</v>
          </cell>
          <cell r="D559">
            <v>4.8099999999999996</v>
          </cell>
          <cell r="E559">
            <v>477</v>
          </cell>
          <cell r="F559">
            <v>186.14</v>
          </cell>
          <cell r="G559">
            <v>480.84</v>
          </cell>
          <cell r="I559">
            <v>2010.91</v>
          </cell>
          <cell r="J559">
            <v>92346</v>
          </cell>
          <cell r="K559" t="str">
            <v>MC</v>
          </cell>
        </row>
        <row r="560">
          <cell r="A560" t="str">
            <v>993800-SLR</v>
          </cell>
          <cell r="B560">
            <v>11521</v>
          </cell>
          <cell r="C560">
            <v>71.66</v>
          </cell>
          <cell r="D560">
            <v>2.36</v>
          </cell>
          <cell r="E560">
            <v>477</v>
          </cell>
          <cell r="F560">
            <v>158.66999999999999</v>
          </cell>
          <cell r="G560">
            <v>224.2</v>
          </cell>
          <cell r="I560">
            <v>1109.1300000000001</v>
          </cell>
          <cell r="J560">
            <v>96016</v>
          </cell>
          <cell r="K560" t="str">
            <v>MC</v>
          </cell>
        </row>
        <row r="561">
          <cell r="A561" t="str">
            <v>993803-SLR</v>
          </cell>
          <cell r="B561">
            <v>11698</v>
          </cell>
          <cell r="C561">
            <v>0</v>
          </cell>
          <cell r="D561">
            <v>0</v>
          </cell>
          <cell r="E561">
            <v>18.23</v>
          </cell>
          <cell r="F561">
            <v>0</v>
          </cell>
          <cell r="G561">
            <v>433.06</v>
          </cell>
          <cell r="I561">
            <v>721.76</v>
          </cell>
          <cell r="J561">
            <v>90002</v>
          </cell>
          <cell r="K561" t="str">
            <v>MC</v>
          </cell>
        </row>
        <row r="562">
          <cell r="A562" t="str">
            <v>993819-SLR</v>
          </cell>
          <cell r="B562">
            <v>11676</v>
          </cell>
          <cell r="C562">
            <v>92.06</v>
          </cell>
          <cell r="D562">
            <v>0</v>
          </cell>
          <cell r="E562">
            <v>0</v>
          </cell>
          <cell r="F562">
            <v>18.55</v>
          </cell>
          <cell r="G562">
            <v>550.29999999999995</v>
          </cell>
          <cell r="I562">
            <v>825.1</v>
          </cell>
          <cell r="J562">
            <v>91330</v>
          </cell>
          <cell r="K562" t="str">
            <v>MC</v>
          </cell>
        </row>
        <row r="565">
          <cell r="H565">
            <v>0</v>
          </cell>
        </row>
        <row r="566">
          <cell r="A566" t="str">
            <v>TOTAIS</v>
          </cell>
          <cell r="C566">
            <v>2479.8399999999997</v>
          </cell>
          <cell r="D566">
            <v>260.13</v>
          </cell>
          <cell r="E566">
            <v>5020.4299999999994</v>
          </cell>
          <cell r="F566">
            <v>2295.0600000000004</v>
          </cell>
          <cell r="G566">
            <v>14657.130000000001</v>
          </cell>
          <cell r="H566">
            <v>0</v>
          </cell>
          <cell r="I566">
            <v>62249.04</v>
          </cell>
        </row>
        <row r="569">
          <cell r="H569">
            <v>0</v>
          </cell>
          <cell r="I569">
            <v>0</v>
          </cell>
        </row>
        <row r="570">
          <cell r="G570" t="str">
            <v>PROC</v>
          </cell>
          <cell r="H570" t="str">
            <v>FOB</v>
          </cell>
          <cell r="I570" t="str">
            <v>DESP</v>
          </cell>
        </row>
        <row r="571">
          <cell r="G571" t="str">
            <v/>
          </cell>
        </row>
      </sheetData>
      <sheetData sheetId="7"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1063574.6900000009</v>
          </cell>
          <cell r="R3">
            <v>136358.57</v>
          </cell>
          <cell r="S3">
            <v>331577.16000000003</v>
          </cell>
          <cell r="T3">
            <v>455449.93</v>
          </cell>
          <cell r="U3">
            <v>2112998.8699999992</v>
          </cell>
          <cell r="V3">
            <v>13963594.979999982</v>
          </cell>
          <cell r="Y3">
            <v>8937.52</v>
          </cell>
          <cell r="Z3">
            <v>595.75999999999988</v>
          </cell>
          <cell r="AA3">
            <v>3355.77</v>
          </cell>
          <cell r="AB3">
            <v>5101.3100000000004</v>
          </cell>
          <cell r="AC3">
            <v>33875</v>
          </cell>
          <cell r="AD3">
            <v>255791.63</v>
          </cell>
        </row>
        <row r="4">
          <cell r="A4" t="str">
            <v>992818-SLR</v>
          </cell>
          <cell r="B4">
            <v>12546</v>
          </cell>
          <cell r="C4">
            <v>0</v>
          </cell>
          <cell r="D4">
            <v>0</v>
          </cell>
          <cell r="E4">
            <v>16.5</v>
          </cell>
          <cell r="F4">
            <v>0</v>
          </cell>
          <cell r="G4">
            <v>247.77</v>
          </cell>
          <cell r="H4">
            <v>264.27</v>
          </cell>
          <cell r="I4">
            <v>412.95</v>
          </cell>
          <cell r="J4">
            <v>90392</v>
          </cell>
          <cell r="K4" t="str">
            <v>MP</v>
          </cell>
        </row>
        <row r="5">
          <cell r="A5" t="str">
            <v>993289-SLR</v>
          </cell>
          <cell r="B5">
            <v>0</v>
          </cell>
          <cell r="C5">
            <v>7257.66</v>
          </cell>
          <cell r="D5">
            <v>386.71</v>
          </cell>
          <cell r="E5">
            <v>477</v>
          </cell>
          <cell r="F5">
            <v>879.52</v>
          </cell>
          <cell r="G5">
            <v>5264.91</v>
          </cell>
          <cell r="H5">
            <v>14265.8</v>
          </cell>
          <cell r="I5">
            <v>150974.96</v>
          </cell>
          <cell r="J5">
            <v>92358</v>
          </cell>
          <cell r="K5" t="str">
            <v>MP</v>
          </cell>
        </row>
        <row r="6">
          <cell r="A6" t="str">
            <v>993429-SLR</v>
          </cell>
          <cell r="B6">
            <v>12056</v>
          </cell>
          <cell r="C6">
            <v>419.05</v>
          </cell>
          <cell r="D6">
            <v>28.2</v>
          </cell>
          <cell r="E6">
            <v>477</v>
          </cell>
          <cell r="F6">
            <v>574.02</v>
          </cell>
          <cell r="G6">
            <v>423.96</v>
          </cell>
          <cell r="H6">
            <v>1922.23</v>
          </cell>
          <cell r="I6">
            <v>13684.82</v>
          </cell>
          <cell r="J6">
            <v>92271</v>
          </cell>
          <cell r="K6" t="str">
            <v>MP</v>
          </cell>
        </row>
        <row r="7">
          <cell r="A7" t="str">
            <v>993461-SLR</v>
          </cell>
          <cell r="B7">
            <v>12313</v>
          </cell>
          <cell r="C7">
            <v>8003.57</v>
          </cell>
          <cell r="D7">
            <v>406.81</v>
          </cell>
          <cell r="E7">
            <v>477</v>
          </cell>
          <cell r="F7">
            <v>908.65</v>
          </cell>
          <cell r="G7">
            <v>5510.82</v>
          </cell>
          <cell r="H7">
            <v>15306.849999999999</v>
          </cell>
          <cell r="I7">
            <v>20942.18</v>
          </cell>
          <cell r="J7">
            <v>92418</v>
          </cell>
          <cell r="K7" t="str">
            <v>MP</v>
          </cell>
        </row>
        <row r="8">
          <cell r="A8" t="str">
            <v>993497-SLR</v>
          </cell>
          <cell r="B8">
            <v>0</v>
          </cell>
          <cell r="C8">
            <v>4996.58</v>
          </cell>
          <cell r="D8">
            <v>174.35</v>
          </cell>
          <cell r="E8">
            <v>477</v>
          </cell>
          <cell r="F8">
            <v>2333.79</v>
          </cell>
          <cell r="G8">
            <v>11081.26</v>
          </cell>
          <cell r="H8">
            <v>19062.98</v>
          </cell>
          <cell r="I8">
            <v>87172.9</v>
          </cell>
          <cell r="J8">
            <v>93249</v>
          </cell>
          <cell r="K8" t="str">
            <v>MP</v>
          </cell>
        </row>
        <row r="9">
          <cell r="A9" t="str">
            <v>993547-SLR</v>
          </cell>
          <cell r="B9">
            <v>11751</v>
          </cell>
          <cell r="C9">
            <v>206.78</v>
          </cell>
          <cell r="D9">
            <v>49.55</v>
          </cell>
          <cell r="E9">
            <v>477</v>
          </cell>
          <cell r="F9">
            <v>562.58000000000004</v>
          </cell>
          <cell r="G9">
            <v>2588.48</v>
          </cell>
          <cell r="H9">
            <v>3884.39</v>
          </cell>
          <cell r="I9">
            <v>13389.6</v>
          </cell>
          <cell r="J9">
            <v>90686</v>
          </cell>
          <cell r="K9" t="str">
            <v>MP</v>
          </cell>
        </row>
        <row r="10">
          <cell r="A10" t="str">
            <v>993606-SLR</v>
          </cell>
          <cell r="B10">
            <v>12147</v>
          </cell>
          <cell r="C10">
            <v>290.41000000000003</v>
          </cell>
          <cell r="D10">
            <v>2.12</v>
          </cell>
          <cell r="E10">
            <v>477</v>
          </cell>
          <cell r="F10">
            <v>155.82</v>
          </cell>
          <cell r="G10">
            <v>200.76</v>
          </cell>
          <cell r="H10">
            <v>1126.1099999999999</v>
          </cell>
          <cell r="I10">
            <v>764.11</v>
          </cell>
          <cell r="J10">
            <v>93057</v>
          </cell>
          <cell r="K10" t="str">
            <v>MP</v>
          </cell>
        </row>
        <row r="11">
          <cell r="A11" t="str">
            <v>993610-SLR</v>
          </cell>
          <cell r="B11">
            <v>12215</v>
          </cell>
          <cell r="C11">
            <v>3070.82</v>
          </cell>
          <cell r="D11">
            <v>31.85</v>
          </cell>
          <cell r="E11">
            <v>477</v>
          </cell>
          <cell r="F11">
            <v>615.02</v>
          </cell>
          <cell r="G11">
            <v>2074.06</v>
          </cell>
          <cell r="H11">
            <v>6268.75</v>
          </cell>
          <cell r="I11">
            <v>12851.66</v>
          </cell>
          <cell r="J11">
            <v>93336</v>
          </cell>
          <cell r="K11" t="str">
            <v>MP</v>
          </cell>
        </row>
        <row r="12">
          <cell r="A12" t="str">
            <v>993657-SLR</v>
          </cell>
          <cell r="B12">
            <v>12021</v>
          </cell>
          <cell r="C12">
            <v>96.78</v>
          </cell>
          <cell r="D12">
            <v>3.49</v>
          </cell>
          <cell r="E12">
            <v>477</v>
          </cell>
          <cell r="F12">
            <v>171.53</v>
          </cell>
          <cell r="G12">
            <v>333.41</v>
          </cell>
          <cell r="H12">
            <v>1082.21</v>
          </cell>
          <cell r="I12">
            <v>1654.53</v>
          </cell>
          <cell r="J12">
            <v>93265</v>
          </cell>
          <cell r="K12" t="str">
            <v>MP</v>
          </cell>
        </row>
        <row r="13">
          <cell r="A13" t="str">
            <v>993676-SLR</v>
          </cell>
          <cell r="B13">
            <v>11734</v>
          </cell>
          <cell r="C13">
            <v>1561.9</v>
          </cell>
          <cell r="D13">
            <v>179.15</v>
          </cell>
          <cell r="E13">
            <v>477</v>
          </cell>
          <cell r="F13">
            <v>2310.66</v>
          </cell>
          <cell r="G13">
            <v>17350.05</v>
          </cell>
          <cell r="H13">
            <v>21878.76</v>
          </cell>
          <cell r="I13">
            <v>89575</v>
          </cell>
          <cell r="J13">
            <v>92142</v>
          </cell>
          <cell r="K13" t="str">
            <v>MP</v>
          </cell>
        </row>
        <row r="14">
          <cell r="A14" t="str">
            <v>993686-SLR</v>
          </cell>
          <cell r="B14">
            <v>12057</v>
          </cell>
          <cell r="C14">
            <v>4571.1899999999996</v>
          </cell>
          <cell r="D14">
            <v>26.41</v>
          </cell>
          <cell r="E14">
            <v>477</v>
          </cell>
          <cell r="F14">
            <v>656.62</v>
          </cell>
          <cell r="G14">
            <v>3026.54</v>
          </cell>
          <cell r="H14">
            <v>8757.7599999999984</v>
          </cell>
          <cell r="I14">
            <v>13205.57</v>
          </cell>
          <cell r="J14">
            <v>92371</v>
          </cell>
          <cell r="K14" t="str">
            <v>MP</v>
          </cell>
        </row>
        <row r="15">
          <cell r="A15" t="str">
            <v>993691-SLR</v>
          </cell>
          <cell r="B15">
            <v>12098</v>
          </cell>
          <cell r="C15">
            <v>7376.54</v>
          </cell>
          <cell r="D15">
            <v>59.5</v>
          </cell>
          <cell r="E15">
            <v>477</v>
          </cell>
          <cell r="F15">
            <v>926.81</v>
          </cell>
          <cell r="G15">
            <v>5664.19</v>
          </cell>
          <cell r="H15">
            <v>14504.04</v>
          </cell>
          <cell r="I15">
            <v>22375.48</v>
          </cell>
          <cell r="J15">
            <v>93016</v>
          </cell>
          <cell r="K15" t="str">
            <v>MP</v>
          </cell>
        </row>
        <row r="16">
          <cell r="A16" t="str">
            <v>993697-SLR</v>
          </cell>
          <cell r="B16">
            <v>11864</v>
          </cell>
          <cell r="C16">
            <v>812.05</v>
          </cell>
          <cell r="D16">
            <v>13.8</v>
          </cell>
          <cell r="E16">
            <v>477</v>
          </cell>
          <cell r="F16">
            <v>252.83</v>
          </cell>
          <cell r="G16">
            <v>903.1</v>
          </cell>
          <cell r="H16">
            <v>2458.7799999999997</v>
          </cell>
          <cell r="I16">
            <v>6121.06</v>
          </cell>
          <cell r="J16">
            <v>92107</v>
          </cell>
          <cell r="K16" t="str">
            <v>MP</v>
          </cell>
        </row>
        <row r="17">
          <cell r="A17" t="str">
            <v>993710-SLR</v>
          </cell>
          <cell r="B17">
            <v>11833</v>
          </cell>
          <cell r="C17">
            <v>1569.41</v>
          </cell>
          <cell r="D17">
            <v>343.68</v>
          </cell>
          <cell r="E17">
            <v>477</v>
          </cell>
          <cell r="F17">
            <v>715.2</v>
          </cell>
          <cell r="G17">
            <v>3310.98</v>
          </cell>
          <cell r="H17">
            <v>6416.27</v>
          </cell>
          <cell r="I17">
            <v>18796.64</v>
          </cell>
          <cell r="J17">
            <v>93021</v>
          </cell>
          <cell r="K17" t="str">
            <v>MP</v>
          </cell>
        </row>
        <row r="18">
          <cell r="A18" t="str">
            <v>993719-SLR</v>
          </cell>
          <cell r="B18">
            <v>12058</v>
          </cell>
          <cell r="C18">
            <v>884.33</v>
          </cell>
          <cell r="D18">
            <v>9.1</v>
          </cell>
          <cell r="E18">
            <v>477</v>
          </cell>
          <cell r="F18">
            <v>235.4</v>
          </cell>
          <cell r="G18">
            <v>872.7</v>
          </cell>
          <cell r="H18">
            <v>2478.5300000000002</v>
          </cell>
          <cell r="I18">
            <v>3699.71</v>
          </cell>
          <cell r="J18">
            <v>93053</v>
          </cell>
          <cell r="K18" t="str">
            <v>MP</v>
          </cell>
        </row>
        <row r="19">
          <cell r="A19" t="str">
            <v>993746-SLR</v>
          </cell>
          <cell r="B19">
            <v>12096</v>
          </cell>
          <cell r="C19">
            <v>638.58000000000004</v>
          </cell>
          <cell r="D19">
            <v>12.3</v>
          </cell>
          <cell r="E19">
            <v>477</v>
          </cell>
          <cell r="F19">
            <v>281.25</v>
          </cell>
          <cell r="G19">
            <v>1293.98</v>
          </cell>
          <cell r="H19">
            <v>2703.11</v>
          </cell>
          <cell r="I19">
            <v>5510.91</v>
          </cell>
          <cell r="J19">
            <v>91375</v>
          </cell>
          <cell r="K19" t="str">
            <v>MP</v>
          </cell>
        </row>
        <row r="20">
          <cell r="A20" t="str">
            <v>993747-SLR</v>
          </cell>
          <cell r="B20">
            <v>11967</v>
          </cell>
          <cell r="C20">
            <v>159.28</v>
          </cell>
          <cell r="D20">
            <v>34.11</v>
          </cell>
          <cell r="E20">
            <v>477</v>
          </cell>
          <cell r="F20">
            <v>426.04</v>
          </cell>
          <cell r="G20">
            <v>1318.2</v>
          </cell>
          <cell r="H20">
            <v>2414.63</v>
          </cell>
          <cell r="I20">
            <v>9237.6200000000008</v>
          </cell>
          <cell r="J20">
            <v>93081</v>
          </cell>
          <cell r="K20" t="str">
            <v>MP</v>
          </cell>
        </row>
        <row r="21">
          <cell r="A21" t="str">
            <v>993786-SLR</v>
          </cell>
          <cell r="B21">
            <v>11835</v>
          </cell>
          <cell r="C21">
            <v>161.36000000000001</v>
          </cell>
          <cell r="D21">
            <v>1.76</v>
          </cell>
          <cell r="E21">
            <v>477</v>
          </cell>
          <cell r="F21">
            <v>151.86000000000001</v>
          </cell>
          <cell r="G21">
            <v>123.23</v>
          </cell>
          <cell r="H21">
            <v>915.21</v>
          </cell>
          <cell r="I21">
            <v>717.16</v>
          </cell>
          <cell r="J21">
            <v>90097</v>
          </cell>
          <cell r="K21" t="str">
            <v>MP</v>
          </cell>
        </row>
        <row r="22">
          <cell r="A22" t="str">
            <v>993794-SLR</v>
          </cell>
          <cell r="B22">
            <v>11836</v>
          </cell>
          <cell r="C22">
            <v>3829.09</v>
          </cell>
          <cell r="D22">
            <v>15.55</v>
          </cell>
          <cell r="E22">
            <v>477</v>
          </cell>
          <cell r="F22">
            <v>353.74</v>
          </cell>
          <cell r="G22">
            <v>1012.8</v>
          </cell>
          <cell r="H22">
            <v>5688.18</v>
          </cell>
          <cell r="I22">
            <v>3946.15</v>
          </cell>
          <cell r="J22">
            <v>92046</v>
          </cell>
          <cell r="K22" t="str">
            <v>MP</v>
          </cell>
        </row>
        <row r="23">
          <cell r="A23" t="str">
            <v>993797-SLR</v>
          </cell>
          <cell r="B23">
            <v>12324</v>
          </cell>
          <cell r="C23">
            <v>417.19</v>
          </cell>
          <cell r="D23">
            <v>30314.81</v>
          </cell>
          <cell r="E23">
            <v>477</v>
          </cell>
          <cell r="F23">
            <v>3209.22</v>
          </cell>
          <cell r="G23">
            <v>23625.35</v>
          </cell>
          <cell r="H23">
            <v>58043.57</v>
          </cell>
          <cell r="I23">
            <v>130572.75</v>
          </cell>
          <cell r="J23">
            <v>90614</v>
          </cell>
          <cell r="K23" t="str">
            <v>MP</v>
          </cell>
        </row>
        <row r="24">
          <cell r="A24" t="str">
            <v>993801-SLR</v>
          </cell>
          <cell r="B24">
            <v>12655</v>
          </cell>
          <cell r="C24">
            <v>37.409999999999997</v>
          </cell>
          <cell r="D24">
            <v>2.21</v>
          </cell>
          <cell r="E24">
            <v>477</v>
          </cell>
          <cell r="F24">
            <v>156.93</v>
          </cell>
          <cell r="G24">
            <v>210.11</v>
          </cell>
          <cell r="H24">
            <v>883.66</v>
          </cell>
          <cell r="I24">
            <v>1066.24</v>
          </cell>
          <cell r="J24">
            <v>90459</v>
          </cell>
          <cell r="K24" t="str">
            <v>MP</v>
          </cell>
        </row>
        <row r="25">
          <cell r="A25" t="str">
            <v>993805-SLR</v>
          </cell>
          <cell r="B25">
            <v>11804</v>
          </cell>
          <cell r="C25">
            <v>4112.04</v>
          </cell>
          <cell r="D25">
            <v>42.7</v>
          </cell>
          <cell r="E25">
            <v>477</v>
          </cell>
          <cell r="F25">
            <v>750.43</v>
          </cell>
          <cell r="G25">
            <v>3955.06</v>
          </cell>
          <cell r="H25">
            <v>9337.23</v>
          </cell>
          <cell r="I25">
            <v>17817.830000000002</v>
          </cell>
          <cell r="J25">
            <v>92336</v>
          </cell>
          <cell r="K25" t="str">
            <v>MP</v>
          </cell>
        </row>
        <row r="26">
          <cell r="A26" t="str">
            <v>993808-SLR</v>
          </cell>
          <cell r="B26">
            <v>11803</v>
          </cell>
          <cell r="C26">
            <v>2508.52</v>
          </cell>
          <cell r="D26">
            <v>266.95999999999998</v>
          </cell>
          <cell r="E26">
            <v>477</v>
          </cell>
          <cell r="F26">
            <v>680.17</v>
          </cell>
          <cell r="G26">
            <v>3581.45</v>
          </cell>
          <cell r="H26">
            <v>7514.1</v>
          </cell>
          <cell r="I26">
            <v>16303.59</v>
          </cell>
          <cell r="J26">
            <v>91553</v>
          </cell>
          <cell r="K26" t="str">
            <v>MP</v>
          </cell>
        </row>
        <row r="27">
          <cell r="A27" t="str">
            <v>993831-SLR</v>
          </cell>
          <cell r="B27">
            <v>12195</v>
          </cell>
          <cell r="C27">
            <v>173.05</v>
          </cell>
          <cell r="D27">
            <v>4.71</v>
          </cell>
          <cell r="E27">
            <v>477</v>
          </cell>
          <cell r="F27">
            <v>161.29</v>
          </cell>
          <cell r="G27">
            <v>38.979999999999997</v>
          </cell>
          <cell r="H27">
            <v>855.03</v>
          </cell>
          <cell r="I27">
            <v>1123.78</v>
          </cell>
          <cell r="J27">
            <v>90424</v>
          </cell>
          <cell r="K27" t="str">
            <v>MP</v>
          </cell>
        </row>
        <row r="28">
          <cell r="A28" t="str">
            <v>993832-SLR</v>
          </cell>
          <cell r="B28">
            <v>12024</v>
          </cell>
          <cell r="C28">
            <v>173.05</v>
          </cell>
          <cell r="D28">
            <v>0.68</v>
          </cell>
          <cell r="E28">
            <v>477</v>
          </cell>
          <cell r="F28">
            <v>136.25</v>
          </cell>
          <cell r="G28">
            <v>35.47</v>
          </cell>
          <cell r="H28">
            <v>822.45</v>
          </cell>
          <cell r="I28">
            <v>13.23</v>
          </cell>
          <cell r="J28">
            <v>93030</v>
          </cell>
          <cell r="K28" t="str">
            <v>MP</v>
          </cell>
        </row>
        <row r="29">
          <cell r="A29" t="str">
            <v>993834-SLR</v>
          </cell>
          <cell r="B29">
            <v>12761</v>
          </cell>
          <cell r="C29">
            <v>1358.14</v>
          </cell>
          <cell r="D29">
            <v>32.93</v>
          </cell>
          <cell r="E29">
            <v>477</v>
          </cell>
          <cell r="F29">
            <v>259</v>
          </cell>
          <cell r="G29">
            <v>0</v>
          </cell>
          <cell r="H29">
            <v>2127.0700000000002</v>
          </cell>
          <cell r="I29">
            <v>16465.68</v>
          </cell>
          <cell r="J29">
            <v>93073</v>
          </cell>
          <cell r="K29" t="str">
            <v>MP</v>
          </cell>
        </row>
        <row r="30">
          <cell r="A30" t="str">
            <v>993835-SLR</v>
          </cell>
          <cell r="B30">
            <v>12762</v>
          </cell>
          <cell r="C30">
            <v>738.9</v>
          </cell>
          <cell r="D30">
            <v>10.61</v>
          </cell>
          <cell r="E30">
            <v>477</v>
          </cell>
          <cell r="F30">
            <v>139.06</v>
          </cell>
          <cell r="G30">
            <v>0</v>
          </cell>
          <cell r="H30">
            <v>1365.57</v>
          </cell>
          <cell r="I30">
            <v>5308.31</v>
          </cell>
          <cell r="J30">
            <v>93073</v>
          </cell>
          <cell r="K30" t="str">
            <v>MP</v>
          </cell>
        </row>
        <row r="31">
          <cell r="A31" t="str">
            <v>993836-SLR</v>
          </cell>
          <cell r="B31">
            <v>12763</v>
          </cell>
          <cell r="C31">
            <v>738.9</v>
          </cell>
          <cell r="D31">
            <v>13.19</v>
          </cell>
          <cell r="E31">
            <v>477</v>
          </cell>
          <cell r="F31">
            <v>166.59</v>
          </cell>
          <cell r="G31">
            <v>0</v>
          </cell>
          <cell r="H31">
            <v>1395.68</v>
          </cell>
          <cell r="I31">
            <v>6598.25</v>
          </cell>
          <cell r="J31">
            <v>93073</v>
          </cell>
          <cell r="K31" t="str">
            <v>MP</v>
          </cell>
        </row>
        <row r="32">
          <cell r="A32" t="str">
            <v>993837-SLR</v>
          </cell>
          <cell r="B32">
            <v>12764</v>
          </cell>
          <cell r="C32">
            <v>814.63</v>
          </cell>
          <cell r="D32">
            <v>19.670000000000002</v>
          </cell>
          <cell r="E32">
            <v>477</v>
          </cell>
          <cell r="F32">
            <v>244.71</v>
          </cell>
          <cell r="G32">
            <v>0</v>
          </cell>
          <cell r="H32">
            <v>1556.01</v>
          </cell>
          <cell r="I32">
            <v>9832.82</v>
          </cell>
          <cell r="J32">
            <v>93073</v>
          </cell>
          <cell r="K32" t="str">
            <v>MP</v>
          </cell>
        </row>
        <row r="33">
          <cell r="A33" t="str">
            <v>993838-SLR</v>
          </cell>
          <cell r="B33">
            <v>12760</v>
          </cell>
          <cell r="C33">
            <v>1273.76</v>
          </cell>
          <cell r="D33">
            <v>40.18</v>
          </cell>
          <cell r="E33">
            <v>477</v>
          </cell>
          <cell r="F33">
            <v>259</v>
          </cell>
          <cell r="G33">
            <v>0</v>
          </cell>
          <cell r="H33">
            <v>2049.94</v>
          </cell>
          <cell r="I33">
            <v>20093.16</v>
          </cell>
          <cell r="J33">
            <v>93073</v>
          </cell>
          <cell r="K33" t="str">
            <v>MP</v>
          </cell>
        </row>
        <row r="34">
          <cell r="A34" t="str">
            <v>993839-SLR</v>
          </cell>
          <cell r="B34">
            <v>11862</v>
          </cell>
          <cell r="C34">
            <v>512.62</v>
          </cell>
          <cell r="D34">
            <v>0</v>
          </cell>
          <cell r="E34">
            <v>477</v>
          </cell>
          <cell r="F34">
            <v>861.42</v>
          </cell>
          <cell r="G34">
            <v>1551.49</v>
          </cell>
          <cell r="H34">
            <v>3402.5299999999997</v>
          </cell>
          <cell r="I34">
            <v>26392.78</v>
          </cell>
          <cell r="J34">
            <v>93030</v>
          </cell>
          <cell r="K34" t="str">
            <v>MP</v>
          </cell>
        </row>
        <row r="35">
          <cell r="A35" t="str">
            <v>993843-SLR</v>
          </cell>
          <cell r="B35">
            <v>12025</v>
          </cell>
          <cell r="C35">
            <v>152.43</v>
          </cell>
          <cell r="D35">
            <v>2.48</v>
          </cell>
          <cell r="E35">
            <v>477</v>
          </cell>
          <cell r="F35">
            <v>159.97999999999999</v>
          </cell>
          <cell r="G35">
            <v>148.96</v>
          </cell>
          <cell r="H35">
            <v>940.85</v>
          </cell>
          <cell r="I35">
            <v>1086.3900000000001</v>
          </cell>
          <cell r="J35">
            <v>92282</v>
          </cell>
          <cell r="K35" t="str">
            <v>MP</v>
          </cell>
        </row>
        <row r="36">
          <cell r="A36" t="str">
            <v>993846=SLR</v>
          </cell>
          <cell r="B36">
            <v>12026</v>
          </cell>
          <cell r="C36">
            <v>198.62</v>
          </cell>
          <cell r="D36">
            <v>8.68</v>
          </cell>
          <cell r="E36">
            <v>477</v>
          </cell>
          <cell r="F36">
            <v>229.83</v>
          </cell>
          <cell r="G36">
            <v>912.64</v>
          </cell>
          <cell r="H36">
            <v>1826.77</v>
          </cell>
          <cell r="I36">
            <v>4138.62</v>
          </cell>
          <cell r="J36">
            <v>91681</v>
          </cell>
          <cell r="K36" t="str">
            <v>MP</v>
          </cell>
        </row>
        <row r="37">
          <cell r="A37" t="str">
            <v>993847-SLR</v>
          </cell>
          <cell r="B37">
            <v>11968</v>
          </cell>
          <cell r="C37">
            <v>557.98</v>
          </cell>
          <cell r="D37">
            <v>13.73</v>
          </cell>
          <cell r="E37">
            <v>477</v>
          </cell>
          <cell r="F37">
            <v>338.15</v>
          </cell>
          <cell r="G37">
            <v>892.88</v>
          </cell>
          <cell r="H37">
            <v>2279.7400000000002</v>
          </cell>
          <cell r="I37">
            <v>6867.81</v>
          </cell>
          <cell r="J37">
            <v>92282</v>
          </cell>
          <cell r="K37" t="str">
            <v>MP</v>
          </cell>
        </row>
        <row r="38">
          <cell r="A38" t="str">
            <v>993849-SLR</v>
          </cell>
          <cell r="B38">
            <v>11774</v>
          </cell>
          <cell r="C38">
            <v>505.45</v>
          </cell>
          <cell r="D38">
            <v>42.58</v>
          </cell>
          <cell r="E38">
            <v>477</v>
          </cell>
          <cell r="F38">
            <v>747.48</v>
          </cell>
          <cell r="G38">
            <v>2311.27</v>
          </cell>
          <cell r="H38">
            <v>4083.7799999999997</v>
          </cell>
          <cell r="I38">
            <v>21293.27</v>
          </cell>
          <cell r="J38">
            <v>90083</v>
          </cell>
          <cell r="K38" t="str">
            <v>MP</v>
          </cell>
        </row>
        <row r="39">
          <cell r="A39" t="str">
            <v>993855-SLR</v>
          </cell>
          <cell r="B39">
            <v>11969</v>
          </cell>
          <cell r="C39">
            <v>206.93</v>
          </cell>
          <cell r="D39">
            <v>23.17</v>
          </cell>
          <cell r="E39">
            <v>477</v>
          </cell>
          <cell r="F39">
            <v>521.96</v>
          </cell>
          <cell r="G39">
            <v>1654.55</v>
          </cell>
          <cell r="H39">
            <v>2883.6099999999997</v>
          </cell>
          <cell r="I39">
            <v>11587.69</v>
          </cell>
          <cell r="J39">
            <v>91750</v>
          </cell>
          <cell r="K39" t="str">
            <v>MP</v>
          </cell>
        </row>
        <row r="40">
          <cell r="A40" t="str">
            <v>993857-SLR</v>
          </cell>
          <cell r="B40">
            <v>11809</v>
          </cell>
          <cell r="C40">
            <v>543.49</v>
          </cell>
          <cell r="D40">
            <v>53.26</v>
          </cell>
          <cell r="E40">
            <v>477</v>
          </cell>
          <cell r="F40">
            <v>856.4</v>
          </cell>
          <cell r="G40">
            <v>3735.53</v>
          </cell>
          <cell r="H40">
            <v>5665.68</v>
          </cell>
          <cell r="I40">
            <v>26085.599999999999</v>
          </cell>
          <cell r="J40">
            <v>93000</v>
          </cell>
          <cell r="K40" t="str">
            <v>MP</v>
          </cell>
        </row>
        <row r="41">
          <cell r="A41" t="str">
            <v>993858-SLR</v>
          </cell>
          <cell r="B41">
            <v>11971</v>
          </cell>
          <cell r="C41">
            <v>180.14</v>
          </cell>
          <cell r="D41">
            <v>16.149999999999999</v>
          </cell>
          <cell r="E41">
            <v>477</v>
          </cell>
          <cell r="F41">
            <v>374.93</v>
          </cell>
          <cell r="G41">
            <v>1157.3699999999999</v>
          </cell>
          <cell r="H41">
            <v>2205.59</v>
          </cell>
          <cell r="I41">
            <v>8070.32</v>
          </cell>
          <cell r="J41">
            <v>90121</v>
          </cell>
          <cell r="K41" t="str">
            <v>MP</v>
          </cell>
        </row>
        <row r="42">
          <cell r="A42" t="str">
            <v>993859-SLR</v>
          </cell>
          <cell r="B42">
            <v>11972</v>
          </cell>
          <cell r="C42">
            <v>180.14</v>
          </cell>
          <cell r="D42">
            <v>6.65</v>
          </cell>
          <cell r="E42">
            <v>477</v>
          </cell>
          <cell r="F42">
            <v>211.09</v>
          </cell>
          <cell r="G42">
            <v>491.8</v>
          </cell>
          <cell r="H42">
            <v>1366.68</v>
          </cell>
          <cell r="I42">
            <v>3325.68</v>
          </cell>
          <cell r="J42">
            <v>90468</v>
          </cell>
          <cell r="K42" t="str">
            <v>MP</v>
          </cell>
        </row>
        <row r="43">
          <cell r="A43" t="str">
            <v>993860-SLR</v>
          </cell>
          <cell r="B43">
            <v>11973</v>
          </cell>
          <cell r="C43">
            <v>180.14</v>
          </cell>
          <cell r="D43">
            <v>9.61</v>
          </cell>
          <cell r="E43">
            <v>477</v>
          </cell>
          <cell r="F43">
            <v>244.41</v>
          </cell>
          <cell r="G43">
            <v>699.14</v>
          </cell>
          <cell r="H43">
            <v>1610.3</v>
          </cell>
          <cell r="I43">
            <v>4803.76</v>
          </cell>
          <cell r="J43">
            <v>90496</v>
          </cell>
          <cell r="K43" t="str">
            <v>MP</v>
          </cell>
        </row>
        <row r="44">
          <cell r="A44" t="str">
            <v>993861-SLR</v>
          </cell>
          <cell r="B44">
            <v>11974</v>
          </cell>
          <cell r="C44">
            <v>157.05000000000001</v>
          </cell>
          <cell r="D44">
            <v>26.55</v>
          </cell>
          <cell r="E44">
            <v>477</v>
          </cell>
          <cell r="F44">
            <v>555.33000000000004</v>
          </cell>
          <cell r="G44">
            <v>1862.22</v>
          </cell>
          <cell r="H44">
            <v>3078.15</v>
          </cell>
          <cell r="I44">
            <v>13117.96</v>
          </cell>
          <cell r="J44">
            <v>90097</v>
          </cell>
          <cell r="K44" t="str">
            <v>MP</v>
          </cell>
        </row>
        <row r="45">
          <cell r="A45" t="str">
            <v>993865-SLR</v>
          </cell>
          <cell r="B45">
            <v>12027</v>
          </cell>
          <cell r="C45">
            <v>194</v>
          </cell>
          <cell r="D45">
            <v>1.1299999999999999</v>
          </cell>
          <cell r="E45">
            <v>477</v>
          </cell>
          <cell r="F45">
            <v>144.75</v>
          </cell>
          <cell r="G45">
            <v>107.28</v>
          </cell>
          <cell r="H45">
            <v>924.16</v>
          </cell>
          <cell r="I45">
            <v>369.52</v>
          </cell>
          <cell r="J45">
            <v>90390</v>
          </cell>
          <cell r="K45" t="str">
            <v>MP</v>
          </cell>
        </row>
        <row r="46">
          <cell r="A46" t="str">
            <v>993866-SLR</v>
          </cell>
          <cell r="B46">
            <v>12196</v>
          </cell>
          <cell r="C46">
            <v>173.05</v>
          </cell>
          <cell r="D46">
            <v>0.78</v>
          </cell>
          <cell r="E46">
            <v>477</v>
          </cell>
          <cell r="F46">
            <v>136.84</v>
          </cell>
          <cell r="G46">
            <v>40.5</v>
          </cell>
          <cell r="H46">
            <v>828.17000000000007</v>
          </cell>
          <cell r="I46">
            <v>39.700000000000003</v>
          </cell>
          <cell r="J46">
            <v>93030</v>
          </cell>
          <cell r="K46" t="str">
            <v>MP</v>
          </cell>
        </row>
        <row r="47">
          <cell r="A47" t="str">
            <v>993868-SLR</v>
          </cell>
          <cell r="B47">
            <v>11752</v>
          </cell>
          <cell r="C47">
            <v>28474.13</v>
          </cell>
          <cell r="D47">
            <v>256.01</v>
          </cell>
          <cell r="E47">
            <v>477</v>
          </cell>
          <cell r="F47">
            <v>3141.8</v>
          </cell>
          <cell r="G47">
            <v>21803.47</v>
          </cell>
          <cell r="H47">
            <v>54152.41</v>
          </cell>
          <cell r="I47">
            <v>99525.57</v>
          </cell>
          <cell r="J47">
            <v>92371</v>
          </cell>
          <cell r="K47" t="str">
            <v>MP</v>
          </cell>
        </row>
        <row r="48">
          <cell r="A48" t="str">
            <v>993869-SLR</v>
          </cell>
          <cell r="B48">
            <v>12314</v>
          </cell>
          <cell r="C48">
            <v>435.44</v>
          </cell>
          <cell r="D48">
            <v>18.760000000000002</v>
          </cell>
          <cell r="E48">
            <v>477</v>
          </cell>
          <cell r="F48">
            <v>425.2</v>
          </cell>
          <cell r="G48">
            <v>1315.52</v>
          </cell>
          <cell r="H48">
            <v>2671.92</v>
          </cell>
          <cell r="I48">
            <v>8942.4</v>
          </cell>
          <cell r="J48">
            <v>92231</v>
          </cell>
          <cell r="K48" t="str">
            <v>MP</v>
          </cell>
        </row>
        <row r="49">
          <cell r="A49" t="str">
            <v>993870-SLR</v>
          </cell>
          <cell r="B49">
            <v>11975</v>
          </cell>
          <cell r="C49">
            <v>3215.71</v>
          </cell>
          <cell r="D49">
            <v>9.64</v>
          </cell>
          <cell r="E49">
            <v>477</v>
          </cell>
          <cell r="F49">
            <v>365.46</v>
          </cell>
          <cell r="G49">
            <v>1691.34</v>
          </cell>
          <cell r="H49">
            <v>5759.15</v>
          </cell>
          <cell r="I49">
            <v>4822.24</v>
          </cell>
          <cell r="J49">
            <v>91365</v>
          </cell>
          <cell r="K49" t="str">
            <v>MP</v>
          </cell>
        </row>
        <row r="50">
          <cell r="A50" t="str">
            <v>993872-SLR</v>
          </cell>
          <cell r="B50">
            <v>11976</v>
          </cell>
          <cell r="C50">
            <v>745.04</v>
          </cell>
          <cell r="D50">
            <v>12.97</v>
          </cell>
          <cell r="E50">
            <v>477</v>
          </cell>
          <cell r="F50">
            <v>329.43</v>
          </cell>
          <cell r="G50">
            <v>869.34</v>
          </cell>
          <cell r="H50">
            <v>2433.7800000000002</v>
          </cell>
          <cell r="I50">
            <v>6485.08</v>
          </cell>
          <cell r="J50">
            <v>93072</v>
          </cell>
          <cell r="K50" t="str">
            <v>MP</v>
          </cell>
        </row>
        <row r="51">
          <cell r="A51" t="str">
            <v>993874-SLR</v>
          </cell>
          <cell r="B51">
            <v>11810</v>
          </cell>
          <cell r="C51">
            <v>384.94</v>
          </cell>
          <cell r="D51">
            <v>96.57</v>
          </cell>
          <cell r="E51">
            <v>477</v>
          </cell>
          <cell r="F51">
            <v>1353.32</v>
          </cell>
          <cell r="G51">
            <v>1961.75</v>
          </cell>
          <cell r="H51">
            <v>4273.58</v>
          </cell>
          <cell r="I51">
            <v>48285.53</v>
          </cell>
          <cell r="J51">
            <v>90061</v>
          </cell>
          <cell r="K51" t="str">
            <v>MP</v>
          </cell>
        </row>
        <row r="52">
          <cell r="A52" t="str">
            <v>993875-SLR</v>
          </cell>
          <cell r="B52">
            <v>11977</v>
          </cell>
          <cell r="C52">
            <v>221.71</v>
          </cell>
          <cell r="D52">
            <v>33.5</v>
          </cell>
          <cell r="E52">
            <v>477</v>
          </cell>
          <cell r="F52">
            <v>638.72</v>
          </cell>
          <cell r="G52">
            <v>2130.06</v>
          </cell>
          <cell r="H52">
            <v>3500.99</v>
          </cell>
          <cell r="I52">
            <v>16752.189999999999</v>
          </cell>
          <cell r="J52">
            <v>90083</v>
          </cell>
          <cell r="K52" t="str">
            <v>MP</v>
          </cell>
        </row>
        <row r="53">
          <cell r="A53" t="str">
            <v>993879-SLR</v>
          </cell>
          <cell r="B53">
            <v>11979</v>
          </cell>
          <cell r="C53">
            <v>1271.69</v>
          </cell>
          <cell r="D53">
            <v>8.68</v>
          </cell>
          <cell r="E53">
            <v>477</v>
          </cell>
          <cell r="F53">
            <v>232.12</v>
          </cell>
          <cell r="G53">
            <v>845</v>
          </cell>
          <cell r="H53">
            <v>2834.4900000000002</v>
          </cell>
          <cell r="I53">
            <v>3167.01</v>
          </cell>
          <cell r="J53">
            <v>92336</v>
          </cell>
          <cell r="K53" t="str">
            <v>MP</v>
          </cell>
        </row>
        <row r="54">
          <cell r="A54" t="str">
            <v>993880-SLR</v>
          </cell>
          <cell r="B54">
            <v>11980</v>
          </cell>
          <cell r="C54">
            <v>288.95999999999998</v>
          </cell>
          <cell r="D54">
            <v>15.68</v>
          </cell>
          <cell r="E54">
            <v>477</v>
          </cell>
          <cell r="F54">
            <v>373.35</v>
          </cell>
          <cell r="G54">
            <v>504.75</v>
          </cell>
          <cell r="H54">
            <v>1659.74</v>
          </cell>
          <cell r="I54">
            <v>7926.2</v>
          </cell>
          <cell r="J54">
            <v>91395</v>
          </cell>
          <cell r="K54" t="str">
            <v>MP</v>
          </cell>
        </row>
        <row r="55">
          <cell r="A55" t="str">
            <v>993887-SLR</v>
          </cell>
          <cell r="B55">
            <v>12028</v>
          </cell>
          <cell r="C55">
            <v>197.69</v>
          </cell>
          <cell r="D55">
            <v>10</v>
          </cell>
          <cell r="E55">
            <v>477</v>
          </cell>
          <cell r="F55">
            <v>244.81</v>
          </cell>
          <cell r="G55">
            <v>701.6</v>
          </cell>
          <cell r="H55">
            <v>1631.1</v>
          </cell>
          <cell r="I55">
            <v>4803.76</v>
          </cell>
          <cell r="J55">
            <v>93109</v>
          </cell>
          <cell r="K55" t="str">
            <v>MP</v>
          </cell>
        </row>
        <row r="56">
          <cell r="A56" t="str">
            <v>993888-SLR</v>
          </cell>
          <cell r="B56">
            <v>11753</v>
          </cell>
          <cell r="C56">
            <v>152.47999999999999</v>
          </cell>
          <cell r="D56">
            <v>7.62</v>
          </cell>
          <cell r="E56">
            <v>477</v>
          </cell>
          <cell r="F56">
            <v>217.99</v>
          </cell>
          <cell r="G56">
            <v>534.75</v>
          </cell>
          <cell r="H56">
            <v>1389.8400000000001</v>
          </cell>
          <cell r="I56">
            <v>3659.56</v>
          </cell>
          <cell r="J56">
            <v>90097</v>
          </cell>
          <cell r="K56" t="str">
            <v>MP</v>
          </cell>
        </row>
        <row r="57">
          <cell r="A57" t="str">
            <v>993889-SLR</v>
          </cell>
          <cell r="B57">
            <v>11776</v>
          </cell>
          <cell r="C57">
            <v>5883.96</v>
          </cell>
          <cell r="D57">
            <v>98.41</v>
          </cell>
          <cell r="E57">
            <v>477</v>
          </cell>
          <cell r="F57">
            <v>1365.28</v>
          </cell>
          <cell r="G57">
            <v>6408.86</v>
          </cell>
          <cell r="H57">
            <v>14233.509999999998</v>
          </cell>
          <cell r="I57">
            <v>43316.53</v>
          </cell>
          <cell r="J57">
            <v>91722</v>
          </cell>
          <cell r="K57" t="str">
            <v>MP</v>
          </cell>
        </row>
        <row r="58">
          <cell r="A58" t="str">
            <v>993891-SLR</v>
          </cell>
          <cell r="B58">
            <v>11791</v>
          </cell>
          <cell r="C58">
            <v>278.23</v>
          </cell>
          <cell r="D58">
            <v>12.08</v>
          </cell>
          <cell r="E58">
            <v>477</v>
          </cell>
          <cell r="F58">
            <v>148.63999999999999</v>
          </cell>
          <cell r="G58">
            <v>140.08000000000001</v>
          </cell>
          <cell r="H58">
            <v>1056.03</v>
          </cell>
          <cell r="I58">
            <v>457.55</v>
          </cell>
          <cell r="J58">
            <v>91868</v>
          </cell>
          <cell r="K58" t="str">
            <v>MP</v>
          </cell>
        </row>
        <row r="59">
          <cell r="A59" t="str">
            <v>993893-SLR</v>
          </cell>
          <cell r="B59">
            <v>12197</v>
          </cell>
          <cell r="C59">
            <v>147.81</v>
          </cell>
          <cell r="D59">
            <v>37.159999999999997</v>
          </cell>
          <cell r="E59">
            <v>477</v>
          </cell>
          <cell r="F59">
            <v>674.92</v>
          </cell>
          <cell r="G59">
            <v>2701.64</v>
          </cell>
          <cell r="H59">
            <v>4038.5299999999997</v>
          </cell>
          <cell r="I59">
            <v>18431.66</v>
          </cell>
          <cell r="J59">
            <v>92172</v>
          </cell>
          <cell r="K59" t="str">
            <v>MP</v>
          </cell>
        </row>
        <row r="60">
          <cell r="A60" t="str">
            <v>993895-SLR</v>
          </cell>
          <cell r="B60">
            <v>11747</v>
          </cell>
          <cell r="C60">
            <v>6050.47</v>
          </cell>
          <cell r="D60">
            <v>118.67</v>
          </cell>
          <cell r="E60">
            <v>477</v>
          </cell>
          <cell r="F60">
            <v>1729.79</v>
          </cell>
          <cell r="G60">
            <v>9243.6200000000008</v>
          </cell>
          <cell r="H60">
            <v>17619.550000000003</v>
          </cell>
          <cell r="I60">
            <v>59330.41</v>
          </cell>
          <cell r="J60">
            <v>92316</v>
          </cell>
          <cell r="K60" t="str">
            <v>MP</v>
          </cell>
        </row>
        <row r="61">
          <cell r="A61" t="str">
            <v>993906-SLR</v>
          </cell>
          <cell r="B61">
            <v>12029</v>
          </cell>
          <cell r="C61">
            <v>378.76</v>
          </cell>
          <cell r="D61">
            <v>9.02</v>
          </cell>
          <cell r="E61">
            <v>477</v>
          </cell>
          <cell r="F61">
            <v>233.76</v>
          </cell>
          <cell r="G61">
            <v>858.89</v>
          </cell>
          <cell r="H61">
            <v>1957.4299999999998</v>
          </cell>
          <cell r="I61">
            <v>4132.71</v>
          </cell>
          <cell r="J61">
            <v>92001</v>
          </cell>
          <cell r="K61" t="str">
            <v>MP</v>
          </cell>
        </row>
        <row r="62">
          <cell r="A62" t="str">
            <v>993907-SLR</v>
          </cell>
          <cell r="B62">
            <v>12148</v>
          </cell>
          <cell r="C62">
            <v>3538.56</v>
          </cell>
          <cell r="D62">
            <v>14.63</v>
          </cell>
          <cell r="E62">
            <v>477</v>
          </cell>
          <cell r="F62">
            <v>333.19</v>
          </cell>
          <cell r="G62">
            <v>1392.5</v>
          </cell>
          <cell r="H62">
            <v>5755.88</v>
          </cell>
          <cell r="I62">
            <v>3775.77</v>
          </cell>
          <cell r="J62">
            <v>93016</v>
          </cell>
          <cell r="K62" t="str">
            <v>MP</v>
          </cell>
        </row>
        <row r="63">
          <cell r="A63" t="str">
            <v>993908-SLR</v>
          </cell>
          <cell r="B63">
            <v>11981</v>
          </cell>
          <cell r="C63">
            <v>180.14</v>
          </cell>
          <cell r="D63">
            <v>31.63</v>
          </cell>
          <cell r="E63">
            <v>477</v>
          </cell>
          <cell r="F63">
            <v>616.62</v>
          </cell>
          <cell r="G63">
            <v>1926.08</v>
          </cell>
          <cell r="H63">
            <v>3231.47</v>
          </cell>
          <cell r="I63">
            <v>15813.24</v>
          </cell>
          <cell r="J63">
            <v>90468</v>
          </cell>
          <cell r="K63" t="str">
            <v>MP</v>
          </cell>
        </row>
        <row r="64">
          <cell r="A64" t="str">
            <v>993909-SLR</v>
          </cell>
          <cell r="B64">
            <v>11777</v>
          </cell>
          <cell r="C64">
            <v>451.77</v>
          </cell>
          <cell r="D64">
            <v>66.84</v>
          </cell>
          <cell r="E64">
            <v>477</v>
          </cell>
          <cell r="F64">
            <v>1019.72</v>
          </cell>
          <cell r="G64">
            <v>4751.72</v>
          </cell>
          <cell r="H64">
            <v>6767.05</v>
          </cell>
          <cell r="I64">
            <v>33422.26</v>
          </cell>
          <cell r="J64">
            <v>91682</v>
          </cell>
          <cell r="K64" t="str">
            <v>MP</v>
          </cell>
        </row>
        <row r="65">
          <cell r="A65" t="str">
            <v>993910-SLR</v>
          </cell>
          <cell r="B65">
            <v>11778</v>
          </cell>
          <cell r="C65">
            <v>143.13999999999999</v>
          </cell>
          <cell r="D65">
            <v>40.79</v>
          </cell>
          <cell r="E65">
            <v>477</v>
          </cell>
          <cell r="F65">
            <v>719.12</v>
          </cell>
          <cell r="G65">
            <v>2881.31</v>
          </cell>
          <cell r="H65">
            <v>4261.3599999999997</v>
          </cell>
          <cell r="I65">
            <v>20396.88</v>
          </cell>
          <cell r="J65">
            <v>90485</v>
          </cell>
          <cell r="K65" t="str">
            <v>MP</v>
          </cell>
        </row>
        <row r="66">
          <cell r="A66" t="str">
            <v>993911-SLR</v>
          </cell>
          <cell r="B66">
            <v>11735</v>
          </cell>
          <cell r="C66">
            <v>725.99</v>
          </cell>
          <cell r="D66">
            <v>242.66</v>
          </cell>
          <cell r="E66">
            <v>477</v>
          </cell>
          <cell r="F66">
            <v>2991.43</v>
          </cell>
          <cell r="G66">
            <v>3911.07</v>
          </cell>
          <cell r="H66">
            <v>8348.15</v>
          </cell>
          <cell r="I66">
            <v>120603.78</v>
          </cell>
          <cell r="J66">
            <v>90236</v>
          </cell>
          <cell r="K66" t="str">
            <v>MP</v>
          </cell>
        </row>
        <row r="67">
          <cell r="A67" t="str">
            <v>993919-SLR</v>
          </cell>
          <cell r="B67">
            <v>11792</v>
          </cell>
          <cell r="C67">
            <v>390.39</v>
          </cell>
          <cell r="D67">
            <v>8.2100000000000009</v>
          </cell>
          <cell r="E67">
            <v>477</v>
          </cell>
          <cell r="F67">
            <v>182.86</v>
          </cell>
          <cell r="G67">
            <v>429.12</v>
          </cell>
          <cell r="H67">
            <v>1487.58</v>
          </cell>
          <cell r="I67">
            <v>1863.66</v>
          </cell>
          <cell r="J67">
            <v>90257</v>
          </cell>
          <cell r="K67" t="str">
            <v>MP</v>
          </cell>
        </row>
        <row r="68">
          <cell r="A68" t="str">
            <v>993920-SLR</v>
          </cell>
          <cell r="B68">
            <v>11837</v>
          </cell>
          <cell r="C68">
            <v>5061.34</v>
          </cell>
          <cell r="D68">
            <v>38.520000000000003</v>
          </cell>
          <cell r="E68">
            <v>477</v>
          </cell>
          <cell r="F68">
            <v>690.29</v>
          </cell>
          <cell r="G68">
            <v>2315.94</v>
          </cell>
          <cell r="H68">
            <v>8583.09</v>
          </cell>
          <cell r="I68">
            <v>14199.67</v>
          </cell>
          <cell r="J68">
            <v>93135</v>
          </cell>
          <cell r="K68" t="str">
            <v>MP</v>
          </cell>
        </row>
        <row r="69">
          <cell r="A69" t="str">
            <v>993926-SLR</v>
          </cell>
          <cell r="B69">
            <v>12316</v>
          </cell>
          <cell r="C69">
            <v>214.61</v>
          </cell>
          <cell r="D69">
            <v>3.09</v>
          </cell>
          <cell r="E69">
            <v>477</v>
          </cell>
          <cell r="F69">
            <v>170.93</v>
          </cell>
          <cell r="G69">
            <v>328.29</v>
          </cell>
          <cell r="H69">
            <v>1193.92</v>
          </cell>
          <cell r="I69">
            <v>1510.14</v>
          </cell>
          <cell r="J69">
            <v>90379</v>
          </cell>
          <cell r="K69" t="str">
            <v>MP</v>
          </cell>
        </row>
        <row r="70">
          <cell r="A70" t="str">
            <v>993927-SLR</v>
          </cell>
          <cell r="B70">
            <v>11754</v>
          </cell>
          <cell r="C70">
            <v>458.56</v>
          </cell>
          <cell r="D70">
            <v>15.09</v>
          </cell>
          <cell r="E70">
            <v>477</v>
          </cell>
          <cell r="F70">
            <v>343.55</v>
          </cell>
          <cell r="G70">
            <v>1436.78</v>
          </cell>
          <cell r="H70">
            <v>2730.98</v>
          </cell>
          <cell r="I70">
            <v>7088.34</v>
          </cell>
          <cell r="J70">
            <v>90013</v>
          </cell>
          <cell r="K70" t="str">
            <v>MP</v>
          </cell>
        </row>
        <row r="71">
          <cell r="A71" t="str">
            <v>993931-SLR</v>
          </cell>
          <cell r="B71">
            <v>12496</v>
          </cell>
          <cell r="C71">
            <v>325.3</v>
          </cell>
          <cell r="D71">
            <v>6.23</v>
          </cell>
          <cell r="E71">
            <v>477</v>
          </cell>
          <cell r="F71">
            <v>202.12</v>
          </cell>
          <cell r="G71">
            <v>591.74</v>
          </cell>
          <cell r="H71">
            <v>1602.3899999999999</v>
          </cell>
          <cell r="I71">
            <v>2782.91</v>
          </cell>
          <cell r="J71">
            <v>90335</v>
          </cell>
          <cell r="K71" t="str">
            <v>MP</v>
          </cell>
        </row>
        <row r="72">
          <cell r="A72" t="str">
            <v>993933-SLR</v>
          </cell>
          <cell r="B72">
            <v>11755</v>
          </cell>
          <cell r="C72">
            <v>1114.5899999999999</v>
          </cell>
          <cell r="D72">
            <v>209.94</v>
          </cell>
          <cell r="E72">
            <v>477</v>
          </cell>
          <cell r="F72">
            <v>545.09</v>
          </cell>
          <cell r="G72">
            <v>2395.54</v>
          </cell>
          <cell r="H72">
            <v>4742.16</v>
          </cell>
          <cell r="I72">
            <v>11706.34</v>
          </cell>
          <cell r="J72">
            <v>93021</v>
          </cell>
          <cell r="K72" t="str">
            <v>MP</v>
          </cell>
        </row>
        <row r="73">
          <cell r="A73" t="str">
            <v>993943-SLR</v>
          </cell>
          <cell r="B73">
            <v>11736</v>
          </cell>
          <cell r="C73">
            <v>2175.06</v>
          </cell>
          <cell r="D73">
            <v>56.43</v>
          </cell>
          <cell r="E73">
            <v>477</v>
          </cell>
          <cell r="F73">
            <v>941.12</v>
          </cell>
          <cell r="G73">
            <v>3653.71</v>
          </cell>
          <cell r="H73">
            <v>7303.32</v>
          </cell>
          <cell r="I73">
            <v>28216.13</v>
          </cell>
          <cell r="J73">
            <v>93115</v>
          </cell>
          <cell r="K73" t="str">
            <v>MP</v>
          </cell>
        </row>
        <row r="74">
          <cell r="A74" t="str">
            <v>993944-SLR</v>
          </cell>
          <cell r="B74">
            <v>11802</v>
          </cell>
          <cell r="C74">
            <v>194.74</v>
          </cell>
          <cell r="D74">
            <v>8.41</v>
          </cell>
          <cell r="E74">
            <v>477</v>
          </cell>
          <cell r="F74">
            <v>226.7</v>
          </cell>
          <cell r="G74">
            <v>883.38</v>
          </cell>
          <cell r="H74">
            <v>1790.23</v>
          </cell>
          <cell r="I74">
            <v>4003.42</v>
          </cell>
          <cell r="J74">
            <v>91681</v>
          </cell>
          <cell r="K74" t="str">
            <v>MP</v>
          </cell>
        </row>
        <row r="75">
          <cell r="A75" t="str">
            <v>993945-SLR</v>
          </cell>
          <cell r="B75">
            <v>11983</v>
          </cell>
          <cell r="C75">
            <v>152.43</v>
          </cell>
          <cell r="D75">
            <v>16.63</v>
          </cell>
          <cell r="E75">
            <v>477</v>
          </cell>
          <cell r="F75">
            <v>384.57</v>
          </cell>
          <cell r="G75">
            <v>1187.7</v>
          </cell>
          <cell r="H75">
            <v>2218.33</v>
          </cell>
          <cell r="I75">
            <v>8314.2000000000007</v>
          </cell>
          <cell r="J75">
            <v>91147</v>
          </cell>
          <cell r="K75" t="str">
            <v>MP</v>
          </cell>
        </row>
        <row r="76">
          <cell r="A76" t="str">
            <v>993947-SLR</v>
          </cell>
          <cell r="B76">
            <v>11737</v>
          </cell>
          <cell r="C76">
            <v>276.52</v>
          </cell>
          <cell r="D76">
            <v>11.95</v>
          </cell>
          <cell r="E76">
            <v>477</v>
          </cell>
          <cell r="F76">
            <v>273.44</v>
          </cell>
          <cell r="G76">
            <v>1137.44</v>
          </cell>
          <cell r="H76">
            <v>2176.3500000000004</v>
          </cell>
          <cell r="I76">
            <v>5698.04</v>
          </cell>
          <cell r="J76">
            <v>90402</v>
          </cell>
          <cell r="K76" t="str">
            <v>MP</v>
          </cell>
        </row>
        <row r="77">
          <cell r="A77" t="str">
            <v>993951-SLR</v>
          </cell>
          <cell r="B77">
            <v>11797</v>
          </cell>
          <cell r="C77">
            <v>170.28</v>
          </cell>
          <cell r="D77">
            <v>16.559999999999999</v>
          </cell>
          <cell r="E77">
            <v>477</v>
          </cell>
          <cell r="F77">
            <v>383.92</v>
          </cell>
          <cell r="G77">
            <v>465.75</v>
          </cell>
          <cell r="H77">
            <v>1513.51</v>
          </cell>
          <cell r="I77">
            <v>8282.18</v>
          </cell>
          <cell r="J77">
            <v>90097</v>
          </cell>
          <cell r="K77" t="str">
            <v>MP</v>
          </cell>
        </row>
        <row r="78">
          <cell r="A78" t="str">
            <v>993953-SLR</v>
          </cell>
          <cell r="B78">
            <v>12200</v>
          </cell>
          <cell r="C78">
            <v>5704.98</v>
          </cell>
          <cell r="D78">
            <v>40.020000000000003</v>
          </cell>
          <cell r="E78">
            <v>477</v>
          </cell>
          <cell r="F78">
            <v>707.07</v>
          </cell>
          <cell r="G78">
            <v>3808.63</v>
          </cell>
          <cell r="H78">
            <v>10737.7</v>
          </cell>
          <cell r="I78">
            <v>14300.42</v>
          </cell>
          <cell r="J78">
            <v>93038</v>
          </cell>
          <cell r="K78" t="str">
            <v>MP</v>
          </cell>
        </row>
        <row r="79">
          <cell r="A79" t="str">
            <v>993954-SLR</v>
          </cell>
          <cell r="B79">
            <v>11786</v>
          </cell>
          <cell r="C79">
            <v>28142.720000000001</v>
          </cell>
          <cell r="D79">
            <v>370.71</v>
          </cell>
          <cell r="E79">
            <v>477</v>
          </cell>
          <cell r="F79">
            <v>5068.1099999999997</v>
          </cell>
          <cell r="G79">
            <v>27803.03</v>
          </cell>
          <cell r="H79">
            <v>61861.57</v>
          </cell>
          <cell r="I79">
            <v>185356.01</v>
          </cell>
          <cell r="J79">
            <v>92056</v>
          </cell>
          <cell r="K79" t="str">
            <v>MP</v>
          </cell>
        </row>
        <row r="80">
          <cell r="A80" t="str">
            <v>993955-SLR</v>
          </cell>
          <cell r="B80">
            <v>11800</v>
          </cell>
          <cell r="C80">
            <v>4825.08</v>
          </cell>
          <cell r="D80">
            <v>27730.53</v>
          </cell>
          <cell r="E80">
            <v>477</v>
          </cell>
          <cell r="F80">
            <v>3096.28</v>
          </cell>
          <cell r="G80">
            <v>23984.21</v>
          </cell>
          <cell r="H80">
            <v>60113.1</v>
          </cell>
          <cell r="I80">
            <v>121155.55</v>
          </cell>
          <cell r="J80">
            <v>90442</v>
          </cell>
          <cell r="K80" t="str">
            <v>MP</v>
          </cell>
        </row>
        <row r="81">
          <cell r="A81" t="str">
            <v>993956-SLR</v>
          </cell>
          <cell r="B81">
            <v>11816</v>
          </cell>
          <cell r="C81">
            <v>25781.98</v>
          </cell>
          <cell r="D81">
            <v>297.45</v>
          </cell>
          <cell r="E81">
            <v>477</v>
          </cell>
          <cell r="F81">
            <v>4189.08</v>
          </cell>
          <cell r="G81">
            <v>28987.95</v>
          </cell>
          <cell r="H81">
            <v>59733.460000000006</v>
          </cell>
          <cell r="I81">
            <v>148725.09</v>
          </cell>
          <cell r="J81">
            <v>92003</v>
          </cell>
          <cell r="K81" t="str">
            <v>MP</v>
          </cell>
        </row>
        <row r="82">
          <cell r="A82" t="str">
            <v>993957-SLR</v>
          </cell>
          <cell r="B82">
            <v>11984</v>
          </cell>
          <cell r="C82">
            <v>696.65</v>
          </cell>
          <cell r="D82">
            <v>19.68</v>
          </cell>
          <cell r="E82">
            <v>477</v>
          </cell>
          <cell r="F82">
            <v>445.9</v>
          </cell>
          <cell r="G82">
            <v>1183.43</v>
          </cell>
          <cell r="H82">
            <v>2822.66</v>
          </cell>
          <cell r="I82">
            <v>9145.6200000000008</v>
          </cell>
          <cell r="J82">
            <v>93072</v>
          </cell>
          <cell r="K82" t="str">
            <v>MP</v>
          </cell>
        </row>
        <row r="83">
          <cell r="A83" t="str">
            <v>993958-SLR</v>
          </cell>
          <cell r="B83">
            <v>11838</v>
          </cell>
          <cell r="C83">
            <v>174.28</v>
          </cell>
          <cell r="D83">
            <v>0</v>
          </cell>
          <cell r="E83">
            <v>0</v>
          </cell>
          <cell r="F83">
            <v>18</v>
          </cell>
          <cell r="G83">
            <v>365.31</v>
          </cell>
          <cell r="H83">
            <v>557.59</v>
          </cell>
          <cell r="I83">
            <v>434.57</v>
          </cell>
          <cell r="J83">
            <v>91814</v>
          </cell>
          <cell r="K83" t="str">
            <v>MP</v>
          </cell>
        </row>
        <row r="84">
          <cell r="A84" t="str">
            <v>993961-SLR</v>
          </cell>
          <cell r="B84">
            <v>12030</v>
          </cell>
          <cell r="C84">
            <v>175.52</v>
          </cell>
          <cell r="D84">
            <v>5.17</v>
          </cell>
          <cell r="E84">
            <v>477</v>
          </cell>
          <cell r="F84">
            <v>190.4</v>
          </cell>
          <cell r="G84">
            <v>363.04</v>
          </cell>
          <cell r="H84">
            <v>1211.1300000000001</v>
          </cell>
          <cell r="I84">
            <v>2412.4299999999998</v>
          </cell>
          <cell r="J84">
            <v>93253</v>
          </cell>
          <cell r="K84" t="str">
            <v>MP</v>
          </cell>
        </row>
        <row r="85">
          <cell r="A85" t="str">
            <v>993962-SLR</v>
          </cell>
          <cell r="B85">
            <v>11866</v>
          </cell>
          <cell r="C85">
            <v>487.3</v>
          </cell>
          <cell r="D85">
            <v>65.53</v>
          </cell>
          <cell r="E85">
            <v>477</v>
          </cell>
          <cell r="F85">
            <v>994.59</v>
          </cell>
          <cell r="G85">
            <v>1735.17</v>
          </cell>
          <cell r="H85">
            <v>3759.59</v>
          </cell>
          <cell r="I85">
            <v>32271.42</v>
          </cell>
          <cell r="J85">
            <v>90083</v>
          </cell>
          <cell r="K85" t="str">
            <v>MP</v>
          </cell>
        </row>
        <row r="86">
          <cell r="A86" t="str">
            <v>993963-SLR</v>
          </cell>
          <cell r="B86">
            <v>11985</v>
          </cell>
          <cell r="C86">
            <v>218.02</v>
          </cell>
          <cell r="D86">
            <v>35.03</v>
          </cell>
          <cell r="E86">
            <v>477</v>
          </cell>
          <cell r="F86">
            <v>655.85</v>
          </cell>
          <cell r="G86">
            <v>1057.8499999999999</v>
          </cell>
          <cell r="H86">
            <v>2443.75</v>
          </cell>
          <cell r="I86">
            <v>17515.25</v>
          </cell>
          <cell r="J86">
            <v>91750</v>
          </cell>
          <cell r="K86" t="str">
            <v>MP</v>
          </cell>
        </row>
        <row r="87">
          <cell r="A87" t="str">
            <v>993964-SLR</v>
          </cell>
          <cell r="B87">
            <v>12103</v>
          </cell>
          <cell r="C87">
            <v>198.38</v>
          </cell>
          <cell r="D87">
            <v>37</v>
          </cell>
          <cell r="E87">
            <v>477</v>
          </cell>
          <cell r="F87">
            <v>673.28</v>
          </cell>
          <cell r="G87">
            <v>1902.17</v>
          </cell>
          <cell r="H87">
            <v>3287.83</v>
          </cell>
          <cell r="I87">
            <v>18308.21</v>
          </cell>
          <cell r="J87">
            <v>90083</v>
          </cell>
          <cell r="K87" t="str">
            <v>MP</v>
          </cell>
        </row>
        <row r="88">
          <cell r="A88" t="str">
            <v>993965-SLR</v>
          </cell>
          <cell r="B88">
            <v>12144</v>
          </cell>
          <cell r="C88">
            <v>105.42</v>
          </cell>
          <cell r="D88">
            <v>0</v>
          </cell>
          <cell r="E88">
            <v>0</v>
          </cell>
          <cell r="F88">
            <v>0</v>
          </cell>
          <cell r="G88">
            <v>78.42</v>
          </cell>
          <cell r="H88">
            <v>183.84</v>
          </cell>
          <cell r="I88">
            <v>25.28</v>
          </cell>
          <cell r="J88">
            <v>92202</v>
          </cell>
          <cell r="K88" t="str">
            <v>MP</v>
          </cell>
        </row>
        <row r="89">
          <cell r="A89" t="str">
            <v>993966-SLR</v>
          </cell>
          <cell r="B89">
            <v>12574</v>
          </cell>
          <cell r="C89">
            <v>0</v>
          </cell>
          <cell r="D89">
            <v>0</v>
          </cell>
          <cell r="E89">
            <v>18.03</v>
          </cell>
          <cell r="F89">
            <v>0</v>
          </cell>
          <cell r="G89">
            <v>294.06</v>
          </cell>
          <cell r="H89">
            <v>312.09000000000003</v>
          </cell>
          <cell r="I89">
            <v>490.11</v>
          </cell>
          <cell r="J89">
            <v>91976</v>
          </cell>
          <cell r="K89" t="str">
            <v>MP</v>
          </cell>
        </row>
        <row r="90">
          <cell r="A90" t="str">
            <v>993967-SLR</v>
          </cell>
          <cell r="B90">
            <v>12060</v>
          </cell>
          <cell r="C90">
            <v>406.12</v>
          </cell>
          <cell r="D90">
            <v>4.1399999999999997</v>
          </cell>
          <cell r="E90">
            <v>477</v>
          </cell>
          <cell r="F90">
            <v>178.73</v>
          </cell>
          <cell r="G90">
            <v>435.7</v>
          </cell>
          <cell r="H90">
            <v>1501.69</v>
          </cell>
          <cell r="I90">
            <v>1664.52</v>
          </cell>
          <cell r="J90">
            <v>91375</v>
          </cell>
          <cell r="K90" t="str">
            <v>MP</v>
          </cell>
        </row>
        <row r="91">
          <cell r="A91" t="str">
            <v>993969-SLR</v>
          </cell>
          <cell r="B91">
            <v>11909</v>
          </cell>
          <cell r="C91">
            <v>617.14</v>
          </cell>
          <cell r="D91">
            <v>2.2799999999999998</v>
          </cell>
          <cell r="E91">
            <v>477</v>
          </cell>
          <cell r="F91">
            <v>157.68</v>
          </cell>
          <cell r="G91">
            <v>239.18</v>
          </cell>
          <cell r="H91">
            <v>1493.2800000000002</v>
          </cell>
          <cell r="I91">
            <v>519.54</v>
          </cell>
          <cell r="J91">
            <v>91365</v>
          </cell>
          <cell r="K91" t="str">
            <v>MP</v>
          </cell>
        </row>
        <row r="92">
          <cell r="A92" t="str">
            <v>993970-SLR</v>
          </cell>
          <cell r="B92">
            <v>11867</v>
          </cell>
          <cell r="C92">
            <v>1518.27</v>
          </cell>
          <cell r="D92">
            <v>441.38</v>
          </cell>
          <cell r="E92">
            <v>477</v>
          </cell>
          <cell r="F92">
            <v>5232.8</v>
          </cell>
          <cell r="G92">
            <v>11059.44</v>
          </cell>
          <cell r="H92">
            <v>18728.89</v>
          </cell>
          <cell r="I92">
            <v>219229.18</v>
          </cell>
          <cell r="J92">
            <v>91578</v>
          </cell>
          <cell r="K92" t="str">
            <v>MP</v>
          </cell>
        </row>
        <row r="93">
          <cell r="A93" t="str">
            <v>993971-SLR</v>
          </cell>
          <cell r="B93">
            <v>11840</v>
          </cell>
          <cell r="C93">
            <v>705.99</v>
          </cell>
          <cell r="D93">
            <v>15.1</v>
          </cell>
          <cell r="E93">
            <v>477</v>
          </cell>
          <cell r="F93">
            <v>343.75</v>
          </cell>
          <cell r="G93">
            <v>1059.27</v>
          </cell>
          <cell r="H93">
            <v>2601.11</v>
          </cell>
          <cell r="I93">
            <v>6845.11</v>
          </cell>
          <cell r="J93">
            <v>90061</v>
          </cell>
          <cell r="K93" t="str">
            <v>MP</v>
          </cell>
        </row>
        <row r="94">
          <cell r="A94" t="str">
            <v>993972-SLR</v>
          </cell>
          <cell r="B94">
            <v>11756</v>
          </cell>
          <cell r="C94">
            <v>188.36</v>
          </cell>
          <cell r="D94">
            <v>10.28</v>
          </cell>
          <cell r="E94">
            <v>477</v>
          </cell>
          <cell r="F94">
            <v>247.92</v>
          </cell>
          <cell r="G94">
            <v>720.97</v>
          </cell>
          <cell r="H94">
            <v>1644.53</v>
          </cell>
          <cell r="I94">
            <v>4951.16</v>
          </cell>
          <cell r="J94">
            <v>90512</v>
          </cell>
          <cell r="K94" t="str">
            <v>MP</v>
          </cell>
        </row>
        <row r="95">
          <cell r="A95" t="str">
            <v>993973-SLR</v>
          </cell>
          <cell r="B95">
            <v>12031</v>
          </cell>
          <cell r="C95">
            <v>194</v>
          </cell>
          <cell r="D95">
            <v>1.98</v>
          </cell>
          <cell r="E95">
            <v>477</v>
          </cell>
          <cell r="F95">
            <v>154.33000000000001</v>
          </cell>
          <cell r="G95">
            <v>188.19</v>
          </cell>
          <cell r="H95">
            <v>1015.5</v>
          </cell>
          <cell r="I95">
            <v>794.47</v>
          </cell>
          <cell r="J95">
            <v>90390</v>
          </cell>
          <cell r="K95" t="str">
            <v>MP</v>
          </cell>
        </row>
        <row r="96">
          <cell r="A96" t="str">
            <v>993974-SLR</v>
          </cell>
          <cell r="B96">
            <v>11987</v>
          </cell>
          <cell r="C96">
            <v>4687.82</v>
          </cell>
          <cell r="D96">
            <v>32.700000000000003</v>
          </cell>
          <cell r="E96">
            <v>477</v>
          </cell>
          <cell r="F96">
            <v>624.70000000000005</v>
          </cell>
          <cell r="G96">
            <v>3113.03</v>
          </cell>
          <cell r="H96">
            <v>8935.25</v>
          </cell>
          <cell r="I96">
            <v>11663.82</v>
          </cell>
          <cell r="J96">
            <v>90219</v>
          </cell>
          <cell r="K96" t="str">
            <v>MP</v>
          </cell>
        </row>
        <row r="97">
          <cell r="A97" t="str">
            <v>993975-SLR</v>
          </cell>
          <cell r="B97">
            <v>12032</v>
          </cell>
          <cell r="C97">
            <v>254.41</v>
          </cell>
          <cell r="D97">
            <v>1.5</v>
          </cell>
          <cell r="E97">
            <v>477</v>
          </cell>
          <cell r="F97">
            <v>154.57</v>
          </cell>
          <cell r="G97">
            <v>190.16</v>
          </cell>
          <cell r="H97">
            <v>1077.6400000000001</v>
          </cell>
          <cell r="I97">
            <v>744.95</v>
          </cell>
          <cell r="J97">
            <v>90219</v>
          </cell>
          <cell r="K97" t="str">
            <v>MP</v>
          </cell>
        </row>
        <row r="98">
          <cell r="A98" t="str">
            <v>993977-SLR</v>
          </cell>
          <cell r="B98">
            <v>11868</v>
          </cell>
          <cell r="C98">
            <v>182.17</v>
          </cell>
          <cell r="D98">
            <v>18.760000000000002</v>
          </cell>
          <cell r="E98">
            <v>477</v>
          </cell>
          <cell r="F98">
            <v>306.77</v>
          </cell>
          <cell r="G98">
            <v>1315.82</v>
          </cell>
          <cell r="H98">
            <v>2300.52</v>
          </cell>
          <cell r="I98">
            <v>9197.76</v>
          </cell>
          <cell r="J98">
            <v>93047</v>
          </cell>
          <cell r="K98" t="str">
            <v>MP</v>
          </cell>
        </row>
        <row r="99">
          <cell r="A99" t="str">
            <v>993980-SLR</v>
          </cell>
          <cell r="B99">
            <v>11779</v>
          </cell>
          <cell r="C99">
            <v>232.6</v>
          </cell>
          <cell r="D99">
            <v>44.19</v>
          </cell>
          <cell r="E99">
            <v>477</v>
          </cell>
          <cell r="F99">
            <v>759.45</v>
          </cell>
          <cell r="G99">
            <v>4562.75</v>
          </cell>
          <cell r="H99">
            <v>6075.99</v>
          </cell>
          <cell r="I99">
            <v>22096.62</v>
          </cell>
          <cell r="J99">
            <v>91981</v>
          </cell>
          <cell r="K99" t="str">
            <v>MP</v>
          </cell>
        </row>
        <row r="100">
          <cell r="A100" t="str">
            <v>993981-SLR</v>
          </cell>
          <cell r="B100">
            <v>11738</v>
          </cell>
          <cell r="C100">
            <v>212.29</v>
          </cell>
          <cell r="D100">
            <v>3.82</v>
          </cell>
          <cell r="E100">
            <v>477</v>
          </cell>
          <cell r="F100">
            <v>175.08</v>
          </cell>
          <cell r="G100">
            <v>325.08999999999997</v>
          </cell>
          <cell r="H100">
            <v>1193.28</v>
          </cell>
          <cell r="I100">
            <v>1696.19</v>
          </cell>
          <cell r="J100">
            <v>91990</v>
          </cell>
          <cell r="K100" t="str">
            <v>MP</v>
          </cell>
        </row>
        <row r="101">
          <cell r="A101" t="str">
            <v>993982-SLR</v>
          </cell>
          <cell r="B101">
            <v>12033</v>
          </cell>
          <cell r="C101">
            <v>180.14</v>
          </cell>
          <cell r="D101">
            <v>2.5499999999999998</v>
          </cell>
          <cell r="E101">
            <v>477</v>
          </cell>
          <cell r="F101">
            <v>160.75</v>
          </cell>
          <cell r="G101">
            <v>165.82</v>
          </cell>
          <cell r="H101">
            <v>986.26</v>
          </cell>
          <cell r="I101">
            <v>1092.82</v>
          </cell>
          <cell r="J101">
            <v>93103</v>
          </cell>
          <cell r="K101" t="str">
            <v>MP</v>
          </cell>
        </row>
        <row r="102">
          <cell r="A102" t="str">
            <v>993983-SLR</v>
          </cell>
          <cell r="B102">
            <v>12267</v>
          </cell>
          <cell r="C102">
            <v>18306.919999999998</v>
          </cell>
          <cell r="D102">
            <v>168.39</v>
          </cell>
          <cell r="E102">
            <v>477</v>
          </cell>
          <cell r="F102">
            <v>2154.2600000000002</v>
          </cell>
          <cell r="G102">
            <v>10123.83</v>
          </cell>
          <cell r="H102">
            <v>31230.400000000001</v>
          </cell>
          <cell r="I102">
            <v>65889.899999999994</v>
          </cell>
          <cell r="J102">
            <v>92315</v>
          </cell>
          <cell r="K102" t="str">
            <v>MP</v>
          </cell>
        </row>
        <row r="103">
          <cell r="A103" t="str">
            <v>993984-SLR</v>
          </cell>
          <cell r="B103">
            <v>12034</v>
          </cell>
          <cell r="C103">
            <v>180.14</v>
          </cell>
          <cell r="D103">
            <v>9.42</v>
          </cell>
          <cell r="E103">
            <v>477</v>
          </cell>
          <cell r="F103">
            <v>238.16</v>
          </cell>
          <cell r="G103">
            <v>660.27</v>
          </cell>
          <cell r="H103">
            <v>1564.9899999999998</v>
          </cell>
          <cell r="I103">
            <v>4526.62</v>
          </cell>
          <cell r="J103">
            <v>90697</v>
          </cell>
          <cell r="K103" t="str">
            <v>MP</v>
          </cell>
        </row>
        <row r="104">
          <cell r="A104" t="str">
            <v>993985-SLR</v>
          </cell>
          <cell r="B104">
            <v>11869</v>
          </cell>
          <cell r="C104">
            <v>173.64</v>
          </cell>
          <cell r="D104">
            <v>25.61</v>
          </cell>
          <cell r="E104">
            <v>477</v>
          </cell>
          <cell r="F104">
            <v>544.79</v>
          </cell>
          <cell r="G104">
            <v>1796.62</v>
          </cell>
          <cell r="H104">
            <v>3017.66</v>
          </cell>
          <cell r="I104">
            <v>12633.75</v>
          </cell>
          <cell r="J104">
            <v>93327</v>
          </cell>
          <cell r="K104" t="str">
            <v>MP</v>
          </cell>
        </row>
        <row r="105">
          <cell r="A105" t="str">
            <v>993986-SLR</v>
          </cell>
          <cell r="B105">
            <v>11750</v>
          </cell>
          <cell r="C105">
            <v>143.51</v>
          </cell>
          <cell r="D105">
            <v>5.31</v>
          </cell>
          <cell r="E105">
            <v>477</v>
          </cell>
          <cell r="F105">
            <v>191.91</v>
          </cell>
          <cell r="G105">
            <v>505.45</v>
          </cell>
          <cell r="H105">
            <v>1323.1799999999998</v>
          </cell>
          <cell r="I105">
            <v>2511.46</v>
          </cell>
          <cell r="J105">
            <v>90953</v>
          </cell>
          <cell r="K105" t="str">
            <v>MP</v>
          </cell>
        </row>
        <row r="106">
          <cell r="A106" t="str">
            <v>993987-SLR</v>
          </cell>
          <cell r="B106">
            <v>12061</v>
          </cell>
          <cell r="C106">
            <v>245.03</v>
          </cell>
          <cell r="D106">
            <v>60.82</v>
          </cell>
          <cell r="E106">
            <v>477</v>
          </cell>
          <cell r="F106">
            <v>941.66</v>
          </cell>
          <cell r="G106">
            <v>3641.6</v>
          </cell>
          <cell r="H106">
            <v>5366.11</v>
          </cell>
          <cell r="I106">
            <v>30165.69</v>
          </cell>
          <cell r="J106">
            <v>90062</v>
          </cell>
          <cell r="K106" t="str">
            <v>MP</v>
          </cell>
        </row>
        <row r="107">
          <cell r="A107" t="str">
            <v>993988-SLR</v>
          </cell>
          <cell r="B107">
            <v>12035</v>
          </cell>
          <cell r="C107">
            <v>180.14</v>
          </cell>
          <cell r="D107">
            <v>1.31</v>
          </cell>
          <cell r="E107">
            <v>477</v>
          </cell>
          <cell r="F107">
            <v>146.83000000000001</v>
          </cell>
          <cell r="G107">
            <v>91.98</v>
          </cell>
          <cell r="H107">
            <v>897.2600000000001</v>
          </cell>
          <cell r="I107">
            <v>475.57</v>
          </cell>
          <cell r="J107">
            <v>90496</v>
          </cell>
          <cell r="K107" t="str">
            <v>MP</v>
          </cell>
        </row>
        <row r="108">
          <cell r="A108" t="str">
            <v>993990-SLR</v>
          </cell>
          <cell r="B108">
            <v>12036</v>
          </cell>
          <cell r="C108">
            <v>189.38</v>
          </cell>
          <cell r="D108">
            <v>7.83</v>
          </cell>
          <cell r="E108">
            <v>477</v>
          </cell>
          <cell r="F108">
            <v>220.29</v>
          </cell>
          <cell r="G108">
            <v>823.61</v>
          </cell>
          <cell r="H108">
            <v>1718.1100000000001</v>
          </cell>
          <cell r="I108">
            <v>3724.76</v>
          </cell>
          <cell r="J108">
            <v>90506</v>
          </cell>
          <cell r="K108" t="str">
            <v>MP</v>
          </cell>
        </row>
        <row r="109">
          <cell r="A109" t="str">
            <v>993991-SLR</v>
          </cell>
          <cell r="B109">
            <v>11988</v>
          </cell>
          <cell r="C109">
            <v>1127.57</v>
          </cell>
          <cell r="D109">
            <v>25.35</v>
          </cell>
          <cell r="E109">
            <v>477</v>
          </cell>
          <cell r="F109">
            <v>567.25</v>
          </cell>
          <cell r="G109">
            <v>4010.99</v>
          </cell>
          <cell r="H109">
            <v>6208.16</v>
          </cell>
          <cell r="I109">
            <v>12675.83</v>
          </cell>
          <cell r="J109">
            <v>92260</v>
          </cell>
          <cell r="K109" t="str">
            <v>MP</v>
          </cell>
        </row>
        <row r="110">
          <cell r="A110" t="str">
            <v>993992-SLR</v>
          </cell>
          <cell r="B110">
            <v>11989</v>
          </cell>
          <cell r="C110">
            <v>3928.85</v>
          </cell>
          <cell r="D110">
            <v>11.73</v>
          </cell>
          <cell r="E110">
            <v>477</v>
          </cell>
          <cell r="F110">
            <v>443.72</v>
          </cell>
          <cell r="G110">
            <v>1864.42</v>
          </cell>
          <cell r="H110">
            <v>6725.72</v>
          </cell>
          <cell r="I110">
            <v>5864.28</v>
          </cell>
          <cell r="J110">
            <v>93016</v>
          </cell>
          <cell r="K110" t="str">
            <v>MP</v>
          </cell>
        </row>
        <row r="111">
          <cell r="A111" t="str">
            <v>993993-SLR</v>
          </cell>
          <cell r="B111">
            <v>11870</v>
          </cell>
          <cell r="C111">
            <v>2030.76</v>
          </cell>
          <cell r="D111">
            <v>84.18</v>
          </cell>
          <cell r="E111">
            <v>477</v>
          </cell>
          <cell r="F111">
            <v>1204.98</v>
          </cell>
          <cell r="G111">
            <v>6300.97</v>
          </cell>
          <cell r="H111">
            <v>10097.89</v>
          </cell>
          <cell r="I111">
            <v>40060.129999999997</v>
          </cell>
          <cell r="J111">
            <v>93268</v>
          </cell>
          <cell r="K111" t="str">
            <v>MP</v>
          </cell>
        </row>
        <row r="112">
          <cell r="A112" t="str">
            <v>993994-SLR</v>
          </cell>
          <cell r="B112">
            <v>11883</v>
          </cell>
          <cell r="C112">
            <v>11285.77</v>
          </cell>
          <cell r="D112">
            <v>868.43</v>
          </cell>
          <cell r="E112">
            <v>477</v>
          </cell>
          <cell r="F112">
            <v>200</v>
          </cell>
          <cell r="G112">
            <v>65107.51</v>
          </cell>
          <cell r="H112">
            <v>77938.710000000006</v>
          </cell>
          <cell r="I112">
            <v>422928.21</v>
          </cell>
          <cell r="J112">
            <v>93268</v>
          </cell>
          <cell r="K112" t="str">
            <v>MP</v>
          </cell>
        </row>
        <row r="113">
          <cell r="A113" t="str">
            <v>993995-SLR</v>
          </cell>
          <cell r="B113">
            <v>11757</v>
          </cell>
          <cell r="C113">
            <v>1920.57</v>
          </cell>
          <cell r="D113">
            <v>187.07</v>
          </cell>
          <cell r="E113">
            <v>477</v>
          </cell>
          <cell r="F113">
            <v>2364.7199999999998</v>
          </cell>
          <cell r="G113">
            <v>12183.45</v>
          </cell>
          <cell r="H113">
            <v>17132.810000000001</v>
          </cell>
          <cell r="I113">
            <v>91611.17</v>
          </cell>
          <cell r="J113">
            <v>93268</v>
          </cell>
          <cell r="K113" t="str">
            <v>MP</v>
          </cell>
        </row>
        <row r="114">
          <cell r="A114" t="str">
            <v>993996-SLR</v>
          </cell>
          <cell r="B114">
            <v>12201</v>
          </cell>
          <cell r="C114">
            <v>213.76</v>
          </cell>
          <cell r="D114">
            <v>44.75</v>
          </cell>
          <cell r="E114">
            <v>477</v>
          </cell>
          <cell r="F114">
            <v>533.96</v>
          </cell>
          <cell r="G114">
            <v>2346.8200000000002</v>
          </cell>
          <cell r="H114">
            <v>3616.29</v>
          </cell>
          <cell r="I114">
            <v>12113.25</v>
          </cell>
          <cell r="J114">
            <v>90686</v>
          </cell>
          <cell r="K114" t="str">
            <v>MP</v>
          </cell>
        </row>
        <row r="115">
          <cell r="A115" t="str">
            <v>993997-SLR</v>
          </cell>
          <cell r="B115">
            <v>12037</v>
          </cell>
          <cell r="C115">
            <v>173.05</v>
          </cell>
          <cell r="D115">
            <v>0.72</v>
          </cell>
          <cell r="E115">
            <v>477</v>
          </cell>
          <cell r="F115">
            <v>136.55000000000001</v>
          </cell>
          <cell r="G115">
            <v>37.979999999999997</v>
          </cell>
          <cell r="H115">
            <v>825.3</v>
          </cell>
          <cell r="I115">
            <v>26.47</v>
          </cell>
          <cell r="J115">
            <v>93030</v>
          </cell>
          <cell r="K115" t="str">
            <v>MP</v>
          </cell>
        </row>
        <row r="116">
          <cell r="A116" t="str">
            <v>993998-SLR</v>
          </cell>
          <cell r="B116">
            <v>11990</v>
          </cell>
          <cell r="C116">
            <v>355.76</v>
          </cell>
          <cell r="D116">
            <v>62.93</v>
          </cell>
          <cell r="E116">
            <v>477</v>
          </cell>
          <cell r="F116">
            <v>646.91999999999996</v>
          </cell>
          <cell r="G116">
            <v>3300.69</v>
          </cell>
          <cell r="H116">
            <v>4843.3</v>
          </cell>
          <cell r="I116">
            <v>16981.61</v>
          </cell>
          <cell r="J116">
            <v>92109</v>
          </cell>
          <cell r="K116" t="str">
            <v>MP</v>
          </cell>
        </row>
        <row r="117">
          <cell r="A117" t="str">
            <v>993999-SLR</v>
          </cell>
          <cell r="B117">
            <v>11910</v>
          </cell>
          <cell r="C117">
            <v>875.7</v>
          </cell>
          <cell r="D117">
            <v>11.22</v>
          </cell>
          <cell r="E117">
            <v>477</v>
          </cell>
          <cell r="F117">
            <v>258.60000000000002</v>
          </cell>
          <cell r="G117">
            <v>1124.92</v>
          </cell>
          <cell r="H117">
            <v>2747.44</v>
          </cell>
          <cell r="I117">
            <v>4737.66</v>
          </cell>
          <cell r="J117">
            <v>92056</v>
          </cell>
          <cell r="K117" t="str">
            <v>MP</v>
          </cell>
        </row>
        <row r="118">
          <cell r="A118" t="str">
            <v>994000-SLR</v>
          </cell>
          <cell r="B118">
            <v>12202</v>
          </cell>
          <cell r="C118">
            <v>746.34</v>
          </cell>
          <cell r="D118">
            <v>20.03</v>
          </cell>
          <cell r="E118">
            <v>477</v>
          </cell>
          <cell r="F118">
            <v>256.45999999999998</v>
          </cell>
          <cell r="G118">
            <v>1050.58</v>
          </cell>
          <cell r="H118">
            <v>2550.41</v>
          </cell>
          <cell r="I118">
            <v>4772.01</v>
          </cell>
          <cell r="J118">
            <v>93013</v>
          </cell>
          <cell r="K118" t="str">
            <v>MP</v>
          </cell>
        </row>
        <row r="119">
          <cell r="A119" t="str">
            <v>994001-SLR</v>
          </cell>
          <cell r="B119">
            <v>11780</v>
          </cell>
          <cell r="C119">
            <v>143.13999999999999</v>
          </cell>
          <cell r="D119">
            <v>1.49</v>
          </cell>
          <cell r="E119">
            <v>477</v>
          </cell>
          <cell r="F119">
            <v>148.83000000000001</v>
          </cell>
          <cell r="G119">
            <v>104.41</v>
          </cell>
          <cell r="H119">
            <v>874.87</v>
          </cell>
          <cell r="I119">
            <v>601.16999999999996</v>
          </cell>
          <cell r="J119">
            <v>90971</v>
          </cell>
          <cell r="K119" t="str">
            <v>MP</v>
          </cell>
        </row>
        <row r="120">
          <cell r="A120" t="str">
            <v>994002-SLR</v>
          </cell>
          <cell r="B120">
            <v>11758</v>
          </cell>
          <cell r="C120">
            <v>279.8</v>
          </cell>
          <cell r="D120">
            <v>1.29</v>
          </cell>
          <cell r="E120">
            <v>477</v>
          </cell>
          <cell r="F120">
            <v>165</v>
          </cell>
          <cell r="G120">
            <v>91.59</v>
          </cell>
          <cell r="H120">
            <v>1014.6800000000001</v>
          </cell>
          <cell r="I120">
            <v>373.13</v>
          </cell>
          <cell r="J120">
            <v>91395</v>
          </cell>
          <cell r="K120" t="str">
            <v>MP</v>
          </cell>
        </row>
        <row r="121">
          <cell r="A121" t="str">
            <v>994003-SLR</v>
          </cell>
          <cell r="B121">
            <v>11739</v>
          </cell>
          <cell r="C121">
            <v>206.31</v>
          </cell>
          <cell r="D121">
            <v>2.04</v>
          </cell>
          <cell r="E121">
            <v>477</v>
          </cell>
          <cell r="F121">
            <v>155.02000000000001</v>
          </cell>
          <cell r="G121">
            <v>142.94</v>
          </cell>
          <cell r="H121">
            <v>983.31</v>
          </cell>
          <cell r="I121">
            <v>812.62</v>
          </cell>
          <cell r="J121">
            <v>91814</v>
          </cell>
          <cell r="K121" t="str">
            <v>MP</v>
          </cell>
        </row>
        <row r="122">
          <cell r="A122" t="str">
            <v>994004-SLR</v>
          </cell>
          <cell r="B122">
            <v>11759</v>
          </cell>
          <cell r="C122">
            <v>224.24</v>
          </cell>
          <cell r="D122">
            <v>5.44</v>
          </cell>
          <cell r="E122">
            <v>477</v>
          </cell>
          <cell r="F122">
            <v>193.32</v>
          </cell>
          <cell r="G122">
            <v>517.41</v>
          </cell>
          <cell r="H122">
            <v>1417.4099999999999</v>
          </cell>
          <cell r="I122">
            <v>2493.52</v>
          </cell>
          <cell r="J122">
            <v>92172</v>
          </cell>
          <cell r="K122" t="str">
            <v>MP</v>
          </cell>
        </row>
        <row r="123">
          <cell r="A123" t="str">
            <v>994005-SLR</v>
          </cell>
          <cell r="B123">
            <v>12497</v>
          </cell>
          <cell r="C123">
            <v>2642.09</v>
          </cell>
          <cell r="D123">
            <v>95.53</v>
          </cell>
          <cell r="E123">
            <v>477</v>
          </cell>
          <cell r="F123">
            <v>1985.58</v>
          </cell>
          <cell r="G123">
            <v>14604.93</v>
          </cell>
          <cell r="H123">
            <v>19805.13</v>
          </cell>
          <cell r="I123">
            <v>74072.59</v>
          </cell>
          <cell r="J123">
            <v>90338</v>
          </cell>
          <cell r="K123" t="str">
            <v>MP</v>
          </cell>
        </row>
        <row r="124">
          <cell r="A124" t="str">
            <v>994006-SLR</v>
          </cell>
          <cell r="B124">
            <v>12499</v>
          </cell>
          <cell r="C124">
            <v>261.76</v>
          </cell>
          <cell r="D124">
            <v>9.3000000000000007</v>
          </cell>
          <cell r="E124">
            <v>477</v>
          </cell>
          <cell r="F124">
            <v>235.88</v>
          </cell>
          <cell r="G124">
            <v>599.9</v>
          </cell>
          <cell r="H124">
            <v>1583.84</v>
          </cell>
          <cell r="I124">
            <v>4343.59</v>
          </cell>
          <cell r="J124">
            <v>92076</v>
          </cell>
          <cell r="K124" t="str">
            <v>MP</v>
          </cell>
        </row>
        <row r="125">
          <cell r="A125" t="str">
            <v>994008-SLR</v>
          </cell>
          <cell r="B125">
            <v>11760</v>
          </cell>
          <cell r="C125">
            <v>188.36</v>
          </cell>
          <cell r="D125">
            <v>1.0900000000000001</v>
          </cell>
          <cell r="E125">
            <v>477</v>
          </cell>
          <cell r="F125">
            <v>144.38999999999999</v>
          </cell>
          <cell r="G125">
            <v>104.16</v>
          </cell>
          <cell r="H125">
            <v>915</v>
          </cell>
          <cell r="I125">
            <v>358.78</v>
          </cell>
          <cell r="J125">
            <v>90390</v>
          </cell>
          <cell r="K125" t="str">
            <v>MP</v>
          </cell>
        </row>
        <row r="126">
          <cell r="A126" t="str">
            <v>994009-SLR</v>
          </cell>
          <cell r="B126">
            <v>11911</v>
          </cell>
          <cell r="C126">
            <v>6357.44</v>
          </cell>
          <cell r="D126">
            <v>49.4</v>
          </cell>
          <cell r="E126">
            <v>477</v>
          </cell>
          <cell r="F126">
            <v>812.95</v>
          </cell>
          <cell r="G126">
            <v>5197.72</v>
          </cell>
          <cell r="H126">
            <v>12894.509999999998</v>
          </cell>
          <cell r="I126">
            <v>18344.23</v>
          </cell>
          <cell r="J126">
            <v>90506</v>
          </cell>
          <cell r="K126" t="str">
            <v>MP</v>
          </cell>
        </row>
        <row r="127">
          <cell r="A127" t="str">
            <v>994010-SLR</v>
          </cell>
          <cell r="B127">
            <v>12038</v>
          </cell>
          <cell r="C127">
            <v>244.81</v>
          </cell>
          <cell r="D127">
            <v>3.01</v>
          </cell>
          <cell r="E127">
            <v>477</v>
          </cell>
          <cell r="F127">
            <v>166.06</v>
          </cell>
          <cell r="G127">
            <v>181.39</v>
          </cell>
          <cell r="H127">
            <v>1072.27</v>
          </cell>
          <cell r="I127">
            <v>1263.76</v>
          </cell>
          <cell r="J127">
            <v>92285</v>
          </cell>
          <cell r="K127" t="str">
            <v>MP</v>
          </cell>
        </row>
        <row r="128">
          <cell r="A128" t="str">
            <v>994011-SLR</v>
          </cell>
          <cell r="B128">
            <v>11781</v>
          </cell>
          <cell r="C128">
            <v>146.30000000000001</v>
          </cell>
          <cell r="D128">
            <v>51.1</v>
          </cell>
          <cell r="E128">
            <v>477</v>
          </cell>
          <cell r="F128">
            <v>832.14</v>
          </cell>
          <cell r="G128">
            <v>3584.57</v>
          </cell>
          <cell r="H128">
            <v>5091.1100000000006</v>
          </cell>
          <cell r="I128">
            <v>25406.639999999999</v>
          </cell>
          <cell r="J128">
            <v>93043</v>
          </cell>
          <cell r="K128" t="str">
            <v>MP</v>
          </cell>
        </row>
        <row r="129">
          <cell r="A129" t="str">
            <v>994015-SLR</v>
          </cell>
          <cell r="B129">
            <v>11761</v>
          </cell>
          <cell r="C129">
            <v>197.33</v>
          </cell>
          <cell r="D129">
            <v>4.9000000000000004</v>
          </cell>
          <cell r="E129">
            <v>477</v>
          </cell>
          <cell r="F129">
            <v>187.28</v>
          </cell>
          <cell r="G129">
            <v>343.63</v>
          </cell>
          <cell r="H129">
            <v>1210.1399999999999</v>
          </cell>
          <cell r="I129">
            <v>2252.2399999999998</v>
          </cell>
          <cell r="J129">
            <v>93157</v>
          </cell>
          <cell r="K129" t="str">
            <v>MP</v>
          </cell>
        </row>
        <row r="130">
          <cell r="A130" t="str">
            <v>994016-SLR</v>
          </cell>
          <cell r="B130">
            <v>11991</v>
          </cell>
          <cell r="C130">
            <v>305.22000000000003</v>
          </cell>
          <cell r="D130">
            <v>94.1</v>
          </cell>
          <cell r="E130">
            <v>477</v>
          </cell>
          <cell r="F130">
            <v>1316.78</v>
          </cell>
          <cell r="G130">
            <v>8844.67</v>
          </cell>
          <cell r="H130">
            <v>11037.77</v>
          </cell>
          <cell r="I130">
            <v>46744.28</v>
          </cell>
          <cell r="J130">
            <v>93285</v>
          </cell>
          <cell r="K130" t="str">
            <v>MP</v>
          </cell>
        </row>
        <row r="131">
          <cell r="A131" t="str">
            <v>994020-SLR</v>
          </cell>
          <cell r="B131">
            <v>11782</v>
          </cell>
          <cell r="C131">
            <v>187.87</v>
          </cell>
          <cell r="D131">
            <v>12.4</v>
          </cell>
          <cell r="E131">
            <v>477</v>
          </cell>
          <cell r="F131">
            <v>283.48</v>
          </cell>
          <cell r="G131">
            <v>310.60000000000002</v>
          </cell>
          <cell r="H131">
            <v>1271.3499999999999</v>
          </cell>
          <cell r="I131">
            <v>6011.71</v>
          </cell>
          <cell r="J131">
            <v>92249</v>
          </cell>
          <cell r="K131" t="str">
            <v>MP</v>
          </cell>
        </row>
        <row r="132">
          <cell r="A132" t="str">
            <v>994021-SLR</v>
          </cell>
          <cell r="B132">
            <v>11762</v>
          </cell>
          <cell r="C132">
            <v>188.36</v>
          </cell>
          <cell r="D132">
            <v>10.17</v>
          </cell>
          <cell r="E132">
            <v>477</v>
          </cell>
          <cell r="F132">
            <v>246.71</v>
          </cell>
          <cell r="G132">
            <v>968.22</v>
          </cell>
          <cell r="H132">
            <v>1890.46</v>
          </cell>
          <cell r="I132">
            <v>4897.3500000000004</v>
          </cell>
          <cell r="J132">
            <v>91471</v>
          </cell>
          <cell r="K132" t="str">
            <v>MP</v>
          </cell>
        </row>
        <row r="133">
          <cell r="A133" t="str">
            <v>994023-SLR</v>
          </cell>
          <cell r="B133">
            <v>11994</v>
          </cell>
          <cell r="C133">
            <v>202.68</v>
          </cell>
          <cell r="D133">
            <v>0.78</v>
          </cell>
          <cell r="E133">
            <v>477</v>
          </cell>
          <cell r="F133">
            <v>145.44999999999999</v>
          </cell>
          <cell r="G133">
            <v>113.15</v>
          </cell>
          <cell r="H133">
            <v>939.06000000000006</v>
          </cell>
          <cell r="I133">
            <v>391.69</v>
          </cell>
          <cell r="J133">
            <v>90402</v>
          </cell>
          <cell r="K133" t="str">
            <v>MP</v>
          </cell>
        </row>
        <row r="134">
          <cell r="A134" t="str">
            <v>994024-SLR</v>
          </cell>
          <cell r="B134">
            <v>11912</v>
          </cell>
          <cell r="C134">
            <v>199.84</v>
          </cell>
          <cell r="D134">
            <v>11.4</v>
          </cell>
          <cell r="E134">
            <v>477</v>
          </cell>
          <cell r="F134">
            <v>261.43</v>
          </cell>
          <cell r="G134">
            <v>1086.1199999999999</v>
          </cell>
          <cell r="H134">
            <v>2035.79</v>
          </cell>
          <cell r="I134">
            <v>5505.18</v>
          </cell>
          <cell r="J134">
            <v>90402</v>
          </cell>
          <cell r="K134" t="str">
            <v>MP</v>
          </cell>
        </row>
        <row r="135">
          <cell r="A135" t="str">
            <v>994025-SLR</v>
          </cell>
          <cell r="B135">
            <v>12107</v>
          </cell>
          <cell r="C135">
            <v>147.63</v>
          </cell>
          <cell r="D135">
            <v>76.03</v>
          </cell>
          <cell r="E135">
            <v>477</v>
          </cell>
          <cell r="F135">
            <v>1113.0999999999999</v>
          </cell>
          <cell r="G135">
            <v>5332.78</v>
          </cell>
          <cell r="H135">
            <v>7146.5399999999991</v>
          </cell>
          <cell r="I135">
            <v>37867.61</v>
          </cell>
          <cell r="J135">
            <v>92018</v>
          </cell>
          <cell r="K135" t="str">
            <v>MP</v>
          </cell>
        </row>
        <row r="136">
          <cell r="A136" t="str">
            <v>994026-SLR</v>
          </cell>
          <cell r="B136">
            <v>12065</v>
          </cell>
          <cell r="C136">
            <v>22859.119999999999</v>
          </cell>
          <cell r="D136">
            <v>145.94999999999999</v>
          </cell>
          <cell r="E136">
            <v>477</v>
          </cell>
          <cell r="F136">
            <v>1901.31</v>
          </cell>
          <cell r="G136">
            <v>9040.42</v>
          </cell>
          <cell r="H136">
            <v>34423.800000000003</v>
          </cell>
          <cell r="I136">
            <v>50118.01</v>
          </cell>
          <cell r="J136">
            <v>93001</v>
          </cell>
          <cell r="K136" t="str">
            <v>MP</v>
          </cell>
        </row>
        <row r="137">
          <cell r="A137" t="str">
            <v>994027-SLR</v>
          </cell>
          <cell r="B137">
            <v>11914</v>
          </cell>
          <cell r="C137">
            <v>432.65</v>
          </cell>
          <cell r="D137">
            <v>42.03</v>
          </cell>
          <cell r="E137">
            <v>477</v>
          </cell>
          <cell r="F137">
            <v>729.81</v>
          </cell>
          <cell r="G137">
            <v>2175.5500000000002</v>
          </cell>
          <cell r="H137">
            <v>3857.04</v>
          </cell>
          <cell r="I137">
            <v>20581.490000000002</v>
          </cell>
          <cell r="J137">
            <v>90061</v>
          </cell>
          <cell r="K137" t="str">
            <v>MP</v>
          </cell>
        </row>
        <row r="138">
          <cell r="A138" t="str">
            <v>994028-SLR</v>
          </cell>
          <cell r="B138">
            <v>12068</v>
          </cell>
          <cell r="C138">
            <v>3416.71</v>
          </cell>
          <cell r="D138">
            <v>21.49</v>
          </cell>
          <cell r="E138">
            <v>477</v>
          </cell>
          <cell r="F138">
            <v>485.9</v>
          </cell>
          <cell r="G138">
            <v>1398.99</v>
          </cell>
          <cell r="H138">
            <v>5800.0899999999992</v>
          </cell>
          <cell r="I138">
            <v>7323.23</v>
          </cell>
          <cell r="J138">
            <v>93038</v>
          </cell>
          <cell r="K138" t="str">
            <v>MP</v>
          </cell>
        </row>
        <row r="139">
          <cell r="A139" t="str">
            <v>994030-SLR</v>
          </cell>
          <cell r="B139">
            <v>12452</v>
          </cell>
          <cell r="C139">
            <v>1397.36</v>
          </cell>
          <cell r="D139">
            <v>8.33</v>
          </cell>
          <cell r="E139">
            <v>477</v>
          </cell>
          <cell r="F139">
            <v>225.97</v>
          </cell>
          <cell r="G139">
            <v>542.64</v>
          </cell>
          <cell r="H139">
            <v>2651.2999999999997</v>
          </cell>
          <cell r="I139">
            <v>2768.43</v>
          </cell>
          <cell r="J139">
            <v>93049</v>
          </cell>
          <cell r="K139" t="str">
            <v>MP</v>
          </cell>
        </row>
        <row r="140">
          <cell r="A140" t="str">
            <v>994031-SLR</v>
          </cell>
          <cell r="B140">
            <v>11763</v>
          </cell>
          <cell r="C140">
            <v>188.36</v>
          </cell>
          <cell r="D140">
            <v>1.0900000000000001</v>
          </cell>
          <cell r="E140">
            <v>477</v>
          </cell>
          <cell r="F140">
            <v>144.38999999999999</v>
          </cell>
          <cell r="G140">
            <v>104.16</v>
          </cell>
          <cell r="H140">
            <v>915</v>
          </cell>
          <cell r="I140">
            <v>358.78</v>
          </cell>
          <cell r="J140">
            <v>90390</v>
          </cell>
          <cell r="K140" t="str">
            <v>MP</v>
          </cell>
        </row>
        <row r="141">
          <cell r="A141" t="str">
            <v>994032-SLR</v>
          </cell>
          <cell r="B141">
            <v>12325</v>
          </cell>
          <cell r="C141">
            <v>1830.82</v>
          </cell>
          <cell r="D141">
            <v>74.36</v>
          </cell>
          <cell r="E141">
            <v>477</v>
          </cell>
          <cell r="F141">
            <v>0</v>
          </cell>
          <cell r="G141">
            <v>6107.66</v>
          </cell>
          <cell r="H141">
            <v>8489.84</v>
          </cell>
          <cell r="I141">
            <v>37178.720000000001</v>
          </cell>
          <cell r="J141">
            <v>92243</v>
          </cell>
          <cell r="K141" t="str">
            <v>MP</v>
          </cell>
        </row>
        <row r="142">
          <cell r="A142" t="str">
            <v>994033-SLR</v>
          </cell>
          <cell r="B142">
            <v>12206</v>
          </cell>
          <cell r="C142">
            <v>7177.82</v>
          </cell>
          <cell r="D142">
            <v>43.47</v>
          </cell>
          <cell r="E142">
            <v>477</v>
          </cell>
          <cell r="F142">
            <v>746.01</v>
          </cell>
          <cell r="G142">
            <v>4572.95</v>
          </cell>
          <cell r="H142">
            <v>13017.25</v>
          </cell>
          <cell r="I142">
            <v>14554.65</v>
          </cell>
          <cell r="J142">
            <v>91365</v>
          </cell>
          <cell r="K142" t="str">
            <v>MP</v>
          </cell>
        </row>
        <row r="143">
          <cell r="A143" t="str">
            <v>994034-SLR</v>
          </cell>
          <cell r="B143">
            <v>12208</v>
          </cell>
          <cell r="C143">
            <v>147.81</v>
          </cell>
          <cell r="D143">
            <v>14.15</v>
          </cell>
          <cell r="E143">
            <v>477</v>
          </cell>
          <cell r="F143">
            <v>255.99</v>
          </cell>
          <cell r="G143">
            <v>992.66</v>
          </cell>
          <cell r="H143">
            <v>1887.6100000000001</v>
          </cell>
          <cell r="I143">
            <v>6928.5</v>
          </cell>
          <cell r="J143">
            <v>91979</v>
          </cell>
          <cell r="K143" t="str">
            <v>MP</v>
          </cell>
        </row>
        <row r="144">
          <cell r="A144" t="str">
            <v>994035-SLR</v>
          </cell>
          <cell r="B144">
            <v>11740</v>
          </cell>
          <cell r="C144">
            <v>197.07</v>
          </cell>
          <cell r="D144">
            <v>1.68</v>
          </cell>
          <cell r="E144">
            <v>477</v>
          </cell>
          <cell r="F144">
            <v>150.93</v>
          </cell>
          <cell r="G144">
            <v>159.47</v>
          </cell>
          <cell r="H144">
            <v>986.15000000000009</v>
          </cell>
          <cell r="I144">
            <v>640.54999999999995</v>
          </cell>
          <cell r="J144">
            <v>91591</v>
          </cell>
          <cell r="K144" t="str">
            <v>MP</v>
          </cell>
        </row>
        <row r="145">
          <cell r="A145" t="str">
            <v>994036-SLR</v>
          </cell>
          <cell r="B145">
            <v>12209</v>
          </cell>
          <cell r="C145">
            <v>194</v>
          </cell>
          <cell r="D145">
            <v>15.17</v>
          </cell>
          <cell r="E145">
            <v>477</v>
          </cell>
          <cell r="F145">
            <v>345.23</v>
          </cell>
          <cell r="G145">
            <v>1063.94</v>
          </cell>
          <cell r="H145">
            <v>2095.34</v>
          </cell>
          <cell r="I145">
            <v>7390.4</v>
          </cell>
          <cell r="J145">
            <v>92190</v>
          </cell>
          <cell r="K145" t="str">
            <v>MP</v>
          </cell>
        </row>
        <row r="146">
          <cell r="A146" t="str">
            <v>994037-SLR</v>
          </cell>
          <cell r="B146">
            <v>11841</v>
          </cell>
          <cell r="C146">
            <v>329.93</v>
          </cell>
          <cell r="D146">
            <v>103.04</v>
          </cell>
          <cell r="E146">
            <v>477</v>
          </cell>
          <cell r="F146">
            <v>1417.58</v>
          </cell>
          <cell r="G146">
            <v>7227.33</v>
          </cell>
          <cell r="H146">
            <v>9554.880000000001</v>
          </cell>
          <cell r="I146">
            <v>51190.8</v>
          </cell>
          <cell r="J146">
            <v>93227</v>
          </cell>
          <cell r="K146" t="str">
            <v>MP</v>
          </cell>
        </row>
        <row r="147">
          <cell r="A147" t="str">
            <v>994038-SLR</v>
          </cell>
          <cell r="B147">
            <v>12210</v>
          </cell>
          <cell r="C147">
            <v>1200.2</v>
          </cell>
          <cell r="D147">
            <v>38.97</v>
          </cell>
          <cell r="E147">
            <v>477</v>
          </cell>
          <cell r="F147">
            <v>695.48</v>
          </cell>
          <cell r="G147">
            <v>2343.65</v>
          </cell>
          <cell r="H147">
            <v>4755.3</v>
          </cell>
          <cell r="I147">
            <v>18291.240000000002</v>
          </cell>
          <cell r="J147">
            <v>93072</v>
          </cell>
          <cell r="K147" t="str">
            <v>MP</v>
          </cell>
        </row>
        <row r="148">
          <cell r="A148" t="str">
            <v>994045-SLR</v>
          </cell>
          <cell r="B148">
            <v>11764</v>
          </cell>
          <cell r="C148">
            <v>224.24</v>
          </cell>
          <cell r="D148">
            <v>3.16</v>
          </cell>
          <cell r="E148">
            <v>477</v>
          </cell>
          <cell r="F148">
            <v>167.6</v>
          </cell>
          <cell r="G148">
            <v>300.41000000000003</v>
          </cell>
          <cell r="H148">
            <v>1172.4100000000001</v>
          </cell>
          <cell r="I148">
            <v>1353.68</v>
          </cell>
          <cell r="J148">
            <v>92028</v>
          </cell>
          <cell r="K148" t="str">
            <v>MP</v>
          </cell>
        </row>
        <row r="149">
          <cell r="A149" t="str">
            <v>994046-SLR</v>
          </cell>
          <cell r="B149">
            <v>11995</v>
          </cell>
          <cell r="C149">
            <v>213.76</v>
          </cell>
          <cell r="D149">
            <v>45.78</v>
          </cell>
          <cell r="E149">
            <v>477</v>
          </cell>
          <cell r="F149">
            <v>540.39</v>
          </cell>
          <cell r="G149">
            <v>2401.08</v>
          </cell>
          <cell r="H149">
            <v>3678.0099999999998</v>
          </cell>
          <cell r="I149">
            <v>12398.27</v>
          </cell>
          <cell r="J149">
            <v>90686</v>
          </cell>
          <cell r="K149" t="str">
            <v>MP</v>
          </cell>
        </row>
        <row r="150">
          <cell r="A150" t="str">
            <v>994048-SLR</v>
          </cell>
          <cell r="B150">
            <v>11784</v>
          </cell>
          <cell r="C150">
            <v>997.91</v>
          </cell>
          <cell r="D150">
            <v>34.229999999999997</v>
          </cell>
          <cell r="E150">
            <v>477</v>
          </cell>
          <cell r="F150">
            <v>641.95000000000005</v>
          </cell>
          <cell r="G150">
            <v>3258.7</v>
          </cell>
          <cell r="H150">
            <v>5409.79</v>
          </cell>
          <cell r="I150">
            <v>16118.9</v>
          </cell>
          <cell r="J150">
            <v>91178</v>
          </cell>
          <cell r="K150" t="str">
            <v>MP</v>
          </cell>
        </row>
        <row r="151">
          <cell r="A151" t="str">
            <v>994049-SLR</v>
          </cell>
          <cell r="B151">
            <v>12190</v>
          </cell>
          <cell r="C151">
            <v>339.96</v>
          </cell>
          <cell r="D151">
            <v>5.34</v>
          </cell>
          <cell r="E151">
            <v>477</v>
          </cell>
          <cell r="F151">
            <v>192.2</v>
          </cell>
          <cell r="G151">
            <v>507.92</v>
          </cell>
          <cell r="H151">
            <v>1522.42</v>
          </cell>
          <cell r="I151">
            <v>2327.98</v>
          </cell>
          <cell r="J151">
            <v>90013</v>
          </cell>
          <cell r="K151" t="str">
            <v>MP</v>
          </cell>
        </row>
        <row r="152">
          <cell r="A152" t="str">
            <v>994050-SLR</v>
          </cell>
          <cell r="B152">
            <v>11916</v>
          </cell>
          <cell r="C152">
            <v>177.62</v>
          </cell>
          <cell r="D152">
            <v>23.68</v>
          </cell>
          <cell r="E152">
            <v>477</v>
          </cell>
          <cell r="F152">
            <v>522.9</v>
          </cell>
          <cell r="G152">
            <v>1660.43</v>
          </cell>
          <cell r="H152">
            <v>2861.63</v>
          </cell>
          <cell r="I152">
            <v>11658.88</v>
          </cell>
          <cell r="J152">
            <v>91682</v>
          </cell>
          <cell r="K152" t="str">
            <v>MP</v>
          </cell>
        </row>
        <row r="153">
          <cell r="A153" t="str">
            <v>994051-SLR</v>
          </cell>
          <cell r="B153">
            <v>12069</v>
          </cell>
          <cell r="C153">
            <v>180.31</v>
          </cell>
          <cell r="D153">
            <v>12.35</v>
          </cell>
          <cell r="E153">
            <v>477</v>
          </cell>
          <cell r="F153">
            <v>282.2</v>
          </cell>
          <cell r="G153">
            <v>865.81</v>
          </cell>
          <cell r="H153">
            <v>1817.6699999999998</v>
          </cell>
          <cell r="I153">
            <v>5991.73</v>
          </cell>
          <cell r="J153">
            <v>93023</v>
          </cell>
          <cell r="K153" t="str">
            <v>MP</v>
          </cell>
        </row>
        <row r="154">
          <cell r="A154" t="str">
            <v>994052-SLR</v>
          </cell>
          <cell r="B154">
            <v>11766</v>
          </cell>
          <cell r="C154">
            <v>179.39</v>
          </cell>
          <cell r="D154">
            <v>24.4</v>
          </cell>
          <cell r="E154">
            <v>477</v>
          </cell>
          <cell r="F154">
            <v>531.07000000000005</v>
          </cell>
          <cell r="G154">
            <v>2322.36</v>
          </cell>
          <cell r="H154">
            <v>3534.2200000000003</v>
          </cell>
          <cell r="I154">
            <v>12019.13</v>
          </cell>
          <cell r="J154">
            <v>92116</v>
          </cell>
          <cell r="K154" t="str">
            <v>MP</v>
          </cell>
        </row>
        <row r="155">
          <cell r="A155" t="str">
            <v>994053-SLR</v>
          </cell>
          <cell r="B155">
            <v>12149</v>
          </cell>
          <cell r="C155">
            <v>505.54</v>
          </cell>
          <cell r="D155">
            <v>7.7</v>
          </cell>
          <cell r="E155">
            <v>477</v>
          </cell>
          <cell r="F155">
            <v>218.3</v>
          </cell>
          <cell r="G155">
            <v>651.69000000000005</v>
          </cell>
          <cell r="H155">
            <v>1860.23</v>
          </cell>
          <cell r="I155">
            <v>3320.23</v>
          </cell>
          <cell r="J155">
            <v>91868</v>
          </cell>
          <cell r="K155" t="str">
            <v>MP</v>
          </cell>
        </row>
        <row r="156">
          <cell r="A156" t="str">
            <v>994054-SLR</v>
          </cell>
          <cell r="B156">
            <v>12108</v>
          </cell>
          <cell r="C156">
            <v>370.24</v>
          </cell>
          <cell r="D156">
            <v>0.85</v>
          </cell>
          <cell r="E156">
            <v>477</v>
          </cell>
          <cell r="F156">
            <v>141.52000000000001</v>
          </cell>
          <cell r="G156">
            <v>79.97</v>
          </cell>
          <cell r="H156">
            <v>1069.58</v>
          </cell>
          <cell r="I156">
            <v>49.83</v>
          </cell>
          <cell r="J156">
            <v>91250</v>
          </cell>
          <cell r="K156" t="str">
            <v>MP</v>
          </cell>
        </row>
        <row r="157">
          <cell r="A157" t="str">
            <v>994055-SLR</v>
          </cell>
          <cell r="B157">
            <v>12109</v>
          </cell>
          <cell r="C157">
            <v>499.11</v>
          </cell>
          <cell r="D157">
            <v>8.84</v>
          </cell>
          <cell r="E157">
            <v>477</v>
          </cell>
          <cell r="F157">
            <v>231.55</v>
          </cell>
          <cell r="G157">
            <v>574.87</v>
          </cell>
          <cell r="H157">
            <v>1791.37</v>
          </cell>
          <cell r="I157">
            <v>3914.09</v>
          </cell>
          <cell r="J157">
            <v>92107</v>
          </cell>
          <cell r="K157" t="str">
            <v>MP</v>
          </cell>
        </row>
        <row r="158">
          <cell r="A158" t="str">
            <v>994056-SLR</v>
          </cell>
          <cell r="B158">
            <v>12340</v>
          </cell>
          <cell r="C158">
            <v>1384.81</v>
          </cell>
          <cell r="D158">
            <v>2440.5100000000002</v>
          </cell>
          <cell r="E158">
            <v>477</v>
          </cell>
          <cell r="F158">
            <v>3561.37</v>
          </cell>
          <cell r="G158">
            <v>27911.64</v>
          </cell>
          <cell r="H158">
            <v>35775.33</v>
          </cell>
          <cell r="I158">
            <v>145225.32</v>
          </cell>
          <cell r="J158">
            <v>93020</v>
          </cell>
          <cell r="K158" t="str">
            <v>MP</v>
          </cell>
        </row>
        <row r="159">
          <cell r="A159" t="str">
            <v>994057-SLR</v>
          </cell>
          <cell r="B159">
            <v>11811</v>
          </cell>
          <cell r="C159">
            <v>144.56</v>
          </cell>
          <cell r="D159">
            <v>0.22</v>
          </cell>
          <cell r="E159">
            <v>477</v>
          </cell>
          <cell r="F159">
            <v>137.80000000000001</v>
          </cell>
          <cell r="G159">
            <v>48.56</v>
          </cell>
          <cell r="H159">
            <v>808.13999999999987</v>
          </cell>
          <cell r="I159">
            <v>110.5</v>
          </cell>
          <cell r="J159">
            <v>92003</v>
          </cell>
          <cell r="K159" t="str">
            <v>MP</v>
          </cell>
        </row>
        <row r="160">
          <cell r="A160" t="str">
            <v>994058-SLR</v>
          </cell>
          <cell r="B160">
            <v>12191</v>
          </cell>
          <cell r="C160">
            <v>116.14</v>
          </cell>
          <cell r="D160">
            <v>270.49</v>
          </cell>
          <cell r="E160">
            <v>477</v>
          </cell>
          <cell r="F160">
            <v>158.66999999999999</v>
          </cell>
          <cell r="G160">
            <v>165.63</v>
          </cell>
          <cell r="H160">
            <v>1187.9299999999998</v>
          </cell>
          <cell r="I160">
            <v>1064.58</v>
          </cell>
          <cell r="J160">
            <v>90809</v>
          </cell>
          <cell r="K160" t="str">
            <v>MP</v>
          </cell>
        </row>
        <row r="161">
          <cell r="A161" t="str">
            <v>994059-SLR</v>
          </cell>
          <cell r="B161">
            <v>11801</v>
          </cell>
          <cell r="C161">
            <v>821.17</v>
          </cell>
          <cell r="D161">
            <v>13.69</v>
          </cell>
          <cell r="E161">
            <v>477</v>
          </cell>
          <cell r="F161">
            <v>312.45</v>
          </cell>
          <cell r="G161">
            <v>1441.23</v>
          </cell>
          <cell r="H161">
            <v>3065.54</v>
          </cell>
          <cell r="I161">
            <v>6028.13</v>
          </cell>
          <cell r="J161">
            <v>91375</v>
          </cell>
          <cell r="K161" t="str">
            <v>MP</v>
          </cell>
        </row>
        <row r="162">
          <cell r="A162" t="str">
            <v>994060-SLR</v>
          </cell>
          <cell r="B162">
            <v>12746</v>
          </cell>
          <cell r="C162">
            <v>175.36</v>
          </cell>
          <cell r="D162">
            <v>1.72</v>
          </cell>
          <cell r="E162">
            <v>477</v>
          </cell>
          <cell r="F162">
            <v>135</v>
          </cell>
          <cell r="G162">
            <v>87</v>
          </cell>
          <cell r="H162">
            <v>876.08</v>
          </cell>
          <cell r="I162">
            <v>281.60000000000002</v>
          </cell>
          <cell r="J162">
            <v>93013</v>
          </cell>
          <cell r="K162" t="str">
            <v>MP</v>
          </cell>
        </row>
        <row r="163">
          <cell r="A163" t="str">
            <v>994061-SLR</v>
          </cell>
          <cell r="B163">
            <v>12608</v>
          </cell>
          <cell r="C163">
            <v>223.83</v>
          </cell>
          <cell r="D163">
            <v>76.7</v>
          </cell>
          <cell r="E163">
            <v>477</v>
          </cell>
          <cell r="F163">
            <v>728.72</v>
          </cell>
          <cell r="G163">
            <v>3991.48</v>
          </cell>
          <cell r="H163">
            <v>5497.73</v>
          </cell>
          <cell r="I163">
            <v>20742.02</v>
          </cell>
          <cell r="J163">
            <v>90686</v>
          </cell>
          <cell r="K163" t="str">
            <v>MP</v>
          </cell>
        </row>
        <row r="164">
          <cell r="A164" t="str">
            <v>994062-SLR</v>
          </cell>
          <cell r="B164">
            <v>11917</v>
          </cell>
          <cell r="C164">
            <v>1020.48</v>
          </cell>
          <cell r="D164">
            <v>21.17</v>
          </cell>
          <cell r="E164">
            <v>477</v>
          </cell>
          <cell r="F164">
            <v>479</v>
          </cell>
          <cell r="G164">
            <v>1802.95</v>
          </cell>
          <cell r="H164">
            <v>3800.6000000000004</v>
          </cell>
          <cell r="I164">
            <v>9563.93</v>
          </cell>
          <cell r="J164">
            <v>91491</v>
          </cell>
          <cell r="K164" t="str">
            <v>MP</v>
          </cell>
        </row>
        <row r="165">
          <cell r="A165" t="str">
            <v>994063-SLR</v>
          </cell>
          <cell r="B165">
            <v>12271</v>
          </cell>
          <cell r="C165">
            <v>214.82</v>
          </cell>
          <cell r="D165">
            <v>37.020000000000003</v>
          </cell>
          <cell r="E165">
            <v>477</v>
          </cell>
          <cell r="F165">
            <v>678.21</v>
          </cell>
          <cell r="G165">
            <v>3564.94</v>
          </cell>
          <cell r="H165">
            <v>4971.99</v>
          </cell>
          <cell r="I165">
            <v>18511</v>
          </cell>
          <cell r="J165">
            <v>91792</v>
          </cell>
          <cell r="K165" t="str">
            <v>MP</v>
          </cell>
        </row>
        <row r="166">
          <cell r="A166" t="str">
            <v>994064-SLR</v>
          </cell>
          <cell r="B166">
            <v>11785</v>
          </cell>
          <cell r="C166">
            <v>196.81</v>
          </cell>
          <cell r="D166">
            <v>11.83</v>
          </cell>
          <cell r="E166">
            <v>477</v>
          </cell>
          <cell r="F166">
            <v>270.55</v>
          </cell>
          <cell r="G166">
            <v>177.65</v>
          </cell>
          <cell r="H166">
            <v>1133.8400000000001</v>
          </cell>
          <cell r="I166">
            <v>5712.92</v>
          </cell>
          <cell r="J166">
            <v>93173</v>
          </cell>
          <cell r="K166" t="str">
            <v>MP</v>
          </cell>
        </row>
        <row r="167">
          <cell r="A167" t="str">
            <v>994066-SLR</v>
          </cell>
          <cell r="B167">
            <v>12216</v>
          </cell>
          <cell r="C167">
            <v>6408.72</v>
          </cell>
          <cell r="D167">
            <v>51.03</v>
          </cell>
          <cell r="E167">
            <v>477</v>
          </cell>
          <cell r="F167">
            <v>831.25</v>
          </cell>
          <cell r="G167">
            <v>3067.72</v>
          </cell>
          <cell r="H167">
            <v>10835.72</v>
          </cell>
          <cell r="I167">
            <v>19104.54</v>
          </cell>
          <cell r="J167">
            <v>93114</v>
          </cell>
          <cell r="K167" t="str">
            <v>MP</v>
          </cell>
        </row>
        <row r="168">
          <cell r="A168" t="str">
            <v>994067-SLR</v>
          </cell>
          <cell r="B168">
            <v>12150</v>
          </cell>
          <cell r="C168">
            <v>6714.35</v>
          </cell>
          <cell r="D168">
            <v>100.16</v>
          </cell>
          <cell r="E168">
            <v>477</v>
          </cell>
          <cell r="F168">
            <v>1385.03</v>
          </cell>
          <cell r="G168">
            <v>7285.07</v>
          </cell>
          <cell r="H168">
            <v>15961.61</v>
          </cell>
          <cell r="I168">
            <v>43362.32</v>
          </cell>
          <cell r="J168">
            <v>92233</v>
          </cell>
          <cell r="K168" t="str">
            <v>MP</v>
          </cell>
        </row>
        <row r="169">
          <cell r="A169" t="str">
            <v>994072-SLR</v>
          </cell>
          <cell r="B169">
            <v>11996</v>
          </cell>
          <cell r="C169">
            <v>634.92999999999995</v>
          </cell>
          <cell r="D169">
            <v>16.010000000000002</v>
          </cell>
          <cell r="E169">
            <v>477</v>
          </cell>
          <cell r="F169">
            <v>396</v>
          </cell>
          <cell r="G169">
            <v>1048.8499999999999</v>
          </cell>
          <cell r="H169">
            <v>2572.79</v>
          </cell>
          <cell r="I169">
            <v>8088.05</v>
          </cell>
          <cell r="J169">
            <v>93136</v>
          </cell>
          <cell r="K169" t="str">
            <v>MP</v>
          </cell>
        </row>
        <row r="170">
          <cell r="A170" t="str">
            <v>994073-SLR</v>
          </cell>
          <cell r="B170">
            <v>11918</v>
          </cell>
          <cell r="C170">
            <v>255.04</v>
          </cell>
          <cell r="D170">
            <v>2.2200000000000002</v>
          </cell>
          <cell r="E170">
            <v>477</v>
          </cell>
          <cell r="F170">
            <v>157.16</v>
          </cell>
          <cell r="G170">
            <v>212.06</v>
          </cell>
          <cell r="H170">
            <v>1103.48</v>
          </cell>
          <cell r="I170">
            <v>858.84</v>
          </cell>
          <cell r="J170">
            <v>91591</v>
          </cell>
          <cell r="K170" t="str">
            <v>MP</v>
          </cell>
        </row>
        <row r="171">
          <cell r="A171" t="str">
            <v>994074-SLR</v>
          </cell>
          <cell r="B171">
            <v>11997</v>
          </cell>
          <cell r="C171">
            <v>703.71</v>
          </cell>
          <cell r="D171">
            <v>8.85</v>
          </cell>
          <cell r="E171">
            <v>477</v>
          </cell>
          <cell r="F171">
            <v>247.73</v>
          </cell>
          <cell r="G171">
            <v>668.35</v>
          </cell>
          <cell r="H171">
            <v>2105.64</v>
          </cell>
          <cell r="I171">
            <v>4427.22</v>
          </cell>
          <cell r="J171">
            <v>90219</v>
          </cell>
          <cell r="K171" t="str">
            <v>MP</v>
          </cell>
        </row>
        <row r="172">
          <cell r="A172" t="str">
            <v>994075-SLR</v>
          </cell>
          <cell r="B172">
            <v>11765</v>
          </cell>
          <cell r="C172">
            <v>179.39</v>
          </cell>
          <cell r="D172">
            <v>28.22</v>
          </cell>
          <cell r="E172">
            <v>477</v>
          </cell>
          <cell r="F172">
            <v>574.16</v>
          </cell>
          <cell r="G172">
            <v>2686.28</v>
          </cell>
          <cell r="H172">
            <v>3945.05</v>
          </cell>
          <cell r="I172">
            <v>13930.71</v>
          </cell>
          <cell r="J172">
            <v>92116</v>
          </cell>
          <cell r="K172" t="str">
            <v>MP</v>
          </cell>
        </row>
        <row r="173">
          <cell r="A173" t="str">
            <v>994076-SLR</v>
          </cell>
          <cell r="B173">
            <v>12070</v>
          </cell>
          <cell r="C173">
            <v>217.29</v>
          </cell>
          <cell r="D173">
            <v>17.75</v>
          </cell>
          <cell r="E173">
            <v>477</v>
          </cell>
          <cell r="F173">
            <v>402.15</v>
          </cell>
          <cell r="G173">
            <v>984.99</v>
          </cell>
          <cell r="H173">
            <v>2099.1800000000003</v>
          </cell>
          <cell r="I173">
            <v>8658.42</v>
          </cell>
          <cell r="J173">
            <v>90083</v>
          </cell>
          <cell r="K173" t="str">
            <v>MP</v>
          </cell>
        </row>
        <row r="174">
          <cell r="A174" t="str">
            <v>994077-SLR</v>
          </cell>
          <cell r="B174">
            <v>11919</v>
          </cell>
          <cell r="C174">
            <v>146.22</v>
          </cell>
          <cell r="D174">
            <v>28.08</v>
          </cell>
          <cell r="E174">
            <v>477</v>
          </cell>
          <cell r="F174">
            <v>572.53</v>
          </cell>
          <cell r="G174">
            <v>1969.18</v>
          </cell>
          <cell r="H174">
            <v>3193.01</v>
          </cell>
          <cell r="I174">
            <v>13891.28</v>
          </cell>
          <cell r="J174">
            <v>90485</v>
          </cell>
          <cell r="K174" t="str">
            <v>MP</v>
          </cell>
        </row>
        <row r="175">
          <cell r="A175" t="str">
            <v>994078-SLR</v>
          </cell>
          <cell r="B175">
            <v>12453</v>
          </cell>
          <cell r="C175">
            <v>276.83</v>
          </cell>
          <cell r="D175">
            <v>97.29</v>
          </cell>
          <cell r="E175">
            <v>477</v>
          </cell>
          <cell r="F175">
            <v>1359.02</v>
          </cell>
          <cell r="G175">
            <v>6862.91</v>
          </cell>
          <cell r="H175">
            <v>9073.0499999999993</v>
          </cell>
          <cell r="I175">
            <v>48646.66</v>
          </cell>
          <cell r="J175">
            <v>93023</v>
          </cell>
          <cell r="K175" t="str">
            <v>MP</v>
          </cell>
        </row>
        <row r="176">
          <cell r="A176" t="str">
            <v>994079-SLR</v>
          </cell>
          <cell r="B176">
            <v>12110</v>
          </cell>
          <cell r="C176">
            <v>179.93</v>
          </cell>
          <cell r="D176">
            <v>31.37</v>
          </cell>
          <cell r="E176">
            <v>477</v>
          </cell>
          <cell r="F176">
            <v>609.58000000000004</v>
          </cell>
          <cell r="G176">
            <v>2199.7800000000002</v>
          </cell>
          <cell r="H176">
            <v>3497.6600000000003</v>
          </cell>
          <cell r="I176">
            <v>15501.36</v>
          </cell>
          <cell r="J176">
            <v>90236</v>
          </cell>
          <cell r="K176" t="str">
            <v>MP</v>
          </cell>
        </row>
        <row r="177">
          <cell r="A177" t="str">
            <v>994080-SLR</v>
          </cell>
          <cell r="B177">
            <v>12341</v>
          </cell>
          <cell r="C177">
            <v>187.11</v>
          </cell>
          <cell r="D177">
            <v>44.16</v>
          </cell>
          <cell r="E177">
            <v>477</v>
          </cell>
          <cell r="F177">
            <v>753.82</v>
          </cell>
          <cell r="G177">
            <v>3097.24</v>
          </cell>
          <cell r="H177">
            <v>4559.33</v>
          </cell>
          <cell r="I177">
            <v>21891.87</v>
          </cell>
          <cell r="J177">
            <v>90468</v>
          </cell>
          <cell r="K177" t="str">
            <v>MP</v>
          </cell>
        </row>
        <row r="178">
          <cell r="A178" t="str">
            <v>994081-SLR</v>
          </cell>
          <cell r="B178">
            <v>12152</v>
          </cell>
          <cell r="C178">
            <v>159.19999999999999</v>
          </cell>
          <cell r="D178">
            <v>2.19</v>
          </cell>
          <cell r="E178">
            <v>477</v>
          </cell>
          <cell r="F178">
            <v>156.75</v>
          </cell>
          <cell r="G178">
            <v>153.69999999999999</v>
          </cell>
          <cell r="H178">
            <v>948.83999999999992</v>
          </cell>
          <cell r="I178">
            <v>936.45</v>
          </cell>
          <cell r="J178">
            <v>90097</v>
          </cell>
          <cell r="K178" t="str">
            <v>MP</v>
          </cell>
        </row>
        <row r="179">
          <cell r="A179" t="str">
            <v>994082-SLR</v>
          </cell>
          <cell r="B179">
            <v>12342</v>
          </cell>
          <cell r="C179">
            <v>1236.1600000000001</v>
          </cell>
          <cell r="D179">
            <v>61.22</v>
          </cell>
          <cell r="E179">
            <v>477</v>
          </cell>
          <cell r="F179">
            <v>946.18</v>
          </cell>
          <cell r="G179">
            <v>3987.4</v>
          </cell>
          <cell r="H179">
            <v>6707.96</v>
          </cell>
          <cell r="I179">
            <v>29374.959999999999</v>
          </cell>
          <cell r="J179">
            <v>91620</v>
          </cell>
          <cell r="K179" t="str">
            <v>MP</v>
          </cell>
        </row>
        <row r="180">
          <cell r="A180" t="str">
            <v>994083-SLR</v>
          </cell>
          <cell r="B180">
            <v>12272</v>
          </cell>
          <cell r="C180">
            <v>12460.83</v>
          </cell>
          <cell r="D180">
            <v>135.97999999999999</v>
          </cell>
          <cell r="E180">
            <v>477</v>
          </cell>
          <cell r="F180">
            <v>1788.97</v>
          </cell>
          <cell r="G180">
            <v>8856.8799999999992</v>
          </cell>
          <cell r="H180">
            <v>23719.659999999996</v>
          </cell>
          <cell r="I180">
            <v>55533</v>
          </cell>
          <cell r="J180">
            <v>92016</v>
          </cell>
          <cell r="K180" t="str">
            <v>MP</v>
          </cell>
        </row>
        <row r="181">
          <cell r="A181" t="str">
            <v>994084-SLR</v>
          </cell>
          <cell r="B181">
            <v>12111</v>
          </cell>
          <cell r="C181">
            <v>454.04</v>
          </cell>
          <cell r="D181">
            <v>2.68</v>
          </cell>
          <cell r="E181">
            <v>477</v>
          </cell>
          <cell r="F181">
            <v>162.26</v>
          </cell>
          <cell r="G181">
            <v>174.53</v>
          </cell>
          <cell r="H181">
            <v>1270.51</v>
          </cell>
          <cell r="I181">
            <v>885.79</v>
          </cell>
          <cell r="J181">
            <v>93038</v>
          </cell>
          <cell r="K181" t="str">
            <v>MP</v>
          </cell>
        </row>
        <row r="182">
          <cell r="A182" t="str">
            <v>994085-SLR</v>
          </cell>
          <cell r="B182">
            <v>12501</v>
          </cell>
          <cell r="C182">
            <v>1527.25</v>
          </cell>
          <cell r="D182">
            <v>345.76</v>
          </cell>
          <cell r="E182">
            <v>477</v>
          </cell>
          <cell r="F182">
            <v>4153.63</v>
          </cell>
          <cell r="G182">
            <v>24408.95</v>
          </cell>
          <cell r="H182">
            <v>30912.59</v>
          </cell>
          <cell r="I182">
            <v>171352.78</v>
          </cell>
          <cell r="J182">
            <v>93268</v>
          </cell>
          <cell r="K182" t="str">
            <v>MP</v>
          </cell>
        </row>
        <row r="183">
          <cell r="A183" t="str">
            <v>994086-SLR</v>
          </cell>
          <cell r="B183">
            <v>11998</v>
          </cell>
          <cell r="C183">
            <v>595.79999999999995</v>
          </cell>
          <cell r="D183">
            <v>5.69</v>
          </cell>
          <cell r="E183">
            <v>477</v>
          </cell>
          <cell r="F183">
            <v>196.21</v>
          </cell>
          <cell r="G183">
            <v>541.77</v>
          </cell>
          <cell r="H183">
            <v>1816.47</v>
          </cell>
          <cell r="I183">
            <v>2249.9299999999998</v>
          </cell>
          <cell r="J183">
            <v>91975</v>
          </cell>
          <cell r="K183" t="str">
            <v>MP</v>
          </cell>
        </row>
        <row r="184">
          <cell r="A184" t="str">
            <v>994087-SLR</v>
          </cell>
          <cell r="B184">
            <v>12040</v>
          </cell>
          <cell r="C184">
            <v>295.62</v>
          </cell>
          <cell r="D184">
            <v>9.61</v>
          </cell>
          <cell r="E184">
            <v>477</v>
          </cell>
          <cell r="F184">
            <v>191.73</v>
          </cell>
          <cell r="G184">
            <v>503.94</v>
          </cell>
          <cell r="H184">
            <v>1477.9</v>
          </cell>
          <cell r="I184">
            <v>2351.4</v>
          </cell>
          <cell r="J184">
            <v>90424</v>
          </cell>
          <cell r="K184" t="str">
            <v>MP</v>
          </cell>
        </row>
        <row r="185">
          <cell r="A185" t="str">
            <v>994088-SLR</v>
          </cell>
          <cell r="B185">
            <v>11807</v>
          </cell>
          <cell r="C185">
            <v>698.78</v>
          </cell>
          <cell r="D185">
            <v>49.64</v>
          </cell>
          <cell r="E185">
            <v>477</v>
          </cell>
          <cell r="F185">
            <v>831.4</v>
          </cell>
          <cell r="G185">
            <v>3579.97</v>
          </cell>
          <cell r="H185">
            <v>5636.79</v>
          </cell>
          <cell r="I185">
            <v>24821.43</v>
          </cell>
          <cell r="J185">
            <v>90503</v>
          </cell>
          <cell r="K185" t="str">
            <v>MP</v>
          </cell>
        </row>
        <row r="186">
          <cell r="A186" t="str">
            <v>994089-SLR</v>
          </cell>
          <cell r="B186">
            <v>12317</v>
          </cell>
          <cell r="C186">
            <v>557.55999999999995</v>
          </cell>
          <cell r="D186">
            <v>7.03</v>
          </cell>
          <cell r="E186">
            <v>477</v>
          </cell>
          <cell r="F186">
            <v>1001.26</v>
          </cell>
          <cell r="G186">
            <v>493.29</v>
          </cell>
          <cell r="H186">
            <v>2536.14</v>
          </cell>
          <cell r="I186">
            <v>2958.88</v>
          </cell>
          <cell r="J186">
            <v>93284</v>
          </cell>
          <cell r="K186" t="str">
            <v>MP</v>
          </cell>
        </row>
        <row r="187">
          <cell r="A187" t="str">
            <v>994090-SLR</v>
          </cell>
          <cell r="B187">
            <v>12401</v>
          </cell>
          <cell r="C187">
            <v>131.84</v>
          </cell>
          <cell r="D187">
            <v>2.41</v>
          </cell>
          <cell r="E187">
            <v>477</v>
          </cell>
          <cell r="F187">
            <v>159.25</v>
          </cell>
          <cell r="G187">
            <v>229.67</v>
          </cell>
          <cell r="H187">
            <v>1000.17</v>
          </cell>
          <cell r="I187">
            <v>1074.56</v>
          </cell>
          <cell r="J187">
            <v>93210</v>
          </cell>
          <cell r="K187" t="str">
            <v>MP</v>
          </cell>
        </row>
        <row r="188">
          <cell r="A188" t="str">
            <v>994092-SLR</v>
          </cell>
          <cell r="B188">
            <v>12000</v>
          </cell>
          <cell r="C188">
            <v>106.88</v>
          </cell>
          <cell r="D188">
            <v>0.05</v>
          </cell>
          <cell r="E188">
            <v>477</v>
          </cell>
          <cell r="F188">
            <v>135</v>
          </cell>
          <cell r="G188">
            <v>22.87</v>
          </cell>
          <cell r="H188">
            <v>741.8</v>
          </cell>
          <cell r="I188">
            <v>13.23</v>
          </cell>
          <cell r="J188">
            <v>93013</v>
          </cell>
          <cell r="K188" t="str">
            <v>MP</v>
          </cell>
        </row>
        <row r="189">
          <cell r="A189" t="str">
            <v>994094-SLR</v>
          </cell>
          <cell r="B189">
            <v>11945</v>
          </cell>
          <cell r="C189">
            <v>1294.9000000000001</v>
          </cell>
          <cell r="D189">
            <v>229.04</v>
          </cell>
          <cell r="E189">
            <v>477</v>
          </cell>
          <cell r="F189">
            <v>498</v>
          </cell>
          <cell r="G189">
            <v>15113.26</v>
          </cell>
          <cell r="H189">
            <v>17612.2</v>
          </cell>
          <cell r="I189">
            <v>113222.23</v>
          </cell>
          <cell r="J189">
            <v>93247</v>
          </cell>
          <cell r="K189" t="str">
            <v>MP</v>
          </cell>
        </row>
        <row r="190">
          <cell r="A190" t="str">
            <v>994095-SLR</v>
          </cell>
          <cell r="B190">
            <v>11920</v>
          </cell>
          <cell r="C190">
            <v>182.17</v>
          </cell>
          <cell r="D190">
            <v>12.28</v>
          </cell>
          <cell r="E190">
            <v>477</v>
          </cell>
          <cell r="F190">
            <v>280.95</v>
          </cell>
          <cell r="G190">
            <v>1169.46</v>
          </cell>
          <cell r="H190">
            <v>2121.86</v>
          </cell>
          <cell r="I190">
            <v>5960.6</v>
          </cell>
          <cell r="J190">
            <v>92116</v>
          </cell>
          <cell r="K190" t="str">
            <v>MP</v>
          </cell>
        </row>
        <row r="191">
          <cell r="A191" t="str">
            <v>994096-SLR</v>
          </cell>
          <cell r="B191">
            <v>11794</v>
          </cell>
          <cell r="C191">
            <v>773.01</v>
          </cell>
          <cell r="D191">
            <v>43.16</v>
          </cell>
          <cell r="E191">
            <v>477</v>
          </cell>
          <cell r="F191">
            <v>742.86</v>
          </cell>
          <cell r="G191">
            <v>2991.2</v>
          </cell>
          <cell r="H191">
            <v>5027.2299999999996</v>
          </cell>
          <cell r="I191">
            <v>20820.2</v>
          </cell>
          <cell r="J191">
            <v>90503</v>
          </cell>
          <cell r="K191" t="str">
            <v>MP</v>
          </cell>
        </row>
        <row r="192">
          <cell r="A192" t="str">
            <v>994097-SLR</v>
          </cell>
          <cell r="B192">
            <v>11999</v>
          </cell>
          <cell r="C192">
            <v>983.82</v>
          </cell>
          <cell r="D192">
            <v>37.49</v>
          </cell>
          <cell r="E192">
            <v>477</v>
          </cell>
          <cell r="F192">
            <v>678.98</v>
          </cell>
          <cell r="G192">
            <v>3571.45</v>
          </cell>
          <cell r="H192">
            <v>5748.74</v>
          </cell>
          <cell r="I192">
            <v>17775.8</v>
          </cell>
          <cell r="J192">
            <v>91673</v>
          </cell>
          <cell r="K192" t="str">
            <v>MP</v>
          </cell>
        </row>
        <row r="193">
          <cell r="A193" t="str">
            <v>994099-SLR</v>
          </cell>
          <cell r="B193">
            <v>12041</v>
          </cell>
          <cell r="C193">
            <v>288.95999999999998</v>
          </cell>
          <cell r="D193">
            <v>5.93</v>
          </cell>
          <cell r="E193">
            <v>477</v>
          </cell>
          <cell r="F193">
            <v>140.22999999999999</v>
          </cell>
          <cell r="G193">
            <v>69.099999999999994</v>
          </cell>
          <cell r="H193">
            <v>981.22</v>
          </cell>
          <cell r="I193">
            <v>73.989999999999995</v>
          </cell>
          <cell r="J193">
            <v>91162</v>
          </cell>
          <cell r="K193" t="str">
            <v>MP</v>
          </cell>
        </row>
        <row r="194">
          <cell r="A194" t="str">
            <v>994100-SLR</v>
          </cell>
          <cell r="B194">
            <v>12001</v>
          </cell>
          <cell r="C194">
            <v>2246.06</v>
          </cell>
          <cell r="D194">
            <v>5.51</v>
          </cell>
          <cell r="E194">
            <v>477</v>
          </cell>
          <cell r="F194">
            <v>194.96</v>
          </cell>
          <cell r="G194">
            <v>531.24</v>
          </cell>
          <cell r="H194">
            <v>3454.7700000000004</v>
          </cell>
          <cell r="I194">
            <v>544.42999999999995</v>
          </cell>
          <cell r="J194">
            <v>91416</v>
          </cell>
          <cell r="K194" t="str">
            <v>MP</v>
          </cell>
        </row>
        <row r="195">
          <cell r="A195" t="str">
            <v>994101-SLR</v>
          </cell>
          <cell r="B195">
            <v>11796</v>
          </cell>
          <cell r="C195">
            <v>174.45</v>
          </cell>
          <cell r="D195">
            <v>1.02</v>
          </cell>
          <cell r="E195">
            <v>477</v>
          </cell>
          <cell r="F195">
            <v>143.61000000000001</v>
          </cell>
          <cell r="G195">
            <v>97.59</v>
          </cell>
          <cell r="H195">
            <v>893.67000000000007</v>
          </cell>
          <cell r="I195">
            <v>338.16</v>
          </cell>
          <cell r="J195">
            <v>91990</v>
          </cell>
          <cell r="K195" t="str">
            <v>MP</v>
          </cell>
        </row>
        <row r="196">
          <cell r="A196" t="str">
            <v>994102-SLR</v>
          </cell>
          <cell r="B196">
            <v>12343</v>
          </cell>
          <cell r="C196">
            <v>24923.05</v>
          </cell>
          <cell r="D196">
            <v>143.68</v>
          </cell>
          <cell r="E196">
            <v>477</v>
          </cell>
          <cell r="F196">
            <v>1832.57</v>
          </cell>
          <cell r="G196">
            <v>8637.66</v>
          </cell>
          <cell r="H196">
            <v>36013.96</v>
          </cell>
          <cell r="I196">
            <v>46913.75</v>
          </cell>
          <cell r="J196">
            <v>92253</v>
          </cell>
          <cell r="K196" t="str">
            <v>MP</v>
          </cell>
        </row>
        <row r="197">
          <cell r="A197" t="str">
            <v>994103-SLR</v>
          </cell>
          <cell r="B197">
            <v>12402</v>
          </cell>
          <cell r="C197">
            <v>2529.15</v>
          </cell>
          <cell r="D197">
            <v>13.47</v>
          </cell>
          <cell r="E197">
            <v>477</v>
          </cell>
          <cell r="F197">
            <v>492.48</v>
          </cell>
          <cell r="G197">
            <v>2072.62</v>
          </cell>
          <cell r="H197">
            <v>5584.7199999999993</v>
          </cell>
          <cell r="I197">
            <v>8357.61</v>
          </cell>
          <cell r="J197">
            <v>92373</v>
          </cell>
          <cell r="K197" t="str">
            <v>MP</v>
          </cell>
        </row>
        <row r="198">
          <cell r="A198" t="str">
            <v>994104-SLR</v>
          </cell>
          <cell r="B198">
            <v>12002</v>
          </cell>
          <cell r="C198">
            <v>503.02</v>
          </cell>
          <cell r="D198">
            <v>19.09</v>
          </cell>
          <cell r="E198">
            <v>477</v>
          </cell>
          <cell r="F198">
            <v>158.99</v>
          </cell>
          <cell r="G198">
            <v>222.42</v>
          </cell>
          <cell r="H198">
            <v>1380.52</v>
          </cell>
          <cell r="I198">
            <v>665.26</v>
          </cell>
          <cell r="J198">
            <v>91163</v>
          </cell>
          <cell r="K198" t="str">
            <v>MP</v>
          </cell>
        </row>
        <row r="199">
          <cell r="A199" t="str">
            <v>994105-SLR</v>
          </cell>
          <cell r="B199">
            <v>12042</v>
          </cell>
          <cell r="C199">
            <v>194</v>
          </cell>
          <cell r="D199">
            <v>5.6</v>
          </cell>
          <cell r="E199">
            <v>477</v>
          </cell>
          <cell r="F199">
            <v>195.26</v>
          </cell>
          <cell r="G199">
            <v>533.76</v>
          </cell>
          <cell r="H199">
            <v>1405.62</v>
          </cell>
          <cell r="I199">
            <v>2609.62</v>
          </cell>
          <cell r="J199">
            <v>92303</v>
          </cell>
          <cell r="K199" t="str">
            <v>MP</v>
          </cell>
        </row>
        <row r="200">
          <cell r="A200" t="str">
            <v>994106-SLR</v>
          </cell>
          <cell r="B200">
            <v>12003</v>
          </cell>
          <cell r="C200">
            <v>607.9</v>
          </cell>
          <cell r="D200">
            <v>12.14</v>
          </cell>
          <cell r="E200">
            <v>477</v>
          </cell>
          <cell r="F200">
            <v>304.77999999999997</v>
          </cell>
          <cell r="G200">
            <v>802.88</v>
          </cell>
          <cell r="H200">
            <v>2204.6999999999998</v>
          </cell>
          <cell r="I200">
            <v>6069.37</v>
          </cell>
          <cell r="J200">
            <v>93072</v>
          </cell>
          <cell r="K200" t="str">
            <v>MP</v>
          </cell>
        </row>
        <row r="201">
          <cell r="A201" t="str">
            <v>994107-SLR</v>
          </cell>
          <cell r="B201">
            <v>12004</v>
          </cell>
          <cell r="C201">
            <v>199.36</v>
          </cell>
          <cell r="D201">
            <v>3.12</v>
          </cell>
          <cell r="E201">
            <v>477</v>
          </cell>
          <cell r="F201">
            <v>167.34</v>
          </cell>
          <cell r="G201">
            <v>298</v>
          </cell>
          <cell r="H201">
            <v>1144.8200000000002</v>
          </cell>
          <cell r="I201">
            <v>1365.91</v>
          </cell>
          <cell r="J201">
            <v>92303</v>
          </cell>
          <cell r="K201" t="str">
            <v>MP</v>
          </cell>
        </row>
        <row r="202">
          <cell r="A202" t="str">
            <v>994108-SLR</v>
          </cell>
          <cell r="B202">
            <v>12656</v>
          </cell>
          <cell r="C202">
            <v>149.65</v>
          </cell>
          <cell r="D202">
            <v>3.2</v>
          </cell>
          <cell r="E202">
            <v>477</v>
          </cell>
          <cell r="F202">
            <v>168.11</v>
          </cell>
          <cell r="G202">
            <v>225.26</v>
          </cell>
          <cell r="H202">
            <v>1023.22</v>
          </cell>
          <cell r="I202">
            <v>1449.72</v>
          </cell>
          <cell r="J202">
            <v>90971</v>
          </cell>
          <cell r="K202" t="str">
            <v>MP</v>
          </cell>
        </row>
        <row r="203">
          <cell r="A203" t="str">
            <v>994111-SLR</v>
          </cell>
          <cell r="B203">
            <v>11852</v>
          </cell>
          <cell r="C203">
            <v>0</v>
          </cell>
          <cell r="D203">
            <v>0</v>
          </cell>
          <cell r="E203">
            <v>10</v>
          </cell>
          <cell r="F203">
            <v>0</v>
          </cell>
          <cell r="G203">
            <v>215.03</v>
          </cell>
          <cell r="H203">
            <v>225.03</v>
          </cell>
          <cell r="I203">
            <v>358.38</v>
          </cell>
          <cell r="J203">
            <v>90219</v>
          </cell>
          <cell r="K203" t="str">
            <v>MP</v>
          </cell>
        </row>
        <row r="204">
          <cell r="A204" t="str">
            <v>994112-SLR</v>
          </cell>
          <cell r="B204">
            <v>12112</v>
          </cell>
          <cell r="C204">
            <v>198.38</v>
          </cell>
          <cell r="D204">
            <v>1.66</v>
          </cell>
          <cell r="E204">
            <v>477</v>
          </cell>
          <cell r="F204">
            <v>150.66999999999999</v>
          </cell>
          <cell r="G204">
            <v>173.77</v>
          </cell>
          <cell r="H204">
            <v>1001.4799999999999</v>
          </cell>
          <cell r="I204">
            <v>627.44000000000005</v>
          </cell>
          <cell r="J204">
            <v>91681</v>
          </cell>
          <cell r="K204" t="str">
            <v>MP</v>
          </cell>
        </row>
        <row r="205">
          <cell r="A205" t="str">
            <v>994113-SLR</v>
          </cell>
          <cell r="B205">
            <v>12273</v>
          </cell>
          <cell r="C205">
            <v>5334.87</v>
          </cell>
          <cell r="D205">
            <v>121.73</v>
          </cell>
          <cell r="E205">
            <v>477</v>
          </cell>
          <cell r="F205">
            <v>1628.35</v>
          </cell>
          <cell r="G205">
            <v>7928.87</v>
          </cell>
          <cell r="H205">
            <v>15490.82</v>
          </cell>
          <cell r="I205">
            <v>55533</v>
          </cell>
          <cell r="J205">
            <v>92016</v>
          </cell>
          <cell r="K205" t="str">
            <v>MP</v>
          </cell>
        </row>
        <row r="206">
          <cell r="A206" t="str">
            <v>994114-SLR</v>
          </cell>
          <cell r="B206">
            <v>12318</v>
          </cell>
          <cell r="C206">
            <v>1022.09</v>
          </cell>
          <cell r="D206">
            <v>11.71</v>
          </cell>
          <cell r="E206">
            <v>477</v>
          </cell>
          <cell r="F206">
            <v>267.94</v>
          </cell>
          <cell r="G206">
            <v>1172.54</v>
          </cell>
          <cell r="H206">
            <v>2951.2799999999997</v>
          </cell>
          <cell r="I206">
            <v>4828.8900000000003</v>
          </cell>
          <cell r="J206">
            <v>92242</v>
          </cell>
          <cell r="K206" t="str">
            <v>MP</v>
          </cell>
        </row>
        <row r="207">
          <cell r="A207" t="str">
            <v>994115-SLR</v>
          </cell>
          <cell r="B207">
            <v>12274</v>
          </cell>
          <cell r="C207">
            <v>7957.86</v>
          </cell>
          <cell r="D207">
            <v>58.57</v>
          </cell>
          <cell r="E207">
            <v>477</v>
          </cell>
          <cell r="F207">
            <v>916.21</v>
          </cell>
          <cell r="G207">
            <v>5574.68</v>
          </cell>
          <cell r="H207">
            <v>14984.32</v>
          </cell>
          <cell r="I207">
            <v>21324.67</v>
          </cell>
          <cell r="J207">
            <v>93038</v>
          </cell>
          <cell r="K207" t="str">
            <v>MP</v>
          </cell>
        </row>
        <row r="208">
          <cell r="A208" t="str">
            <v>994116-SLR</v>
          </cell>
          <cell r="B208">
            <v>12319</v>
          </cell>
          <cell r="C208">
            <v>434.04</v>
          </cell>
          <cell r="D208">
            <v>2.4900000000000002</v>
          </cell>
          <cell r="E208">
            <v>477</v>
          </cell>
          <cell r="F208">
            <v>160.08000000000001</v>
          </cell>
          <cell r="G208">
            <v>236.67</v>
          </cell>
          <cell r="H208">
            <v>1310.28</v>
          </cell>
          <cell r="I208">
            <v>809.09</v>
          </cell>
          <cell r="J208">
            <v>93049</v>
          </cell>
          <cell r="K208" t="str">
            <v>MP</v>
          </cell>
        </row>
        <row r="209">
          <cell r="A209" t="str">
            <v>994117-SLR</v>
          </cell>
          <cell r="B209">
            <v>12073</v>
          </cell>
          <cell r="C209">
            <v>147.94</v>
          </cell>
          <cell r="D209">
            <v>21.93</v>
          </cell>
          <cell r="E209">
            <v>477</v>
          </cell>
          <cell r="F209">
            <v>496.03</v>
          </cell>
          <cell r="G209">
            <v>1538.36</v>
          </cell>
          <cell r="H209">
            <v>2681.26</v>
          </cell>
          <cell r="I209">
            <v>10818.41</v>
          </cell>
          <cell r="J209">
            <v>90349</v>
          </cell>
          <cell r="K209" t="str">
            <v>MP</v>
          </cell>
        </row>
        <row r="210">
          <cell r="A210" t="str">
            <v>994118-SLR</v>
          </cell>
          <cell r="B210">
            <v>11921</v>
          </cell>
          <cell r="C210">
            <v>191.92</v>
          </cell>
          <cell r="D210">
            <v>2.63</v>
          </cell>
          <cell r="E210">
            <v>477</v>
          </cell>
          <cell r="F210">
            <v>161.72</v>
          </cell>
          <cell r="G210">
            <v>250.54</v>
          </cell>
          <cell r="H210">
            <v>1083.81</v>
          </cell>
          <cell r="I210">
            <v>1124.0999999999999</v>
          </cell>
          <cell r="J210">
            <v>90390</v>
          </cell>
          <cell r="K210" t="str">
            <v>MP</v>
          </cell>
        </row>
        <row r="211">
          <cell r="A211" t="str">
            <v>994119-SLR</v>
          </cell>
          <cell r="B211">
            <v>12250</v>
          </cell>
          <cell r="C211">
            <v>195.62</v>
          </cell>
          <cell r="D211">
            <v>4.08</v>
          </cell>
          <cell r="E211">
            <v>477</v>
          </cell>
          <cell r="F211">
            <v>178.04</v>
          </cell>
          <cell r="G211">
            <v>286.17</v>
          </cell>
          <cell r="H211">
            <v>1140.9100000000001</v>
          </cell>
          <cell r="I211">
            <v>1844.37</v>
          </cell>
          <cell r="J211">
            <v>92166</v>
          </cell>
          <cell r="K211" t="str">
            <v>MP</v>
          </cell>
        </row>
        <row r="212">
          <cell r="A212" t="str">
            <v>994120-SLR</v>
          </cell>
          <cell r="B212">
            <v>11922</v>
          </cell>
          <cell r="C212">
            <v>191.28</v>
          </cell>
          <cell r="D212">
            <v>32.81</v>
          </cell>
          <cell r="E212">
            <v>477</v>
          </cell>
          <cell r="F212">
            <v>625.89</v>
          </cell>
          <cell r="G212">
            <v>3123.07</v>
          </cell>
          <cell r="H212">
            <v>4450.05</v>
          </cell>
          <cell r="I212">
            <v>16213.13</v>
          </cell>
          <cell r="J212">
            <v>93300</v>
          </cell>
          <cell r="K212" t="str">
            <v>MP</v>
          </cell>
        </row>
        <row r="213">
          <cell r="A213" t="str">
            <v>994121-SLR</v>
          </cell>
          <cell r="B213">
            <v>11812</v>
          </cell>
          <cell r="C213">
            <v>450.05</v>
          </cell>
          <cell r="D213">
            <v>76.19</v>
          </cell>
          <cell r="E213">
            <v>477</v>
          </cell>
          <cell r="F213">
            <v>1125.07</v>
          </cell>
          <cell r="G213">
            <v>7331.11</v>
          </cell>
          <cell r="H213">
            <v>9459.42</v>
          </cell>
          <cell r="I213">
            <v>38095.9</v>
          </cell>
          <cell r="J213">
            <v>92243</v>
          </cell>
          <cell r="K213" t="str">
            <v>MP</v>
          </cell>
        </row>
        <row r="214">
          <cell r="A214" t="str">
            <v>994122-SLR</v>
          </cell>
          <cell r="B214">
            <v>12113</v>
          </cell>
          <cell r="C214">
            <v>183.25</v>
          </cell>
          <cell r="D214">
            <v>4.08</v>
          </cell>
          <cell r="E214">
            <v>477</v>
          </cell>
          <cell r="F214">
            <v>179.56</v>
          </cell>
          <cell r="G214">
            <v>329.26</v>
          </cell>
          <cell r="H214">
            <v>1173.1500000000001</v>
          </cell>
          <cell r="I214">
            <v>1924.09</v>
          </cell>
          <cell r="J214">
            <v>90219</v>
          </cell>
          <cell r="K214" t="str">
            <v>MP</v>
          </cell>
        </row>
        <row r="215">
          <cell r="A215" t="str">
            <v>994123-SLR</v>
          </cell>
          <cell r="B215">
            <v>11846</v>
          </cell>
          <cell r="C215">
            <v>3710.12</v>
          </cell>
          <cell r="D215">
            <v>114.9</v>
          </cell>
          <cell r="E215">
            <v>477</v>
          </cell>
          <cell r="F215">
            <v>1427.18</v>
          </cell>
          <cell r="G215">
            <v>10936.68</v>
          </cell>
          <cell r="H215">
            <v>16665.88</v>
          </cell>
          <cell r="I215">
            <v>53736.44</v>
          </cell>
          <cell r="J215">
            <v>90013</v>
          </cell>
          <cell r="K215" t="str">
            <v>MP</v>
          </cell>
        </row>
        <row r="216">
          <cell r="A216" t="str">
            <v>994124-SLR</v>
          </cell>
          <cell r="B216">
            <v>12074</v>
          </cell>
          <cell r="C216">
            <v>166.44</v>
          </cell>
          <cell r="D216">
            <v>1.1499999999999999</v>
          </cell>
          <cell r="E216">
            <v>477</v>
          </cell>
          <cell r="F216">
            <v>144.97</v>
          </cell>
          <cell r="G216">
            <v>80.42</v>
          </cell>
          <cell r="H216">
            <v>869.98</v>
          </cell>
          <cell r="I216">
            <v>406.85</v>
          </cell>
          <cell r="J216">
            <v>90097</v>
          </cell>
          <cell r="K216" t="str">
            <v>MP</v>
          </cell>
        </row>
        <row r="217">
          <cell r="A217" t="str">
            <v>994125-SLR</v>
          </cell>
          <cell r="B217">
            <v>12115</v>
          </cell>
          <cell r="C217">
            <v>5720.74</v>
          </cell>
          <cell r="D217">
            <v>33.11</v>
          </cell>
          <cell r="E217">
            <v>477</v>
          </cell>
          <cell r="F217">
            <v>629.33000000000004</v>
          </cell>
          <cell r="G217">
            <v>1990.83</v>
          </cell>
          <cell r="H217">
            <v>8851.0099999999984</v>
          </cell>
          <cell r="I217">
            <v>10836.41</v>
          </cell>
          <cell r="J217">
            <v>93086</v>
          </cell>
          <cell r="K217" t="str">
            <v>MP</v>
          </cell>
        </row>
        <row r="218">
          <cell r="A218" t="str">
            <v>994126-SLR</v>
          </cell>
          <cell r="B218">
            <v>12211</v>
          </cell>
          <cell r="C218">
            <v>643.72</v>
          </cell>
          <cell r="D218">
            <v>35.29</v>
          </cell>
          <cell r="E218">
            <v>477</v>
          </cell>
          <cell r="F218">
            <v>653.85</v>
          </cell>
          <cell r="G218">
            <v>2121.59</v>
          </cell>
          <cell r="H218">
            <v>3931.4500000000003</v>
          </cell>
          <cell r="I218">
            <v>17000.88</v>
          </cell>
          <cell r="J218">
            <v>92001</v>
          </cell>
          <cell r="K218" t="str">
            <v>MP</v>
          </cell>
        </row>
        <row r="219">
          <cell r="A219" t="str">
            <v>994127-SLR</v>
          </cell>
          <cell r="B219">
            <v>12043</v>
          </cell>
          <cell r="C219">
            <v>371.63</v>
          </cell>
          <cell r="D219">
            <v>10.050000000000001</v>
          </cell>
          <cell r="E219">
            <v>477</v>
          </cell>
          <cell r="F219">
            <v>245.4</v>
          </cell>
          <cell r="G219">
            <v>957.15</v>
          </cell>
          <cell r="H219">
            <v>2061.23</v>
          </cell>
          <cell r="I219">
            <v>4655.95</v>
          </cell>
          <cell r="J219">
            <v>93126</v>
          </cell>
          <cell r="K219" t="str">
            <v>MP</v>
          </cell>
        </row>
        <row r="220">
          <cell r="A220" t="str">
            <v>994128-SLR</v>
          </cell>
          <cell r="B220">
            <v>12044</v>
          </cell>
          <cell r="C220">
            <v>875.76</v>
          </cell>
          <cell r="D220">
            <v>9.57</v>
          </cell>
          <cell r="E220">
            <v>477</v>
          </cell>
          <cell r="F220">
            <v>239.97</v>
          </cell>
          <cell r="G220">
            <v>911.34</v>
          </cell>
          <cell r="H220">
            <v>2513.64</v>
          </cell>
          <cell r="I220">
            <v>3911.22</v>
          </cell>
          <cell r="J220">
            <v>93125</v>
          </cell>
          <cell r="K220" t="str">
            <v>MP</v>
          </cell>
        </row>
        <row r="221">
          <cell r="A221" t="str">
            <v>994129-SLR</v>
          </cell>
          <cell r="B221">
            <v>11842</v>
          </cell>
          <cell r="C221">
            <v>262.67</v>
          </cell>
          <cell r="D221">
            <v>4.1100000000000003</v>
          </cell>
          <cell r="E221">
            <v>477</v>
          </cell>
          <cell r="F221">
            <v>178.4</v>
          </cell>
          <cell r="G221">
            <v>288.42</v>
          </cell>
          <cell r="H221">
            <v>1210.5999999999999</v>
          </cell>
          <cell r="I221">
            <v>1793.39</v>
          </cell>
          <cell r="J221">
            <v>93229</v>
          </cell>
          <cell r="K221" t="str">
            <v>MP</v>
          </cell>
        </row>
        <row r="222">
          <cell r="A222" t="str">
            <v>994130-SLR</v>
          </cell>
          <cell r="B222">
            <v>12275</v>
          </cell>
          <cell r="C222">
            <v>2321.2800000000002</v>
          </cell>
          <cell r="D222">
            <v>51.24</v>
          </cell>
          <cell r="E222">
            <v>477</v>
          </cell>
          <cell r="F222">
            <v>833.62</v>
          </cell>
          <cell r="G222">
            <v>3080.37</v>
          </cell>
          <cell r="H222">
            <v>6763.51</v>
          </cell>
          <cell r="I222">
            <v>23297.200000000001</v>
          </cell>
          <cell r="J222">
            <v>92280</v>
          </cell>
          <cell r="K222" t="str">
            <v>MP</v>
          </cell>
        </row>
        <row r="223">
          <cell r="A223" t="str">
            <v>994133-SLR</v>
          </cell>
          <cell r="B223">
            <v>11767</v>
          </cell>
          <cell r="C223">
            <v>260.12</v>
          </cell>
          <cell r="D223">
            <v>7.52</v>
          </cell>
          <cell r="E223">
            <v>477</v>
          </cell>
          <cell r="F223">
            <v>216.69</v>
          </cell>
          <cell r="G223">
            <v>526.64</v>
          </cell>
          <cell r="H223">
            <v>1487.9699999999998</v>
          </cell>
          <cell r="I223">
            <v>3494.03</v>
          </cell>
          <cell r="J223">
            <v>93229</v>
          </cell>
          <cell r="K223" t="str">
            <v>MP</v>
          </cell>
        </row>
        <row r="224">
          <cell r="A224" t="str">
            <v>994134-SLR</v>
          </cell>
          <cell r="B224">
            <v>11768</v>
          </cell>
          <cell r="C224">
            <v>260.12</v>
          </cell>
          <cell r="D224">
            <v>8.4700000000000006</v>
          </cell>
          <cell r="E224">
            <v>477</v>
          </cell>
          <cell r="F224">
            <v>227.54</v>
          </cell>
          <cell r="G224">
            <v>594.17999999999995</v>
          </cell>
          <cell r="H224">
            <v>1567.31</v>
          </cell>
          <cell r="I224">
            <v>3975.52</v>
          </cell>
          <cell r="J224">
            <v>93229</v>
          </cell>
          <cell r="K224" t="str">
            <v>MP</v>
          </cell>
        </row>
        <row r="225">
          <cell r="A225" t="str">
            <v>994135-SLR</v>
          </cell>
          <cell r="B225">
            <v>11799</v>
          </cell>
          <cell r="C225">
            <v>262.67</v>
          </cell>
          <cell r="D225">
            <v>10.65</v>
          </cell>
          <cell r="E225">
            <v>477</v>
          </cell>
          <cell r="F225">
            <v>252.34</v>
          </cell>
          <cell r="G225">
            <v>267.31</v>
          </cell>
          <cell r="H225">
            <v>1269.97</v>
          </cell>
          <cell r="I225">
            <v>5063.74</v>
          </cell>
          <cell r="J225">
            <v>93229</v>
          </cell>
          <cell r="K225" t="str">
            <v>MP</v>
          </cell>
        </row>
        <row r="226">
          <cell r="A226" t="str">
            <v>994136-SLR</v>
          </cell>
          <cell r="B226">
            <v>12657</v>
          </cell>
          <cell r="C226">
            <v>352.17</v>
          </cell>
          <cell r="D226">
            <v>25440.16</v>
          </cell>
          <cell r="E226">
            <v>477</v>
          </cell>
          <cell r="F226">
            <v>2834.91</v>
          </cell>
          <cell r="G226">
            <v>20630.919999999998</v>
          </cell>
          <cell r="H226">
            <v>49735.159999999996</v>
          </cell>
          <cell r="I226">
            <v>114036</v>
          </cell>
          <cell r="J226">
            <v>90614</v>
          </cell>
          <cell r="K226" t="str">
            <v>MP</v>
          </cell>
        </row>
        <row r="227">
          <cell r="A227" t="str">
            <v>994137-SLR</v>
          </cell>
          <cell r="B227">
            <v>12243</v>
          </cell>
          <cell r="C227">
            <v>2397.5300000000002</v>
          </cell>
          <cell r="D227">
            <v>80.849999999999994</v>
          </cell>
          <cell r="E227">
            <v>477</v>
          </cell>
          <cell r="F227">
            <v>1167.53</v>
          </cell>
          <cell r="G227">
            <v>7696.98</v>
          </cell>
          <cell r="H227">
            <v>11819.89</v>
          </cell>
          <cell r="I227">
            <v>38032.03</v>
          </cell>
          <cell r="J227">
            <v>90013</v>
          </cell>
          <cell r="K227" t="str">
            <v>MP</v>
          </cell>
        </row>
        <row r="228">
          <cell r="A228" t="str">
            <v>994138-SLR</v>
          </cell>
          <cell r="B228">
            <v>12005</v>
          </cell>
          <cell r="C228">
            <v>203.24</v>
          </cell>
          <cell r="D228">
            <v>15.37</v>
          </cell>
          <cell r="E228">
            <v>477</v>
          </cell>
          <cell r="F228">
            <v>358.66</v>
          </cell>
          <cell r="G228">
            <v>1106.19</v>
          </cell>
          <cell r="H228">
            <v>2160.46</v>
          </cell>
          <cell r="I228">
            <v>7682.32</v>
          </cell>
          <cell r="J228">
            <v>90463</v>
          </cell>
          <cell r="K228" t="str">
            <v>MP</v>
          </cell>
        </row>
        <row r="229">
          <cell r="A229" t="str">
            <v>994139-SLR</v>
          </cell>
          <cell r="B229">
            <v>11843</v>
          </cell>
          <cell r="C229">
            <v>228.48</v>
          </cell>
          <cell r="D229">
            <v>3.29</v>
          </cell>
          <cell r="E229">
            <v>477</v>
          </cell>
          <cell r="F229">
            <v>169.19</v>
          </cell>
          <cell r="G229">
            <v>231.08</v>
          </cell>
          <cell r="H229">
            <v>1109.04</v>
          </cell>
          <cell r="I229">
            <v>1418.83</v>
          </cell>
          <cell r="J229">
            <v>93157</v>
          </cell>
          <cell r="K229" t="str">
            <v>MP</v>
          </cell>
        </row>
        <row r="230">
          <cell r="A230" t="str">
            <v>994141-SLR</v>
          </cell>
          <cell r="B230">
            <v>11923</v>
          </cell>
          <cell r="C230">
            <v>201.06</v>
          </cell>
          <cell r="D230">
            <v>45.33</v>
          </cell>
          <cell r="E230">
            <v>477</v>
          </cell>
          <cell r="F230">
            <v>771.45</v>
          </cell>
          <cell r="G230">
            <v>3206.92</v>
          </cell>
          <cell r="H230">
            <v>4701.76</v>
          </cell>
          <cell r="I230">
            <v>22660.15</v>
          </cell>
          <cell r="J230">
            <v>91471</v>
          </cell>
          <cell r="K230" t="str">
            <v>MP</v>
          </cell>
        </row>
        <row r="231">
          <cell r="A231" t="str">
            <v>994142-SLR</v>
          </cell>
          <cell r="B231">
            <v>11769</v>
          </cell>
          <cell r="C231">
            <v>272.27999999999997</v>
          </cell>
          <cell r="D231">
            <v>5.72</v>
          </cell>
          <cell r="E231">
            <v>477</v>
          </cell>
          <cell r="F231">
            <v>0</v>
          </cell>
          <cell r="G231">
            <v>403.08</v>
          </cell>
          <cell r="H231">
            <v>1158.08</v>
          </cell>
          <cell r="I231">
            <v>2601.16</v>
          </cell>
          <cell r="J231">
            <v>93326</v>
          </cell>
          <cell r="K231" t="str">
            <v>MP</v>
          </cell>
        </row>
        <row r="232">
          <cell r="A232" t="str">
            <v>994143-SLR</v>
          </cell>
          <cell r="B232">
            <v>11741</v>
          </cell>
          <cell r="C232">
            <v>124.87</v>
          </cell>
          <cell r="D232">
            <v>0</v>
          </cell>
          <cell r="E232">
            <v>18.21</v>
          </cell>
          <cell r="F232">
            <v>0</v>
          </cell>
          <cell r="G232">
            <v>440.8</v>
          </cell>
          <cell r="H232">
            <v>583.88</v>
          </cell>
          <cell r="I232">
            <v>609.79999999999995</v>
          </cell>
          <cell r="J232">
            <v>90013</v>
          </cell>
          <cell r="K232" t="str">
            <v>MP</v>
          </cell>
        </row>
        <row r="233">
          <cell r="A233" t="str">
            <v>994144-SLR</v>
          </cell>
          <cell r="B233">
            <v>12320</v>
          </cell>
          <cell r="C233">
            <v>248.22</v>
          </cell>
          <cell r="D233">
            <v>290.27</v>
          </cell>
          <cell r="E233">
            <v>477</v>
          </cell>
          <cell r="F233">
            <v>649.72</v>
          </cell>
          <cell r="G233">
            <v>3324.3</v>
          </cell>
          <cell r="H233">
            <v>4989.51</v>
          </cell>
          <cell r="I233">
            <v>17212.669999999998</v>
          </cell>
          <cell r="J233">
            <v>92092</v>
          </cell>
          <cell r="K233" t="str">
            <v>MP</v>
          </cell>
        </row>
        <row r="234">
          <cell r="A234" t="str">
            <v>994145-SLR</v>
          </cell>
          <cell r="B234">
            <v>12075</v>
          </cell>
          <cell r="C234">
            <v>337.68</v>
          </cell>
          <cell r="D234">
            <v>9.2799999999999994</v>
          </cell>
          <cell r="E234">
            <v>477</v>
          </cell>
          <cell r="F234">
            <v>236.6</v>
          </cell>
          <cell r="G234">
            <v>650.52</v>
          </cell>
          <cell r="H234">
            <v>1711.08</v>
          </cell>
          <cell r="I234">
            <v>4299.62</v>
          </cell>
          <cell r="J234">
            <v>93303</v>
          </cell>
          <cell r="K234" t="str">
            <v>MP</v>
          </cell>
        </row>
        <row r="235">
          <cell r="A235" t="str">
            <v>994146-SLR</v>
          </cell>
          <cell r="B235">
            <v>12045</v>
          </cell>
          <cell r="C235">
            <v>148.27000000000001</v>
          </cell>
          <cell r="D235">
            <v>2.99</v>
          </cell>
          <cell r="E235">
            <v>477</v>
          </cell>
          <cell r="F235">
            <v>165.88</v>
          </cell>
          <cell r="G235">
            <v>210.52</v>
          </cell>
          <cell r="H235">
            <v>1004.66</v>
          </cell>
          <cell r="I235">
            <v>1352.44</v>
          </cell>
          <cell r="J235">
            <v>93050</v>
          </cell>
          <cell r="K235" t="str">
            <v>MP</v>
          </cell>
        </row>
        <row r="236">
          <cell r="A236" t="str">
            <v>994148-SLR</v>
          </cell>
          <cell r="B236">
            <v>11770</v>
          </cell>
          <cell r="C236">
            <v>192.81</v>
          </cell>
          <cell r="D236">
            <v>517.95000000000005</v>
          </cell>
          <cell r="E236">
            <v>477</v>
          </cell>
          <cell r="F236">
            <v>182.64</v>
          </cell>
          <cell r="G236">
            <v>427.18</v>
          </cell>
          <cell r="H236">
            <v>1797.5800000000002</v>
          </cell>
          <cell r="I236">
            <v>2051.02</v>
          </cell>
          <cell r="J236">
            <v>91984</v>
          </cell>
          <cell r="K236" t="str">
            <v>MP</v>
          </cell>
        </row>
        <row r="237">
          <cell r="A237" t="str">
            <v>994149-SLR</v>
          </cell>
          <cell r="B237">
            <v>11924</v>
          </cell>
          <cell r="C237">
            <v>277.94</v>
          </cell>
          <cell r="D237">
            <v>7.49</v>
          </cell>
          <cell r="E237">
            <v>477</v>
          </cell>
          <cell r="F237">
            <v>216.35</v>
          </cell>
          <cell r="G237">
            <v>524.53</v>
          </cell>
          <cell r="H237">
            <v>1503.31</v>
          </cell>
          <cell r="I237">
            <v>3461.23</v>
          </cell>
          <cell r="J237">
            <v>90485</v>
          </cell>
          <cell r="K237" t="str">
            <v>MP</v>
          </cell>
        </row>
        <row r="238">
          <cell r="A238" t="str">
            <v>994150-SLR</v>
          </cell>
          <cell r="B238">
            <v>12046</v>
          </cell>
          <cell r="C238">
            <v>281.45</v>
          </cell>
          <cell r="D238">
            <v>2.4</v>
          </cell>
          <cell r="E238">
            <v>477</v>
          </cell>
          <cell r="F238">
            <v>147.01</v>
          </cell>
          <cell r="G238">
            <v>126.37</v>
          </cell>
          <cell r="H238">
            <v>1034.23</v>
          </cell>
          <cell r="I238">
            <v>382.33</v>
          </cell>
          <cell r="J238">
            <v>90257</v>
          </cell>
          <cell r="K238" t="str">
            <v>MP</v>
          </cell>
        </row>
        <row r="239">
          <cell r="A239" t="str">
            <v>994151-SLR</v>
          </cell>
          <cell r="B239">
            <v>11798</v>
          </cell>
          <cell r="C239">
            <v>470.01</v>
          </cell>
          <cell r="D239">
            <v>33.880000000000003</v>
          </cell>
          <cell r="E239">
            <v>477</v>
          </cell>
          <cell r="F239">
            <v>648.52</v>
          </cell>
          <cell r="G239">
            <v>872.14</v>
          </cell>
          <cell r="H239">
            <v>2501.5499999999997</v>
          </cell>
          <cell r="I239">
            <v>16937.53</v>
          </cell>
          <cell r="J239">
            <v>91578</v>
          </cell>
          <cell r="K239" t="str">
            <v>MP</v>
          </cell>
        </row>
        <row r="240">
          <cell r="A240" t="str">
            <v>994152-SLR</v>
          </cell>
          <cell r="B240">
            <v>11925</v>
          </cell>
          <cell r="C240">
            <v>467.82</v>
          </cell>
          <cell r="D240">
            <v>6.05</v>
          </cell>
          <cell r="E240">
            <v>477</v>
          </cell>
          <cell r="F240">
            <v>200.2</v>
          </cell>
          <cell r="G240">
            <v>90.86</v>
          </cell>
          <cell r="H240">
            <v>1241.9299999999998</v>
          </cell>
          <cell r="I240">
            <v>2554.83</v>
          </cell>
          <cell r="J240">
            <v>91250</v>
          </cell>
          <cell r="K240" t="str">
            <v>MP</v>
          </cell>
        </row>
        <row r="241">
          <cell r="A241" t="str">
            <v>994153-SLR</v>
          </cell>
          <cell r="B241">
            <v>11926</v>
          </cell>
          <cell r="C241">
            <v>177.62</v>
          </cell>
          <cell r="D241">
            <v>94.8</v>
          </cell>
          <cell r="E241">
            <v>477</v>
          </cell>
          <cell r="F241">
            <v>1324.59</v>
          </cell>
          <cell r="G241">
            <v>6648.72</v>
          </cell>
          <cell r="H241">
            <v>8722.73</v>
          </cell>
          <cell r="I241">
            <v>47218.46</v>
          </cell>
          <cell r="J241">
            <v>92393</v>
          </cell>
          <cell r="K241" t="str">
            <v>MP</v>
          </cell>
        </row>
        <row r="242">
          <cell r="A242" t="str">
            <v>994154-SLR</v>
          </cell>
          <cell r="B242">
            <v>11927</v>
          </cell>
          <cell r="C242">
            <v>177.62</v>
          </cell>
          <cell r="D242">
            <v>7.49</v>
          </cell>
          <cell r="E242">
            <v>477</v>
          </cell>
          <cell r="F242">
            <v>216.35</v>
          </cell>
          <cell r="G242">
            <v>524.52</v>
          </cell>
          <cell r="H242">
            <v>1402.98</v>
          </cell>
          <cell r="I242">
            <v>3561.42</v>
          </cell>
          <cell r="J242">
            <v>90062</v>
          </cell>
          <cell r="K242" t="str">
            <v>MP</v>
          </cell>
        </row>
        <row r="243">
          <cell r="A243" t="str">
            <v>994155-SLR</v>
          </cell>
          <cell r="B243">
            <v>12212</v>
          </cell>
          <cell r="C243">
            <v>180.14</v>
          </cell>
          <cell r="D243">
            <v>25.98</v>
          </cell>
          <cell r="E243">
            <v>477</v>
          </cell>
          <cell r="F243">
            <v>548.77</v>
          </cell>
          <cell r="G243">
            <v>1821.4</v>
          </cell>
          <cell r="H243">
            <v>3053.29</v>
          </cell>
          <cell r="I243">
            <v>12803.87</v>
          </cell>
          <cell r="J243">
            <v>90121</v>
          </cell>
          <cell r="K243" t="str">
            <v>MP</v>
          </cell>
        </row>
        <row r="244">
          <cell r="A244" t="str">
            <v>994156-SLR</v>
          </cell>
          <cell r="B244">
            <v>11929</v>
          </cell>
          <cell r="C244">
            <v>192.19</v>
          </cell>
          <cell r="D244">
            <v>10.33</v>
          </cell>
          <cell r="E244">
            <v>477</v>
          </cell>
          <cell r="F244">
            <v>248.5</v>
          </cell>
          <cell r="G244">
            <v>724.61</v>
          </cell>
          <cell r="H244">
            <v>1652.63</v>
          </cell>
          <cell r="I244">
            <v>4973.24</v>
          </cell>
          <cell r="J244">
            <v>90097</v>
          </cell>
          <cell r="K244" t="str">
            <v>MP</v>
          </cell>
        </row>
        <row r="245">
          <cell r="A245" t="str">
            <v>994157-SLR</v>
          </cell>
          <cell r="B245">
            <v>12609</v>
          </cell>
          <cell r="C245">
            <v>8767.64</v>
          </cell>
          <cell r="D245">
            <v>70.48</v>
          </cell>
          <cell r="E245">
            <v>477</v>
          </cell>
          <cell r="F245">
            <v>1050.6400000000001</v>
          </cell>
          <cell r="G245">
            <v>6709.86</v>
          </cell>
          <cell r="H245">
            <v>17075.62</v>
          </cell>
          <cell r="I245">
            <v>26476.93</v>
          </cell>
          <cell r="J245">
            <v>93016</v>
          </cell>
          <cell r="K245" t="str">
            <v>MP</v>
          </cell>
        </row>
        <row r="246">
          <cell r="A246" t="str">
            <v>994159-SLR</v>
          </cell>
          <cell r="B246">
            <v>12321</v>
          </cell>
          <cell r="C246">
            <v>1152.28</v>
          </cell>
          <cell r="D246">
            <v>10.6</v>
          </cell>
          <cell r="E246">
            <v>477</v>
          </cell>
          <cell r="F246">
            <v>251.57</v>
          </cell>
          <cell r="G246">
            <v>690.56</v>
          </cell>
          <cell r="H246">
            <v>2582.0099999999998</v>
          </cell>
          <cell r="I246">
            <v>4149.1499999999996</v>
          </cell>
          <cell r="J246">
            <v>93336</v>
          </cell>
          <cell r="K246" t="str">
            <v>MP</v>
          </cell>
        </row>
        <row r="247">
          <cell r="A247" t="str">
            <v>994160-SLR</v>
          </cell>
          <cell r="B247">
            <v>11742</v>
          </cell>
          <cell r="C247">
            <v>158.97</v>
          </cell>
          <cell r="D247">
            <v>0</v>
          </cell>
          <cell r="E247">
            <v>0</v>
          </cell>
          <cell r="F247">
            <v>0</v>
          </cell>
          <cell r="G247">
            <v>299.62</v>
          </cell>
          <cell r="H247">
            <v>458.59000000000003</v>
          </cell>
          <cell r="I247">
            <v>340.4</v>
          </cell>
          <cell r="J247">
            <v>92202</v>
          </cell>
          <cell r="K247" t="str">
            <v>MP</v>
          </cell>
        </row>
        <row r="248">
          <cell r="A248" t="str">
            <v>994161-SLR</v>
          </cell>
          <cell r="B248">
            <v>11743</v>
          </cell>
          <cell r="C248">
            <v>104.96</v>
          </cell>
          <cell r="D248">
            <v>0</v>
          </cell>
          <cell r="E248">
            <v>18.21</v>
          </cell>
          <cell r="F248">
            <v>0</v>
          </cell>
          <cell r="G248">
            <v>94.43</v>
          </cell>
          <cell r="H248">
            <v>217.6</v>
          </cell>
          <cell r="I248">
            <v>52.42</v>
          </cell>
          <cell r="J248">
            <v>93050</v>
          </cell>
          <cell r="K248" t="str">
            <v>MP</v>
          </cell>
        </row>
        <row r="249">
          <cell r="A249" t="str">
            <v>994162-SLR</v>
          </cell>
          <cell r="B249">
            <v>11744</v>
          </cell>
          <cell r="C249">
            <v>263.29000000000002</v>
          </cell>
          <cell r="D249">
            <v>0</v>
          </cell>
          <cell r="E249">
            <v>18.21</v>
          </cell>
          <cell r="F249">
            <v>0</v>
          </cell>
          <cell r="G249">
            <v>294.5</v>
          </cell>
          <cell r="H249">
            <v>576</v>
          </cell>
          <cell r="I249">
            <v>227.54</v>
          </cell>
          <cell r="J249">
            <v>93050</v>
          </cell>
          <cell r="K249" t="str">
            <v>MP</v>
          </cell>
        </row>
        <row r="250">
          <cell r="A250" t="str">
            <v>994163-SLR</v>
          </cell>
          <cell r="B250">
            <v>11745</v>
          </cell>
          <cell r="C250">
            <v>205.31</v>
          </cell>
          <cell r="D250">
            <v>0</v>
          </cell>
          <cell r="E250">
            <v>18.21</v>
          </cell>
          <cell r="F250">
            <v>0</v>
          </cell>
          <cell r="G250">
            <v>296.83999999999997</v>
          </cell>
          <cell r="H250">
            <v>520.36</v>
          </cell>
          <cell r="I250">
            <v>289.43</v>
          </cell>
          <cell r="J250">
            <v>93050</v>
          </cell>
          <cell r="K250" t="str">
            <v>MP</v>
          </cell>
        </row>
        <row r="251">
          <cell r="A251" t="str">
            <v>994164-SLR</v>
          </cell>
          <cell r="B251">
            <v>11931</v>
          </cell>
          <cell r="C251">
            <v>227.93</v>
          </cell>
          <cell r="D251">
            <v>36.96</v>
          </cell>
          <cell r="E251">
            <v>477</v>
          </cell>
          <cell r="F251">
            <v>672.68</v>
          </cell>
          <cell r="G251">
            <v>3588.25</v>
          </cell>
          <cell r="H251">
            <v>5002.82</v>
          </cell>
          <cell r="I251">
            <v>18252.23</v>
          </cell>
          <cell r="J251">
            <v>90402</v>
          </cell>
          <cell r="K251" t="str">
            <v>MP</v>
          </cell>
        </row>
        <row r="252">
          <cell r="A252" t="str">
            <v>994165-SLR</v>
          </cell>
          <cell r="B252">
            <v>11933</v>
          </cell>
          <cell r="C252">
            <v>191.28</v>
          </cell>
          <cell r="D252">
            <v>9.8699999999999992</v>
          </cell>
          <cell r="E252">
            <v>477</v>
          </cell>
          <cell r="F252">
            <v>243.25</v>
          </cell>
          <cell r="G252">
            <v>691.9</v>
          </cell>
          <cell r="H252">
            <v>1613.3</v>
          </cell>
          <cell r="I252">
            <v>4740.97</v>
          </cell>
          <cell r="J252">
            <v>91750</v>
          </cell>
          <cell r="K252" t="str">
            <v>MP</v>
          </cell>
        </row>
        <row r="253">
          <cell r="A253" t="str">
            <v>994166-SLR</v>
          </cell>
          <cell r="B253">
            <v>12047</v>
          </cell>
          <cell r="C253">
            <v>173.05</v>
          </cell>
          <cell r="D253">
            <v>10.25</v>
          </cell>
          <cell r="E253">
            <v>477</v>
          </cell>
          <cell r="F253">
            <v>250.69</v>
          </cell>
          <cell r="G253">
            <v>158.19</v>
          </cell>
          <cell r="H253">
            <v>1069.18</v>
          </cell>
          <cell r="I253">
            <v>5089.6000000000004</v>
          </cell>
          <cell r="J253">
            <v>90086</v>
          </cell>
          <cell r="K253" t="str">
            <v>MP</v>
          </cell>
        </row>
        <row r="254">
          <cell r="A254" t="str">
            <v>994167-SLR</v>
          </cell>
          <cell r="B254">
            <v>12344</v>
          </cell>
          <cell r="C254">
            <v>516.22</v>
          </cell>
          <cell r="D254">
            <v>4.68</v>
          </cell>
          <cell r="E254">
            <v>477</v>
          </cell>
          <cell r="F254">
            <v>183.85</v>
          </cell>
          <cell r="G254">
            <v>437.45</v>
          </cell>
          <cell r="H254">
            <v>1619.2</v>
          </cell>
          <cell r="I254">
            <v>1781.47</v>
          </cell>
          <cell r="J254">
            <v>93013</v>
          </cell>
          <cell r="K254" t="str">
            <v>MP</v>
          </cell>
        </row>
        <row r="255">
          <cell r="A255" t="str">
            <v>994168-SLR</v>
          </cell>
          <cell r="B255">
            <v>12048</v>
          </cell>
          <cell r="C255">
            <v>489.5</v>
          </cell>
          <cell r="D255">
            <v>5.89</v>
          </cell>
          <cell r="E255">
            <v>477</v>
          </cell>
          <cell r="F255">
            <v>225</v>
          </cell>
          <cell r="G255">
            <v>308.64999999999998</v>
          </cell>
          <cell r="H255">
            <v>1506.04</v>
          </cell>
          <cell r="I255">
            <v>1131.72</v>
          </cell>
          <cell r="J255">
            <v>93030</v>
          </cell>
          <cell r="K255" t="str">
            <v>MP</v>
          </cell>
        </row>
        <row r="256">
          <cell r="A256" t="str">
            <v>994172-SLR</v>
          </cell>
          <cell r="B256">
            <v>12076</v>
          </cell>
          <cell r="C256">
            <v>202.87</v>
          </cell>
          <cell r="D256">
            <v>63.8</v>
          </cell>
          <cell r="E256">
            <v>477</v>
          </cell>
          <cell r="F256">
            <v>975.21</v>
          </cell>
          <cell r="G256">
            <v>6072.89</v>
          </cell>
          <cell r="H256">
            <v>7791.77</v>
          </cell>
          <cell r="I256">
            <v>31695.89</v>
          </cell>
          <cell r="J256">
            <v>90402</v>
          </cell>
          <cell r="K256" t="str">
            <v>MP</v>
          </cell>
        </row>
        <row r="257">
          <cell r="A257" t="str">
            <v>994173-SLR</v>
          </cell>
          <cell r="B257">
            <v>12347</v>
          </cell>
          <cell r="C257">
            <v>217.14</v>
          </cell>
          <cell r="D257">
            <v>36.36</v>
          </cell>
          <cell r="E257">
            <v>477</v>
          </cell>
          <cell r="F257">
            <v>665.91</v>
          </cell>
          <cell r="G257">
            <v>3825.37</v>
          </cell>
          <cell r="H257">
            <v>5221.78</v>
          </cell>
          <cell r="I257">
            <v>17962.560000000001</v>
          </cell>
          <cell r="J257">
            <v>90379</v>
          </cell>
          <cell r="K257" t="str">
            <v>MP</v>
          </cell>
        </row>
        <row r="258">
          <cell r="A258" t="str">
            <v>994174-SLR</v>
          </cell>
          <cell r="B258">
            <v>12265</v>
          </cell>
          <cell r="C258">
            <v>191.13</v>
          </cell>
          <cell r="D258">
            <v>48</v>
          </cell>
          <cell r="E258">
            <v>477</v>
          </cell>
          <cell r="F258">
            <v>801.59</v>
          </cell>
          <cell r="G258">
            <v>3394.45</v>
          </cell>
          <cell r="H258">
            <v>4912.17</v>
          </cell>
          <cell r="I258">
            <v>24006.92</v>
          </cell>
          <cell r="J258">
            <v>91969</v>
          </cell>
          <cell r="K258" t="str">
            <v>MP</v>
          </cell>
        </row>
        <row r="259">
          <cell r="A259" t="str">
            <v>994175-SLR</v>
          </cell>
          <cell r="B259">
            <v>12078</v>
          </cell>
          <cell r="C259">
            <v>338.66</v>
          </cell>
          <cell r="D259">
            <v>3.11</v>
          </cell>
          <cell r="E259">
            <v>477</v>
          </cell>
          <cell r="F259">
            <v>167.01</v>
          </cell>
          <cell r="G259">
            <v>201.98</v>
          </cell>
          <cell r="H259">
            <v>1187.76</v>
          </cell>
          <cell r="I259">
            <v>1211.96</v>
          </cell>
          <cell r="J259">
            <v>90219</v>
          </cell>
          <cell r="K259" t="str">
            <v>MP</v>
          </cell>
        </row>
        <row r="260">
          <cell r="A260" t="str">
            <v>994176-SLR</v>
          </cell>
          <cell r="B260">
            <v>12504</v>
          </cell>
          <cell r="C260">
            <v>506.74</v>
          </cell>
          <cell r="D260">
            <v>44.91</v>
          </cell>
          <cell r="E260">
            <v>477</v>
          </cell>
          <cell r="F260">
            <v>762.38</v>
          </cell>
          <cell r="G260">
            <v>2908.7</v>
          </cell>
          <cell r="H260">
            <v>4699.7299999999996</v>
          </cell>
          <cell r="I260">
            <v>21951.99</v>
          </cell>
          <cell r="J260">
            <v>90083</v>
          </cell>
          <cell r="K260" t="str">
            <v>MP</v>
          </cell>
        </row>
        <row r="261">
          <cell r="A261" t="str">
            <v>994177-SLR</v>
          </cell>
          <cell r="B261">
            <v>12116</v>
          </cell>
          <cell r="C261">
            <v>565.05999999999995</v>
          </cell>
          <cell r="D261">
            <v>30.82</v>
          </cell>
          <cell r="E261">
            <v>477</v>
          </cell>
          <cell r="F261">
            <v>603.49</v>
          </cell>
          <cell r="G261">
            <v>1653.12</v>
          </cell>
          <cell r="H261">
            <v>3329.49</v>
          </cell>
          <cell r="I261">
            <v>14846.24</v>
          </cell>
          <cell r="J261">
            <v>90061</v>
          </cell>
          <cell r="K261" t="str">
            <v>MP</v>
          </cell>
        </row>
        <row r="262">
          <cell r="A262" t="str">
            <v>994178-SLR</v>
          </cell>
          <cell r="B262">
            <v>12348</v>
          </cell>
          <cell r="C262">
            <v>205.82</v>
          </cell>
          <cell r="D262">
            <v>1.05</v>
          </cell>
          <cell r="E262">
            <v>477</v>
          </cell>
          <cell r="F262">
            <v>143.78</v>
          </cell>
          <cell r="G262">
            <v>99.03</v>
          </cell>
          <cell r="H262">
            <v>926.68</v>
          </cell>
          <cell r="I262">
            <v>314.33999999999997</v>
          </cell>
          <cell r="J262">
            <v>92144</v>
          </cell>
          <cell r="K262" t="str">
            <v>MP</v>
          </cell>
        </row>
        <row r="263">
          <cell r="A263" t="str">
            <v>994179-SLR</v>
          </cell>
          <cell r="B263">
            <v>12251</v>
          </cell>
          <cell r="C263">
            <v>204.93</v>
          </cell>
          <cell r="D263">
            <v>29.17</v>
          </cell>
          <cell r="E263">
            <v>477</v>
          </cell>
          <cell r="F263">
            <v>585</v>
          </cell>
          <cell r="G263">
            <v>2046.83</v>
          </cell>
          <cell r="H263">
            <v>3342.93</v>
          </cell>
          <cell r="I263">
            <v>14386.09</v>
          </cell>
          <cell r="J263">
            <v>93227</v>
          </cell>
          <cell r="K263" t="str">
            <v>MP</v>
          </cell>
        </row>
        <row r="264">
          <cell r="A264" t="str">
            <v>994180-SLR</v>
          </cell>
          <cell r="B264">
            <v>11746</v>
          </cell>
          <cell r="C264">
            <v>124.89</v>
          </cell>
          <cell r="D264">
            <v>0</v>
          </cell>
          <cell r="E264">
            <v>0</v>
          </cell>
          <cell r="F264">
            <v>0</v>
          </cell>
          <cell r="G264">
            <v>181.12</v>
          </cell>
          <cell r="H264">
            <v>306.01</v>
          </cell>
          <cell r="I264">
            <v>177.48</v>
          </cell>
          <cell r="J264">
            <v>92202</v>
          </cell>
          <cell r="K264" t="str">
            <v>MP</v>
          </cell>
        </row>
        <row r="265">
          <cell r="A265" t="str">
            <v>994181-SLR</v>
          </cell>
          <cell r="B265">
            <v>12079</v>
          </cell>
          <cell r="C265">
            <v>334.05</v>
          </cell>
          <cell r="D265">
            <v>10.41</v>
          </cell>
          <cell r="E265">
            <v>477</v>
          </cell>
          <cell r="F265">
            <v>248.92</v>
          </cell>
          <cell r="G265">
            <v>991.43</v>
          </cell>
          <cell r="H265">
            <v>2061.81</v>
          </cell>
          <cell r="I265">
            <v>4868.8100000000004</v>
          </cell>
          <cell r="J265">
            <v>90322</v>
          </cell>
          <cell r="K265" t="str">
            <v>MP</v>
          </cell>
        </row>
        <row r="266">
          <cell r="A266" t="str">
            <v>994182-SLR</v>
          </cell>
          <cell r="B266">
            <v>12118</v>
          </cell>
          <cell r="C266">
            <v>179.93</v>
          </cell>
          <cell r="D266">
            <v>0.63</v>
          </cell>
          <cell r="E266">
            <v>477</v>
          </cell>
          <cell r="F266">
            <v>139.08000000000001</v>
          </cell>
          <cell r="G266">
            <v>37.51</v>
          </cell>
          <cell r="H266">
            <v>834.15</v>
          </cell>
          <cell r="I266">
            <v>132</v>
          </cell>
          <cell r="J266">
            <v>93112</v>
          </cell>
          <cell r="K266" t="str">
            <v>MP</v>
          </cell>
        </row>
        <row r="267">
          <cell r="A267" t="str">
            <v>994184-SLR</v>
          </cell>
          <cell r="B267">
            <v>12119</v>
          </cell>
          <cell r="C267">
            <v>288.07</v>
          </cell>
          <cell r="D267">
            <v>15.41</v>
          </cell>
          <cell r="E267">
            <v>477</v>
          </cell>
          <cell r="F267">
            <v>350.47</v>
          </cell>
          <cell r="G267">
            <v>487.8</v>
          </cell>
          <cell r="H267">
            <v>1618.75</v>
          </cell>
          <cell r="I267">
            <v>7413.89</v>
          </cell>
          <cell r="J267">
            <v>90097</v>
          </cell>
          <cell r="K267" t="str">
            <v>MP</v>
          </cell>
        </row>
        <row r="268">
          <cell r="A268" t="str">
            <v>994185-SLR</v>
          </cell>
          <cell r="B268">
            <v>12006</v>
          </cell>
          <cell r="C268">
            <v>180.14</v>
          </cell>
          <cell r="D268">
            <v>16.7</v>
          </cell>
          <cell r="E268">
            <v>477</v>
          </cell>
          <cell r="F268">
            <v>379.21</v>
          </cell>
          <cell r="G268">
            <v>1170.8499999999999</v>
          </cell>
          <cell r="H268">
            <v>2223.8999999999996</v>
          </cell>
          <cell r="I268">
            <v>8166.39</v>
          </cell>
          <cell r="J268">
            <v>91682</v>
          </cell>
          <cell r="K268" t="str">
            <v>MP</v>
          </cell>
        </row>
        <row r="269">
          <cell r="A269" t="str">
            <v>994186-SLR</v>
          </cell>
          <cell r="B269">
            <v>12007</v>
          </cell>
          <cell r="C269">
            <v>180.14</v>
          </cell>
          <cell r="D269">
            <v>13.12</v>
          </cell>
          <cell r="E269">
            <v>477</v>
          </cell>
          <cell r="F269">
            <v>299.3</v>
          </cell>
          <cell r="G269">
            <v>919.45</v>
          </cell>
          <cell r="H269">
            <v>1889.01</v>
          </cell>
          <cell r="I269">
            <v>6374.22</v>
          </cell>
          <cell r="J269">
            <v>90468</v>
          </cell>
          <cell r="K269" t="str">
            <v>MP</v>
          </cell>
        </row>
        <row r="270">
          <cell r="A270" t="str">
            <v>994187-SLR</v>
          </cell>
          <cell r="B270">
            <v>12192</v>
          </cell>
          <cell r="C270">
            <v>180.14</v>
          </cell>
          <cell r="D270">
            <v>10.35</v>
          </cell>
          <cell r="E270">
            <v>477</v>
          </cell>
          <cell r="F270">
            <v>248.58</v>
          </cell>
          <cell r="G270">
            <v>725.06</v>
          </cell>
          <cell r="H270">
            <v>1641.13</v>
          </cell>
          <cell r="I270">
            <v>4988.5200000000004</v>
          </cell>
          <cell r="J270">
            <v>90697</v>
          </cell>
          <cell r="K270" t="str">
            <v>MP</v>
          </cell>
        </row>
        <row r="271">
          <cell r="A271" t="str">
            <v>994188-SLR</v>
          </cell>
          <cell r="B271">
            <v>12120</v>
          </cell>
          <cell r="C271">
            <v>175.31</v>
          </cell>
          <cell r="D271">
            <v>13.97</v>
          </cell>
          <cell r="E271">
            <v>477</v>
          </cell>
          <cell r="F271">
            <v>153.97</v>
          </cell>
          <cell r="G271">
            <v>979.83</v>
          </cell>
          <cell r="H271">
            <v>1800.08</v>
          </cell>
          <cell r="I271">
            <v>6809.53</v>
          </cell>
          <cell r="J271">
            <v>90062</v>
          </cell>
          <cell r="K271" t="str">
            <v>MP</v>
          </cell>
        </row>
        <row r="272">
          <cell r="A272" t="str">
            <v>994189-SLR</v>
          </cell>
          <cell r="B272">
            <v>12008</v>
          </cell>
          <cell r="C272">
            <v>180.14</v>
          </cell>
          <cell r="D272">
            <v>6.47</v>
          </cell>
          <cell r="E272">
            <v>477</v>
          </cell>
          <cell r="F272">
            <v>204.84</v>
          </cell>
          <cell r="G272">
            <v>452.92</v>
          </cell>
          <cell r="H272">
            <v>1321.3700000000001</v>
          </cell>
          <cell r="I272">
            <v>3048.54</v>
          </cell>
          <cell r="J272">
            <v>90236</v>
          </cell>
          <cell r="K272" t="str">
            <v>MP</v>
          </cell>
        </row>
        <row r="273">
          <cell r="A273" t="str">
            <v>994190-SLR</v>
          </cell>
          <cell r="B273">
            <v>12009</v>
          </cell>
          <cell r="C273">
            <v>180.14</v>
          </cell>
          <cell r="D273">
            <v>1.59</v>
          </cell>
          <cell r="E273">
            <v>477</v>
          </cell>
          <cell r="F273">
            <v>149.97999999999999</v>
          </cell>
          <cell r="G273">
            <v>23.91</v>
          </cell>
          <cell r="H273">
            <v>832.62</v>
          </cell>
          <cell r="I273">
            <v>615.25</v>
          </cell>
          <cell r="J273">
            <v>90496</v>
          </cell>
          <cell r="K273" t="str">
            <v>MP</v>
          </cell>
        </row>
        <row r="274">
          <cell r="A274" t="str">
            <v>994191-SLR</v>
          </cell>
          <cell r="B274">
            <v>12193</v>
          </cell>
          <cell r="C274">
            <v>180.14</v>
          </cell>
          <cell r="D274">
            <v>6.13</v>
          </cell>
          <cell r="E274">
            <v>477</v>
          </cell>
          <cell r="F274">
            <v>201.09</v>
          </cell>
          <cell r="G274">
            <v>429.59</v>
          </cell>
          <cell r="H274">
            <v>1293.95</v>
          </cell>
          <cell r="I274">
            <v>2882.26</v>
          </cell>
          <cell r="J274">
            <v>91682</v>
          </cell>
          <cell r="K274" t="str">
            <v>MP</v>
          </cell>
        </row>
        <row r="275">
          <cell r="A275" t="str">
            <v>994192-SLR</v>
          </cell>
          <cell r="B275">
            <v>12010</v>
          </cell>
          <cell r="C275">
            <v>180.14</v>
          </cell>
          <cell r="D275">
            <v>20.69</v>
          </cell>
          <cell r="E275">
            <v>477</v>
          </cell>
          <cell r="F275">
            <v>476.42</v>
          </cell>
          <cell r="G275">
            <v>1476.69</v>
          </cell>
          <cell r="H275">
            <v>2630.94</v>
          </cell>
          <cell r="I275">
            <v>10346.56</v>
          </cell>
          <cell r="J275">
            <v>90468</v>
          </cell>
          <cell r="K275" t="str">
            <v>MP</v>
          </cell>
        </row>
        <row r="276">
          <cell r="A276" t="str">
            <v>994193-SLR</v>
          </cell>
          <cell r="B276">
            <v>12122</v>
          </cell>
          <cell r="C276">
            <v>202.44</v>
          </cell>
          <cell r="D276">
            <v>22.68</v>
          </cell>
          <cell r="E276">
            <v>477</v>
          </cell>
          <cell r="F276">
            <v>511.7</v>
          </cell>
          <cell r="G276">
            <v>2386.04</v>
          </cell>
          <cell r="H276">
            <v>3599.8599999999997</v>
          </cell>
          <cell r="I276">
            <v>11136.99</v>
          </cell>
          <cell r="J276">
            <v>92225</v>
          </cell>
          <cell r="K276" t="str">
            <v>MP</v>
          </cell>
        </row>
        <row r="277">
          <cell r="A277" t="str">
            <v>994194-SLR</v>
          </cell>
          <cell r="B277">
            <v>12080</v>
          </cell>
          <cell r="C277">
            <v>247.34</v>
          </cell>
          <cell r="D277">
            <v>4.59</v>
          </cell>
          <cell r="E277">
            <v>477</v>
          </cell>
          <cell r="F277">
            <v>183.7</v>
          </cell>
          <cell r="G277">
            <v>252.5</v>
          </cell>
          <cell r="H277">
            <v>1165.1300000000001</v>
          </cell>
          <cell r="I277">
            <v>2043.48</v>
          </cell>
          <cell r="J277">
            <v>92255</v>
          </cell>
          <cell r="K277" t="str">
            <v>MP</v>
          </cell>
        </row>
        <row r="278">
          <cell r="A278" t="str">
            <v>994195-SLR</v>
          </cell>
          <cell r="B278">
            <v>12572</v>
          </cell>
          <cell r="C278">
            <v>993.74</v>
          </cell>
          <cell r="D278">
            <v>19.809999999999999</v>
          </cell>
          <cell r="E278">
            <v>477</v>
          </cell>
          <cell r="F278">
            <v>448.99</v>
          </cell>
          <cell r="G278">
            <v>2085.5500000000002</v>
          </cell>
          <cell r="H278">
            <v>4025.09</v>
          </cell>
          <cell r="I278">
            <v>8917.66</v>
          </cell>
          <cell r="J278">
            <v>91375</v>
          </cell>
          <cell r="K278" t="str">
            <v>MP</v>
          </cell>
        </row>
        <row r="279">
          <cell r="A279" t="str">
            <v>994196-SLR</v>
          </cell>
          <cell r="B279">
            <v>12123</v>
          </cell>
          <cell r="C279">
            <v>443.27</v>
          </cell>
          <cell r="D279">
            <v>29.36</v>
          </cell>
          <cell r="E279">
            <v>477</v>
          </cell>
          <cell r="F279">
            <v>587</v>
          </cell>
          <cell r="G279">
            <v>2794.74</v>
          </cell>
          <cell r="H279">
            <v>4331.37</v>
          </cell>
          <cell r="I279">
            <v>14236.52</v>
          </cell>
          <cell r="J279">
            <v>90402</v>
          </cell>
          <cell r="K279" t="str">
            <v>MP</v>
          </cell>
        </row>
        <row r="280">
          <cell r="A280" t="str">
            <v>994197-SLR</v>
          </cell>
          <cell r="B280">
            <v>12454</v>
          </cell>
          <cell r="C280">
            <v>5059.13</v>
          </cell>
          <cell r="D280">
            <v>44.11</v>
          </cell>
          <cell r="E280">
            <v>477</v>
          </cell>
          <cell r="F280">
            <v>753.38</v>
          </cell>
          <cell r="G280">
            <v>3893.35</v>
          </cell>
          <cell r="H280">
            <v>10226.969999999999</v>
          </cell>
          <cell r="I280">
            <v>17000.5</v>
          </cell>
          <cell r="J280">
            <v>93049</v>
          </cell>
          <cell r="K280" t="str">
            <v>MP</v>
          </cell>
        </row>
        <row r="281">
          <cell r="A281" t="str">
            <v>994198-SLR</v>
          </cell>
          <cell r="B281">
            <v>12153</v>
          </cell>
          <cell r="C281">
            <v>2821.28</v>
          </cell>
          <cell r="D281">
            <v>40.94</v>
          </cell>
          <cell r="E281">
            <v>477</v>
          </cell>
          <cell r="F281">
            <v>781.08</v>
          </cell>
          <cell r="G281">
            <v>4433.6000000000004</v>
          </cell>
          <cell r="H281">
            <v>8553.9000000000015</v>
          </cell>
          <cell r="I281">
            <v>20472.52</v>
          </cell>
          <cell r="J281">
            <v>92243</v>
          </cell>
          <cell r="K281" t="str">
            <v>MP</v>
          </cell>
        </row>
        <row r="282">
          <cell r="A282" t="str">
            <v>994199-SLR</v>
          </cell>
          <cell r="B282">
            <v>12482</v>
          </cell>
          <cell r="C282">
            <v>368.23</v>
          </cell>
          <cell r="D282">
            <v>166.17</v>
          </cell>
          <cell r="E282">
            <v>477</v>
          </cell>
          <cell r="F282">
            <v>2137.5300000000002</v>
          </cell>
          <cell r="G282">
            <v>4485.93</v>
          </cell>
          <cell r="H282">
            <v>7634.8600000000006</v>
          </cell>
          <cell r="I282">
            <v>83086.2</v>
          </cell>
          <cell r="J282">
            <v>91578</v>
          </cell>
          <cell r="K282" t="str">
            <v>MP</v>
          </cell>
        </row>
        <row r="283">
          <cell r="A283" t="str">
            <v>994200-SLR</v>
          </cell>
          <cell r="B283">
            <v>12283</v>
          </cell>
          <cell r="C283">
            <v>254.54</v>
          </cell>
          <cell r="D283">
            <v>1.7</v>
          </cell>
          <cell r="E283">
            <v>477</v>
          </cell>
          <cell r="F283">
            <v>150.93</v>
          </cell>
          <cell r="G283">
            <v>159.4</v>
          </cell>
          <cell r="H283">
            <v>1043.5700000000002</v>
          </cell>
          <cell r="I283">
            <v>582.71</v>
          </cell>
          <cell r="J283">
            <v>90827</v>
          </cell>
          <cell r="K283" t="str">
            <v>MP</v>
          </cell>
        </row>
        <row r="284">
          <cell r="A284" t="str">
            <v>994202-SLR</v>
          </cell>
          <cell r="B284">
            <v>11935</v>
          </cell>
          <cell r="C284">
            <v>4015.03</v>
          </cell>
          <cell r="D284">
            <v>22.46</v>
          </cell>
          <cell r="E284">
            <v>477</v>
          </cell>
          <cell r="F284">
            <v>599.51</v>
          </cell>
          <cell r="G284">
            <v>1831.8</v>
          </cell>
          <cell r="H284">
            <v>6945.8</v>
          </cell>
          <cell r="I284">
            <v>11227.5</v>
          </cell>
          <cell r="J284">
            <v>93135</v>
          </cell>
          <cell r="K284" t="str">
            <v>MP</v>
          </cell>
        </row>
        <row r="285">
          <cell r="A285" t="str">
            <v>994203-SLR</v>
          </cell>
          <cell r="B285">
            <v>11936</v>
          </cell>
          <cell r="C285">
            <v>1156.78</v>
          </cell>
          <cell r="D285">
            <v>37.130000000000003</v>
          </cell>
          <cell r="E285">
            <v>477</v>
          </cell>
          <cell r="F285">
            <v>674.56</v>
          </cell>
          <cell r="G285">
            <v>2232.0300000000002</v>
          </cell>
          <cell r="H285">
            <v>4577.5</v>
          </cell>
          <cell r="I285">
            <v>17406.34</v>
          </cell>
          <cell r="J285">
            <v>92284</v>
          </cell>
          <cell r="K285" t="str">
            <v>MP</v>
          </cell>
        </row>
        <row r="286">
          <cell r="A286" t="str">
            <v>994204-SLR</v>
          </cell>
          <cell r="B286">
            <v>12652</v>
          </cell>
          <cell r="C286">
            <v>5596.66</v>
          </cell>
          <cell r="D286">
            <v>26.51</v>
          </cell>
          <cell r="E286">
            <v>477</v>
          </cell>
          <cell r="F286">
            <v>554.97</v>
          </cell>
          <cell r="G286">
            <v>1594.26</v>
          </cell>
          <cell r="H286">
            <v>8249.4</v>
          </cell>
          <cell r="I286">
            <v>7662.37</v>
          </cell>
          <cell r="J286">
            <v>91996</v>
          </cell>
          <cell r="K286" t="str">
            <v>MP</v>
          </cell>
        </row>
        <row r="287">
          <cell r="A287" t="str">
            <v>994205-SLR</v>
          </cell>
          <cell r="B287">
            <v>12011</v>
          </cell>
          <cell r="C287">
            <v>253.12</v>
          </cell>
          <cell r="D287">
            <v>3.25</v>
          </cell>
          <cell r="E287">
            <v>477</v>
          </cell>
          <cell r="F287">
            <v>174.5</v>
          </cell>
          <cell r="G287">
            <v>358.45</v>
          </cell>
          <cell r="H287">
            <v>1266.32</v>
          </cell>
          <cell r="I287">
            <v>1629.69</v>
          </cell>
          <cell r="J287">
            <v>92303</v>
          </cell>
          <cell r="K287" t="str">
            <v>MP</v>
          </cell>
        </row>
        <row r="288">
          <cell r="A288" t="str">
            <v>994206-SLR</v>
          </cell>
          <cell r="B288">
            <v>12658</v>
          </cell>
          <cell r="C288">
            <v>1707.17</v>
          </cell>
          <cell r="D288">
            <v>66.28</v>
          </cell>
          <cell r="E288">
            <v>477</v>
          </cell>
          <cell r="F288">
            <v>1003.04</v>
          </cell>
          <cell r="G288">
            <v>5643.92</v>
          </cell>
          <cell r="H288">
            <v>8897.41</v>
          </cell>
          <cell r="I288">
            <v>31426.080000000002</v>
          </cell>
          <cell r="J288">
            <v>92272</v>
          </cell>
          <cell r="K288" t="str">
            <v>MP</v>
          </cell>
        </row>
        <row r="289">
          <cell r="A289" t="str">
            <v>994207-SLR</v>
          </cell>
          <cell r="B289">
            <v>11805</v>
          </cell>
          <cell r="C289">
            <v>362.3</v>
          </cell>
          <cell r="D289">
            <v>16.16</v>
          </cell>
          <cell r="E289">
            <v>477</v>
          </cell>
          <cell r="F289">
            <v>383.46</v>
          </cell>
          <cell r="G289">
            <v>1607.11</v>
          </cell>
          <cell r="H289">
            <v>2846.0299999999997</v>
          </cell>
          <cell r="I289">
            <v>8079.29</v>
          </cell>
          <cell r="J289">
            <v>96013</v>
          </cell>
          <cell r="K289" t="str">
            <v>MP</v>
          </cell>
        </row>
        <row r="290">
          <cell r="A290" t="str">
            <v>994208-SLR</v>
          </cell>
          <cell r="B290">
            <v>11806</v>
          </cell>
          <cell r="C290">
            <v>175.35</v>
          </cell>
          <cell r="D290">
            <v>2.0699999999999998</v>
          </cell>
          <cell r="E290">
            <v>477</v>
          </cell>
          <cell r="F290">
            <v>159.19999999999999</v>
          </cell>
          <cell r="G290">
            <v>144.80000000000001</v>
          </cell>
          <cell r="H290">
            <v>958.41999999999985</v>
          </cell>
          <cell r="I290">
            <v>1028.93</v>
          </cell>
          <cell r="J290">
            <v>92287</v>
          </cell>
          <cell r="K290" t="str">
            <v>MP</v>
          </cell>
        </row>
        <row r="291">
          <cell r="A291" t="str">
            <v>994210-SLR</v>
          </cell>
          <cell r="B291">
            <v>12194</v>
          </cell>
          <cell r="C291">
            <v>194</v>
          </cell>
          <cell r="D291">
            <v>9.18</v>
          </cell>
          <cell r="E291">
            <v>477</v>
          </cell>
          <cell r="F291">
            <v>235.56</v>
          </cell>
          <cell r="G291">
            <v>874.09</v>
          </cell>
          <cell r="H291">
            <v>1789.83</v>
          </cell>
          <cell r="I291">
            <v>4397.29</v>
          </cell>
          <cell r="J291">
            <v>90390</v>
          </cell>
          <cell r="K291" t="str">
            <v>MP</v>
          </cell>
        </row>
        <row r="292">
          <cell r="A292" t="str">
            <v>994211-SLR</v>
          </cell>
          <cell r="B292">
            <v>12081</v>
          </cell>
          <cell r="C292">
            <v>147.94</v>
          </cell>
          <cell r="D292">
            <v>8.6199999999999992</v>
          </cell>
          <cell r="E292">
            <v>477</v>
          </cell>
          <cell r="F292">
            <v>229.19</v>
          </cell>
          <cell r="G292">
            <v>604.45000000000005</v>
          </cell>
          <cell r="H292">
            <v>1467.2</v>
          </cell>
          <cell r="I292">
            <v>4160.93</v>
          </cell>
          <cell r="J292">
            <v>90349</v>
          </cell>
          <cell r="K292" t="str">
            <v>MP</v>
          </cell>
        </row>
        <row r="293">
          <cell r="A293" t="str">
            <v>994212-SLR</v>
          </cell>
          <cell r="B293">
            <v>12154</v>
          </cell>
          <cell r="C293">
            <v>526.75</v>
          </cell>
          <cell r="D293">
            <v>63.3</v>
          </cell>
          <cell r="E293">
            <v>477</v>
          </cell>
          <cell r="F293">
            <v>249</v>
          </cell>
          <cell r="G293">
            <v>1925.43</v>
          </cell>
          <cell r="H293">
            <v>3241.48</v>
          </cell>
          <cell r="I293">
            <v>31128.53</v>
          </cell>
          <cell r="J293">
            <v>90061</v>
          </cell>
          <cell r="K293" t="str">
            <v>MP</v>
          </cell>
        </row>
        <row r="294">
          <cell r="A294" t="str">
            <v>994213-SLR</v>
          </cell>
          <cell r="B294">
            <v>11937</v>
          </cell>
          <cell r="C294">
            <v>234.87</v>
          </cell>
          <cell r="D294">
            <v>23.94</v>
          </cell>
          <cell r="E294">
            <v>477</v>
          </cell>
          <cell r="F294">
            <v>525.91999999999996</v>
          </cell>
          <cell r="G294">
            <v>1679.21</v>
          </cell>
          <cell r="H294">
            <v>2940.94</v>
          </cell>
          <cell r="I294">
            <v>11735.57</v>
          </cell>
          <cell r="J294">
            <v>90097</v>
          </cell>
          <cell r="K294" t="str">
            <v>MP</v>
          </cell>
        </row>
        <row r="295">
          <cell r="A295" t="str">
            <v>994214-SLR</v>
          </cell>
          <cell r="B295">
            <v>12284</v>
          </cell>
          <cell r="C295">
            <v>717.63</v>
          </cell>
          <cell r="D295">
            <v>5.41</v>
          </cell>
          <cell r="E295">
            <v>477</v>
          </cell>
          <cell r="F295">
            <v>191.23</v>
          </cell>
          <cell r="G295">
            <v>499.78</v>
          </cell>
          <cell r="H295">
            <v>1891.05</v>
          </cell>
          <cell r="I295">
            <v>1907.37</v>
          </cell>
          <cell r="J295">
            <v>93035</v>
          </cell>
          <cell r="K295" t="str">
            <v>MP</v>
          </cell>
        </row>
        <row r="296">
          <cell r="A296" t="str">
            <v>994215-SLR</v>
          </cell>
          <cell r="B296">
            <v>12156</v>
          </cell>
          <cell r="C296">
            <v>2269.84</v>
          </cell>
          <cell r="D296">
            <v>99.15</v>
          </cell>
          <cell r="E296">
            <v>477</v>
          </cell>
          <cell r="F296">
            <v>1373.67</v>
          </cell>
          <cell r="G296">
            <v>5960.61</v>
          </cell>
          <cell r="H296">
            <v>10180.27</v>
          </cell>
          <cell r="I296">
            <v>47302.81</v>
          </cell>
          <cell r="J296">
            <v>93141</v>
          </cell>
          <cell r="K296" t="str">
            <v>MP</v>
          </cell>
        </row>
        <row r="297">
          <cell r="A297" t="str">
            <v>994216-SLR</v>
          </cell>
          <cell r="B297">
            <v>12349</v>
          </cell>
          <cell r="C297">
            <v>196.47</v>
          </cell>
          <cell r="D297">
            <v>17.16</v>
          </cell>
          <cell r="E297">
            <v>477</v>
          </cell>
          <cell r="F297">
            <v>389.58</v>
          </cell>
          <cell r="G297">
            <v>1805.19</v>
          </cell>
          <cell r="H297">
            <v>2885.4</v>
          </cell>
          <cell r="I297">
            <v>8382.5300000000007</v>
          </cell>
          <cell r="J297">
            <v>91681</v>
          </cell>
          <cell r="K297" t="str">
            <v>MP</v>
          </cell>
        </row>
        <row r="298">
          <cell r="A298" t="str">
            <v>994217-SLR</v>
          </cell>
          <cell r="B298">
            <v>12350</v>
          </cell>
          <cell r="C298">
            <v>205.82</v>
          </cell>
          <cell r="D298">
            <v>16.670000000000002</v>
          </cell>
          <cell r="E298">
            <v>477</v>
          </cell>
          <cell r="F298">
            <v>378.65</v>
          </cell>
          <cell r="G298">
            <v>250.56</v>
          </cell>
          <cell r="H298">
            <v>1328.6999999999998</v>
          </cell>
          <cell r="I298">
            <v>8129.63</v>
          </cell>
          <cell r="J298">
            <v>90061</v>
          </cell>
          <cell r="K298" t="str">
            <v>MP</v>
          </cell>
        </row>
        <row r="299">
          <cell r="A299" t="str">
            <v>994219-SLR</v>
          </cell>
          <cell r="B299">
            <v>12252</v>
          </cell>
          <cell r="C299">
            <v>3176.01</v>
          </cell>
          <cell r="D299">
            <v>14.83</v>
          </cell>
          <cell r="E299">
            <v>477</v>
          </cell>
          <cell r="F299">
            <v>479.1</v>
          </cell>
          <cell r="G299">
            <v>2227.66</v>
          </cell>
          <cell r="H299">
            <v>6374.6</v>
          </cell>
          <cell r="I299">
            <v>7417.07</v>
          </cell>
          <cell r="J299">
            <v>93131</v>
          </cell>
          <cell r="K299" t="str">
            <v>MP</v>
          </cell>
        </row>
        <row r="300">
          <cell r="A300" t="str">
            <v>994221-SLR</v>
          </cell>
          <cell r="B300">
            <v>12157</v>
          </cell>
          <cell r="C300">
            <v>196.65</v>
          </cell>
          <cell r="D300">
            <v>9.3800000000000008</v>
          </cell>
          <cell r="E300">
            <v>477</v>
          </cell>
          <cell r="F300">
            <v>237.82</v>
          </cell>
          <cell r="G300">
            <v>893.19</v>
          </cell>
          <cell r="H300">
            <v>1814.04</v>
          </cell>
          <cell r="I300">
            <v>4494.96</v>
          </cell>
          <cell r="J300">
            <v>92249</v>
          </cell>
          <cell r="K300" t="str">
            <v>MP</v>
          </cell>
        </row>
        <row r="301">
          <cell r="A301" t="str">
            <v>994222-SLR</v>
          </cell>
          <cell r="B301">
            <v>12547</v>
          </cell>
          <cell r="C301">
            <v>404.28</v>
          </cell>
          <cell r="D301">
            <v>331.73</v>
          </cell>
          <cell r="E301">
            <v>477</v>
          </cell>
          <cell r="F301">
            <v>3995.46</v>
          </cell>
          <cell r="G301">
            <v>23267.42</v>
          </cell>
          <cell r="H301">
            <v>28475.89</v>
          </cell>
          <cell r="I301">
            <v>165459.82999999999</v>
          </cell>
          <cell r="J301">
            <v>90097</v>
          </cell>
          <cell r="K301" t="str">
            <v>MP</v>
          </cell>
        </row>
        <row r="302">
          <cell r="A302" t="str">
            <v>994223-SLR</v>
          </cell>
          <cell r="B302">
            <v>12603</v>
          </cell>
          <cell r="C302">
            <v>26130.14</v>
          </cell>
          <cell r="D302">
            <v>715.96</v>
          </cell>
          <cell r="E302">
            <v>477</v>
          </cell>
          <cell r="F302">
            <v>8914.5400000000009</v>
          </cell>
          <cell r="G302">
            <v>80812.63</v>
          </cell>
          <cell r="H302">
            <v>117050.27</v>
          </cell>
          <cell r="I302">
            <v>357975.94</v>
          </cell>
          <cell r="J302">
            <v>91375</v>
          </cell>
          <cell r="K302" t="str">
            <v>MP</v>
          </cell>
        </row>
        <row r="303">
          <cell r="A303" t="str">
            <v>994224-SLR</v>
          </cell>
          <cell r="B303">
            <v>12575</v>
          </cell>
          <cell r="C303">
            <v>372.3</v>
          </cell>
          <cell r="D303">
            <v>111.79</v>
          </cell>
          <cell r="E303">
            <v>477</v>
          </cell>
          <cell r="F303">
            <v>1516.12</v>
          </cell>
          <cell r="G303">
            <v>2800.17</v>
          </cell>
          <cell r="H303">
            <v>5277.38</v>
          </cell>
          <cell r="I303">
            <v>55519.22</v>
          </cell>
          <cell r="J303">
            <v>91578</v>
          </cell>
          <cell r="K303" t="str">
            <v>MP</v>
          </cell>
        </row>
        <row r="304">
          <cell r="A304" t="str">
            <v>994226-SLR</v>
          </cell>
          <cell r="B304">
            <v>12351</v>
          </cell>
          <cell r="C304">
            <v>324.61</v>
          </cell>
          <cell r="D304">
            <v>1.85</v>
          </cell>
          <cell r="E304">
            <v>477</v>
          </cell>
          <cell r="F304">
            <v>152.9</v>
          </cell>
          <cell r="G304">
            <v>120.46</v>
          </cell>
          <cell r="H304">
            <v>1076.82</v>
          </cell>
          <cell r="I304">
            <v>596.16</v>
          </cell>
          <cell r="J304">
            <v>93038</v>
          </cell>
          <cell r="K304" t="str">
            <v>MP</v>
          </cell>
        </row>
        <row r="305">
          <cell r="A305" t="str">
            <v>994227-SLR</v>
          </cell>
          <cell r="B305">
            <v>12456</v>
          </cell>
          <cell r="C305">
            <v>242.11</v>
          </cell>
          <cell r="D305">
            <v>1.5</v>
          </cell>
          <cell r="E305">
            <v>477</v>
          </cell>
          <cell r="F305">
            <v>149.07</v>
          </cell>
          <cell r="G305">
            <v>143.76</v>
          </cell>
          <cell r="H305">
            <v>1013.44</v>
          </cell>
          <cell r="I305">
            <v>513.04</v>
          </cell>
          <cell r="J305">
            <v>90322</v>
          </cell>
          <cell r="K305" t="str">
            <v>MP</v>
          </cell>
        </row>
        <row r="306">
          <cell r="A306" t="str">
            <v>994228-SLR</v>
          </cell>
          <cell r="B306">
            <v>12285</v>
          </cell>
          <cell r="C306">
            <v>203.07</v>
          </cell>
          <cell r="D306">
            <v>31.73</v>
          </cell>
          <cell r="E306">
            <v>477</v>
          </cell>
          <cell r="F306">
            <v>613.70000000000005</v>
          </cell>
          <cell r="G306">
            <v>3020.18</v>
          </cell>
          <cell r="H306">
            <v>4345.68</v>
          </cell>
          <cell r="I306">
            <v>15660.86</v>
          </cell>
          <cell r="J306">
            <v>90402</v>
          </cell>
          <cell r="K306" t="str">
            <v>MP</v>
          </cell>
        </row>
        <row r="307">
          <cell r="A307" t="str">
            <v>994229-SLR</v>
          </cell>
          <cell r="B307">
            <v>12082</v>
          </cell>
          <cell r="C307">
            <v>314.38</v>
          </cell>
          <cell r="D307">
            <v>8.9499999999999993</v>
          </cell>
          <cell r="E307">
            <v>477</v>
          </cell>
          <cell r="F307">
            <v>232.95</v>
          </cell>
          <cell r="G307">
            <v>941.69</v>
          </cell>
          <cell r="H307">
            <v>1974.97</v>
          </cell>
          <cell r="I307">
            <v>4160.93</v>
          </cell>
          <cell r="J307">
            <v>93004</v>
          </cell>
          <cell r="K307" t="str">
            <v>MP</v>
          </cell>
        </row>
        <row r="308">
          <cell r="A308" t="str">
            <v>994230-SLR</v>
          </cell>
          <cell r="B308">
            <v>12125</v>
          </cell>
          <cell r="C308">
            <v>179.93</v>
          </cell>
          <cell r="D308">
            <v>18.36</v>
          </cell>
          <cell r="E308">
            <v>477</v>
          </cell>
          <cell r="F308">
            <v>416.45</v>
          </cell>
          <cell r="G308">
            <v>978.2</v>
          </cell>
          <cell r="H308">
            <v>2069.94</v>
          </cell>
          <cell r="I308">
            <v>9001.86</v>
          </cell>
          <cell r="J308">
            <v>90468</v>
          </cell>
          <cell r="K308" t="str">
            <v>MP</v>
          </cell>
        </row>
        <row r="309">
          <cell r="A309" t="str">
            <v>994231-SLR</v>
          </cell>
          <cell r="B309">
            <v>12287</v>
          </cell>
          <cell r="C309">
            <v>198.99</v>
          </cell>
          <cell r="D309">
            <v>53.72</v>
          </cell>
          <cell r="E309">
            <v>477</v>
          </cell>
          <cell r="F309">
            <v>761.49</v>
          </cell>
          <cell r="G309">
            <v>807.26</v>
          </cell>
          <cell r="H309">
            <v>2298.46</v>
          </cell>
          <cell r="I309">
            <v>26655.84</v>
          </cell>
          <cell r="J309">
            <v>90236</v>
          </cell>
          <cell r="K309" t="str">
            <v>MP</v>
          </cell>
        </row>
        <row r="310">
          <cell r="A310" t="str">
            <v>994232-SLR</v>
          </cell>
          <cell r="B310">
            <v>12083</v>
          </cell>
          <cell r="C310">
            <v>180.31</v>
          </cell>
          <cell r="D310">
            <v>12.8</v>
          </cell>
          <cell r="E310">
            <v>477</v>
          </cell>
          <cell r="F310">
            <v>292.14999999999998</v>
          </cell>
          <cell r="G310">
            <v>896.95</v>
          </cell>
          <cell r="H310">
            <v>1859.21</v>
          </cell>
          <cell r="I310">
            <v>6213.65</v>
          </cell>
          <cell r="J310">
            <v>90468</v>
          </cell>
          <cell r="K310" t="str">
            <v>MP</v>
          </cell>
        </row>
        <row r="311">
          <cell r="A311" t="str">
            <v>994233-SLR</v>
          </cell>
          <cell r="B311">
            <v>12457</v>
          </cell>
          <cell r="C311">
            <v>13909.54</v>
          </cell>
          <cell r="D311">
            <v>6080.53</v>
          </cell>
          <cell r="E311">
            <v>477</v>
          </cell>
          <cell r="F311">
            <v>8526.84</v>
          </cell>
          <cell r="G311">
            <v>69842.22</v>
          </cell>
          <cell r="H311">
            <v>98836.13</v>
          </cell>
          <cell r="I311">
            <v>352947.39</v>
          </cell>
          <cell r="J311">
            <v>91437</v>
          </cell>
          <cell r="K311" t="str">
            <v>MP</v>
          </cell>
        </row>
        <row r="312">
          <cell r="A312" t="str">
            <v>994234-SLR</v>
          </cell>
          <cell r="B312">
            <v>11908</v>
          </cell>
          <cell r="C312">
            <v>820.07</v>
          </cell>
          <cell r="D312">
            <v>17.8</v>
          </cell>
          <cell r="E312">
            <v>477</v>
          </cell>
          <cell r="F312">
            <v>403.86</v>
          </cell>
          <cell r="G312">
            <v>1694.25</v>
          </cell>
          <cell r="H312">
            <v>3412.98</v>
          </cell>
          <cell r="I312">
            <v>8079.24</v>
          </cell>
          <cell r="J312">
            <v>93018</v>
          </cell>
          <cell r="K312" t="str">
            <v>MP</v>
          </cell>
        </row>
        <row r="313">
          <cell r="A313" t="str">
            <v>994235-SLR</v>
          </cell>
          <cell r="B313">
            <v>12576</v>
          </cell>
          <cell r="C313">
            <v>1799.09</v>
          </cell>
          <cell r="D313">
            <v>3989.85</v>
          </cell>
          <cell r="E313">
            <v>477</v>
          </cell>
          <cell r="F313">
            <v>5723.27</v>
          </cell>
          <cell r="G313">
            <v>28757.81</v>
          </cell>
          <cell r="H313">
            <v>40747.020000000004</v>
          </cell>
          <cell r="I313">
            <v>240703.84</v>
          </cell>
          <cell r="J313">
            <v>90570</v>
          </cell>
          <cell r="K313" t="str">
            <v>MP</v>
          </cell>
        </row>
        <row r="314">
          <cell r="A314" t="str">
            <v>994236-SLR</v>
          </cell>
          <cell r="B314">
            <v>12221</v>
          </cell>
          <cell r="C314">
            <v>288.02</v>
          </cell>
          <cell r="D314">
            <v>3.48</v>
          </cell>
          <cell r="E314">
            <v>477</v>
          </cell>
          <cell r="F314">
            <v>171.09</v>
          </cell>
          <cell r="G314">
            <v>329.8</v>
          </cell>
          <cell r="H314">
            <v>1269.3900000000001</v>
          </cell>
          <cell r="I314">
            <v>1443.49</v>
          </cell>
          <cell r="J314">
            <v>90814</v>
          </cell>
          <cell r="K314" t="str">
            <v>MP</v>
          </cell>
        </row>
        <row r="315">
          <cell r="A315" t="str">
            <v>994238-SLR</v>
          </cell>
          <cell r="B315">
            <v>12084</v>
          </cell>
          <cell r="C315">
            <v>166.44</v>
          </cell>
          <cell r="D315">
            <v>1.42</v>
          </cell>
          <cell r="E315">
            <v>477</v>
          </cell>
          <cell r="F315">
            <v>148.09</v>
          </cell>
          <cell r="G315">
            <v>92.74</v>
          </cell>
          <cell r="H315">
            <v>885.69</v>
          </cell>
          <cell r="I315">
            <v>545.53</v>
          </cell>
          <cell r="J315">
            <v>93105</v>
          </cell>
          <cell r="K315" t="str">
            <v>MP</v>
          </cell>
        </row>
        <row r="316">
          <cell r="A316" t="str">
            <v>994239-SLR</v>
          </cell>
          <cell r="B316">
            <v>12253</v>
          </cell>
          <cell r="C316">
            <v>217.97</v>
          </cell>
          <cell r="D316">
            <v>3.26</v>
          </cell>
          <cell r="E316">
            <v>477</v>
          </cell>
          <cell r="F316">
            <v>168.72</v>
          </cell>
          <cell r="G316">
            <v>309.64</v>
          </cell>
          <cell r="H316">
            <v>1176.5900000000001</v>
          </cell>
          <cell r="I316">
            <v>1408.43</v>
          </cell>
          <cell r="J316">
            <v>90379</v>
          </cell>
          <cell r="K316" t="str">
            <v>MP</v>
          </cell>
        </row>
        <row r="317">
          <cell r="A317" t="str">
            <v>994240-SLR</v>
          </cell>
          <cell r="B317">
            <v>12158</v>
          </cell>
          <cell r="C317">
            <v>5231.68</v>
          </cell>
          <cell r="D317">
            <v>164.91</v>
          </cell>
          <cell r="E317">
            <v>477</v>
          </cell>
          <cell r="F317">
            <v>2232.7600000000002</v>
          </cell>
          <cell r="G317">
            <v>13752.29</v>
          </cell>
          <cell r="H317">
            <v>21858.639999999999</v>
          </cell>
          <cell r="I317">
            <v>82457.25</v>
          </cell>
          <cell r="J317">
            <v>90013</v>
          </cell>
          <cell r="K317" t="str">
            <v>MP</v>
          </cell>
        </row>
        <row r="318">
          <cell r="A318" t="str">
            <v>994241-SLR</v>
          </cell>
          <cell r="B318">
            <v>11772</v>
          </cell>
          <cell r="C318">
            <v>87.8</v>
          </cell>
          <cell r="D318">
            <v>0</v>
          </cell>
          <cell r="E318">
            <v>17.95</v>
          </cell>
          <cell r="F318">
            <v>0</v>
          </cell>
          <cell r="G318">
            <v>89.83</v>
          </cell>
          <cell r="H318">
            <v>195.57999999999998</v>
          </cell>
          <cell r="I318">
            <v>61.91</v>
          </cell>
          <cell r="J318">
            <v>91814</v>
          </cell>
          <cell r="K318" t="str">
            <v>MP</v>
          </cell>
        </row>
        <row r="319">
          <cell r="A319" t="str">
            <v>994243-SLR</v>
          </cell>
          <cell r="B319">
            <v>11853</v>
          </cell>
          <cell r="C319">
            <v>105.36</v>
          </cell>
          <cell r="D319">
            <v>0</v>
          </cell>
          <cell r="E319">
            <v>17.95</v>
          </cell>
          <cell r="F319">
            <v>0</v>
          </cell>
          <cell r="G319">
            <v>78.37</v>
          </cell>
          <cell r="H319">
            <v>201.68</v>
          </cell>
          <cell r="I319">
            <v>25.26</v>
          </cell>
          <cell r="J319">
            <v>92202</v>
          </cell>
          <cell r="K319" t="str">
            <v>MP</v>
          </cell>
        </row>
        <row r="320">
          <cell r="A320" t="str">
            <v>994244-SLR</v>
          </cell>
          <cell r="B320">
            <v>11854</v>
          </cell>
          <cell r="C320">
            <v>240.11</v>
          </cell>
          <cell r="D320">
            <v>0</v>
          </cell>
          <cell r="E320">
            <v>17.95</v>
          </cell>
          <cell r="F320">
            <v>0</v>
          </cell>
          <cell r="G320">
            <v>422.68</v>
          </cell>
          <cell r="H320">
            <v>680.74</v>
          </cell>
          <cell r="I320">
            <v>464.36</v>
          </cell>
          <cell r="J320">
            <v>93050</v>
          </cell>
          <cell r="K320" t="str">
            <v>MP</v>
          </cell>
        </row>
        <row r="321">
          <cell r="A321" t="str">
            <v>994245-SLR</v>
          </cell>
          <cell r="B321">
            <v>11861</v>
          </cell>
          <cell r="C321">
            <v>123.54</v>
          </cell>
          <cell r="D321">
            <v>0</v>
          </cell>
          <cell r="E321">
            <v>0</v>
          </cell>
          <cell r="F321">
            <v>0</v>
          </cell>
          <cell r="G321">
            <v>138.62</v>
          </cell>
          <cell r="H321">
            <v>262.16000000000003</v>
          </cell>
          <cell r="I321">
            <v>107.49</v>
          </cell>
          <cell r="J321">
            <v>93050</v>
          </cell>
          <cell r="K321" t="str">
            <v>MP</v>
          </cell>
        </row>
        <row r="322">
          <cell r="A322" t="str">
            <v>994246-SLR</v>
          </cell>
          <cell r="B322">
            <v>12049</v>
          </cell>
          <cell r="C322">
            <v>288.95999999999998</v>
          </cell>
          <cell r="D322">
            <v>5.97</v>
          </cell>
          <cell r="E322">
            <v>477</v>
          </cell>
          <cell r="F322">
            <v>140.29</v>
          </cell>
          <cell r="G322">
            <v>65.95</v>
          </cell>
          <cell r="H322">
            <v>978.17000000000007</v>
          </cell>
          <cell r="I322">
            <v>76.709999999999994</v>
          </cell>
          <cell r="J322">
            <v>91553</v>
          </cell>
          <cell r="K322" t="str">
            <v>MP</v>
          </cell>
        </row>
        <row r="323">
          <cell r="A323" t="str">
            <v>994247-SLR</v>
          </cell>
          <cell r="B323">
            <v>12050</v>
          </cell>
          <cell r="C323">
            <v>503.02</v>
          </cell>
          <cell r="D323">
            <v>10.24</v>
          </cell>
          <cell r="E323">
            <v>477</v>
          </cell>
          <cell r="F323">
            <v>247.53</v>
          </cell>
          <cell r="G323">
            <v>963.62</v>
          </cell>
          <cell r="H323">
            <v>2201.41</v>
          </cell>
          <cell r="I323">
            <v>4619</v>
          </cell>
          <cell r="J323">
            <v>93018</v>
          </cell>
          <cell r="K323" t="str">
            <v>MP</v>
          </cell>
        </row>
        <row r="324">
          <cell r="A324" t="str">
            <v>994248-SLR</v>
          </cell>
          <cell r="B324">
            <v>11845</v>
          </cell>
          <cell r="C324">
            <v>264.85000000000002</v>
          </cell>
          <cell r="D324">
            <v>2.69</v>
          </cell>
          <cell r="E324">
            <v>477</v>
          </cell>
          <cell r="F324">
            <v>162.31</v>
          </cell>
          <cell r="G324">
            <v>242.11</v>
          </cell>
          <cell r="H324">
            <v>1148.96</v>
          </cell>
          <cell r="I324">
            <v>1077.49</v>
          </cell>
          <cell r="J324">
            <v>92259</v>
          </cell>
          <cell r="K324" t="str">
            <v>MP</v>
          </cell>
        </row>
        <row r="325">
          <cell r="A325" t="str">
            <v>994249-SLR</v>
          </cell>
          <cell r="B325">
            <v>12403</v>
          </cell>
          <cell r="C325">
            <v>205.88</v>
          </cell>
          <cell r="D325">
            <v>10.66</v>
          </cell>
          <cell r="E325">
            <v>477</v>
          </cell>
          <cell r="F325">
            <v>256.85000000000002</v>
          </cell>
          <cell r="G325">
            <v>1164.8</v>
          </cell>
          <cell r="H325">
            <v>2115.19</v>
          </cell>
          <cell r="I325">
            <v>5330.11</v>
          </cell>
          <cell r="J325">
            <v>92225</v>
          </cell>
          <cell r="K325" t="str">
            <v>MP</v>
          </cell>
        </row>
        <row r="326">
          <cell r="A326" t="str">
            <v>994250-SLR</v>
          </cell>
          <cell r="B326">
            <v>12548</v>
          </cell>
          <cell r="C326">
            <v>6221.28</v>
          </cell>
          <cell r="D326">
            <v>58.98</v>
          </cell>
          <cell r="E326">
            <v>477</v>
          </cell>
          <cell r="F326">
            <v>1060.8399999999999</v>
          </cell>
          <cell r="G326">
            <v>6796.02</v>
          </cell>
          <cell r="H326">
            <v>14614.119999999999</v>
          </cell>
          <cell r="I326">
            <v>29488.27</v>
          </cell>
          <cell r="J326">
            <v>92373</v>
          </cell>
          <cell r="K326" t="str">
            <v>MP</v>
          </cell>
        </row>
        <row r="327">
          <cell r="A327" t="str">
            <v>994251-SLR</v>
          </cell>
          <cell r="B327">
            <v>12085</v>
          </cell>
          <cell r="C327">
            <v>258.89999999999998</v>
          </cell>
          <cell r="D327">
            <v>12.33</v>
          </cell>
          <cell r="E327">
            <v>477</v>
          </cell>
          <cell r="F327">
            <v>282.20999999999998</v>
          </cell>
          <cell r="G327">
            <v>1082.08</v>
          </cell>
          <cell r="H327">
            <v>2112.52</v>
          </cell>
          <cell r="I327">
            <v>5912.21</v>
          </cell>
          <cell r="J327">
            <v>92172</v>
          </cell>
          <cell r="K327" t="str">
            <v>MP</v>
          </cell>
        </row>
        <row r="328">
          <cell r="A328" t="str">
            <v>994252-SLR</v>
          </cell>
          <cell r="B328">
            <v>12288</v>
          </cell>
          <cell r="C328">
            <v>203.07</v>
          </cell>
          <cell r="D328">
            <v>1.33</v>
          </cell>
          <cell r="E328">
            <v>477</v>
          </cell>
          <cell r="F328">
            <v>147.13999999999999</v>
          </cell>
          <cell r="G328">
            <v>127.47</v>
          </cell>
          <cell r="H328">
            <v>956.01</v>
          </cell>
          <cell r="I328">
            <v>466.48</v>
          </cell>
          <cell r="J328">
            <v>90402</v>
          </cell>
          <cell r="K328" t="str">
            <v>MP</v>
          </cell>
        </row>
        <row r="329">
          <cell r="A329" t="str">
            <v>994253-SLR</v>
          </cell>
          <cell r="B329">
            <v>12012</v>
          </cell>
          <cell r="C329">
            <v>356.59</v>
          </cell>
          <cell r="D329">
            <v>403.01</v>
          </cell>
          <cell r="E329">
            <v>477</v>
          </cell>
          <cell r="F329">
            <v>4807.71</v>
          </cell>
          <cell r="G329">
            <v>38436.22</v>
          </cell>
          <cell r="H329">
            <v>44480.53</v>
          </cell>
          <cell r="I329">
            <v>201536.21</v>
          </cell>
          <cell r="J329">
            <v>96013</v>
          </cell>
          <cell r="K329" t="str">
            <v>MP</v>
          </cell>
        </row>
        <row r="330">
          <cell r="A330" t="str">
            <v>994254-SLR</v>
          </cell>
          <cell r="B330">
            <v>12161</v>
          </cell>
          <cell r="C330">
            <v>1622.25</v>
          </cell>
          <cell r="D330">
            <v>41.73</v>
          </cell>
          <cell r="E330">
            <v>477</v>
          </cell>
          <cell r="F330">
            <v>762.93</v>
          </cell>
          <cell r="G330">
            <v>4280.28</v>
          </cell>
          <cell r="H330">
            <v>7184.19</v>
          </cell>
          <cell r="I330">
            <v>20863.810000000001</v>
          </cell>
          <cell r="J330">
            <v>90013</v>
          </cell>
          <cell r="K330" t="str">
            <v>MP</v>
          </cell>
        </row>
        <row r="331">
          <cell r="A331" t="str">
            <v>994255-SLR</v>
          </cell>
          <cell r="B331">
            <v>12289</v>
          </cell>
          <cell r="C331">
            <v>4807.58</v>
          </cell>
          <cell r="D331">
            <v>113.77</v>
          </cell>
          <cell r="E331">
            <v>477</v>
          </cell>
          <cell r="F331">
            <v>1538.56</v>
          </cell>
          <cell r="G331">
            <v>9615.9</v>
          </cell>
          <cell r="H331">
            <v>16552.809999999998</v>
          </cell>
          <cell r="I331">
            <v>52079.75</v>
          </cell>
          <cell r="J331">
            <v>92376</v>
          </cell>
          <cell r="K331" t="str">
            <v>MP</v>
          </cell>
        </row>
        <row r="332">
          <cell r="A332" t="str">
            <v>994256-SLR</v>
          </cell>
          <cell r="B332">
            <v>12487</v>
          </cell>
          <cell r="C332">
            <v>15722.93</v>
          </cell>
          <cell r="D332">
            <v>82.72</v>
          </cell>
          <cell r="E332">
            <v>477</v>
          </cell>
          <cell r="F332">
            <v>1188.45</v>
          </cell>
          <cell r="G332">
            <v>5165.41</v>
          </cell>
          <cell r="H332">
            <v>22636.51</v>
          </cell>
          <cell r="I332">
            <v>25634.69</v>
          </cell>
          <cell r="J332">
            <v>93001</v>
          </cell>
          <cell r="K332" t="str">
            <v>MP</v>
          </cell>
        </row>
        <row r="333">
          <cell r="A333" t="str">
            <v>994257-SLR</v>
          </cell>
          <cell r="B333">
            <v>12013</v>
          </cell>
          <cell r="C333">
            <v>144.11000000000001</v>
          </cell>
          <cell r="D333">
            <v>7.3</v>
          </cell>
          <cell r="E333">
            <v>477</v>
          </cell>
          <cell r="F333">
            <v>125.39</v>
          </cell>
          <cell r="G333">
            <v>694.54</v>
          </cell>
          <cell r="H333">
            <v>1448.3400000000001</v>
          </cell>
          <cell r="I333">
            <v>3504.05</v>
          </cell>
          <cell r="J333">
            <v>92243</v>
          </cell>
          <cell r="K333" t="str">
            <v>MP</v>
          </cell>
        </row>
        <row r="334">
          <cell r="A334" t="str">
            <v>994259-SLR</v>
          </cell>
          <cell r="B334">
            <v>12015</v>
          </cell>
          <cell r="C334">
            <v>9010.58</v>
          </cell>
          <cell r="D334">
            <v>50.22</v>
          </cell>
          <cell r="E334">
            <v>477</v>
          </cell>
          <cell r="F334">
            <v>822.14</v>
          </cell>
          <cell r="G334">
            <v>3596.73</v>
          </cell>
          <cell r="H334">
            <v>13956.669999999998</v>
          </cell>
          <cell r="I334">
            <v>16098.73</v>
          </cell>
          <cell r="J334">
            <v>92233</v>
          </cell>
          <cell r="K334" t="str">
            <v>MP</v>
          </cell>
        </row>
        <row r="335">
          <cell r="A335" t="str">
            <v>994260-SLR</v>
          </cell>
          <cell r="B335">
            <v>12220</v>
          </cell>
          <cell r="C335">
            <v>181.64</v>
          </cell>
          <cell r="D335">
            <v>6.61</v>
          </cell>
          <cell r="E335">
            <v>477</v>
          </cell>
          <cell r="F335">
            <v>206.5</v>
          </cell>
          <cell r="G335">
            <v>463.23</v>
          </cell>
          <cell r="H335">
            <v>1334.98</v>
          </cell>
          <cell r="I335">
            <v>3120.53</v>
          </cell>
          <cell r="J335">
            <v>90697</v>
          </cell>
          <cell r="K335" t="str">
            <v>MP</v>
          </cell>
        </row>
        <row r="336">
          <cell r="A336" t="str">
            <v>994261-SLR</v>
          </cell>
          <cell r="B336">
            <v>12352</v>
          </cell>
          <cell r="C336">
            <v>1591.93</v>
          </cell>
          <cell r="D336">
            <v>368.01</v>
          </cell>
          <cell r="E336">
            <v>477</v>
          </cell>
          <cell r="F336">
            <v>4404.37</v>
          </cell>
          <cell r="G336">
            <v>25811.759999999998</v>
          </cell>
          <cell r="H336">
            <v>32653.07</v>
          </cell>
          <cell r="I336">
            <v>182409.8</v>
          </cell>
          <cell r="J336">
            <v>93327</v>
          </cell>
          <cell r="K336" t="str">
            <v>MP</v>
          </cell>
        </row>
        <row r="337">
          <cell r="A337" t="str">
            <v>994262-SLR</v>
          </cell>
          <cell r="B337">
            <v>12219</v>
          </cell>
          <cell r="C337">
            <v>181.64</v>
          </cell>
          <cell r="D337">
            <v>5.22</v>
          </cell>
          <cell r="E337">
            <v>477</v>
          </cell>
          <cell r="F337">
            <v>190.75</v>
          </cell>
          <cell r="G337">
            <v>365.23</v>
          </cell>
          <cell r="H337">
            <v>1219.8400000000001</v>
          </cell>
          <cell r="I337">
            <v>2421.9</v>
          </cell>
          <cell r="J337">
            <v>91682</v>
          </cell>
          <cell r="K337" t="str">
            <v>MP</v>
          </cell>
        </row>
        <row r="338">
          <cell r="A338" t="str">
            <v>994263-SLR</v>
          </cell>
          <cell r="B338">
            <v>12088</v>
          </cell>
          <cell r="C338">
            <v>203.42</v>
          </cell>
          <cell r="D338">
            <v>11.84</v>
          </cell>
          <cell r="E338">
            <v>477</v>
          </cell>
          <cell r="F338">
            <v>270.82</v>
          </cell>
          <cell r="G338">
            <v>829.83</v>
          </cell>
          <cell r="H338">
            <v>1792.9099999999999</v>
          </cell>
          <cell r="I338">
            <v>5712.12</v>
          </cell>
          <cell r="J338">
            <v>91969</v>
          </cell>
          <cell r="K338" t="str">
            <v>MP</v>
          </cell>
        </row>
        <row r="339">
          <cell r="A339" t="str">
            <v>994265-SLR</v>
          </cell>
          <cell r="B339">
            <v>12017</v>
          </cell>
          <cell r="C339">
            <v>801.53</v>
          </cell>
          <cell r="D339">
            <v>20.059999999999999</v>
          </cell>
          <cell r="E339">
            <v>477</v>
          </cell>
          <cell r="F339">
            <v>490.18</v>
          </cell>
          <cell r="G339">
            <v>2062.79</v>
          </cell>
          <cell r="H339">
            <v>3851.56</v>
          </cell>
          <cell r="I339">
            <v>10033.58</v>
          </cell>
          <cell r="J339">
            <v>91990</v>
          </cell>
          <cell r="K339" t="str">
            <v>MP</v>
          </cell>
        </row>
        <row r="340">
          <cell r="A340" t="str">
            <v>994266-SLR</v>
          </cell>
          <cell r="B340">
            <v>12162</v>
          </cell>
          <cell r="C340">
            <v>1538.74</v>
          </cell>
          <cell r="D340">
            <v>43.96</v>
          </cell>
          <cell r="E340">
            <v>477</v>
          </cell>
          <cell r="F340">
            <v>751.45</v>
          </cell>
          <cell r="G340">
            <v>4183.3900000000003</v>
          </cell>
          <cell r="H340">
            <v>6994.54</v>
          </cell>
          <cell r="I340">
            <v>20435.14</v>
          </cell>
          <cell r="J340">
            <v>92207</v>
          </cell>
          <cell r="K340" t="str">
            <v>MP</v>
          </cell>
        </row>
        <row r="341">
          <cell r="A341" t="str">
            <v>994267-SLR</v>
          </cell>
          <cell r="B341">
            <v>12018</v>
          </cell>
          <cell r="C341">
            <v>189.84</v>
          </cell>
          <cell r="D341">
            <v>9.76</v>
          </cell>
          <cell r="E341">
            <v>477</v>
          </cell>
          <cell r="F341">
            <v>241.94</v>
          </cell>
          <cell r="G341">
            <v>927.98</v>
          </cell>
          <cell r="H341">
            <v>1846.52</v>
          </cell>
          <cell r="I341">
            <v>4684.4799999999996</v>
          </cell>
          <cell r="J341">
            <v>92207</v>
          </cell>
          <cell r="K341" t="str">
            <v>MP</v>
          </cell>
        </row>
        <row r="342">
          <cell r="A342" t="str">
            <v>994268-SLR</v>
          </cell>
          <cell r="B342">
            <v>12164</v>
          </cell>
          <cell r="C342">
            <v>182.61</v>
          </cell>
          <cell r="D342">
            <v>11.16</v>
          </cell>
          <cell r="E342">
            <v>477</v>
          </cell>
          <cell r="F342">
            <v>257.77</v>
          </cell>
          <cell r="G342">
            <v>1173.42</v>
          </cell>
          <cell r="H342">
            <v>2101.96</v>
          </cell>
          <cell r="I342">
            <v>5393.95</v>
          </cell>
          <cell r="J342">
            <v>90639</v>
          </cell>
          <cell r="K342" t="str">
            <v>MP</v>
          </cell>
        </row>
        <row r="343">
          <cell r="A343" t="str">
            <v>994269-SLR</v>
          </cell>
          <cell r="B343">
            <v>12089</v>
          </cell>
          <cell r="C343">
            <v>131.47</v>
          </cell>
          <cell r="D343">
            <v>1.35</v>
          </cell>
          <cell r="E343">
            <v>477</v>
          </cell>
          <cell r="F343">
            <v>156.78</v>
          </cell>
          <cell r="G343">
            <v>208.83</v>
          </cell>
          <cell r="H343">
            <v>975.43</v>
          </cell>
          <cell r="I343">
            <v>965.46</v>
          </cell>
          <cell r="J343">
            <v>90827</v>
          </cell>
          <cell r="K343" t="str">
            <v>MP</v>
          </cell>
        </row>
        <row r="344">
          <cell r="A344" t="str">
            <v>994270-SLR</v>
          </cell>
          <cell r="B344">
            <v>11940</v>
          </cell>
          <cell r="C344">
            <v>200.39</v>
          </cell>
          <cell r="D344">
            <v>23.17</v>
          </cell>
          <cell r="E344">
            <v>477</v>
          </cell>
          <cell r="F344">
            <v>517.26</v>
          </cell>
          <cell r="G344">
            <v>2048.02</v>
          </cell>
          <cell r="H344">
            <v>3265.84</v>
          </cell>
          <cell r="I344">
            <v>11385.63</v>
          </cell>
          <cell r="J344">
            <v>93285</v>
          </cell>
          <cell r="K344" t="str">
            <v>MP</v>
          </cell>
        </row>
        <row r="345">
          <cell r="A345" t="str">
            <v>994271-SLR</v>
          </cell>
          <cell r="B345">
            <v>12090</v>
          </cell>
          <cell r="C345">
            <v>203.42</v>
          </cell>
          <cell r="D345">
            <v>14.39</v>
          </cell>
          <cell r="E345">
            <v>477</v>
          </cell>
          <cell r="F345">
            <v>327.81</v>
          </cell>
          <cell r="G345">
            <v>360.41</v>
          </cell>
          <cell r="H345">
            <v>1383.03</v>
          </cell>
          <cell r="I345">
            <v>6990.35</v>
          </cell>
          <cell r="J345">
            <v>90148</v>
          </cell>
          <cell r="K345" t="str">
            <v>MP</v>
          </cell>
        </row>
        <row r="346">
          <cell r="A346" t="str">
            <v>994272-SLR</v>
          </cell>
          <cell r="B346">
            <v>12091</v>
          </cell>
          <cell r="C346">
            <v>1191.8699999999999</v>
          </cell>
          <cell r="D346">
            <v>15.07</v>
          </cell>
          <cell r="E346">
            <v>477</v>
          </cell>
          <cell r="F346">
            <v>1962.11</v>
          </cell>
          <cell r="G346">
            <v>903.52</v>
          </cell>
          <cell r="H346">
            <v>4549.57</v>
          </cell>
          <cell r="I346">
            <v>6322.39</v>
          </cell>
          <cell r="J346">
            <v>91996</v>
          </cell>
          <cell r="K346" t="str">
            <v>MP</v>
          </cell>
        </row>
        <row r="347">
          <cell r="A347" t="str">
            <v>994273-SLR</v>
          </cell>
          <cell r="B347">
            <v>12245</v>
          </cell>
          <cell r="C347">
            <v>454.61</v>
          </cell>
          <cell r="D347">
            <v>18.309999999999999</v>
          </cell>
          <cell r="E347">
            <v>477</v>
          </cell>
          <cell r="F347">
            <v>415.2</v>
          </cell>
          <cell r="G347">
            <v>1742.66</v>
          </cell>
          <cell r="H347">
            <v>3107.78</v>
          </cell>
          <cell r="I347">
            <v>8698.98</v>
          </cell>
          <cell r="J347">
            <v>93050</v>
          </cell>
          <cell r="K347" t="str">
            <v>MP</v>
          </cell>
        </row>
        <row r="348">
          <cell r="A348" t="str">
            <v>994274-SLR</v>
          </cell>
          <cell r="B348">
            <v>12355</v>
          </cell>
          <cell r="C348">
            <v>149.69</v>
          </cell>
          <cell r="D348">
            <v>31.51</v>
          </cell>
          <cell r="E348">
            <v>477</v>
          </cell>
          <cell r="F348">
            <v>611.29</v>
          </cell>
          <cell r="G348">
            <v>2999.82</v>
          </cell>
          <cell r="H348">
            <v>4269.3100000000004</v>
          </cell>
          <cell r="I348">
            <v>15607.31</v>
          </cell>
          <cell r="J348">
            <v>93255</v>
          </cell>
          <cell r="K348" t="str">
            <v>MP</v>
          </cell>
        </row>
        <row r="349">
          <cell r="A349" t="str">
            <v>994275-SLR</v>
          </cell>
          <cell r="B349">
            <v>12213</v>
          </cell>
          <cell r="C349">
            <v>410.43</v>
          </cell>
          <cell r="D349">
            <v>10.119999999999999</v>
          </cell>
          <cell r="E349">
            <v>477</v>
          </cell>
          <cell r="F349">
            <v>246.27</v>
          </cell>
          <cell r="G349">
            <v>964.54</v>
          </cell>
          <cell r="H349">
            <v>2108.3599999999997</v>
          </cell>
          <cell r="I349">
            <v>4655.95</v>
          </cell>
          <cell r="J349">
            <v>93126</v>
          </cell>
          <cell r="K349" t="str">
            <v>MP</v>
          </cell>
        </row>
        <row r="350">
          <cell r="A350" t="str">
            <v>994276-SLR</v>
          </cell>
          <cell r="B350">
            <v>12019</v>
          </cell>
          <cell r="C350">
            <v>177.37</v>
          </cell>
          <cell r="D350">
            <v>0.68</v>
          </cell>
          <cell r="E350">
            <v>477</v>
          </cell>
          <cell r="F350">
            <v>139.78</v>
          </cell>
          <cell r="G350">
            <v>41.23</v>
          </cell>
          <cell r="H350">
            <v>836.06</v>
          </cell>
          <cell r="I350">
            <v>165.54</v>
          </cell>
          <cell r="J350">
            <v>92304</v>
          </cell>
          <cell r="K350" t="str">
            <v>MP</v>
          </cell>
        </row>
        <row r="351">
          <cell r="A351" t="str">
            <v>994277-SLR</v>
          </cell>
          <cell r="B351">
            <v>12254</v>
          </cell>
          <cell r="C351">
            <v>469.49</v>
          </cell>
          <cell r="D351">
            <v>16.25</v>
          </cell>
          <cell r="E351">
            <v>477</v>
          </cell>
          <cell r="F351">
            <v>369.32</v>
          </cell>
          <cell r="G351">
            <v>1546.75</v>
          </cell>
          <cell r="H351">
            <v>2878.81</v>
          </cell>
          <cell r="I351">
            <v>7655.07</v>
          </cell>
          <cell r="J351">
            <v>90721</v>
          </cell>
          <cell r="K351" t="str">
            <v>MP</v>
          </cell>
        </row>
        <row r="352">
          <cell r="A352" t="str">
            <v>994278-SLR</v>
          </cell>
          <cell r="B352">
            <v>12571</v>
          </cell>
          <cell r="C352">
            <v>647.5</v>
          </cell>
          <cell r="D352">
            <v>8.8000000000000007</v>
          </cell>
          <cell r="E352">
            <v>477</v>
          </cell>
          <cell r="F352">
            <v>231.31</v>
          </cell>
          <cell r="G352">
            <v>573.53</v>
          </cell>
          <cell r="H352">
            <v>1938.1399999999999</v>
          </cell>
          <cell r="I352">
            <v>3755.48</v>
          </cell>
          <cell r="J352">
            <v>93382</v>
          </cell>
          <cell r="K352" t="str">
            <v>MP</v>
          </cell>
        </row>
        <row r="353">
          <cell r="A353" t="str">
            <v>994279-SLR</v>
          </cell>
          <cell r="B353">
            <v>12127</v>
          </cell>
          <cell r="C353">
            <v>674.69</v>
          </cell>
          <cell r="D353">
            <v>102.48</v>
          </cell>
          <cell r="E353">
            <v>477</v>
          </cell>
          <cell r="F353">
            <v>285.02999999999997</v>
          </cell>
          <cell r="G353">
            <v>961.57</v>
          </cell>
          <cell r="H353">
            <v>2500.77</v>
          </cell>
          <cell r="I353">
            <v>5559.64</v>
          </cell>
          <cell r="J353">
            <v>93021</v>
          </cell>
          <cell r="K353" t="str">
            <v>MP</v>
          </cell>
        </row>
        <row r="354">
          <cell r="A354" t="str">
            <v>994280-SLR</v>
          </cell>
          <cell r="B354">
            <v>12500</v>
          </cell>
          <cell r="C354">
            <v>8959.4699999999993</v>
          </cell>
          <cell r="D354">
            <v>109.01</v>
          </cell>
          <cell r="E354">
            <v>477</v>
          </cell>
          <cell r="F354">
            <v>1481.36</v>
          </cell>
          <cell r="G354">
            <v>10375.73</v>
          </cell>
          <cell r="H354">
            <v>21402.57</v>
          </cell>
          <cell r="I354">
            <v>45540.639999999999</v>
          </cell>
          <cell r="J354">
            <v>92243</v>
          </cell>
          <cell r="K354" t="str">
            <v>MP</v>
          </cell>
        </row>
        <row r="355">
          <cell r="A355" t="str">
            <v>994281-SLR</v>
          </cell>
          <cell r="B355">
            <v>12404</v>
          </cell>
          <cell r="C355">
            <v>191.43</v>
          </cell>
          <cell r="D355">
            <v>5.24</v>
          </cell>
          <cell r="E355">
            <v>477</v>
          </cell>
          <cell r="F355">
            <v>191.12</v>
          </cell>
          <cell r="G355">
            <v>498.8</v>
          </cell>
          <cell r="H355">
            <v>1363.5900000000001</v>
          </cell>
          <cell r="I355">
            <v>2428.58</v>
          </cell>
          <cell r="J355">
            <v>93240</v>
          </cell>
          <cell r="K355" t="str">
            <v>MP</v>
          </cell>
        </row>
        <row r="356">
          <cell r="A356" t="str">
            <v>994282-SLR</v>
          </cell>
          <cell r="B356">
            <v>12165</v>
          </cell>
          <cell r="C356">
            <v>182.61</v>
          </cell>
          <cell r="D356">
            <v>20.73</v>
          </cell>
          <cell r="E356">
            <v>477</v>
          </cell>
          <cell r="F356">
            <v>469.41</v>
          </cell>
          <cell r="G356">
            <v>1454.61</v>
          </cell>
          <cell r="H356">
            <v>2604.3599999999997</v>
          </cell>
          <cell r="I356">
            <v>10186.700000000001</v>
          </cell>
          <cell r="J356">
            <v>91147</v>
          </cell>
          <cell r="K356" t="str">
            <v>MP</v>
          </cell>
        </row>
        <row r="357">
          <cell r="A357" t="str">
            <v>994283-SLR</v>
          </cell>
          <cell r="B357">
            <v>12356</v>
          </cell>
          <cell r="C357">
            <v>246.99</v>
          </cell>
          <cell r="D357">
            <v>6.72</v>
          </cell>
          <cell r="E357">
            <v>477</v>
          </cell>
          <cell r="F357">
            <v>213.33</v>
          </cell>
          <cell r="G357">
            <v>686.39</v>
          </cell>
          <cell r="H357">
            <v>1630.43</v>
          </cell>
          <cell r="I357">
            <v>3358.85</v>
          </cell>
          <cell r="J357">
            <v>92254</v>
          </cell>
          <cell r="K357" t="str">
            <v>MP</v>
          </cell>
        </row>
        <row r="358">
          <cell r="A358" t="str">
            <v>994284-SLR</v>
          </cell>
          <cell r="B358">
            <v>12293</v>
          </cell>
          <cell r="C358">
            <v>227.69</v>
          </cell>
          <cell r="D358">
            <v>2.02</v>
          </cell>
          <cell r="E358">
            <v>477</v>
          </cell>
          <cell r="F358">
            <v>154.76</v>
          </cell>
          <cell r="G358">
            <v>131.24</v>
          </cell>
          <cell r="H358">
            <v>992.71</v>
          </cell>
          <cell r="I358">
            <v>779.87</v>
          </cell>
          <cell r="J358">
            <v>90219</v>
          </cell>
          <cell r="K358" t="str">
            <v>MP</v>
          </cell>
        </row>
        <row r="359">
          <cell r="A359" t="str">
            <v>994285-SLR</v>
          </cell>
          <cell r="B359">
            <v>12166</v>
          </cell>
          <cell r="C359">
            <v>205.46</v>
          </cell>
          <cell r="D359">
            <v>10.43</v>
          </cell>
          <cell r="E359">
            <v>477</v>
          </cell>
          <cell r="F359">
            <v>249.64</v>
          </cell>
          <cell r="G359">
            <v>992.99</v>
          </cell>
          <cell r="H359">
            <v>1935.52</v>
          </cell>
          <cell r="I359">
            <v>5010.38</v>
          </cell>
          <cell r="J359">
            <v>90402</v>
          </cell>
          <cell r="K359" t="str">
            <v>MP</v>
          </cell>
        </row>
        <row r="360">
          <cell r="A360" t="str">
            <v>994286-SLR</v>
          </cell>
          <cell r="B360">
            <v>12168</v>
          </cell>
          <cell r="C360">
            <v>766.38</v>
          </cell>
          <cell r="D360">
            <v>20.88</v>
          </cell>
          <cell r="E360">
            <v>477</v>
          </cell>
          <cell r="F360">
            <v>472.64</v>
          </cell>
          <cell r="G360">
            <v>1360.15</v>
          </cell>
          <cell r="H360">
            <v>3097.05</v>
          </cell>
          <cell r="I360">
            <v>9675.4</v>
          </cell>
          <cell r="J360">
            <v>92107</v>
          </cell>
          <cell r="K360" t="str">
            <v>MP</v>
          </cell>
        </row>
        <row r="361">
          <cell r="A361" t="str">
            <v>994287-SLR</v>
          </cell>
          <cell r="B361">
            <v>12169</v>
          </cell>
          <cell r="C361">
            <v>201.34</v>
          </cell>
          <cell r="D361">
            <v>1.46</v>
          </cell>
          <cell r="E361">
            <v>477</v>
          </cell>
          <cell r="F361">
            <v>148.41</v>
          </cell>
          <cell r="G361">
            <v>152.71</v>
          </cell>
          <cell r="H361">
            <v>980.92</v>
          </cell>
          <cell r="I361">
            <v>524.41</v>
          </cell>
          <cell r="J361">
            <v>91681</v>
          </cell>
          <cell r="K361" t="str">
            <v>MP</v>
          </cell>
        </row>
        <row r="362">
          <cell r="A362" t="str">
            <v>994289-SLR</v>
          </cell>
          <cell r="B362">
            <v>12610</v>
          </cell>
          <cell r="C362">
            <v>179.93</v>
          </cell>
          <cell r="D362">
            <v>5.91</v>
          </cell>
          <cell r="E362">
            <v>477</v>
          </cell>
          <cell r="F362">
            <v>198.51</v>
          </cell>
          <cell r="G362">
            <v>561.25</v>
          </cell>
          <cell r="H362">
            <v>1422.6</v>
          </cell>
          <cell r="I362">
            <v>2768.1</v>
          </cell>
          <cell r="J362">
            <v>92115</v>
          </cell>
          <cell r="K362" t="str">
            <v>MP</v>
          </cell>
        </row>
        <row r="363">
          <cell r="A363" t="str">
            <v>994290-SLR</v>
          </cell>
          <cell r="B363">
            <v>12255</v>
          </cell>
          <cell r="C363">
            <v>167.67</v>
          </cell>
          <cell r="D363">
            <v>20.47</v>
          </cell>
          <cell r="E363">
            <v>477</v>
          </cell>
          <cell r="F363">
            <v>463.52</v>
          </cell>
          <cell r="G363">
            <v>1948.95</v>
          </cell>
          <cell r="H363">
            <v>3077.6099999999997</v>
          </cell>
          <cell r="I363">
            <v>10069.52</v>
          </cell>
          <cell r="J363">
            <v>93033</v>
          </cell>
          <cell r="K363" t="str">
            <v>MP</v>
          </cell>
        </row>
        <row r="364">
          <cell r="A364" t="str">
            <v>994291-SLR</v>
          </cell>
          <cell r="B364">
            <v>12405</v>
          </cell>
          <cell r="C364">
            <v>74.78</v>
          </cell>
          <cell r="D364">
            <v>0</v>
          </cell>
          <cell r="E364">
            <v>17.899999999999999</v>
          </cell>
          <cell r="F364">
            <v>0</v>
          </cell>
          <cell r="G364">
            <v>74.510000000000005</v>
          </cell>
          <cell r="H364">
            <v>167.19</v>
          </cell>
          <cell r="I364">
            <v>49.41</v>
          </cell>
          <cell r="J364">
            <v>90338</v>
          </cell>
          <cell r="K364" t="str">
            <v>MP</v>
          </cell>
        </row>
        <row r="365">
          <cell r="A365" t="str">
            <v>994292-SLR</v>
          </cell>
          <cell r="B365">
            <v>12134</v>
          </cell>
          <cell r="C365">
            <v>0</v>
          </cell>
          <cell r="D365">
            <v>0</v>
          </cell>
          <cell r="E365">
            <v>0</v>
          </cell>
          <cell r="F365">
            <v>0</v>
          </cell>
          <cell r="G365">
            <v>134.36000000000001</v>
          </cell>
          <cell r="H365">
            <v>134.36000000000001</v>
          </cell>
          <cell r="I365">
            <v>223.94</v>
          </cell>
          <cell r="J365">
            <v>92264</v>
          </cell>
          <cell r="K365" t="str">
            <v>MP</v>
          </cell>
        </row>
        <row r="366">
          <cell r="A366" t="str">
            <v>994293-SLR</v>
          </cell>
          <cell r="B366">
            <v>11855</v>
          </cell>
          <cell r="C366">
            <v>0</v>
          </cell>
          <cell r="D366">
            <v>0</v>
          </cell>
          <cell r="E366">
            <v>17.899999999999999</v>
          </cell>
          <cell r="F366">
            <v>0</v>
          </cell>
          <cell r="G366">
            <v>459.52</v>
          </cell>
          <cell r="H366">
            <v>477.41999999999996</v>
          </cell>
          <cell r="I366">
            <v>765.87</v>
          </cell>
          <cell r="J366">
            <v>93050</v>
          </cell>
          <cell r="K366" t="str">
            <v>MP</v>
          </cell>
        </row>
        <row r="367">
          <cell r="A367" t="str">
            <v>994294-SLR</v>
          </cell>
          <cell r="B367">
            <v>11856</v>
          </cell>
          <cell r="C367">
            <v>204.39</v>
          </cell>
          <cell r="D367">
            <v>0</v>
          </cell>
          <cell r="E367">
            <v>17.899999999999999</v>
          </cell>
          <cell r="F367">
            <v>0</v>
          </cell>
          <cell r="G367">
            <v>519.28</v>
          </cell>
          <cell r="H367">
            <v>741.56999999999994</v>
          </cell>
          <cell r="I367">
            <v>661.06</v>
          </cell>
          <cell r="J367">
            <v>91814</v>
          </cell>
          <cell r="K367" t="str">
            <v>MP</v>
          </cell>
        </row>
        <row r="368">
          <cell r="A368" t="str">
            <v>994295-SLR</v>
          </cell>
          <cell r="B368">
            <v>12170</v>
          </cell>
          <cell r="C368">
            <v>2787.63</v>
          </cell>
          <cell r="D368">
            <v>77.58</v>
          </cell>
          <cell r="E368">
            <v>477</v>
          </cell>
          <cell r="F368">
            <v>676.63</v>
          </cell>
          <cell r="G368">
            <v>3551.56</v>
          </cell>
          <cell r="H368">
            <v>7570.4</v>
          </cell>
          <cell r="I368">
            <v>15827.2</v>
          </cell>
          <cell r="J368">
            <v>91975</v>
          </cell>
          <cell r="K368" t="str">
            <v>MP</v>
          </cell>
        </row>
        <row r="369">
          <cell r="A369" t="str">
            <v>994296-SLR</v>
          </cell>
          <cell r="B369">
            <v>12059</v>
          </cell>
          <cell r="C369">
            <v>2133.5300000000002</v>
          </cell>
          <cell r="D369">
            <v>21.8</v>
          </cell>
          <cell r="E369">
            <v>477</v>
          </cell>
          <cell r="F369">
            <v>492.7</v>
          </cell>
          <cell r="G369">
            <v>2074.37</v>
          </cell>
          <cell r="H369">
            <v>5199.3999999999996</v>
          </cell>
          <cell r="I369">
            <v>8762.43</v>
          </cell>
          <cell r="J369">
            <v>91975</v>
          </cell>
          <cell r="K369" t="str">
            <v>MP</v>
          </cell>
        </row>
        <row r="370">
          <cell r="A370" t="str">
            <v>994297-SLR</v>
          </cell>
          <cell r="B370">
            <v>12241</v>
          </cell>
          <cell r="C370">
            <v>275.13</v>
          </cell>
          <cell r="D370">
            <v>11.82</v>
          </cell>
          <cell r="E370">
            <v>477</v>
          </cell>
          <cell r="F370">
            <v>270.51</v>
          </cell>
          <cell r="G370">
            <v>828.89</v>
          </cell>
          <cell r="H370">
            <v>1863.35</v>
          </cell>
          <cell r="I370">
            <v>5633.68</v>
          </cell>
          <cell r="J370">
            <v>90097</v>
          </cell>
          <cell r="K370" t="str">
            <v>MP</v>
          </cell>
        </row>
        <row r="371">
          <cell r="A371" t="str">
            <v>994298-SLR</v>
          </cell>
          <cell r="B371">
            <v>12507</v>
          </cell>
          <cell r="C371">
            <v>159.97</v>
          </cell>
          <cell r="D371">
            <v>4.99</v>
          </cell>
          <cell r="E371">
            <v>477</v>
          </cell>
          <cell r="F371">
            <v>191.9</v>
          </cell>
          <cell r="G371">
            <v>372.4</v>
          </cell>
          <cell r="H371">
            <v>1206.26</v>
          </cell>
          <cell r="I371">
            <v>2495.06</v>
          </cell>
          <cell r="J371">
            <v>90097</v>
          </cell>
          <cell r="K371" t="str">
            <v>MP</v>
          </cell>
        </row>
        <row r="372">
          <cell r="A372" t="str">
            <v>994299-SLR</v>
          </cell>
          <cell r="B372">
            <v>12092</v>
          </cell>
          <cell r="C372">
            <v>2227.35</v>
          </cell>
          <cell r="D372">
            <v>20.73</v>
          </cell>
          <cell r="E372">
            <v>477</v>
          </cell>
          <cell r="F372">
            <v>469.18</v>
          </cell>
          <cell r="G372">
            <v>2180.85</v>
          </cell>
          <cell r="H372">
            <v>5375.11</v>
          </cell>
          <cell r="I372">
            <v>8136.92</v>
          </cell>
          <cell r="J372">
            <v>93004</v>
          </cell>
          <cell r="K372" t="str">
            <v>MP</v>
          </cell>
        </row>
        <row r="373">
          <cell r="A373" t="str">
            <v>994300-SLR</v>
          </cell>
          <cell r="B373">
            <v>12508</v>
          </cell>
          <cell r="C373">
            <v>219.82</v>
          </cell>
          <cell r="D373">
            <v>11.24</v>
          </cell>
          <cell r="E373">
            <v>477</v>
          </cell>
          <cell r="F373">
            <v>269.88</v>
          </cell>
          <cell r="G373">
            <v>955.38</v>
          </cell>
          <cell r="H373">
            <v>1933.32</v>
          </cell>
          <cell r="I373">
            <v>5452.82</v>
          </cell>
          <cell r="J373">
            <v>93028</v>
          </cell>
          <cell r="K373" t="str">
            <v>MP</v>
          </cell>
        </row>
        <row r="374">
          <cell r="A374" t="str">
            <v>994301-SLR</v>
          </cell>
          <cell r="B374">
            <v>12406</v>
          </cell>
          <cell r="C374">
            <v>1739.12</v>
          </cell>
          <cell r="D374">
            <v>15.31</v>
          </cell>
          <cell r="E374">
            <v>477</v>
          </cell>
          <cell r="F374">
            <v>425.87</v>
          </cell>
          <cell r="G374">
            <v>1788.24</v>
          </cell>
          <cell r="H374">
            <v>4445.54</v>
          </cell>
          <cell r="I374">
            <v>7657.34</v>
          </cell>
          <cell r="J374">
            <v>92007</v>
          </cell>
          <cell r="K374" t="str">
            <v>MP</v>
          </cell>
        </row>
        <row r="375">
          <cell r="A375" t="str">
            <v>994302-SLR</v>
          </cell>
          <cell r="B375">
            <v>12458</v>
          </cell>
          <cell r="C375">
            <v>368.49</v>
          </cell>
          <cell r="D375">
            <v>81.489999999999995</v>
          </cell>
          <cell r="E375">
            <v>477</v>
          </cell>
          <cell r="F375">
            <v>1246.25</v>
          </cell>
          <cell r="G375">
            <v>6161.24</v>
          </cell>
          <cell r="H375">
            <v>8334.4699999999993</v>
          </cell>
          <cell r="I375">
            <v>43562.400000000001</v>
          </cell>
          <cell r="J375">
            <v>90503</v>
          </cell>
          <cell r="K375" t="str">
            <v>MP</v>
          </cell>
        </row>
        <row r="376">
          <cell r="A376" t="str">
            <v>994303-SLR</v>
          </cell>
          <cell r="B376">
            <v>12172</v>
          </cell>
          <cell r="C376">
            <v>368.49</v>
          </cell>
          <cell r="D376">
            <v>25.38</v>
          </cell>
          <cell r="E376">
            <v>477</v>
          </cell>
          <cell r="F376">
            <v>541.98</v>
          </cell>
          <cell r="G376">
            <v>1779.16</v>
          </cell>
          <cell r="H376">
            <v>3192.01</v>
          </cell>
          <cell r="I376">
            <v>12314.39</v>
          </cell>
          <cell r="J376">
            <v>90503</v>
          </cell>
          <cell r="K376" t="str">
            <v>MP</v>
          </cell>
        </row>
        <row r="377">
          <cell r="A377" t="str">
            <v>994304-SLR</v>
          </cell>
          <cell r="B377">
            <v>12173</v>
          </cell>
          <cell r="C377">
            <v>233.13</v>
          </cell>
          <cell r="D377">
            <v>4.66</v>
          </cell>
          <cell r="E377">
            <v>477</v>
          </cell>
          <cell r="F377">
            <v>184.6</v>
          </cell>
          <cell r="G377">
            <v>326.95999999999998</v>
          </cell>
          <cell r="H377">
            <v>1226.3499999999999</v>
          </cell>
          <cell r="I377">
            <v>2097.65</v>
          </cell>
          <cell r="J377">
            <v>90503</v>
          </cell>
          <cell r="K377" t="str">
            <v>MP</v>
          </cell>
        </row>
        <row r="378">
          <cell r="A378" t="str">
            <v>994305-SLR</v>
          </cell>
          <cell r="B378">
            <v>11857</v>
          </cell>
          <cell r="C378">
            <v>70.14</v>
          </cell>
          <cell r="D378">
            <v>0</v>
          </cell>
          <cell r="E378">
            <v>18.149999999999999</v>
          </cell>
          <cell r="F378">
            <v>0</v>
          </cell>
          <cell r="G378">
            <v>428.55</v>
          </cell>
          <cell r="H378">
            <v>516.84</v>
          </cell>
          <cell r="I378">
            <v>644.11</v>
          </cell>
          <cell r="J378">
            <v>91471</v>
          </cell>
          <cell r="K378" t="str">
            <v>MP</v>
          </cell>
        </row>
        <row r="379">
          <cell r="A379" t="str">
            <v>994306-SLR</v>
          </cell>
          <cell r="B379">
            <v>11858</v>
          </cell>
          <cell r="C379">
            <v>70.14</v>
          </cell>
          <cell r="D379">
            <v>0</v>
          </cell>
          <cell r="E379">
            <v>18.149999999999999</v>
          </cell>
          <cell r="F379">
            <v>0</v>
          </cell>
          <cell r="G379">
            <v>428.55</v>
          </cell>
          <cell r="H379">
            <v>516.84</v>
          </cell>
          <cell r="I379">
            <v>644.11</v>
          </cell>
          <cell r="J379">
            <v>91471</v>
          </cell>
          <cell r="K379" t="str">
            <v>MP</v>
          </cell>
        </row>
        <row r="380">
          <cell r="A380" t="str">
            <v>994307-SLR</v>
          </cell>
          <cell r="B380">
            <v>12357</v>
          </cell>
          <cell r="C380">
            <v>2891.02</v>
          </cell>
          <cell r="D380">
            <v>194.07</v>
          </cell>
          <cell r="E380">
            <v>477</v>
          </cell>
          <cell r="F380">
            <v>518.89</v>
          </cell>
          <cell r="G380">
            <v>2102.73</v>
          </cell>
          <cell r="H380">
            <v>6183.71</v>
          </cell>
          <cell r="I380">
            <v>8767.4699999999993</v>
          </cell>
          <cell r="J380">
            <v>92093</v>
          </cell>
          <cell r="K380" t="str">
            <v>MP</v>
          </cell>
        </row>
        <row r="381">
          <cell r="A381" t="str">
            <v>994308-SLR</v>
          </cell>
          <cell r="B381">
            <v>12407</v>
          </cell>
          <cell r="C381">
            <v>177.13</v>
          </cell>
          <cell r="D381">
            <v>1.35</v>
          </cell>
          <cell r="E381">
            <v>477</v>
          </cell>
          <cell r="F381">
            <v>147.22999999999999</v>
          </cell>
          <cell r="G381">
            <v>128.22999999999999</v>
          </cell>
          <cell r="H381">
            <v>930.94</v>
          </cell>
          <cell r="I381">
            <v>496.39</v>
          </cell>
          <cell r="J381">
            <v>91869</v>
          </cell>
          <cell r="K381" t="str">
            <v>MP</v>
          </cell>
        </row>
        <row r="382">
          <cell r="A382" t="str">
            <v>994309-SLR</v>
          </cell>
          <cell r="B382">
            <v>12580</v>
          </cell>
          <cell r="C382">
            <v>509.41</v>
          </cell>
          <cell r="D382">
            <v>8.9</v>
          </cell>
          <cell r="E382">
            <v>477</v>
          </cell>
          <cell r="F382">
            <v>232.35</v>
          </cell>
          <cell r="G382">
            <v>847.01</v>
          </cell>
          <cell r="H382">
            <v>2074.67</v>
          </cell>
          <cell r="I382">
            <v>3939.64</v>
          </cell>
          <cell r="J382">
            <v>93050</v>
          </cell>
          <cell r="K382" t="str">
            <v>MP</v>
          </cell>
        </row>
        <row r="383">
          <cell r="A383" t="str">
            <v>994310-SLR</v>
          </cell>
          <cell r="B383">
            <v>12093</v>
          </cell>
          <cell r="C383">
            <v>198.57</v>
          </cell>
          <cell r="D383">
            <v>3359.31</v>
          </cell>
          <cell r="E383">
            <v>477</v>
          </cell>
          <cell r="F383">
            <v>585.66999999999996</v>
          </cell>
          <cell r="G383">
            <v>732.5</v>
          </cell>
          <cell r="H383">
            <v>5353.05</v>
          </cell>
          <cell r="I383">
            <v>14422.13</v>
          </cell>
          <cell r="J383">
            <v>91984</v>
          </cell>
          <cell r="K383" t="str">
            <v>MP</v>
          </cell>
        </row>
        <row r="384">
          <cell r="A384" t="str">
            <v>994311-SLR</v>
          </cell>
          <cell r="B384">
            <v>12051</v>
          </cell>
          <cell r="C384">
            <v>267.26</v>
          </cell>
          <cell r="D384">
            <v>7.8</v>
          </cell>
          <cell r="E384">
            <v>477</v>
          </cell>
          <cell r="F384">
            <v>219.86</v>
          </cell>
          <cell r="G384">
            <v>546.4</v>
          </cell>
          <cell r="H384">
            <v>1518.32</v>
          </cell>
          <cell r="I384">
            <v>3627.76</v>
          </cell>
          <cell r="J384">
            <v>93050</v>
          </cell>
          <cell r="K384" t="str">
            <v>MP</v>
          </cell>
        </row>
        <row r="385">
          <cell r="A385" t="str">
            <v>994312-SLR</v>
          </cell>
          <cell r="B385">
            <v>12358</v>
          </cell>
          <cell r="C385">
            <v>782.46</v>
          </cell>
          <cell r="D385">
            <v>11.64</v>
          </cell>
          <cell r="E385">
            <v>477</v>
          </cell>
          <cell r="F385">
            <v>228.33</v>
          </cell>
          <cell r="G385">
            <v>291.64999999999998</v>
          </cell>
          <cell r="H385">
            <v>1791.08</v>
          </cell>
          <cell r="I385">
            <v>5038.87</v>
          </cell>
          <cell r="J385">
            <v>93050</v>
          </cell>
          <cell r="K385" t="str">
            <v>MP</v>
          </cell>
        </row>
        <row r="386">
          <cell r="A386" t="str">
            <v>994314-SLR</v>
          </cell>
          <cell r="B386">
            <v>12510</v>
          </cell>
          <cell r="C386">
            <v>3642.33</v>
          </cell>
          <cell r="D386">
            <v>183.83</v>
          </cell>
          <cell r="E386">
            <v>477</v>
          </cell>
          <cell r="F386">
            <v>2275.2199999999998</v>
          </cell>
          <cell r="G386">
            <v>11052.13</v>
          </cell>
          <cell r="H386">
            <v>17630.509999999998</v>
          </cell>
          <cell r="I386">
            <v>88274.89</v>
          </cell>
          <cell r="J386">
            <v>93141</v>
          </cell>
          <cell r="K386" t="str">
            <v>MP</v>
          </cell>
        </row>
        <row r="387">
          <cell r="A387" t="str">
            <v>994315-SLR</v>
          </cell>
          <cell r="B387">
            <v>12224</v>
          </cell>
          <cell r="C387">
            <v>27938.77</v>
          </cell>
          <cell r="D387">
            <v>944.64</v>
          </cell>
          <cell r="E387">
            <v>477</v>
          </cell>
          <cell r="F387">
            <v>10904.45</v>
          </cell>
          <cell r="G387">
            <v>64941.919999999998</v>
          </cell>
          <cell r="H387">
            <v>105206.78</v>
          </cell>
          <cell r="I387">
            <v>444381.92</v>
          </cell>
          <cell r="J387">
            <v>92003</v>
          </cell>
          <cell r="K387" t="str">
            <v>MP</v>
          </cell>
        </row>
        <row r="388">
          <cell r="A388" t="str">
            <v>994316-SLR</v>
          </cell>
          <cell r="B388">
            <v>12294</v>
          </cell>
          <cell r="C388">
            <v>175.85</v>
          </cell>
          <cell r="D388">
            <v>2.76</v>
          </cell>
          <cell r="E388">
            <v>477</v>
          </cell>
          <cell r="F388">
            <v>163.19999999999999</v>
          </cell>
          <cell r="G388">
            <v>263.08</v>
          </cell>
          <cell r="H388">
            <v>1081.8899999999999</v>
          </cell>
          <cell r="I388">
            <v>1206.07</v>
          </cell>
          <cell r="J388">
            <v>93223</v>
          </cell>
          <cell r="K388" t="str">
            <v>MP</v>
          </cell>
        </row>
        <row r="389">
          <cell r="A389" t="str">
            <v>994317-SLR</v>
          </cell>
          <cell r="B389">
            <v>12097</v>
          </cell>
          <cell r="C389">
            <v>1012.38</v>
          </cell>
          <cell r="D389">
            <v>54.92</v>
          </cell>
          <cell r="E389">
            <v>477</v>
          </cell>
          <cell r="F389">
            <v>875.24</v>
          </cell>
          <cell r="G389">
            <v>1375.98</v>
          </cell>
          <cell r="H389">
            <v>3795.52</v>
          </cell>
          <cell r="I389">
            <v>26452.39</v>
          </cell>
          <cell r="J389">
            <v>93277</v>
          </cell>
          <cell r="K389" t="str">
            <v>MP</v>
          </cell>
        </row>
        <row r="390">
          <cell r="A390" t="str">
            <v>994318-SLR</v>
          </cell>
          <cell r="B390">
            <v>11942</v>
          </cell>
          <cell r="C390">
            <v>173.06</v>
          </cell>
          <cell r="D390">
            <v>1.95</v>
          </cell>
          <cell r="E390">
            <v>477</v>
          </cell>
          <cell r="F390">
            <v>143.55000000000001</v>
          </cell>
          <cell r="G390">
            <v>185.48</v>
          </cell>
          <cell r="H390">
            <v>981.04</v>
          </cell>
          <cell r="I390">
            <v>801.18</v>
          </cell>
          <cell r="J390">
            <v>91591</v>
          </cell>
          <cell r="K390" t="str">
            <v>MP</v>
          </cell>
        </row>
        <row r="391">
          <cell r="A391" t="str">
            <v>994320-SLR</v>
          </cell>
          <cell r="B391">
            <v>12295</v>
          </cell>
          <cell r="C391">
            <v>194.37</v>
          </cell>
          <cell r="D391">
            <v>5.05</v>
          </cell>
          <cell r="E391">
            <v>477</v>
          </cell>
          <cell r="F391">
            <v>189.02</v>
          </cell>
          <cell r="G391">
            <v>481.04</v>
          </cell>
          <cell r="H391">
            <v>1346.48</v>
          </cell>
          <cell r="I391">
            <v>2332.39</v>
          </cell>
          <cell r="J391">
            <v>92144</v>
          </cell>
          <cell r="K391" t="str">
            <v>MP</v>
          </cell>
        </row>
        <row r="392">
          <cell r="A392" t="str">
            <v>994321-SLR</v>
          </cell>
          <cell r="B392">
            <v>12174</v>
          </cell>
          <cell r="C392">
            <v>206.02</v>
          </cell>
          <cell r="D392">
            <v>5.13</v>
          </cell>
          <cell r="E392">
            <v>477</v>
          </cell>
          <cell r="F392">
            <v>189.9</v>
          </cell>
          <cell r="G392">
            <v>359.94</v>
          </cell>
          <cell r="H392">
            <v>1237.99</v>
          </cell>
          <cell r="I392">
            <v>2359.85</v>
          </cell>
          <cell r="J392">
            <v>90463</v>
          </cell>
          <cell r="K392" t="str">
            <v>MP</v>
          </cell>
        </row>
        <row r="393">
          <cell r="A393" t="str">
            <v>994322-SLR</v>
          </cell>
          <cell r="B393">
            <v>12128</v>
          </cell>
          <cell r="C393">
            <v>674.83</v>
          </cell>
          <cell r="D393">
            <v>35.1</v>
          </cell>
          <cell r="E393">
            <v>477</v>
          </cell>
          <cell r="F393">
            <v>651.77</v>
          </cell>
          <cell r="G393">
            <v>2462.37</v>
          </cell>
          <cell r="H393">
            <v>4301.07</v>
          </cell>
          <cell r="I393">
            <v>16877.57</v>
          </cell>
          <cell r="J393">
            <v>91750</v>
          </cell>
          <cell r="K393" t="str">
            <v>MP</v>
          </cell>
        </row>
        <row r="394">
          <cell r="A394" t="str">
            <v>994323-SLR</v>
          </cell>
          <cell r="B394">
            <v>12094</v>
          </cell>
          <cell r="C394">
            <v>194.18</v>
          </cell>
          <cell r="D394">
            <v>5.99</v>
          </cell>
          <cell r="E394">
            <v>477</v>
          </cell>
          <cell r="F394">
            <v>199.59</v>
          </cell>
          <cell r="G394">
            <v>570.35</v>
          </cell>
          <cell r="H394">
            <v>1447.1100000000001</v>
          </cell>
          <cell r="I394">
            <v>2801.69</v>
          </cell>
          <cell r="J394">
            <v>93285</v>
          </cell>
          <cell r="K394" t="str">
            <v>MP</v>
          </cell>
        </row>
        <row r="395">
          <cell r="A395" t="str">
            <v>994324-SLR</v>
          </cell>
          <cell r="B395">
            <v>12095</v>
          </cell>
          <cell r="C395">
            <v>194.18</v>
          </cell>
          <cell r="D395">
            <v>3.05</v>
          </cell>
          <cell r="E395">
            <v>477</v>
          </cell>
          <cell r="F395">
            <v>166.45</v>
          </cell>
          <cell r="G395">
            <v>290.45999999999998</v>
          </cell>
          <cell r="H395">
            <v>1131.1400000000001</v>
          </cell>
          <cell r="I395">
            <v>1331.5</v>
          </cell>
          <cell r="J395">
            <v>91471</v>
          </cell>
          <cell r="K395" t="str">
            <v>MP</v>
          </cell>
        </row>
        <row r="396">
          <cell r="A396" t="str">
            <v>994325-SLR</v>
          </cell>
          <cell r="B396">
            <v>12175</v>
          </cell>
          <cell r="C396">
            <v>215.38</v>
          </cell>
          <cell r="D396">
            <v>0.75</v>
          </cell>
          <cell r="E396">
            <v>477</v>
          </cell>
          <cell r="F396">
            <v>141.44999999999999</v>
          </cell>
          <cell r="G396">
            <v>70.959999999999994</v>
          </cell>
          <cell r="H396">
            <v>905.54</v>
          </cell>
          <cell r="I396">
            <v>157.32</v>
          </cell>
          <cell r="J396">
            <v>93262</v>
          </cell>
          <cell r="K396" t="str">
            <v>MP</v>
          </cell>
        </row>
        <row r="397">
          <cell r="A397" t="str">
            <v>994327-SLR</v>
          </cell>
          <cell r="B397">
            <v>12359</v>
          </cell>
          <cell r="C397">
            <v>2772.78</v>
          </cell>
          <cell r="D397">
            <v>37.869999999999997</v>
          </cell>
          <cell r="E397">
            <v>477</v>
          </cell>
          <cell r="F397">
            <v>683.03</v>
          </cell>
          <cell r="G397">
            <v>3795.39</v>
          </cell>
          <cell r="H397">
            <v>7766.07</v>
          </cell>
          <cell r="I397">
            <v>16166.3</v>
          </cell>
          <cell r="J397">
            <v>92056</v>
          </cell>
          <cell r="K397" t="str">
            <v>MP</v>
          </cell>
        </row>
        <row r="398">
          <cell r="A398" t="str">
            <v>994328-SLR</v>
          </cell>
          <cell r="B398">
            <v>12360</v>
          </cell>
          <cell r="C398">
            <v>182.43</v>
          </cell>
          <cell r="D398">
            <v>34.799999999999997</v>
          </cell>
          <cell r="E398">
            <v>477</v>
          </cell>
          <cell r="F398">
            <v>652.47</v>
          </cell>
          <cell r="G398">
            <v>2466.58</v>
          </cell>
          <cell r="H398">
            <v>3813.2799999999997</v>
          </cell>
          <cell r="I398">
            <v>17401.23</v>
          </cell>
          <cell r="J398">
            <v>90097</v>
          </cell>
          <cell r="K398" t="str">
            <v>MP</v>
          </cell>
        </row>
        <row r="399">
          <cell r="A399" t="str">
            <v>994329-SLR</v>
          </cell>
          <cell r="B399">
            <v>12256</v>
          </cell>
          <cell r="C399">
            <v>251.51</v>
          </cell>
          <cell r="D399">
            <v>4.68</v>
          </cell>
          <cell r="E399">
            <v>477</v>
          </cell>
          <cell r="F399">
            <v>184.69</v>
          </cell>
          <cell r="G399">
            <v>444.56</v>
          </cell>
          <cell r="H399">
            <v>1362.44</v>
          </cell>
          <cell r="I399">
            <v>2083.58</v>
          </cell>
          <cell r="J399">
            <v>92001</v>
          </cell>
          <cell r="K399" t="str">
            <v>MP</v>
          </cell>
        </row>
        <row r="400">
          <cell r="A400" t="str">
            <v>994330-SLR</v>
          </cell>
          <cell r="B400">
            <v>12361</v>
          </cell>
          <cell r="C400">
            <v>965.19</v>
          </cell>
          <cell r="D400">
            <v>10.5</v>
          </cell>
          <cell r="E400">
            <v>477</v>
          </cell>
          <cell r="F400">
            <v>250.42</v>
          </cell>
          <cell r="G400">
            <v>1104.82</v>
          </cell>
          <cell r="H400">
            <v>2807.9300000000003</v>
          </cell>
          <cell r="I400">
            <v>4285.3599999999997</v>
          </cell>
          <cell r="J400">
            <v>92243</v>
          </cell>
          <cell r="K400" t="str">
            <v>MP</v>
          </cell>
        </row>
        <row r="401">
          <cell r="A401" t="str">
            <v>994331-SLR</v>
          </cell>
          <cell r="B401">
            <v>12257</v>
          </cell>
          <cell r="C401">
            <v>309.72000000000003</v>
          </cell>
          <cell r="D401">
            <v>7.51</v>
          </cell>
          <cell r="E401">
            <v>477</v>
          </cell>
          <cell r="F401">
            <v>216.62</v>
          </cell>
          <cell r="G401">
            <v>451.06</v>
          </cell>
          <cell r="H401">
            <v>1461.91</v>
          </cell>
          <cell r="I401">
            <v>3441.59</v>
          </cell>
          <cell r="J401">
            <v>93112</v>
          </cell>
          <cell r="K401" t="str">
            <v>MP</v>
          </cell>
        </row>
        <row r="402">
          <cell r="A402" t="str">
            <v>994333-SLR</v>
          </cell>
          <cell r="B402">
            <v>12362</v>
          </cell>
          <cell r="C402">
            <v>1690.43</v>
          </cell>
          <cell r="D402">
            <v>9.7100000000000009</v>
          </cell>
          <cell r="E402">
            <v>477</v>
          </cell>
          <cell r="F402">
            <v>241.47</v>
          </cell>
          <cell r="G402">
            <v>875.38</v>
          </cell>
          <cell r="H402">
            <v>3293.9900000000002</v>
          </cell>
          <cell r="I402">
            <v>3163.09</v>
          </cell>
          <cell r="J402">
            <v>93182</v>
          </cell>
          <cell r="K402" t="str">
            <v>MP</v>
          </cell>
        </row>
        <row r="403">
          <cell r="A403" t="str">
            <v>994334-SLR</v>
          </cell>
          <cell r="B403">
            <v>12459</v>
          </cell>
          <cell r="C403">
            <v>243.98</v>
          </cell>
          <cell r="D403">
            <v>56.15</v>
          </cell>
          <cell r="E403">
            <v>477</v>
          </cell>
          <cell r="F403">
            <v>894.53</v>
          </cell>
          <cell r="G403">
            <v>5391.64</v>
          </cell>
          <cell r="H403">
            <v>7063.3</v>
          </cell>
          <cell r="I403">
            <v>28076.93</v>
          </cell>
          <cell r="J403">
            <v>90468</v>
          </cell>
          <cell r="K403" t="str">
            <v>MP</v>
          </cell>
        </row>
        <row r="404">
          <cell r="A404" t="str">
            <v>994335-SLR</v>
          </cell>
          <cell r="B404">
            <v>12296</v>
          </cell>
          <cell r="C404">
            <v>180.48</v>
          </cell>
          <cell r="D404">
            <v>4.63</v>
          </cell>
          <cell r="E404">
            <v>477</v>
          </cell>
          <cell r="F404">
            <v>184.11</v>
          </cell>
          <cell r="G404">
            <v>323.94</v>
          </cell>
          <cell r="H404">
            <v>1170.1600000000001</v>
          </cell>
          <cell r="I404">
            <v>2128.77</v>
          </cell>
          <cell r="J404">
            <v>90697</v>
          </cell>
          <cell r="K404" t="str">
            <v>MP</v>
          </cell>
        </row>
        <row r="405">
          <cell r="A405" t="str">
            <v>994336-SLR</v>
          </cell>
          <cell r="B405">
            <v>12460</v>
          </cell>
          <cell r="C405">
            <v>821.1</v>
          </cell>
          <cell r="D405">
            <v>313.48</v>
          </cell>
          <cell r="E405">
            <v>477</v>
          </cell>
          <cell r="F405">
            <v>3789.74</v>
          </cell>
          <cell r="G405">
            <v>19480.599999999999</v>
          </cell>
          <cell r="H405">
            <v>24881.919999999998</v>
          </cell>
          <cell r="I405">
            <v>155918.44</v>
          </cell>
          <cell r="J405">
            <v>90062</v>
          </cell>
          <cell r="K405" t="str">
            <v>MP</v>
          </cell>
        </row>
        <row r="406">
          <cell r="A406" t="str">
            <v>994338-SLR</v>
          </cell>
          <cell r="B406">
            <v>12490</v>
          </cell>
          <cell r="C406">
            <v>196.47</v>
          </cell>
          <cell r="D406">
            <v>7.48</v>
          </cell>
          <cell r="E406">
            <v>477</v>
          </cell>
          <cell r="F406">
            <v>220.85</v>
          </cell>
          <cell r="G406">
            <v>552.52</v>
          </cell>
          <cell r="H406">
            <v>1454.3200000000002</v>
          </cell>
          <cell r="I406">
            <v>3742.2</v>
          </cell>
          <cell r="J406">
            <v>92190</v>
          </cell>
          <cell r="K406" t="str">
            <v>MP</v>
          </cell>
        </row>
        <row r="407">
          <cell r="A407" t="str">
            <v>994339-SLR</v>
          </cell>
          <cell r="B407">
            <v>12176</v>
          </cell>
          <cell r="C407">
            <v>741.65</v>
          </cell>
          <cell r="D407">
            <v>23.5</v>
          </cell>
          <cell r="E407">
            <v>477</v>
          </cell>
          <cell r="F407">
            <v>294.52</v>
          </cell>
          <cell r="G407">
            <v>1227.44</v>
          </cell>
          <cell r="H407">
            <v>2764.11</v>
          </cell>
          <cell r="I407">
            <v>5705.68</v>
          </cell>
          <cell r="J407">
            <v>90257</v>
          </cell>
          <cell r="K407" t="str">
            <v>MP</v>
          </cell>
        </row>
        <row r="408">
          <cell r="A408" t="str">
            <v>994340-SLR</v>
          </cell>
          <cell r="B408">
            <v>12248</v>
          </cell>
          <cell r="C408">
            <v>960.16</v>
          </cell>
          <cell r="D408">
            <v>3.3</v>
          </cell>
          <cell r="E408">
            <v>477</v>
          </cell>
          <cell r="F408">
            <v>169.34</v>
          </cell>
          <cell r="G408">
            <v>199.12</v>
          </cell>
          <cell r="H408">
            <v>1808.92</v>
          </cell>
          <cell r="I408">
            <v>693.87</v>
          </cell>
          <cell r="J408">
            <v>92280</v>
          </cell>
          <cell r="K408" t="str">
            <v>MP</v>
          </cell>
        </row>
        <row r="409">
          <cell r="A409" t="str">
            <v>994342-SLR</v>
          </cell>
          <cell r="B409">
            <v>11859</v>
          </cell>
          <cell r="C409">
            <v>206.69</v>
          </cell>
          <cell r="D409">
            <v>0</v>
          </cell>
          <cell r="E409">
            <v>18.3</v>
          </cell>
          <cell r="F409">
            <v>0</v>
          </cell>
          <cell r="G409">
            <v>225.97</v>
          </cell>
          <cell r="H409">
            <v>450.96000000000004</v>
          </cell>
          <cell r="I409">
            <v>169.92</v>
          </cell>
          <cell r="J409">
            <v>92202</v>
          </cell>
          <cell r="K409" t="str">
            <v>MP</v>
          </cell>
        </row>
        <row r="410">
          <cell r="A410" t="str">
            <v>994343-SLR</v>
          </cell>
          <cell r="B410">
            <v>11860</v>
          </cell>
          <cell r="C410">
            <v>142.04</v>
          </cell>
          <cell r="D410">
            <v>0</v>
          </cell>
          <cell r="E410">
            <v>18.3</v>
          </cell>
          <cell r="F410">
            <v>0</v>
          </cell>
          <cell r="G410">
            <v>137.38999999999999</v>
          </cell>
          <cell r="H410">
            <v>297.73</v>
          </cell>
          <cell r="I410">
            <v>86.95</v>
          </cell>
          <cell r="J410">
            <v>92202</v>
          </cell>
          <cell r="K410" t="str">
            <v>MP</v>
          </cell>
        </row>
        <row r="411">
          <cell r="A411" t="str">
            <v>994344-SLR</v>
          </cell>
          <cell r="B411">
            <v>12276</v>
          </cell>
          <cell r="C411">
            <v>3528.97</v>
          </cell>
          <cell r="D411">
            <v>90.11</v>
          </cell>
          <cell r="E411">
            <v>477</v>
          </cell>
          <cell r="F411">
            <v>249</v>
          </cell>
          <cell r="G411">
            <v>5577.25</v>
          </cell>
          <cell r="H411">
            <v>9922.33</v>
          </cell>
          <cell r="I411">
            <v>41530.980000000003</v>
          </cell>
          <cell r="J411">
            <v>92003</v>
          </cell>
          <cell r="K411" t="str">
            <v>MP</v>
          </cell>
        </row>
        <row r="412">
          <cell r="A412" t="str">
            <v>994345-SLR</v>
          </cell>
          <cell r="B412">
            <v>12178</v>
          </cell>
          <cell r="C412">
            <v>3326.81</v>
          </cell>
          <cell r="D412">
            <v>99.58</v>
          </cell>
          <cell r="E412">
            <v>477</v>
          </cell>
          <cell r="F412">
            <v>1378.56</v>
          </cell>
          <cell r="G412">
            <v>9478.9599999999991</v>
          </cell>
          <cell r="H412">
            <v>14760.91</v>
          </cell>
          <cell r="I412">
            <v>46462.87</v>
          </cell>
          <cell r="J412">
            <v>90013</v>
          </cell>
          <cell r="K412" t="str">
            <v>MP</v>
          </cell>
        </row>
        <row r="413">
          <cell r="A413" t="str">
            <v>994347-SLR</v>
          </cell>
          <cell r="B413">
            <v>12543</v>
          </cell>
          <cell r="C413">
            <v>1146.0899999999999</v>
          </cell>
          <cell r="D413">
            <v>9.48</v>
          </cell>
          <cell r="E413">
            <v>477</v>
          </cell>
          <cell r="F413">
            <v>238.96</v>
          </cell>
          <cell r="G413">
            <v>997.86</v>
          </cell>
          <cell r="H413">
            <v>2869.39</v>
          </cell>
          <cell r="I413">
            <v>3596.13</v>
          </cell>
          <cell r="J413">
            <v>92112</v>
          </cell>
          <cell r="K413" t="str">
            <v>MP</v>
          </cell>
        </row>
        <row r="414">
          <cell r="A414" t="str">
            <v>994348-SLR</v>
          </cell>
          <cell r="B414">
            <v>12408</v>
          </cell>
          <cell r="C414">
            <v>257.64999999999998</v>
          </cell>
          <cell r="D414">
            <v>4.95</v>
          </cell>
          <cell r="E414">
            <v>477</v>
          </cell>
          <cell r="F414">
            <v>193.7</v>
          </cell>
          <cell r="G414">
            <v>465.8</v>
          </cell>
          <cell r="H414">
            <v>1399.1</v>
          </cell>
          <cell r="I414">
            <v>2477.38</v>
          </cell>
          <cell r="J414">
            <v>92309</v>
          </cell>
          <cell r="K414" t="str">
            <v>MP</v>
          </cell>
        </row>
        <row r="415">
          <cell r="A415" t="str">
            <v>994349-SLR</v>
          </cell>
          <cell r="B415">
            <v>12409</v>
          </cell>
          <cell r="C415">
            <v>849.25</v>
          </cell>
          <cell r="D415">
            <v>100.47</v>
          </cell>
          <cell r="E415">
            <v>477</v>
          </cell>
          <cell r="F415">
            <v>1388.65</v>
          </cell>
          <cell r="G415">
            <v>4552.3900000000003</v>
          </cell>
          <cell r="H415">
            <v>7367.76</v>
          </cell>
          <cell r="I415">
            <v>49387.99</v>
          </cell>
          <cell r="J415">
            <v>90083</v>
          </cell>
          <cell r="K415" t="str">
            <v>MP</v>
          </cell>
        </row>
        <row r="416">
          <cell r="A416" t="str">
            <v>994350-SLR</v>
          </cell>
          <cell r="B416">
            <v>12411</v>
          </cell>
          <cell r="C416">
            <v>358.94</v>
          </cell>
          <cell r="D416">
            <v>25.86</v>
          </cell>
          <cell r="E416">
            <v>477</v>
          </cell>
          <cell r="F416">
            <v>547.53</v>
          </cell>
          <cell r="G416">
            <v>1547.2</v>
          </cell>
          <cell r="H416">
            <v>2956.5299999999997</v>
          </cell>
          <cell r="I416">
            <v>12570.06</v>
          </cell>
          <cell r="J416">
            <v>90061</v>
          </cell>
          <cell r="K416" t="str">
            <v>MP</v>
          </cell>
        </row>
        <row r="417">
          <cell r="A417" t="str">
            <v>994351-SLR</v>
          </cell>
          <cell r="B417">
            <v>12363</v>
          </cell>
          <cell r="C417">
            <v>205.82</v>
          </cell>
          <cell r="D417">
            <v>9.99</v>
          </cell>
          <cell r="E417">
            <v>477</v>
          </cell>
          <cell r="F417">
            <v>244.61</v>
          </cell>
          <cell r="G417">
            <v>250.13</v>
          </cell>
          <cell r="H417">
            <v>1187.55</v>
          </cell>
          <cell r="I417">
            <v>4786.74</v>
          </cell>
          <cell r="J417">
            <v>93157</v>
          </cell>
          <cell r="K417" t="str">
            <v>MP</v>
          </cell>
        </row>
        <row r="418">
          <cell r="A418" t="str">
            <v>994352-SLR</v>
          </cell>
          <cell r="B418">
            <v>12413</v>
          </cell>
          <cell r="C418">
            <v>570.77</v>
          </cell>
          <cell r="D418">
            <v>12.09</v>
          </cell>
          <cell r="E418">
            <v>477</v>
          </cell>
          <cell r="F418">
            <v>301.94</v>
          </cell>
          <cell r="G418">
            <v>861.49</v>
          </cell>
          <cell r="H418">
            <v>2223.29</v>
          </cell>
          <cell r="I418">
            <v>6044.01</v>
          </cell>
          <cell r="J418">
            <v>90219</v>
          </cell>
          <cell r="K418" t="str">
            <v>MP</v>
          </cell>
        </row>
        <row r="419">
          <cell r="A419" t="str">
            <v>994353-SLR</v>
          </cell>
          <cell r="B419">
            <v>12181</v>
          </cell>
          <cell r="C419">
            <v>206.02</v>
          </cell>
          <cell r="D419">
            <v>66.209999999999994</v>
          </cell>
          <cell r="E419">
            <v>477</v>
          </cell>
          <cell r="F419">
            <v>7832.41</v>
          </cell>
          <cell r="G419">
            <v>1658.58</v>
          </cell>
          <cell r="H419">
            <v>10240.219999999999</v>
          </cell>
          <cell r="I419">
            <v>32899.360000000001</v>
          </cell>
          <cell r="J419">
            <v>93285</v>
          </cell>
          <cell r="K419" t="str">
            <v>MP</v>
          </cell>
        </row>
        <row r="420">
          <cell r="A420" t="str">
            <v>994354-SLR</v>
          </cell>
          <cell r="B420">
            <v>12182</v>
          </cell>
          <cell r="C420">
            <v>206.02</v>
          </cell>
          <cell r="D420">
            <v>50.08</v>
          </cell>
          <cell r="E420">
            <v>477</v>
          </cell>
          <cell r="F420">
            <v>820.59</v>
          </cell>
          <cell r="G420">
            <v>1254.54</v>
          </cell>
          <cell r="H420">
            <v>2808.23</v>
          </cell>
          <cell r="I420">
            <v>24834.65</v>
          </cell>
          <cell r="J420">
            <v>91471</v>
          </cell>
          <cell r="K420" t="str">
            <v>MP</v>
          </cell>
        </row>
        <row r="421">
          <cell r="A421" t="str">
            <v>994355-SLR</v>
          </cell>
          <cell r="B421">
            <v>12414</v>
          </cell>
          <cell r="C421">
            <v>503.43</v>
          </cell>
          <cell r="D421">
            <v>27.19</v>
          </cell>
          <cell r="E421">
            <v>477</v>
          </cell>
          <cell r="F421">
            <v>169.04</v>
          </cell>
          <cell r="G421">
            <v>279.48</v>
          </cell>
          <cell r="H421">
            <v>1456.14</v>
          </cell>
          <cell r="I421">
            <v>1137.31</v>
          </cell>
          <cell r="J421">
            <v>91553</v>
          </cell>
          <cell r="K421" t="str">
            <v>MP</v>
          </cell>
        </row>
        <row r="422">
          <cell r="A422" t="str">
            <v>994356-SLR</v>
          </cell>
          <cell r="B422">
            <v>12222</v>
          </cell>
          <cell r="C422">
            <v>552.12</v>
          </cell>
          <cell r="D422">
            <v>10.38</v>
          </cell>
          <cell r="E422">
            <v>477</v>
          </cell>
          <cell r="F422">
            <v>249.08</v>
          </cell>
          <cell r="G422">
            <v>745.06</v>
          </cell>
          <cell r="H422">
            <v>2033.6399999999999</v>
          </cell>
          <cell r="I422">
            <v>4638.87</v>
          </cell>
          <cell r="J422">
            <v>92251</v>
          </cell>
          <cell r="K422" t="str">
            <v>MP</v>
          </cell>
        </row>
        <row r="423">
          <cell r="A423" t="str">
            <v>994357-SLR</v>
          </cell>
          <cell r="B423">
            <v>12323</v>
          </cell>
          <cell r="C423">
            <v>232.88</v>
          </cell>
          <cell r="D423">
            <v>2.92</v>
          </cell>
          <cell r="E423">
            <v>477</v>
          </cell>
          <cell r="F423">
            <v>164.94</v>
          </cell>
          <cell r="G423">
            <v>248.48</v>
          </cell>
          <cell r="H423">
            <v>1126.22</v>
          </cell>
          <cell r="I423">
            <v>1225.8499999999999</v>
          </cell>
          <cell r="J423">
            <v>92172</v>
          </cell>
          <cell r="K423" t="str">
            <v>MP</v>
          </cell>
        </row>
        <row r="424">
          <cell r="A424" t="str">
            <v>994358-SLR</v>
          </cell>
          <cell r="B424">
            <v>12297</v>
          </cell>
          <cell r="C424">
            <v>457.22</v>
          </cell>
          <cell r="D424">
            <v>43.5</v>
          </cell>
          <cell r="E424">
            <v>477</v>
          </cell>
          <cell r="F424">
            <v>746.47</v>
          </cell>
          <cell r="G424">
            <v>2086.87</v>
          </cell>
          <cell r="H424">
            <v>3811.06</v>
          </cell>
          <cell r="I424">
            <v>21296</v>
          </cell>
          <cell r="J424">
            <v>91750</v>
          </cell>
          <cell r="K424" t="str">
            <v>MP</v>
          </cell>
        </row>
        <row r="425">
          <cell r="A425" t="str">
            <v>994359-SLR</v>
          </cell>
          <cell r="B425">
            <v>12544</v>
          </cell>
          <cell r="C425">
            <v>217.66</v>
          </cell>
          <cell r="D425">
            <v>22.98</v>
          </cell>
          <cell r="E425">
            <v>477</v>
          </cell>
          <cell r="F425">
            <v>515.1</v>
          </cell>
          <cell r="G425">
            <v>1236.23</v>
          </cell>
          <cell r="H425">
            <v>2468.9700000000003</v>
          </cell>
          <cell r="I425">
            <v>11272.85</v>
          </cell>
          <cell r="J425">
            <v>91969</v>
          </cell>
          <cell r="K425" t="str">
            <v>MP</v>
          </cell>
        </row>
        <row r="426">
          <cell r="A426" t="str">
            <v>994360-SLR</v>
          </cell>
          <cell r="B426">
            <v>12183</v>
          </cell>
          <cell r="C426">
            <v>177.93</v>
          </cell>
          <cell r="D426">
            <v>1.72</v>
          </cell>
          <cell r="E426">
            <v>477</v>
          </cell>
          <cell r="F426">
            <v>151.57</v>
          </cell>
          <cell r="G426">
            <v>26.03</v>
          </cell>
          <cell r="H426">
            <v>834.25</v>
          </cell>
          <cell r="I426">
            <v>688.07</v>
          </cell>
          <cell r="J426">
            <v>90061</v>
          </cell>
          <cell r="K426" t="str">
            <v>MP</v>
          </cell>
        </row>
        <row r="427">
          <cell r="A427" t="str">
            <v>994361-SLR</v>
          </cell>
          <cell r="B427">
            <v>12258</v>
          </cell>
          <cell r="C427">
            <v>193.38</v>
          </cell>
          <cell r="D427">
            <v>12.13</v>
          </cell>
          <cell r="E427">
            <v>477</v>
          </cell>
          <cell r="F427">
            <v>277.63</v>
          </cell>
          <cell r="G427">
            <v>729.68</v>
          </cell>
          <cell r="H427">
            <v>1689.82</v>
          </cell>
          <cell r="I427">
            <v>5875.16</v>
          </cell>
          <cell r="J427">
            <v>92282</v>
          </cell>
          <cell r="K427" t="str">
            <v>MP</v>
          </cell>
        </row>
        <row r="428">
          <cell r="A428" t="str">
            <v>994362-SLR</v>
          </cell>
          <cell r="B428">
            <v>12184</v>
          </cell>
          <cell r="C428">
            <v>1504.84</v>
          </cell>
          <cell r="D428">
            <v>22.51</v>
          </cell>
          <cell r="E428">
            <v>477</v>
          </cell>
          <cell r="F428">
            <v>348.19</v>
          </cell>
          <cell r="G428">
            <v>2143.4699999999998</v>
          </cell>
          <cell r="H428">
            <v>4496.01</v>
          </cell>
          <cell r="I428">
            <v>9754.06</v>
          </cell>
          <cell r="J428">
            <v>92049</v>
          </cell>
          <cell r="K428" t="str">
            <v>MP</v>
          </cell>
        </row>
        <row r="429">
          <cell r="A429" t="str">
            <v>994363-SLR</v>
          </cell>
          <cell r="B429">
            <v>12720</v>
          </cell>
          <cell r="C429">
            <v>209.97</v>
          </cell>
          <cell r="D429">
            <v>3.04</v>
          </cell>
          <cell r="E429">
            <v>477</v>
          </cell>
          <cell r="F429">
            <v>171.09</v>
          </cell>
          <cell r="G429">
            <v>242.91</v>
          </cell>
          <cell r="H429">
            <v>1104.01</v>
          </cell>
          <cell r="I429">
            <v>1522.08</v>
          </cell>
          <cell r="J429">
            <v>91560</v>
          </cell>
          <cell r="K429" t="str">
            <v>MP</v>
          </cell>
        </row>
        <row r="430">
          <cell r="A430" t="str">
            <v>994364-SLR</v>
          </cell>
          <cell r="B430">
            <v>12540</v>
          </cell>
          <cell r="C430">
            <v>166.05</v>
          </cell>
          <cell r="D430">
            <v>16.190000000000001</v>
          </cell>
          <cell r="E430">
            <v>477</v>
          </cell>
          <cell r="F430">
            <v>367.97</v>
          </cell>
          <cell r="G430">
            <v>1703.22</v>
          </cell>
          <cell r="H430">
            <v>2730.4300000000003</v>
          </cell>
          <cell r="I430">
            <v>7928.34</v>
          </cell>
          <cell r="J430">
            <v>91375</v>
          </cell>
          <cell r="K430" t="str">
            <v>MP</v>
          </cell>
        </row>
        <row r="431">
          <cell r="A431" t="str">
            <v>994366-SLR</v>
          </cell>
          <cell r="B431">
            <v>12364</v>
          </cell>
          <cell r="C431">
            <v>196.47</v>
          </cell>
          <cell r="D431">
            <v>13.77</v>
          </cell>
          <cell r="E431">
            <v>477</v>
          </cell>
          <cell r="F431">
            <v>322.82</v>
          </cell>
          <cell r="G431">
            <v>993.43</v>
          </cell>
          <cell r="H431">
            <v>2003.4899999999998</v>
          </cell>
          <cell r="I431">
            <v>6885.65</v>
          </cell>
          <cell r="J431">
            <v>90512</v>
          </cell>
          <cell r="K431" t="str">
            <v>MP</v>
          </cell>
        </row>
        <row r="432">
          <cell r="A432" t="str">
            <v>994367-SLR</v>
          </cell>
          <cell r="B432">
            <v>12299</v>
          </cell>
          <cell r="C432">
            <v>194.37</v>
          </cell>
          <cell r="D432">
            <v>1.5</v>
          </cell>
          <cell r="E432">
            <v>477</v>
          </cell>
          <cell r="F432">
            <v>148.85</v>
          </cell>
          <cell r="G432">
            <v>141.85</v>
          </cell>
          <cell r="H432">
            <v>963.57</v>
          </cell>
          <cell r="I432">
            <v>550.70000000000005</v>
          </cell>
          <cell r="J432">
            <v>90390</v>
          </cell>
          <cell r="K432" t="str">
            <v>MP</v>
          </cell>
        </row>
        <row r="433">
          <cell r="A433" t="str">
            <v>994368-SLR</v>
          </cell>
          <cell r="B433">
            <v>12300</v>
          </cell>
          <cell r="C433">
            <v>148.09</v>
          </cell>
          <cell r="D433">
            <v>9.81</v>
          </cell>
          <cell r="E433">
            <v>477</v>
          </cell>
          <cell r="F433">
            <v>242.69</v>
          </cell>
          <cell r="G433">
            <v>688.46</v>
          </cell>
          <cell r="H433">
            <v>1566.05</v>
          </cell>
          <cell r="I433">
            <v>4759.6400000000003</v>
          </cell>
          <cell r="J433">
            <v>90349</v>
          </cell>
          <cell r="K433" t="str">
            <v>MP</v>
          </cell>
        </row>
        <row r="434">
          <cell r="A434" t="str">
            <v>994369-SLR</v>
          </cell>
          <cell r="B434">
            <v>12611</v>
          </cell>
          <cell r="C434">
            <v>2644.44</v>
          </cell>
          <cell r="D434">
            <v>11.48</v>
          </cell>
          <cell r="E434">
            <v>477</v>
          </cell>
          <cell r="F434">
            <v>262.93</v>
          </cell>
          <cell r="G434">
            <v>1092.52</v>
          </cell>
          <cell r="H434">
            <v>4488.37</v>
          </cell>
          <cell r="I434">
            <v>3094.17</v>
          </cell>
          <cell r="J434">
            <v>93016</v>
          </cell>
          <cell r="K434" t="str">
            <v>MP</v>
          </cell>
        </row>
        <row r="435">
          <cell r="A435" t="str">
            <v>994370-SLR</v>
          </cell>
          <cell r="B435">
            <v>12768</v>
          </cell>
          <cell r="C435">
            <v>6616.81</v>
          </cell>
          <cell r="D435">
            <v>70.64</v>
          </cell>
          <cell r="E435">
            <v>477</v>
          </cell>
          <cell r="F435">
            <v>1052.33</v>
          </cell>
          <cell r="G435">
            <v>6464.61</v>
          </cell>
          <cell r="H435">
            <v>14681.39</v>
          </cell>
          <cell r="I435">
            <v>28703.03</v>
          </cell>
          <cell r="J435">
            <v>93016</v>
          </cell>
          <cell r="K435" t="str">
            <v>MP</v>
          </cell>
        </row>
        <row r="436">
          <cell r="A436" t="str">
            <v>994372-SLR</v>
          </cell>
          <cell r="B436">
            <v>12365</v>
          </cell>
          <cell r="C436">
            <v>55553.86</v>
          </cell>
          <cell r="D436">
            <v>254.64</v>
          </cell>
          <cell r="E436">
            <v>477</v>
          </cell>
          <cell r="F436">
            <v>3126.37</v>
          </cell>
          <cell r="G436">
            <v>16276.89</v>
          </cell>
          <cell r="H436">
            <v>75688.760000000009</v>
          </cell>
          <cell r="I436">
            <v>71763.63</v>
          </cell>
          <cell r="J436">
            <v>93182</v>
          </cell>
          <cell r="K436" t="str">
            <v>MP</v>
          </cell>
        </row>
        <row r="437">
          <cell r="A437" t="str">
            <v>994373-SLR</v>
          </cell>
          <cell r="B437">
            <v>12301</v>
          </cell>
          <cell r="C437">
            <v>403.35</v>
          </cell>
          <cell r="D437">
            <v>5.98</v>
          </cell>
          <cell r="E437">
            <v>477</v>
          </cell>
          <cell r="F437">
            <v>208.42</v>
          </cell>
          <cell r="G437">
            <v>644.9</v>
          </cell>
          <cell r="H437">
            <v>1739.65</v>
          </cell>
          <cell r="I437">
            <v>2984.9</v>
          </cell>
          <cell r="J437">
            <v>91591</v>
          </cell>
          <cell r="K437" t="str">
            <v>MP</v>
          </cell>
        </row>
        <row r="438">
          <cell r="A438" t="str">
            <v>994374-SLR</v>
          </cell>
          <cell r="B438">
            <v>12369</v>
          </cell>
          <cell r="C438">
            <v>224.53</v>
          </cell>
          <cell r="D438">
            <v>74.989999999999995</v>
          </cell>
          <cell r="E438">
            <v>477</v>
          </cell>
          <cell r="F438">
            <v>1101.4100000000001</v>
          </cell>
          <cell r="G438">
            <v>5260.06</v>
          </cell>
          <cell r="H438">
            <v>7137.9900000000007</v>
          </cell>
          <cell r="I438">
            <v>37272.31</v>
          </cell>
          <cell r="J438">
            <v>90062</v>
          </cell>
          <cell r="K438" t="str">
            <v>MP</v>
          </cell>
        </row>
        <row r="439">
          <cell r="A439" t="str">
            <v>994375-SLR</v>
          </cell>
          <cell r="B439">
            <v>12303</v>
          </cell>
          <cell r="C439">
            <v>180.48</v>
          </cell>
          <cell r="D439">
            <v>15.77</v>
          </cell>
          <cell r="E439">
            <v>477</v>
          </cell>
          <cell r="F439">
            <v>358.46</v>
          </cell>
          <cell r="G439">
            <v>1105.56</v>
          </cell>
          <cell r="H439">
            <v>2137.27</v>
          </cell>
          <cell r="I439">
            <v>7700.58</v>
          </cell>
          <cell r="J439">
            <v>91682</v>
          </cell>
          <cell r="K439" t="str">
            <v>MP</v>
          </cell>
        </row>
        <row r="440">
          <cell r="A440" t="str">
            <v>994376-SLR</v>
          </cell>
          <cell r="B440">
            <v>12612</v>
          </cell>
          <cell r="C440">
            <v>243.71</v>
          </cell>
          <cell r="D440">
            <v>47.38</v>
          </cell>
          <cell r="E440">
            <v>477</v>
          </cell>
          <cell r="F440">
            <v>790.12</v>
          </cell>
          <cell r="G440">
            <v>3323.07</v>
          </cell>
          <cell r="H440">
            <v>4881.2800000000007</v>
          </cell>
          <cell r="I440">
            <v>23445.14</v>
          </cell>
          <cell r="J440">
            <v>90496</v>
          </cell>
          <cell r="K440" t="str">
            <v>MP</v>
          </cell>
        </row>
        <row r="441">
          <cell r="A441" t="str">
            <v>994378-SLR</v>
          </cell>
          <cell r="B441">
            <v>12661</v>
          </cell>
          <cell r="C441">
            <v>220.79</v>
          </cell>
          <cell r="D441">
            <v>19.350000000000001</v>
          </cell>
          <cell r="E441">
            <v>477</v>
          </cell>
          <cell r="F441">
            <v>448.21</v>
          </cell>
          <cell r="G441">
            <v>1387.92</v>
          </cell>
          <cell r="H441">
            <v>2553.27</v>
          </cell>
          <cell r="I441">
            <v>9673.59</v>
          </cell>
          <cell r="J441">
            <v>91682</v>
          </cell>
          <cell r="K441" t="str">
            <v>MP</v>
          </cell>
        </row>
        <row r="442">
          <cell r="A442" t="str">
            <v>994379-SLR</v>
          </cell>
          <cell r="B442">
            <v>12511</v>
          </cell>
          <cell r="C442">
            <v>325.02</v>
          </cell>
          <cell r="D442">
            <v>11.2</v>
          </cell>
          <cell r="E442">
            <v>477</v>
          </cell>
          <cell r="F442">
            <v>258.18</v>
          </cell>
          <cell r="G442">
            <v>168.17</v>
          </cell>
          <cell r="H442">
            <v>1239.5700000000002</v>
          </cell>
          <cell r="I442">
            <v>5269.6</v>
          </cell>
          <cell r="J442">
            <v>92240</v>
          </cell>
          <cell r="K442" t="str">
            <v>MP</v>
          </cell>
        </row>
        <row r="443">
          <cell r="A443" t="str">
            <v>994380-SLR</v>
          </cell>
          <cell r="B443">
            <v>12218</v>
          </cell>
          <cell r="C443">
            <v>321.98</v>
          </cell>
          <cell r="D443">
            <v>4.92</v>
          </cell>
          <cell r="E443">
            <v>477</v>
          </cell>
          <cell r="F443">
            <v>187.48</v>
          </cell>
          <cell r="G443">
            <v>468.11</v>
          </cell>
          <cell r="H443">
            <v>1459.4900000000002</v>
          </cell>
          <cell r="I443">
            <v>2136.86</v>
          </cell>
          <cell r="J443">
            <v>93050</v>
          </cell>
          <cell r="K443" t="str">
            <v>MP</v>
          </cell>
        </row>
        <row r="444">
          <cell r="A444" t="str">
            <v>994382-SLR</v>
          </cell>
          <cell r="B444">
            <v>12217</v>
          </cell>
          <cell r="C444">
            <v>247.78</v>
          </cell>
          <cell r="D444">
            <v>2.66</v>
          </cell>
          <cell r="E444">
            <v>477</v>
          </cell>
          <cell r="F444">
            <v>161.97999999999999</v>
          </cell>
          <cell r="G444">
            <v>159.63</v>
          </cell>
          <cell r="H444">
            <v>1049.0500000000002</v>
          </cell>
          <cell r="I444">
            <v>1079.79</v>
          </cell>
          <cell r="J444">
            <v>92280</v>
          </cell>
          <cell r="K444" t="str">
            <v>MP</v>
          </cell>
        </row>
        <row r="445">
          <cell r="A445" t="str">
            <v>994384-SLR</v>
          </cell>
          <cell r="B445">
            <v>12185</v>
          </cell>
          <cell r="C445">
            <v>182.14</v>
          </cell>
          <cell r="D445">
            <v>20.86</v>
          </cell>
          <cell r="E445">
            <v>477</v>
          </cell>
          <cell r="F445">
            <v>329.95</v>
          </cell>
          <cell r="G445">
            <v>1463.34</v>
          </cell>
          <cell r="H445">
            <v>2473.29</v>
          </cell>
          <cell r="I445">
            <v>10249.450000000001</v>
          </cell>
          <cell r="J445">
            <v>90485</v>
          </cell>
          <cell r="K445" t="str">
            <v>MP</v>
          </cell>
        </row>
        <row r="446">
          <cell r="A446" t="str">
            <v>994385-SLR</v>
          </cell>
          <cell r="B446">
            <v>12131</v>
          </cell>
          <cell r="C446">
            <v>1048.0999999999999</v>
          </cell>
          <cell r="D446">
            <v>206.06</v>
          </cell>
          <cell r="E446">
            <v>477</v>
          </cell>
          <cell r="F446">
            <v>2574.15</v>
          </cell>
          <cell r="G446">
            <v>13556.49</v>
          </cell>
          <cell r="H446">
            <v>17861.8</v>
          </cell>
          <cell r="I446">
            <v>103026.56</v>
          </cell>
          <cell r="J446">
            <v>92107</v>
          </cell>
          <cell r="K446" t="str">
            <v>MP</v>
          </cell>
        </row>
        <row r="447">
          <cell r="A447" t="str">
            <v>994386-SLR</v>
          </cell>
          <cell r="B447">
            <v>12132</v>
          </cell>
          <cell r="C447">
            <v>950.28</v>
          </cell>
          <cell r="D447">
            <v>182.38</v>
          </cell>
          <cell r="E447">
            <v>477</v>
          </cell>
          <cell r="F447">
            <v>2333.31</v>
          </cell>
          <cell r="G447">
            <v>12001.94</v>
          </cell>
          <cell r="H447">
            <v>15944.91</v>
          </cell>
          <cell r="I447">
            <v>91189.98</v>
          </cell>
          <cell r="J447">
            <v>92107</v>
          </cell>
          <cell r="K447" t="str">
            <v>MP</v>
          </cell>
        </row>
        <row r="448">
          <cell r="A448" t="str">
            <v>994387-SLR</v>
          </cell>
          <cell r="B448">
            <v>12370</v>
          </cell>
          <cell r="C448">
            <v>201.14</v>
          </cell>
          <cell r="D448">
            <v>19.68</v>
          </cell>
          <cell r="E448">
            <v>477</v>
          </cell>
          <cell r="F448">
            <v>454.84</v>
          </cell>
          <cell r="G448">
            <v>2113.19</v>
          </cell>
          <cell r="H448">
            <v>3265.85</v>
          </cell>
          <cell r="I448">
            <v>9841.99</v>
          </cell>
          <cell r="J448">
            <v>91681</v>
          </cell>
          <cell r="K448" t="str">
            <v>MP</v>
          </cell>
        </row>
        <row r="449">
          <cell r="A449" t="str">
            <v>994390-SLR</v>
          </cell>
          <cell r="B449">
            <v>12186</v>
          </cell>
          <cell r="C449">
            <v>136.97</v>
          </cell>
          <cell r="D449">
            <v>1.27</v>
          </cell>
          <cell r="E449">
            <v>477</v>
          </cell>
          <cell r="F449">
            <v>146.44</v>
          </cell>
          <cell r="G449">
            <v>121.5</v>
          </cell>
          <cell r="H449">
            <v>883.18000000000006</v>
          </cell>
          <cell r="I449">
            <v>501.21</v>
          </cell>
          <cell r="J449">
            <v>91869</v>
          </cell>
          <cell r="K449" t="str">
            <v>MP</v>
          </cell>
        </row>
        <row r="450">
          <cell r="A450" t="str">
            <v>994391-SLR</v>
          </cell>
          <cell r="B450">
            <v>12581</v>
          </cell>
          <cell r="C450">
            <v>22692.71</v>
          </cell>
          <cell r="D450">
            <v>77.3</v>
          </cell>
          <cell r="E450">
            <v>477</v>
          </cell>
          <cell r="F450">
            <v>1637.97</v>
          </cell>
          <cell r="G450">
            <v>7370.25</v>
          </cell>
          <cell r="H450">
            <v>32255.23</v>
          </cell>
          <cell r="I450">
            <v>38648.74</v>
          </cell>
          <cell r="J450">
            <v>93123</v>
          </cell>
          <cell r="K450" t="str">
            <v>MP</v>
          </cell>
        </row>
        <row r="451">
          <cell r="A451" t="str">
            <v>994392-SLR</v>
          </cell>
          <cell r="B451">
            <v>12549</v>
          </cell>
          <cell r="C451">
            <v>212.02</v>
          </cell>
          <cell r="D451">
            <v>25.95</v>
          </cell>
          <cell r="E451">
            <v>477</v>
          </cell>
          <cell r="F451">
            <v>318.83999999999997</v>
          </cell>
          <cell r="G451">
            <v>350.33</v>
          </cell>
          <cell r="H451">
            <v>1384.1399999999999</v>
          </cell>
          <cell r="I451">
            <v>6780.53</v>
          </cell>
          <cell r="J451">
            <v>90424</v>
          </cell>
          <cell r="K451" t="str">
            <v>MP</v>
          </cell>
        </row>
        <row r="452">
          <cell r="A452" t="str">
            <v>994393-SLR</v>
          </cell>
          <cell r="B452">
            <v>12304</v>
          </cell>
          <cell r="C452">
            <v>172.05</v>
          </cell>
          <cell r="D452">
            <v>1.35</v>
          </cell>
          <cell r="E452">
            <v>477</v>
          </cell>
          <cell r="F452">
            <v>140.38</v>
          </cell>
          <cell r="G452">
            <v>70.33</v>
          </cell>
          <cell r="H452">
            <v>861.11</v>
          </cell>
          <cell r="I452">
            <v>197.35</v>
          </cell>
          <cell r="J452">
            <v>93013</v>
          </cell>
          <cell r="K452" t="str">
            <v>MP</v>
          </cell>
        </row>
        <row r="453">
          <cell r="A453" t="str">
            <v>994394-SLR</v>
          </cell>
          <cell r="B453">
            <v>12187</v>
          </cell>
          <cell r="C453">
            <v>270.89</v>
          </cell>
          <cell r="D453">
            <v>55.29</v>
          </cell>
          <cell r="E453">
            <v>477</v>
          </cell>
          <cell r="F453">
            <v>597.87</v>
          </cell>
          <cell r="G453">
            <v>1974.96</v>
          </cell>
          <cell r="H453">
            <v>3376.01</v>
          </cell>
          <cell r="I453">
            <v>14890.81</v>
          </cell>
          <cell r="J453">
            <v>92109</v>
          </cell>
          <cell r="K453" t="str">
            <v>MP</v>
          </cell>
        </row>
        <row r="454">
          <cell r="A454" t="str">
            <v>994395-SLR</v>
          </cell>
          <cell r="B454">
            <v>12634</v>
          </cell>
          <cell r="C454">
            <v>167.34</v>
          </cell>
          <cell r="D454">
            <v>0</v>
          </cell>
          <cell r="E454">
            <v>18.239999999999998</v>
          </cell>
          <cell r="F454">
            <v>0</v>
          </cell>
          <cell r="G454">
            <v>300.44</v>
          </cell>
          <cell r="H454">
            <v>486.02</v>
          </cell>
          <cell r="I454">
            <v>333.39</v>
          </cell>
          <cell r="J454">
            <v>93050</v>
          </cell>
          <cell r="K454" t="str">
            <v>MP</v>
          </cell>
        </row>
        <row r="455">
          <cell r="A455" t="str">
            <v>994396-SLR</v>
          </cell>
          <cell r="B455">
            <v>12136</v>
          </cell>
          <cell r="C455">
            <v>244.98</v>
          </cell>
          <cell r="D455">
            <v>0</v>
          </cell>
          <cell r="E455">
            <v>18.239999999999998</v>
          </cell>
          <cell r="F455">
            <v>0</v>
          </cell>
          <cell r="G455">
            <v>162.5</v>
          </cell>
          <cell r="H455">
            <v>425.71999999999997</v>
          </cell>
          <cell r="I455">
            <v>297.02</v>
          </cell>
          <cell r="J455">
            <v>93050</v>
          </cell>
          <cell r="K455" t="str">
            <v>MP</v>
          </cell>
        </row>
        <row r="456">
          <cell r="A456" t="str">
            <v>994397-SLR</v>
          </cell>
          <cell r="B456">
            <v>12146</v>
          </cell>
          <cell r="C456">
            <v>125.39</v>
          </cell>
          <cell r="D456">
            <v>0</v>
          </cell>
          <cell r="E456">
            <v>18.239999999999998</v>
          </cell>
          <cell r="F456">
            <v>0</v>
          </cell>
          <cell r="G456">
            <v>219.25</v>
          </cell>
          <cell r="H456">
            <v>362.88</v>
          </cell>
          <cell r="I456">
            <v>240.03</v>
          </cell>
          <cell r="J456">
            <v>93302</v>
          </cell>
          <cell r="K456" t="str">
            <v>MP</v>
          </cell>
        </row>
        <row r="457">
          <cell r="A457" t="str">
            <v>994398-SLR</v>
          </cell>
          <cell r="B457">
            <v>12512</v>
          </cell>
          <cell r="C457">
            <v>206.46</v>
          </cell>
          <cell r="D457">
            <v>36.47</v>
          </cell>
          <cell r="E457">
            <v>477</v>
          </cell>
          <cell r="F457">
            <v>667.25</v>
          </cell>
          <cell r="G457">
            <v>3472.38</v>
          </cell>
          <cell r="H457">
            <v>4859.5600000000004</v>
          </cell>
          <cell r="I457">
            <v>18032.759999999998</v>
          </cell>
          <cell r="J457">
            <v>90402</v>
          </cell>
          <cell r="K457" t="str">
            <v>MP</v>
          </cell>
        </row>
        <row r="458">
          <cell r="A458" t="str">
            <v>994399-SLR</v>
          </cell>
          <cell r="B458">
            <v>12415</v>
          </cell>
          <cell r="C458">
            <v>444.8</v>
          </cell>
          <cell r="D458">
            <v>18.97</v>
          </cell>
          <cell r="E458">
            <v>477</v>
          </cell>
          <cell r="F458">
            <v>429.96</v>
          </cell>
          <cell r="G458">
            <v>1330.5</v>
          </cell>
          <cell r="H458">
            <v>2701.23</v>
          </cell>
          <cell r="I458">
            <v>9039.83</v>
          </cell>
          <cell r="J458">
            <v>91750</v>
          </cell>
          <cell r="K458" t="str">
            <v>MP</v>
          </cell>
        </row>
        <row r="459">
          <cell r="A459" t="str">
            <v>994400-SLR</v>
          </cell>
          <cell r="B459">
            <v>12770</v>
          </cell>
          <cell r="C459">
            <v>1542.52</v>
          </cell>
          <cell r="D459">
            <v>852.65</v>
          </cell>
          <cell r="E459">
            <v>477</v>
          </cell>
          <cell r="F459">
            <v>9867.52</v>
          </cell>
          <cell r="G459">
            <v>59804.69</v>
          </cell>
          <cell r="H459">
            <v>72544.38</v>
          </cell>
          <cell r="I459">
            <v>424781.19</v>
          </cell>
          <cell r="J459">
            <v>90097</v>
          </cell>
          <cell r="K459" t="str">
            <v>MP</v>
          </cell>
        </row>
        <row r="460">
          <cell r="A460" t="str">
            <v>994401-SLR</v>
          </cell>
          <cell r="B460">
            <v>12418</v>
          </cell>
          <cell r="C460">
            <v>537.23</v>
          </cell>
          <cell r="D460">
            <v>10.66</v>
          </cell>
          <cell r="E460">
            <v>477</v>
          </cell>
          <cell r="F460">
            <v>268.83</v>
          </cell>
          <cell r="G460">
            <v>1235.33</v>
          </cell>
          <cell r="H460">
            <v>2529.0499999999997</v>
          </cell>
          <cell r="I460">
            <v>5334.62</v>
          </cell>
          <cell r="J460">
            <v>90506</v>
          </cell>
          <cell r="K460" t="str">
            <v>MP</v>
          </cell>
        </row>
        <row r="461">
          <cell r="A461" t="str">
            <v>994402-SLR</v>
          </cell>
          <cell r="B461">
            <v>12138</v>
          </cell>
          <cell r="C461">
            <v>107.12</v>
          </cell>
          <cell r="D461">
            <v>0</v>
          </cell>
          <cell r="E461">
            <v>18.45</v>
          </cell>
          <cell r="F461">
            <v>0</v>
          </cell>
          <cell r="G461">
            <v>84.82</v>
          </cell>
          <cell r="H461">
            <v>210.39</v>
          </cell>
          <cell r="I461">
            <v>34.25</v>
          </cell>
          <cell r="J461">
            <v>92202</v>
          </cell>
          <cell r="K461" t="str">
            <v>MP</v>
          </cell>
        </row>
        <row r="462">
          <cell r="A462" t="str">
            <v>994403-SLR</v>
          </cell>
          <cell r="B462">
            <v>12139</v>
          </cell>
          <cell r="C462">
            <v>205.47</v>
          </cell>
          <cell r="D462">
            <v>0</v>
          </cell>
          <cell r="E462">
            <v>18.45</v>
          </cell>
          <cell r="F462">
            <v>0</v>
          </cell>
          <cell r="G462">
            <v>216.19</v>
          </cell>
          <cell r="H462">
            <v>440.11</v>
          </cell>
          <cell r="I462">
            <v>154.84</v>
          </cell>
          <cell r="J462">
            <v>93050</v>
          </cell>
          <cell r="K462" t="str">
            <v>MP</v>
          </cell>
        </row>
        <row r="463">
          <cell r="A463" t="str">
            <v>994404-SLR</v>
          </cell>
          <cell r="B463">
            <v>12514</v>
          </cell>
          <cell r="C463">
            <v>206.46</v>
          </cell>
          <cell r="D463">
            <v>2.39</v>
          </cell>
          <cell r="E463">
            <v>477</v>
          </cell>
          <cell r="F463">
            <v>158.91</v>
          </cell>
          <cell r="G463">
            <v>226.79</v>
          </cell>
          <cell r="H463">
            <v>1071.55</v>
          </cell>
          <cell r="I463">
            <v>984.76</v>
          </cell>
          <cell r="J463">
            <v>90402</v>
          </cell>
          <cell r="K463" t="str">
            <v>MP</v>
          </cell>
        </row>
        <row r="464">
          <cell r="A464" t="str">
            <v>994406-SLR</v>
          </cell>
          <cell r="B464">
            <v>12140</v>
          </cell>
          <cell r="C464">
            <v>105.04</v>
          </cell>
          <cell r="D464">
            <v>0</v>
          </cell>
          <cell r="E464">
            <v>18.5</v>
          </cell>
          <cell r="F464">
            <v>0</v>
          </cell>
          <cell r="G464">
            <v>110.24</v>
          </cell>
          <cell r="H464">
            <v>233.78</v>
          </cell>
          <cell r="I464">
            <v>78.7</v>
          </cell>
          <cell r="J464">
            <v>93050</v>
          </cell>
          <cell r="K464" t="str">
            <v>MP</v>
          </cell>
        </row>
        <row r="465">
          <cell r="A465" t="str">
            <v>994407-SLR</v>
          </cell>
          <cell r="B465">
            <v>12141</v>
          </cell>
          <cell r="C465">
            <v>237.51</v>
          </cell>
          <cell r="D465">
            <v>0</v>
          </cell>
          <cell r="E465">
            <v>18.45</v>
          </cell>
          <cell r="F465">
            <v>0</v>
          </cell>
          <cell r="G465">
            <v>273.67</v>
          </cell>
          <cell r="H465">
            <v>529.63</v>
          </cell>
          <cell r="I465">
            <v>218.6</v>
          </cell>
          <cell r="J465">
            <v>92202</v>
          </cell>
          <cell r="K465" t="str">
            <v>MP</v>
          </cell>
        </row>
        <row r="466">
          <cell r="A466" t="str">
            <v>994408-SLR</v>
          </cell>
          <cell r="B466">
            <v>12142</v>
          </cell>
          <cell r="C466">
            <v>89.26</v>
          </cell>
          <cell r="D466">
            <v>0</v>
          </cell>
          <cell r="E466">
            <v>18.45</v>
          </cell>
          <cell r="F466">
            <v>0</v>
          </cell>
          <cell r="G466">
            <v>63.83</v>
          </cell>
          <cell r="H466">
            <v>171.54000000000002</v>
          </cell>
          <cell r="I466">
            <v>17.12</v>
          </cell>
          <cell r="J466">
            <v>92202</v>
          </cell>
          <cell r="K466" t="str">
            <v>MP</v>
          </cell>
        </row>
        <row r="467">
          <cell r="A467" t="str">
            <v>994409-SLR</v>
          </cell>
          <cell r="B467">
            <v>12550</v>
          </cell>
          <cell r="C467">
            <v>1590.42</v>
          </cell>
          <cell r="D467">
            <v>28.69</v>
          </cell>
          <cell r="E467">
            <v>477</v>
          </cell>
          <cell r="F467">
            <v>565.45000000000005</v>
          </cell>
          <cell r="G467">
            <v>2732.96</v>
          </cell>
          <cell r="H467">
            <v>5394.52</v>
          </cell>
          <cell r="I467">
            <v>12764.88</v>
          </cell>
          <cell r="J467">
            <v>91975</v>
          </cell>
          <cell r="K467" t="str">
            <v>MP</v>
          </cell>
        </row>
        <row r="468">
          <cell r="A468" t="str">
            <v>994410-SLR</v>
          </cell>
          <cell r="B468">
            <v>12515</v>
          </cell>
          <cell r="C468">
            <v>502.43</v>
          </cell>
          <cell r="D468">
            <v>235.63</v>
          </cell>
          <cell r="E468">
            <v>477</v>
          </cell>
          <cell r="F468">
            <v>575.6</v>
          </cell>
          <cell r="G468">
            <v>1890.61</v>
          </cell>
          <cell r="H468">
            <v>3681.2699999999995</v>
          </cell>
          <cell r="I468">
            <v>13671.53</v>
          </cell>
          <cell r="J468">
            <v>93021</v>
          </cell>
          <cell r="K468" t="str">
            <v>MP</v>
          </cell>
        </row>
        <row r="469">
          <cell r="A469" t="str">
            <v>994411-SLR</v>
          </cell>
          <cell r="B469">
            <v>12464</v>
          </cell>
          <cell r="C469">
            <v>6911.21</v>
          </cell>
          <cell r="D469">
            <v>111.02</v>
          </cell>
          <cell r="E469">
            <v>477</v>
          </cell>
          <cell r="F469">
            <v>1504.11</v>
          </cell>
          <cell r="G469">
            <v>7230.99</v>
          </cell>
          <cell r="H469">
            <v>16234.33</v>
          </cell>
          <cell r="I469">
            <v>48600.77</v>
          </cell>
          <cell r="J469">
            <v>91722</v>
          </cell>
          <cell r="K469" t="str">
            <v>MP</v>
          </cell>
        </row>
        <row r="470">
          <cell r="A470" t="str">
            <v>994412-SLR</v>
          </cell>
          <cell r="B470">
            <v>12419</v>
          </cell>
          <cell r="C470">
            <v>242.18</v>
          </cell>
          <cell r="D470">
            <v>8</v>
          </cell>
          <cell r="E470">
            <v>477</v>
          </cell>
          <cell r="F470">
            <v>227.62</v>
          </cell>
          <cell r="G470">
            <v>892.03</v>
          </cell>
          <cell r="H470">
            <v>1846.83</v>
          </cell>
          <cell r="I470">
            <v>3997.58</v>
          </cell>
          <cell r="J470">
            <v>92225</v>
          </cell>
          <cell r="K470" t="str">
            <v>MP</v>
          </cell>
        </row>
        <row r="471">
          <cell r="A471" t="str">
            <v>994413-SLR</v>
          </cell>
          <cell r="B471">
            <v>12371</v>
          </cell>
          <cell r="C471">
            <v>864.24</v>
          </cell>
          <cell r="D471">
            <v>18.11</v>
          </cell>
          <cell r="E471">
            <v>477</v>
          </cell>
          <cell r="F471">
            <v>410.66</v>
          </cell>
          <cell r="G471">
            <v>1904.68</v>
          </cell>
          <cell r="H471">
            <v>3674.69</v>
          </cell>
          <cell r="I471">
            <v>8187.56</v>
          </cell>
          <cell r="J471">
            <v>90506</v>
          </cell>
          <cell r="K471" t="str">
            <v>MP</v>
          </cell>
        </row>
        <row r="472">
          <cell r="A472" t="str">
            <v>994414-SLR</v>
          </cell>
          <cell r="B472">
            <v>12305</v>
          </cell>
          <cell r="C472">
            <v>3650.18</v>
          </cell>
          <cell r="D472">
            <v>102.44</v>
          </cell>
          <cell r="E472">
            <v>477</v>
          </cell>
          <cell r="F472">
            <v>1410.88</v>
          </cell>
          <cell r="G472">
            <v>6159.11</v>
          </cell>
          <cell r="H472">
            <v>11799.61</v>
          </cell>
          <cell r="I472">
            <v>47573.27</v>
          </cell>
          <cell r="J472">
            <v>93203</v>
          </cell>
          <cell r="K472" t="str">
            <v>MP</v>
          </cell>
        </row>
        <row r="473">
          <cell r="A473" t="str">
            <v>994416-SLR</v>
          </cell>
          <cell r="B473">
            <v>12372</v>
          </cell>
          <cell r="C473">
            <v>186.4</v>
          </cell>
          <cell r="D473">
            <v>10.74</v>
          </cell>
          <cell r="E473">
            <v>477</v>
          </cell>
          <cell r="F473">
            <v>257.22000000000003</v>
          </cell>
          <cell r="G473">
            <v>778.83</v>
          </cell>
          <cell r="H473">
            <v>1710.19</v>
          </cell>
          <cell r="I473">
            <v>5365.94</v>
          </cell>
          <cell r="J473">
            <v>92243</v>
          </cell>
          <cell r="K473" t="str">
            <v>MP</v>
          </cell>
        </row>
        <row r="474">
          <cell r="A474" t="str">
            <v>994417-SLR</v>
          </cell>
          <cell r="B474">
            <v>12613</v>
          </cell>
          <cell r="C474">
            <v>416.75</v>
          </cell>
          <cell r="D474">
            <v>43.87</v>
          </cell>
          <cell r="E474">
            <v>477</v>
          </cell>
          <cell r="F474">
            <v>759.93</v>
          </cell>
          <cell r="G474">
            <v>3135.27</v>
          </cell>
          <cell r="H474">
            <v>4832.82</v>
          </cell>
          <cell r="I474">
            <v>21934.13</v>
          </cell>
          <cell r="J474">
            <v>90083</v>
          </cell>
          <cell r="K474" t="str">
            <v>MP</v>
          </cell>
        </row>
        <row r="475">
          <cell r="A475" t="str">
            <v>994418-SLR</v>
          </cell>
          <cell r="B475">
            <v>12480</v>
          </cell>
          <cell r="C475">
            <v>3102.68</v>
          </cell>
          <cell r="D475">
            <v>74.81</v>
          </cell>
          <cell r="E475">
            <v>477</v>
          </cell>
          <cell r="F475">
            <v>1169.06</v>
          </cell>
          <cell r="G475">
            <v>5513.91</v>
          </cell>
          <cell r="H475">
            <v>10337.459999999999</v>
          </cell>
          <cell r="I475">
            <v>37400.74</v>
          </cell>
          <cell r="J475">
            <v>90013</v>
          </cell>
          <cell r="K475" t="str">
            <v>MP</v>
          </cell>
        </row>
        <row r="476">
          <cell r="A476" t="str">
            <v>994420-SLR</v>
          </cell>
          <cell r="B476">
            <v>12465</v>
          </cell>
          <cell r="C476">
            <v>11530.15</v>
          </cell>
          <cell r="D476">
            <v>185.06</v>
          </cell>
          <cell r="E476">
            <v>477</v>
          </cell>
          <cell r="F476">
            <v>2564.5300000000002</v>
          </cell>
          <cell r="G476">
            <v>12053.14</v>
          </cell>
          <cell r="H476">
            <v>26809.879999999997</v>
          </cell>
          <cell r="I476">
            <v>81001.279999999999</v>
          </cell>
          <cell r="J476">
            <v>91722</v>
          </cell>
          <cell r="K476" t="str">
            <v>MP</v>
          </cell>
        </row>
        <row r="477">
          <cell r="A477" t="str">
            <v>994421-SLR</v>
          </cell>
          <cell r="B477">
            <v>12466</v>
          </cell>
          <cell r="C477">
            <v>2700.1</v>
          </cell>
          <cell r="D477">
            <v>64.17</v>
          </cell>
          <cell r="E477">
            <v>477</v>
          </cell>
          <cell r="F477">
            <v>979.29</v>
          </cell>
          <cell r="G477">
            <v>4476.96</v>
          </cell>
          <cell r="H477">
            <v>8697.52</v>
          </cell>
          <cell r="I477">
            <v>29379.97</v>
          </cell>
          <cell r="J477">
            <v>90013</v>
          </cell>
          <cell r="K477" t="str">
            <v>MP</v>
          </cell>
        </row>
        <row r="478">
          <cell r="A478" t="str">
            <v>994422-SLR</v>
          </cell>
          <cell r="B478">
            <v>12420</v>
          </cell>
          <cell r="C478">
            <v>368.49</v>
          </cell>
          <cell r="D478">
            <v>17.739999999999998</v>
          </cell>
          <cell r="E478">
            <v>477</v>
          </cell>
          <cell r="F478">
            <v>402.21</v>
          </cell>
          <cell r="G478">
            <v>1243.21</v>
          </cell>
          <cell r="H478">
            <v>2508.65</v>
          </cell>
          <cell r="I478">
            <v>8497.4</v>
          </cell>
          <cell r="J478">
            <v>90503</v>
          </cell>
          <cell r="K478" t="str">
            <v>MP</v>
          </cell>
        </row>
        <row r="479">
          <cell r="A479" t="str">
            <v>994425-SLR</v>
          </cell>
          <cell r="B479">
            <v>12551</v>
          </cell>
          <cell r="C479">
            <v>2819.59</v>
          </cell>
          <cell r="D479">
            <v>70.239999999999995</v>
          </cell>
          <cell r="E479">
            <v>477</v>
          </cell>
          <cell r="F479">
            <v>1047.75</v>
          </cell>
          <cell r="G479">
            <v>6685.5</v>
          </cell>
          <cell r="H479">
            <v>11100.08</v>
          </cell>
          <cell r="I479">
            <v>32297.03</v>
          </cell>
          <cell r="J479">
            <v>92049</v>
          </cell>
          <cell r="K479" t="str">
            <v>MP</v>
          </cell>
        </row>
        <row r="480">
          <cell r="A480" t="str">
            <v>994426-SLR</v>
          </cell>
          <cell r="B480">
            <v>12373</v>
          </cell>
          <cell r="C480">
            <v>149.04</v>
          </cell>
          <cell r="D480">
            <v>1.29</v>
          </cell>
          <cell r="E480">
            <v>477</v>
          </cell>
          <cell r="F480">
            <v>146.61000000000001</v>
          </cell>
          <cell r="G480">
            <v>90.57</v>
          </cell>
          <cell r="H480">
            <v>864.51</v>
          </cell>
          <cell r="I480">
            <v>493.79</v>
          </cell>
          <cell r="J480">
            <v>92327</v>
          </cell>
          <cell r="K480" t="str">
            <v>MP</v>
          </cell>
        </row>
        <row r="481">
          <cell r="A481" t="str">
            <v>994427-SLR</v>
          </cell>
          <cell r="B481">
            <v>12133</v>
          </cell>
          <cell r="C481">
            <v>280.26</v>
          </cell>
          <cell r="D481">
            <v>11.26</v>
          </cell>
          <cell r="E481">
            <v>477</v>
          </cell>
          <cell r="F481">
            <v>611.02</v>
          </cell>
          <cell r="G481">
            <v>790.05</v>
          </cell>
          <cell r="H481">
            <v>2169.59</v>
          </cell>
          <cell r="I481">
            <v>5351.66</v>
          </cell>
          <cell r="J481">
            <v>90485</v>
          </cell>
          <cell r="K481" t="str">
            <v>MP</v>
          </cell>
        </row>
        <row r="482">
          <cell r="A482" t="str">
            <v>994428-SLR</v>
          </cell>
          <cell r="B482">
            <v>12259</v>
          </cell>
          <cell r="C482">
            <v>266.99</v>
          </cell>
          <cell r="D482">
            <v>102.02</v>
          </cell>
          <cell r="E482">
            <v>477</v>
          </cell>
          <cell r="F482">
            <v>377.21</v>
          </cell>
          <cell r="G482">
            <v>1580.45</v>
          </cell>
          <cell r="H482">
            <v>2803.67</v>
          </cell>
          <cell r="I482">
            <v>8034.59</v>
          </cell>
          <cell r="J482">
            <v>92174</v>
          </cell>
          <cell r="K482" t="str">
            <v>MP</v>
          </cell>
        </row>
        <row r="483">
          <cell r="A483" t="str">
            <v>994429-SLR</v>
          </cell>
          <cell r="B483">
            <v>12306</v>
          </cell>
          <cell r="C483">
            <v>197.14</v>
          </cell>
          <cell r="D483">
            <v>1.07</v>
          </cell>
          <cell r="E483">
            <v>477</v>
          </cell>
          <cell r="F483">
            <v>144.19999999999999</v>
          </cell>
          <cell r="G483">
            <v>70.209999999999994</v>
          </cell>
          <cell r="H483">
            <v>889.62000000000012</v>
          </cell>
          <cell r="I483">
            <v>341.86</v>
          </cell>
          <cell r="J483">
            <v>90219</v>
          </cell>
          <cell r="K483" t="str">
            <v>MP</v>
          </cell>
        </row>
        <row r="484">
          <cell r="A484" t="str">
            <v>994431-SLR</v>
          </cell>
          <cell r="B484">
            <v>12468</v>
          </cell>
          <cell r="C484">
            <v>357.72</v>
          </cell>
          <cell r="D484">
            <v>8.43</v>
          </cell>
          <cell r="E484">
            <v>477</v>
          </cell>
          <cell r="F484">
            <v>235.1</v>
          </cell>
          <cell r="G484">
            <v>870.21</v>
          </cell>
          <cell r="H484">
            <v>1948.46</v>
          </cell>
          <cell r="I484">
            <v>4213.8900000000003</v>
          </cell>
          <cell r="J484">
            <v>91591</v>
          </cell>
          <cell r="K484" t="str">
            <v>MP</v>
          </cell>
        </row>
        <row r="485">
          <cell r="A485" t="str">
            <v>994432-SLR</v>
          </cell>
          <cell r="B485">
            <v>12188</v>
          </cell>
          <cell r="C485">
            <v>3048.89</v>
          </cell>
          <cell r="D485">
            <v>17.96</v>
          </cell>
          <cell r="E485">
            <v>477</v>
          </cell>
          <cell r="F485">
            <v>237.91</v>
          </cell>
          <cell r="G485">
            <v>1079.52</v>
          </cell>
          <cell r="H485">
            <v>4861.28</v>
          </cell>
          <cell r="I485">
            <v>5929.13</v>
          </cell>
          <cell r="J485">
            <v>91997</v>
          </cell>
          <cell r="K485" t="str">
            <v>MP</v>
          </cell>
        </row>
        <row r="486">
          <cell r="A486" t="str">
            <v>994433-SLR</v>
          </cell>
          <cell r="B486">
            <v>12517</v>
          </cell>
          <cell r="C486">
            <v>560.41</v>
          </cell>
          <cell r="D486">
            <v>37.04</v>
          </cell>
          <cell r="E486">
            <v>477</v>
          </cell>
          <cell r="F486">
            <v>686.18</v>
          </cell>
          <cell r="G486">
            <v>2294.0100000000002</v>
          </cell>
          <cell r="H486">
            <v>4054.64</v>
          </cell>
          <cell r="I486">
            <v>18518.22</v>
          </cell>
          <cell r="J486">
            <v>92299</v>
          </cell>
          <cell r="K486" t="str">
            <v>MP</v>
          </cell>
        </row>
        <row r="487">
          <cell r="A487" t="str">
            <v>994434-SLR</v>
          </cell>
          <cell r="B487">
            <v>12260</v>
          </cell>
          <cell r="C487">
            <v>355.09</v>
          </cell>
          <cell r="D487">
            <v>129.91</v>
          </cell>
          <cell r="E487">
            <v>477</v>
          </cell>
          <cell r="F487">
            <v>1720.45</v>
          </cell>
          <cell r="G487">
            <v>9111.83</v>
          </cell>
          <cell r="H487">
            <v>11794.279999999999</v>
          </cell>
          <cell r="I487">
            <v>64599.53</v>
          </cell>
          <cell r="J487">
            <v>90097</v>
          </cell>
          <cell r="K487" t="str">
            <v>MP</v>
          </cell>
        </row>
        <row r="488">
          <cell r="A488" t="str">
            <v>994435-SLR</v>
          </cell>
          <cell r="B488">
            <v>12397</v>
          </cell>
          <cell r="C488">
            <v>530.96</v>
          </cell>
          <cell r="D488">
            <v>2.89</v>
          </cell>
          <cell r="E488">
            <v>477</v>
          </cell>
          <cell r="F488">
            <v>184.72</v>
          </cell>
          <cell r="G488">
            <v>304.33</v>
          </cell>
          <cell r="H488">
            <v>1499.8999999999999</v>
          </cell>
          <cell r="I488">
            <v>1805.37</v>
          </cell>
          <cell r="J488">
            <v>93147</v>
          </cell>
          <cell r="K488" t="str">
            <v>MP</v>
          </cell>
        </row>
        <row r="489">
          <cell r="A489" t="str">
            <v>994436-SLR</v>
          </cell>
          <cell r="B489">
            <v>12421</v>
          </cell>
          <cell r="C489">
            <v>206.45</v>
          </cell>
          <cell r="D489">
            <v>47.26</v>
          </cell>
          <cell r="E489">
            <v>477</v>
          </cell>
          <cell r="F489">
            <v>788.76</v>
          </cell>
          <cell r="G489">
            <v>1183.81</v>
          </cell>
          <cell r="H489">
            <v>2703.2799999999997</v>
          </cell>
          <cell r="I489">
            <v>23422.46</v>
          </cell>
          <cell r="J489">
            <v>91471</v>
          </cell>
          <cell r="K489" t="str">
            <v>MP</v>
          </cell>
        </row>
        <row r="490">
          <cell r="A490" t="str">
            <v>994437-SLR</v>
          </cell>
          <cell r="B490">
            <v>12262</v>
          </cell>
          <cell r="C490">
            <v>178.41</v>
          </cell>
          <cell r="D490">
            <v>7.99</v>
          </cell>
          <cell r="E490">
            <v>477</v>
          </cell>
          <cell r="F490">
            <v>222.07</v>
          </cell>
          <cell r="G490">
            <v>840.19</v>
          </cell>
          <cell r="H490">
            <v>1725.66</v>
          </cell>
          <cell r="I490">
            <v>3814.49</v>
          </cell>
          <cell r="J490">
            <v>91839</v>
          </cell>
          <cell r="K490" t="str">
            <v>MP</v>
          </cell>
        </row>
        <row r="491">
          <cell r="A491" t="str">
            <v>994438-SLR</v>
          </cell>
          <cell r="B491">
            <v>12374</v>
          </cell>
          <cell r="C491">
            <v>509.48</v>
          </cell>
          <cell r="D491">
            <v>59.61</v>
          </cell>
          <cell r="E491">
            <v>477</v>
          </cell>
          <cell r="F491">
            <v>928.18</v>
          </cell>
          <cell r="G491">
            <v>1493.62</v>
          </cell>
          <cell r="H491">
            <v>3467.89</v>
          </cell>
          <cell r="I491">
            <v>29303.22</v>
          </cell>
          <cell r="J491">
            <v>91578</v>
          </cell>
          <cell r="K491" t="str">
            <v>MP</v>
          </cell>
        </row>
        <row r="492">
          <cell r="A492" t="str">
            <v>994439-SLR</v>
          </cell>
          <cell r="B492">
            <v>12263</v>
          </cell>
          <cell r="C492">
            <v>518.6</v>
          </cell>
          <cell r="D492">
            <v>8.4600000000000009</v>
          </cell>
          <cell r="E492">
            <v>477</v>
          </cell>
          <cell r="F492">
            <v>184.09</v>
          </cell>
          <cell r="G492">
            <v>439.45</v>
          </cell>
          <cell r="H492">
            <v>1627.6000000000001</v>
          </cell>
          <cell r="I492">
            <v>1789.69</v>
          </cell>
          <cell r="J492">
            <v>93013</v>
          </cell>
          <cell r="K492" t="str">
            <v>MP</v>
          </cell>
        </row>
        <row r="493">
          <cell r="A493" t="str">
            <v>994440-SLR</v>
          </cell>
          <cell r="B493">
            <v>12264</v>
          </cell>
          <cell r="C493">
            <v>302.23</v>
          </cell>
          <cell r="D493">
            <v>315.82</v>
          </cell>
          <cell r="E493">
            <v>477</v>
          </cell>
          <cell r="F493">
            <v>162.91</v>
          </cell>
          <cell r="G493">
            <v>260.57</v>
          </cell>
          <cell r="H493">
            <v>1518.53</v>
          </cell>
          <cell r="I493">
            <v>1066.43</v>
          </cell>
          <cell r="J493">
            <v>91984</v>
          </cell>
          <cell r="K493" t="str">
            <v>MP</v>
          </cell>
        </row>
        <row r="494">
          <cell r="A494" t="str">
            <v>994442-SLR</v>
          </cell>
          <cell r="B494">
            <v>12307</v>
          </cell>
          <cell r="C494">
            <v>592.69000000000005</v>
          </cell>
          <cell r="D494">
            <v>3.09</v>
          </cell>
          <cell r="E494">
            <v>477</v>
          </cell>
          <cell r="F494">
            <v>166.9</v>
          </cell>
          <cell r="G494">
            <v>294.33</v>
          </cell>
          <cell r="H494">
            <v>1534.0100000000002</v>
          </cell>
          <cell r="I494">
            <v>953.32</v>
          </cell>
          <cell r="J494">
            <v>93050</v>
          </cell>
          <cell r="K494" t="str">
            <v>MP</v>
          </cell>
        </row>
        <row r="495">
          <cell r="A495" t="str">
            <v>994443-SLR</v>
          </cell>
          <cell r="B495">
            <v>12189</v>
          </cell>
          <cell r="C495">
            <v>196.65</v>
          </cell>
          <cell r="D495">
            <v>2.5299999999999998</v>
          </cell>
          <cell r="E495">
            <v>477</v>
          </cell>
          <cell r="F495">
            <v>160.47999999999999</v>
          </cell>
          <cell r="G495">
            <v>151.65</v>
          </cell>
          <cell r="H495">
            <v>988.31000000000006</v>
          </cell>
          <cell r="I495">
            <v>1064.56</v>
          </cell>
          <cell r="J495">
            <v>92287</v>
          </cell>
          <cell r="K495" t="str">
            <v>MP</v>
          </cell>
        </row>
        <row r="496">
          <cell r="A496" t="str">
            <v>994444-SLR</v>
          </cell>
          <cell r="B496">
            <v>12552</v>
          </cell>
          <cell r="C496">
            <v>440.05</v>
          </cell>
          <cell r="D496">
            <v>110.34</v>
          </cell>
          <cell r="E496">
            <v>477</v>
          </cell>
          <cell r="F496">
            <v>1509.72</v>
          </cell>
          <cell r="G496">
            <v>6731.92</v>
          </cell>
          <cell r="H496">
            <v>9269.0299999999988</v>
          </cell>
          <cell r="I496">
            <v>55168.42</v>
          </cell>
          <cell r="J496">
            <v>90468</v>
          </cell>
          <cell r="K496" t="str">
            <v>MP</v>
          </cell>
        </row>
        <row r="497">
          <cell r="A497" t="str">
            <v>994445-SLR</v>
          </cell>
          <cell r="B497">
            <v>12422</v>
          </cell>
          <cell r="C497">
            <v>182.99</v>
          </cell>
          <cell r="D497">
            <v>0.98</v>
          </cell>
          <cell r="E497">
            <v>477</v>
          </cell>
          <cell r="F497">
            <v>147.16999999999999</v>
          </cell>
          <cell r="G497">
            <v>94.07</v>
          </cell>
          <cell r="H497">
            <v>902.21</v>
          </cell>
          <cell r="I497">
            <v>487.97</v>
          </cell>
          <cell r="J497">
            <v>91682</v>
          </cell>
          <cell r="K497" t="str">
            <v>MP</v>
          </cell>
        </row>
        <row r="498">
          <cell r="A498" t="str">
            <v>994446-SLR</v>
          </cell>
          <cell r="B498">
            <v>12516</v>
          </cell>
          <cell r="C498">
            <v>254.07</v>
          </cell>
          <cell r="D498">
            <v>35.700000000000003</v>
          </cell>
          <cell r="E498">
            <v>477</v>
          </cell>
          <cell r="F498">
            <v>658.39</v>
          </cell>
          <cell r="G498">
            <v>2503.4499999999998</v>
          </cell>
          <cell r="H498">
            <v>3928.6099999999997</v>
          </cell>
          <cell r="I498">
            <v>17592</v>
          </cell>
          <cell r="J498">
            <v>90062</v>
          </cell>
          <cell r="K498" t="str">
            <v>MP</v>
          </cell>
        </row>
        <row r="499">
          <cell r="A499" t="str">
            <v>994447-SLR</v>
          </cell>
          <cell r="B499">
            <v>12773</v>
          </cell>
          <cell r="C499">
            <v>305.39</v>
          </cell>
          <cell r="D499">
            <v>60.03</v>
          </cell>
          <cell r="E499">
            <v>477</v>
          </cell>
          <cell r="F499">
            <v>939.59</v>
          </cell>
          <cell r="G499">
            <v>4253.16</v>
          </cell>
          <cell r="H499">
            <v>6035.17</v>
          </cell>
          <cell r="I499">
            <v>30014.31</v>
          </cell>
          <cell r="J499">
            <v>90496</v>
          </cell>
          <cell r="K499" t="str">
            <v>MP</v>
          </cell>
        </row>
        <row r="500">
          <cell r="A500" t="str">
            <v>994448-SLR</v>
          </cell>
          <cell r="B500">
            <v>12470</v>
          </cell>
          <cell r="C500">
            <v>150.56</v>
          </cell>
          <cell r="D500">
            <v>73.17</v>
          </cell>
          <cell r="E500">
            <v>477</v>
          </cell>
          <cell r="F500">
            <v>1081.98</v>
          </cell>
          <cell r="G500">
            <v>5153.37</v>
          </cell>
          <cell r="H500">
            <v>6936.08</v>
          </cell>
          <cell r="I500">
            <v>36586.080000000002</v>
          </cell>
          <cell r="J500">
            <v>92018</v>
          </cell>
          <cell r="K500" t="str">
            <v>MP</v>
          </cell>
        </row>
        <row r="501">
          <cell r="A501" t="str">
            <v>994449-SLR</v>
          </cell>
          <cell r="B501">
            <v>12471</v>
          </cell>
          <cell r="C501">
            <v>150.56</v>
          </cell>
          <cell r="D501">
            <v>81.3</v>
          </cell>
          <cell r="E501">
            <v>477</v>
          </cell>
          <cell r="F501">
            <v>1173.3800000000001</v>
          </cell>
          <cell r="G501">
            <v>5723.63</v>
          </cell>
          <cell r="H501">
            <v>7605.8700000000008</v>
          </cell>
          <cell r="I501">
            <v>40651.199999999997</v>
          </cell>
          <cell r="J501">
            <v>92018</v>
          </cell>
          <cell r="K501" t="str">
            <v>MP</v>
          </cell>
        </row>
        <row r="502">
          <cell r="A502" t="str">
            <v>994450-SLR</v>
          </cell>
          <cell r="B502">
            <v>12423</v>
          </cell>
          <cell r="C502">
            <v>182.99</v>
          </cell>
          <cell r="D502">
            <v>6.76</v>
          </cell>
          <cell r="E502">
            <v>477</v>
          </cell>
          <cell r="F502">
            <v>212.33</v>
          </cell>
          <cell r="G502">
            <v>499.52</v>
          </cell>
          <cell r="H502">
            <v>1378.6</v>
          </cell>
          <cell r="I502">
            <v>3378.24</v>
          </cell>
          <cell r="J502">
            <v>90468</v>
          </cell>
          <cell r="K502" t="str">
            <v>MP</v>
          </cell>
        </row>
        <row r="503">
          <cell r="A503" t="str">
            <v>994452-SLR</v>
          </cell>
          <cell r="B503">
            <v>12375</v>
          </cell>
          <cell r="C503">
            <v>251.51</v>
          </cell>
          <cell r="D503">
            <v>1.5</v>
          </cell>
          <cell r="E503">
            <v>477</v>
          </cell>
          <cell r="F503">
            <v>154.58000000000001</v>
          </cell>
          <cell r="G503">
            <v>190.28</v>
          </cell>
          <cell r="H503">
            <v>1074.8700000000001</v>
          </cell>
          <cell r="I503">
            <v>748.44</v>
          </cell>
          <cell r="J503">
            <v>91990</v>
          </cell>
          <cell r="K503" t="str">
            <v>MP</v>
          </cell>
        </row>
        <row r="504">
          <cell r="A504" t="str">
            <v>994453-SLR</v>
          </cell>
          <cell r="B504">
            <v>12582</v>
          </cell>
          <cell r="C504">
            <v>622.46</v>
          </cell>
          <cell r="D504">
            <v>444.77</v>
          </cell>
          <cell r="E504">
            <v>477</v>
          </cell>
          <cell r="F504">
            <v>349</v>
          </cell>
          <cell r="G504">
            <v>2554.7399999999998</v>
          </cell>
          <cell r="H504">
            <v>4447.9699999999993</v>
          </cell>
          <cell r="I504">
            <v>13516.49</v>
          </cell>
          <cell r="J504">
            <v>92088</v>
          </cell>
          <cell r="K504" t="str">
            <v>MP</v>
          </cell>
        </row>
        <row r="505">
          <cell r="A505" t="str">
            <v>994454-SLR</v>
          </cell>
          <cell r="B505">
            <v>12554</v>
          </cell>
          <cell r="C505">
            <v>290.93</v>
          </cell>
          <cell r="D505">
            <v>7.23</v>
          </cell>
          <cell r="E505">
            <v>477</v>
          </cell>
          <cell r="F505">
            <v>141.93</v>
          </cell>
          <cell r="G505">
            <v>83.45</v>
          </cell>
          <cell r="H505">
            <v>1000.5400000000002</v>
          </cell>
          <cell r="I505">
            <v>147.4</v>
          </cell>
          <cell r="J505">
            <v>91304</v>
          </cell>
          <cell r="K505" t="str">
            <v>MP</v>
          </cell>
        </row>
        <row r="506">
          <cell r="A506" t="str">
            <v>994456-SLR</v>
          </cell>
          <cell r="B506">
            <v>12518</v>
          </cell>
          <cell r="C506">
            <v>289.14</v>
          </cell>
          <cell r="D506">
            <v>14.51</v>
          </cell>
          <cell r="E506">
            <v>477</v>
          </cell>
          <cell r="F506">
            <v>520.84</v>
          </cell>
          <cell r="G506">
            <v>1647.58</v>
          </cell>
          <cell r="H506">
            <v>2949.0699999999997</v>
          </cell>
          <cell r="I506">
            <v>11455.96</v>
          </cell>
          <cell r="J506">
            <v>93106</v>
          </cell>
          <cell r="K506" t="str">
            <v>MP</v>
          </cell>
        </row>
        <row r="507">
          <cell r="A507" t="str">
            <v>994457-SLR</v>
          </cell>
          <cell r="B507">
            <v>12376</v>
          </cell>
          <cell r="C507">
            <v>499.75</v>
          </cell>
          <cell r="D507">
            <v>13.34</v>
          </cell>
          <cell r="E507">
            <v>477</v>
          </cell>
          <cell r="F507">
            <v>304.39</v>
          </cell>
          <cell r="G507">
            <v>231.16</v>
          </cell>
          <cell r="H507">
            <v>1525.64</v>
          </cell>
          <cell r="I507">
            <v>6168.61</v>
          </cell>
          <cell r="J507">
            <v>91250</v>
          </cell>
          <cell r="K507" t="str">
            <v>MP</v>
          </cell>
        </row>
        <row r="508">
          <cell r="A508" t="str">
            <v>994458-SLR</v>
          </cell>
          <cell r="B508">
            <v>12424</v>
          </cell>
          <cell r="C508">
            <v>215.83</v>
          </cell>
          <cell r="D508">
            <v>9.44</v>
          </cell>
          <cell r="E508">
            <v>477</v>
          </cell>
          <cell r="F508">
            <v>238.47</v>
          </cell>
          <cell r="G508">
            <v>662.14</v>
          </cell>
          <cell r="H508">
            <v>1602.88</v>
          </cell>
          <cell r="I508">
            <v>4504.32</v>
          </cell>
          <cell r="J508">
            <v>90463</v>
          </cell>
          <cell r="K508" t="str">
            <v>MP</v>
          </cell>
        </row>
        <row r="509">
          <cell r="A509" t="str">
            <v>994459-SLR</v>
          </cell>
          <cell r="B509">
            <v>12555</v>
          </cell>
          <cell r="C509">
            <v>1421.59</v>
          </cell>
          <cell r="D509">
            <v>7.99</v>
          </cell>
          <cell r="E509">
            <v>477</v>
          </cell>
          <cell r="F509">
            <v>253.99</v>
          </cell>
          <cell r="G509">
            <v>1138.0999999999999</v>
          </cell>
          <cell r="H509">
            <v>3298.6699999999996</v>
          </cell>
          <cell r="I509">
            <v>3989.96</v>
          </cell>
          <cell r="J509">
            <v>93054</v>
          </cell>
          <cell r="K509" t="str">
            <v>MP</v>
          </cell>
        </row>
        <row r="510">
          <cell r="A510" t="str">
            <v>994460-SLR</v>
          </cell>
          <cell r="B510">
            <v>12583</v>
          </cell>
          <cell r="C510">
            <v>1105.6300000000001</v>
          </cell>
          <cell r="D510">
            <v>6.17</v>
          </cell>
          <cell r="E510">
            <v>477</v>
          </cell>
          <cell r="F510">
            <v>201.58</v>
          </cell>
          <cell r="G510">
            <v>587.15</v>
          </cell>
          <cell r="H510">
            <v>2377.5300000000002</v>
          </cell>
          <cell r="I510">
            <v>1978.45</v>
          </cell>
          <cell r="J510">
            <v>93016</v>
          </cell>
          <cell r="K510" t="str">
            <v>MP</v>
          </cell>
        </row>
        <row r="511">
          <cell r="A511" t="str">
            <v>994461-SLR</v>
          </cell>
          <cell r="B511">
            <v>12584</v>
          </cell>
          <cell r="C511">
            <v>2426.6799999999998</v>
          </cell>
          <cell r="D511">
            <v>10.93</v>
          </cell>
          <cell r="E511">
            <v>477</v>
          </cell>
          <cell r="F511">
            <v>220.56</v>
          </cell>
          <cell r="G511">
            <v>1041.21</v>
          </cell>
          <cell r="H511">
            <v>4176.3799999999992</v>
          </cell>
          <cell r="I511">
            <v>3042.44</v>
          </cell>
          <cell r="J511">
            <v>93016</v>
          </cell>
          <cell r="K511" t="str">
            <v>MP</v>
          </cell>
        </row>
        <row r="512">
          <cell r="A512" t="str">
            <v>994462-SLR</v>
          </cell>
          <cell r="B512">
            <v>12425</v>
          </cell>
          <cell r="C512">
            <v>182.99</v>
          </cell>
          <cell r="D512">
            <v>4.5</v>
          </cell>
          <cell r="E512">
            <v>477</v>
          </cell>
          <cell r="F512">
            <v>186.94</v>
          </cell>
          <cell r="G512">
            <v>341.55</v>
          </cell>
          <cell r="H512">
            <v>1192.98</v>
          </cell>
          <cell r="I512">
            <v>2252.16</v>
          </cell>
          <cell r="J512">
            <v>90097</v>
          </cell>
          <cell r="K512" t="str">
            <v>MP</v>
          </cell>
        </row>
        <row r="513">
          <cell r="A513" t="str">
            <v>994463-SLR</v>
          </cell>
          <cell r="B513">
            <v>12377</v>
          </cell>
          <cell r="C513">
            <v>280.67</v>
          </cell>
          <cell r="D513">
            <v>15.27</v>
          </cell>
          <cell r="E513">
            <v>477</v>
          </cell>
          <cell r="F513">
            <v>359.94</v>
          </cell>
          <cell r="G513">
            <v>1110.2</v>
          </cell>
          <cell r="H513">
            <v>2243.08</v>
          </cell>
          <cell r="I513">
            <v>7634.09</v>
          </cell>
          <cell r="J513">
            <v>93173</v>
          </cell>
          <cell r="K513" t="str">
            <v>MP</v>
          </cell>
        </row>
        <row r="514">
          <cell r="A514" t="str">
            <v>994464-SLR</v>
          </cell>
          <cell r="B514">
            <v>12378</v>
          </cell>
          <cell r="C514">
            <v>205.82</v>
          </cell>
          <cell r="D514">
            <v>8.2899999999999991</v>
          </cell>
          <cell r="E514">
            <v>477</v>
          </cell>
          <cell r="F514">
            <v>230.02</v>
          </cell>
          <cell r="G514">
            <v>130.63</v>
          </cell>
          <cell r="H514">
            <v>1051.76</v>
          </cell>
          <cell r="I514">
            <v>4140.18</v>
          </cell>
          <cell r="J514">
            <v>93173</v>
          </cell>
          <cell r="K514" t="str">
            <v>MP</v>
          </cell>
        </row>
        <row r="515">
          <cell r="A515" t="str">
            <v>994465-SLR</v>
          </cell>
          <cell r="B515">
            <v>12426</v>
          </cell>
          <cell r="C515">
            <v>126.88</v>
          </cell>
          <cell r="D515">
            <v>0</v>
          </cell>
          <cell r="E515">
            <v>18.55</v>
          </cell>
          <cell r="F515">
            <v>0</v>
          </cell>
          <cell r="G515">
            <v>122.06</v>
          </cell>
          <cell r="H515">
            <v>267.49</v>
          </cell>
          <cell r="I515">
            <v>76.56</v>
          </cell>
          <cell r="J515">
            <v>92202</v>
          </cell>
          <cell r="K515" t="str">
            <v>MP</v>
          </cell>
        </row>
        <row r="516">
          <cell r="A516" t="str">
            <v>994466-SLR</v>
          </cell>
          <cell r="B516">
            <v>12635</v>
          </cell>
          <cell r="C516">
            <v>169.32</v>
          </cell>
          <cell r="D516">
            <v>0</v>
          </cell>
          <cell r="E516">
            <v>18.55</v>
          </cell>
          <cell r="F516">
            <v>0</v>
          </cell>
          <cell r="G516">
            <v>248.06</v>
          </cell>
          <cell r="H516">
            <v>435.93</v>
          </cell>
          <cell r="I516">
            <v>244.11</v>
          </cell>
          <cell r="J516">
            <v>93050</v>
          </cell>
          <cell r="K516" t="str">
            <v>MP</v>
          </cell>
        </row>
        <row r="517">
          <cell r="A517" t="str">
            <v>994468-SLR</v>
          </cell>
          <cell r="B517">
            <v>12379</v>
          </cell>
          <cell r="C517">
            <v>159.04</v>
          </cell>
          <cell r="D517">
            <v>3.74</v>
          </cell>
          <cell r="E517">
            <v>477</v>
          </cell>
          <cell r="F517">
            <v>177.9</v>
          </cell>
          <cell r="G517">
            <v>285.31</v>
          </cell>
          <cell r="H517">
            <v>1102.99</v>
          </cell>
          <cell r="I517">
            <v>1875.12</v>
          </cell>
          <cell r="J517">
            <v>91969</v>
          </cell>
          <cell r="K517" t="str">
            <v>MP</v>
          </cell>
        </row>
        <row r="518">
          <cell r="A518" t="str">
            <v>994469-SLR</v>
          </cell>
          <cell r="B518">
            <v>12519</v>
          </cell>
          <cell r="C518">
            <v>223.96</v>
          </cell>
          <cell r="D518">
            <v>81.150000000000006</v>
          </cell>
          <cell r="E518">
            <v>477</v>
          </cell>
          <cell r="F518">
            <v>1170.79</v>
          </cell>
          <cell r="G518">
            <v>7724.47</v>
          </cell>
          <cell r="H518">
            <v>9677.3700000000008</v>
          </cell>
          <cell r="I518">
            <v>40350.080000000002</v>
          </cell>
          <cell r="J518">
            <v>96013</v>
          </cell>
          <cell r="K518" t="str">
            <v>MP</v>
          </cell>
        </row>
        <row r="519">
          <cell r="A519" t="str">
            <v>994470-SLR</v>
          </cell>
          <cell r="B519">
            <v>12653</v>
          </cell>
          <cell r="C519">
            <v>564.22</v>
          </cell>
          <cell r="D519">
            <v>196.67</v>
          </cell>
          <cell r="E519">
            <v>477</v>
          </cell>
          <cell r="F519">
            <v>1474.19</v>
          </cell>
          <cell r="G519">
            <v>13840.03</v>
          </cell>
          <cell r="H519">
            <v>16552.11</v>
          </cell>
          <cell r="I519">
            <v>98096.43</v>
          </cell>
          <cell r="J519">
            <v>93227</v>
          </cell>
          <cell r="K519" t="str">
            <v>MP</v>
          </cell>
        </row>
        <row r="520">
          <cell r="A520" t="str">
            <v>994471-SLR</v>
          </cell>
          <cell r="B520">
            <v>12472</v>
          </cell>
          <cell r="C520">
            <v>207.02</v>
          </cell>
          <cell r="D520">
            <v>133.21</v>
          </cell>
          <cell r="E520">
            <v>477</v>
          </cell>
          <cell r="F520">
            <v>1753.49</v>
          </cell>
          <cell r="G520">
            <v>3938.86</v>
          </cell>
          <cell r="H520">
            <v>6509.58</v>
          </cell>
          <cell r="I520">
            <v>66396.960000000006</v>
          </cell>
          <cell r="J520">
            <v>93285</v>
          </cell>
          <cell r="K520" t="str">
            <v>MP</v>
          </cell>
        </row>
        <row r="521">
          <cell r="A521" t="str">
            <v>994472-SLR</v>
          </cell>
          <cell r="B521">
            <v>12427</v>
          </cell>
          <cell r="C521">
            <v>258.06</v>
          </cell>
          <cell r="D521">
            <v>2.7</v>
          </cell>
          <cell r="E521">
            <v>477</v>
          </cell>
          <cell r="F521">
            <v>168.41</v>
          </cell>
          <cell r="G521">
            <v>193.9</v>
          </cell>
          <cell r="H521">
            <v>1100.07</v>
          </cell>
          <cell r="I521">
            <v>1355.05</v>
          </cell>
          <cell r="J521">
            <v>92285</v>
          </cell>
          <cell r="K521" t="str">
            <v>MP</v>
          </cell>
        </row>
        <row r="522">
          <cell r="A522" t="str">
            <v>994473-SLR</v>
          </cell>
          <cell r="B522">
            <v>12636</v>
          </cell>
          <cell r="C522">
            <v>0</v>
          </cell>
          <cell r="D522">
            <v>0</v>
          </cell>
          <cell r="E522">
            <v>18.8</v>
          </cell>
          <cell r="F522">
            <v>0</v>
          </cell>
          <cell r="G522">
            <v>282.89999999999998</v>
          </cell>
          <cell r="H522">
            <v>301.7</v>
          </cell>
          <cell r="I522">
            <v>471.5</v>
          </cell>
          <cell r="J522">
            <v>93050</v>
          </cell>
          <cell r="K522" t="str">
            <v>MP</v>
          </cell>
        </row>
        <row r="523">
          <cell r="A523" t="str">
            <v>994474-SLR</v>
          </cell>
          <cell r="B523">
            <v>12638</v>
          </cell>
          <cell r="C523">
            <v>72.34</v>
          </cell>
          <cell r="D523">
            <v>0</v>
          </cell>
          <cell r="E523">
            <v>18.8</v>
          </cell>
          <cell r="F523">
            <v>0</v>
          </cell>
          <cell r="G523">
            <v>428.72</v>
          </cell>
          <cell r="H523">
            <v>519.86</v>
          </cell>
          <cell r="I523">
            <v>642.20000000000005</v>
          </cell>
          <cell r="J523">
            <v>92172</v>
          </cell>
          <cell r="K523" t="str">
            <v>MP</v>
          </cell>
        </row>
        <row r="524">
          <cell r="A524" t="str">
            <v>994476-SLR</v>
          </cell>
          <cell r="B524">
            <v>12521</v>
          </cell>
          <cell r="C524">
            <v>6022.4</v>
          </cell>
          <cell r="D524">
            <v>259.14999999999998</v>
          </cell>
          <cell r="E524">
            <v>477</v>
          </cell>
          <cell r="F524">
            <v>3312.84</v>
          </cell>
          <cell r="G524">
            <v>28530.02</v>
          </cell>
          <cell r="H524">
            <v>38601.410000000003</v>
          </cell>
          <cell r="I524">
            <v>129575.7</v>
          </cell>
          <cell r="J524">
            <v>93129</v>
          </cell>
          <cell r="K524" t="str">
            <v>MP</v>
          </cell>
        </row>
        <row r="525">
          <cell r="A525" t="str">
            <v>994477-SLR</v>
          </cell>
          <cell r="B525">
            <v>12585</v>
          </cell>
          <cell r="C525">
            <v>2595.2399999999998</v>
          </cell>
          <cell r="D525">
            <v>69.23</v>
          </cell>
          <cell r="E525">
            <v>477</v>
          </cell>
          <cell r="F525">
            <v>1094.77</v>
          </cell>
          <cell r="G525">
            <v>5116.8</v>
          </cell>
          <cell r="H525">
            <v>9353.0400000000009</v>
          </cell>
          <cell r="I525">
            <v>34611.82</v>
          </cell>
          <cell r="J525">
            <v>92316</v>
          </cell>
          <cell r="K525" t="str">
            <v>MP</v>
          </cell>
        </row>
        <row r="526">
          <cell r="A526" t="str">
            <v>994478-SLR</v>
          </cell>
          <cell r="B526">
            <v>12474</v>
          </cell>
          <cell r="C526">
            <v>10659.05</v>
          </cell>
          <cell r="D526">
            <v>158.9</v>
          </cell>
          <cell r="E526">
            <v>477</v>
          </cell>
          <cell r="F526">
            <v>2042.21</v>
          </cell>
          <cell r="G526">
            <v>10348.66</v>
          </cell>
          <cell r="H526">
            <v>23685.82</v>
          </cell>
          <cell r="I526">
            <v>68787.100000000006</v>
          </cell>
          <cell r="J526">
            <v>92056</v>
          </cell>
          <cell r="K526" t="str">
            <v>MP</v>
          </cell>
        </row>
        <row r="527">
          <cell r="A527" t="str">
            <v>994479-SLR</v>
          </cell>
          <cell r="B527">
            <v>12614</v>
          </cell>
          <cell r="C527">
            <v>3881.6</v>
          </cell>
          <cell r="D527">
            <v>103.9</v>
          </cell>
          <cell r="E527">
            <v>477</v>
          </cell>
          <cell r="F527">
            <v>1427.2</v>
          </cell>
          <cell r="G527">
            <v>6246.13</v>
          </cell>
          <cell r="H527">
            <v>12135.83</v>
          </cell>
          <cell r="I527">
            <v>48065.56</v>
          </cell>
          <cell r="J527">
            <v>93135</v>
          </cell>
          <cell r="K527" t="str">
            <v>MP</v>
          </cell>
        </row>
        <row r="528">
          <cell r="A528" t="str">
            <v>994480-SLR</v>
          </cell>
          <cell r="B528">
            <v>12662</v>
          </cell>
          <cell r="C528">
            <v>4964.74</v>
          </cell>
          <cell r="D528">
            <v>142.18</v>
          </cell>
          <cell r="E528">
            <v>477</v>
          </cell>
          <cell r="F528">
            <v>1970.52</v>
          </cell>
          <cell r="G528">
            <v>11222.67</v>
          </cell>
          <cell r="H528">
            <v>18777.11</v>
          </cell>
          <cell r="I528">
            <v>71092.149999999994</v>
          </cell>
          <cell r="J528">
            <v>92251</v>
          </cell>
          <cell r="K528" t="str">
            <v>MP</v>
          </cell>
        </row>
        <row r="529">
          <cell r="A529" t="str">
            <v>994481-SLR</v>
          </cell>
          <cell r="B529">
            <v>12774</v>
          </cell>
          <cell r="C529">
            <v>5589.11</v>
          </cell>
          <cell r="D529">
            <v>49.13</v>
          </cell>
          <cell r="E529">
            <v>477</v>
          </cell>
          <cell r="F529">
            <v>809.91</v>
          </cell>
          <cell r="G529">
            <v>3642.11</v>
          </cell>
          <cell r="H529">
            <v>10567.26</v>
          </cell>
          <cell r="I529">
            <v>18978.009999999998</v>
          </cell>
          <cell r="J529">
            <v>93016</v>
          </cell>
          <cell r="K529" t="str">
            <v>MP</v>
          </cell>
        </row>
        <row r="530">
          <cell r="A530" t="str">
            <v>994484-SLR</v>
          </cell>
          <cell r="B530">
            <v>12308</v>
          </cell>
          <cell r="C530">
            <v>227.69</v>
          </cell>
          <cell r="D530">
            <v>1.1100000000000001</v>
          </cell>
          <cell r="E530">
            <v>477</v>
          </cell>
          <cell r="F530">
            <v>144.53</v>
          </cell>
          <cell r="G530">
            <v>105.43</v>
          </cell>
          <cell r="H530">
            <v>955.76</v>
          </cell>
          <cell r="I530">
            <v>326.08999999999997</v>
          </cell>
          <cell r="J530">
            <v>93080</v>
          </cell>
          <cell r="K530" t="str">
            <v>MP</v>
          </cell>
        </row>
        <row r="531">
          <cell r="A531" t="str">
            <v>994485-SLR</v>
          </cell>
          <cell r="B531">
            <v>12309</v>
          </cell>
          <cell r="C531">
            <v>203.62</v>
          </cell>
          <cell r="D531">
            <v>1.8</v>
          </cell>
          <cell r="E531">
            <v>477</v>
          </cell>
          <cell r="F531">
            <v>152.21</v>
          </cell>
          <cell r="G531">
            <v>35.840000000000003</v>
          </cell>
          <cell r="H531">
            <v>870.47000000000014</v>
          </cell>
          <cell r="I531">
            <v>690.46</v>
          </cell>
          <cell r="J531">
            <v>93304</v>
          </cell>
          <cell r="K531" t="str">
            <v>MP</v>
          </cell>
        </row>
        <row r="532">
          <cell r="A532" t="str">
            <v>994486-SLR</v>
          </cell>
          <cell r="B532">
            <v>12570</v>
          </cell>
          <cell r="C532">
            <v>235.25</v>
          </cell>
          <cell r="D532">
            <v>63.61</v>
          </cell>
          <cell r="E532">
            <v>477</v>
          </cell>
          <cell r="F532">
            <v>971.17</v>
          </cell>
          <cell r="G532">
            <v>6055.55</v>
          </cell>
          <cell r="H532">
            <v>7802.58</v>
          </cell>
          <cell r="I532">
            <v>31572.43</v>
          </cell>
          <cell r="J532">
            <v>92172</v>
          </cell>
          <cell r="K532" t="str">
            <v>MP</v>
          </cell>
        </row>
        <row r="533">
          <cell r="A533" t="str">
            <v>994487-SLR</v>
          </cell>
          <cell r="B533">
            <v>12380</v>
          </cell>
          <cell r="C533">
            <v>478.66</v>
          </cell>
          <cell r="D533">
            <v>4.2300000000000004</v>
          </cell>
          <cell r="E533">
            <v>477</v>
          </cell>
          <cell r="F533">
            <v>179.79</v>
          </cell>
          <cell r="G533">
            <v>403.17</v>
          </cell>
          <cell r="H533">
            <v>1542.8500000000001</v>
          </cell>
          <cell r="I533">
            <v>1639.08</v>
          </cell>
          <cell r="J533">
            <v>92251</v>
          </cell>
          <cell r="K533" t="str">
            <v>MP</v>
          </cell>
        </row>
        <row r="534">
          <cell r="A534" t="str">
            <v>994488-SLR</v>
          </cell>
          <cell r="B534">
            <v>12381</v>
          </cell>
          <cell r="C534">
            <v>566.89</v>
          </cell>
          <cell r="D534">
            <v>9.77</v>
          </cell>
          <cell r="E534">
            <v>477</v>
          </cell>
          <cell r="F534">
            <v>242.17</v>
          </cell>
          <cell r="G534">
            <v>929.9</v>
          </cell>
          <cell r="H534">
            <v>2225.73</v>
          </cell>
          <cell r="I534">
            <v>4317.5600000000004</v>
          </cell>
          <cell r="J534">
            <v>91178</v>
          </cell>
          <cell r="K534" t="str">
            <v>MP</v>
          </cell>
        </row>
        <row r="535">
          <cell r="A535" t="str">
            <v>994489-SLR</v>
          </cell>
          <cell r="B535">
            <v>12310</v>
          </cell>
          <cell r="C535">
            <v>3106.89</v>
          </cell>
          <cell r="D535">
            <v>33.99</v>
          </cell>
          <cell r="E535">
            <v>477</v>
          </cell>
          <cell r="F535">
            <v>639.15</v>
          </cell>
          <cell r="G535">
            <v>3167.01</v>
          </cell>
          <cell r="H535">
            <v>7424.04</v>
          </cell>
          <cell r="I535">
            <v>13886.03</v>
          </cell>
          <cell r="J535">
            <v>91990</v>
          </cell>
          <cell r="K535" t="str">
            <v>MP</v>
          </cell>
        </row>
        <row r="536">
          <cell r="A536" t="str">
            <v>994490-SLR</v>
          </cell>
          <cell r="B536">
            <v>12382</v>
          </cell>
          <cell r="C536">
            <v>269.48</v>
          </cell>
          <cell r="D536">
            <v>1.07</v>
          </cell>
          <cell r="E536">
            <v>477</v>
          </cell>
          <cell r="F536">
            <v>144.06</v>
          </cell>
          <cell r="G536">
            <v>101.4</v>
          </cell>
          <cell r="H536">
            <v>993.00999999999988</v>
          </cell>
          <cell r="I536">
            <v>260.82</v>
          </cell>
          <cell r="J536">
            <v>93050</v>
          </cell>
          <cell r="K536" t="str">
            <v>MP</v>
          </cell>
        </row>
        <row r="537">
          <cell r="A537" t="str">
            <v>994491-SLR</v>
          </cell>
          <cell r="B537">
            <v>12311</v>
          </cell>
          <cell r="C537">
            <v>198.62</v>
          </cell>
          <cell r="D537">
            <v>0.98</v>
          </cell>
          <cell r="E537">
            <v>477</v>
          </cell>
          <cell r="F537">
            <v>143.16</v>
          </cell>
          <cell r="G537">
            <v>93.8</v>
          </cell>
          <cell r="H537">
            <v>913.56</v>
          </cell>
          <cell r="I537">
            <v>294.08</v>
          </cell>
          <cell r="J537">
            <v>92285</v>
          </cell>
          <cell r="K537" t="str">
            <v>MP</v>
          </cell>
        </row>
        <row r="538">
          <cell r="A538" t="str">
            <v>994493-SLR</v>
          </cell>
          <cell r="B538">
            <v>12383</v>
          </cell>
          <cell r="C538">
            <v>362.96</v>
          </cell>
          <cell r="D538">
            <v>7.3</v>
          </cell>
          <cell r="E538">
            <v>477</v>
          </cell>
          <cell r="F538">
            <v>214.39</v>
          </cell>
          <cell r="G538">
            <v>543.86</v>
          </cell>
          <cell r="H538">
            <v>1605.5100000000002</v>
          </cell>
          <cell r="I538">
            <v>3289.39</v>
          </cell>
          <cell r="J538">
            <v>93050</v>
          </cell>
          <cell r="K538" t="str">
            <v>MP</v>
          </cell>
        </row>
        <row r="539">
          <cell r="A539" t="str">
            <v>994494-SLR</v>
          </cell>
          <cell r="B539">
            <v>12384</v>
          </cell>
          <cell r="C539">
            <v>700.97</v>
          </cell>
          <cell r="D539">
            <v>4.0999999999999996</v>
          </cell>
          <cell r="E539">
            <v>477</v>
          </cell>
          <cell r="F539">
            <v>178.23</v>
          </cell>
          <cell r="G539">
            <v>389.93</v>
          </cell>
          <cell r="H539">
            <v>1750.2300000000002</v>
          </cell>
          <cell r="I539">
            <v>1347.19</v>
          </cell>
          <cell r="J539">
            <v>93050</v>
          </cell>
          <cell r="K539" t="str">
            <v>MP</v>
          </cell>
        </row>
        <row r="540">
          <cell r="A540" t="str">
            <v>994496-SLR</v>
          </cell>
          <cell r="B540">
            <v>12312</v>
          </cell>
          <cell r="C540">
            <v>148.09</v>
          </cell>
          <cell r="D540">
            <v>3.46</v>
          </cell>
          <cell r="E540">
            <v>477</v>
          </cell>
          <cell r="F540">
            <v>171.07</v>
          </cell>
          <cell r="G540">
            <v>364.19</v>
          </cell>
          <cell r="H540">
            <v>1163.81</v>
          </cell>
          <cell r="I540">
            <v>1582.69</v>
          </cell>
          <cell r="J540">
            <v>92278</v>
          </cell>
          <cell r="K540" t="str">
            <v>MP</v>
          </cell>
        </row>
        <row r="541">
          <cell r="A541" t="str">
            <v>994497-SLR</v>
          </cell>
          <cell r="B541">
            <v>12385</v>
          </cell>
          <cell r="C541">
            <v>408.29</v>
          </cell>
          <cell r="D541">
            <v>20.99</v>
          </cell>
          <cell r="E541">
            <v>477</v>
          </cell>
          <cell r="F541">
            <v>475.01</v>
          </cell>
          <cell r="G541">
            <v>1261.9000000000001</v>
          </cell>
          <cell r="H541">
            <v>2643.19</v>
          </cell>
          <cell r="I541">
            <v>10086.540000000001</v>
          </cell>
          <cell r="J541">
            <v>92317</v>
          </cell>
          <cell r="K541" t="str">
            <v>MP</v>
          </cell>
        </row>
        <row r="542">
          <cell r="A542" t="str">
            <v>994499-SLR</v>
          </cell>
          <cell r="B542">
            <v>12475</v>
          </cell>
          <cell r="C542">
            <v>297.92</v>
          </cell>
          <cell r="D542">
            <v>1.22</v>
          </cell>
          <cell r="E542">
            <v>477</v>
          </cell>
          <cell r="F542">
            <v>145.75</v>
          </cell>
          <cell r="G542">
            <v>115.67</v>
          </cell>
          <cell r="H542">
            <v>1037.5600000000002</v>
          </cell>
          <cell r="I542">
            <v>309.67</v>
          </cell>
          <cell r="J542">
            <v>93050</v>
          </cell>
          <cell r="K542" t="str">
            <v>MP</v>
          </cell>
        </row>
        <row r="543">
          <cell r="A543" t="str">
            <v>994500-SLR</v>
          </cell>
          <cell r="B543">
            <v>12143</v>
          </cell>
          <cell r="C543">
            <v>0</v>
          </cell>
          <cell r="D543">
            <v>0</v>
          </cell>
          <cell r="E543">
            <v>0</v>
          </cell>
          <cell r="F543">
            <v>0</v>
          </cell>
          <cell r="G543">
            <v>521</v>
          </cell>
          <cell r="H543">
            <v>521</v>
          </cell>
          <cell r="I543">
            <v>868.35</v>
          </cell>
          <cell r="J543">
            <v>92112</v>
          </cell>
          <cell r="K543" t="str">
            <v>MP</v>
          </cell>
        </row>
        <row r="544">
          <cell r="A544" t="str">
            <v>994501-SLR</v>
          </cell>
          <cell r="B544">
            <v>12665</v>
          </cell>
          <cell r="C544">
            <v>286.63</v>
          </cell>
          <cell r="D544">
            <v>0.82</v>
          </cell>
          <cell r="E544">
            <v>477</v>
          </cell>
          <cell r="F544">
            <v>141.32</v>
          </cell>
          <cell r="G544">
            <v>78.31</v>
          </cell>
          <cell r="H544">
            <v>984.07999999999993</v>
          </cell>
          <cell r="I544">
            <v>124.69</v>
          </cell>
          <cell r="J544">
            <v>90662</v>
          </cell>
          <cell r="K544" t="str">
            <v>MP</v>
          </cell>
        </row>
        <row r="545">
          <cell r="A545" t="str">
            <v>994502-SLR</v>
          </cell>
          <cell r="B545">
            <v>12491</v>
          </cell>
          <cell r="C545">
            <v>86.61</v>
          </cell>
          <cell r="D545">
            <v>21.87</v>
          </cell>
          <cell r="E545">
            <v>477</v>
          </cell>
          <cell r="F545">
            <v>494.81</v>
          </cell>
          <cell r="G545">
            <v>1534.52</v>
          </cell>
          <cell r="H545">
            <v>2614.81</v>
          </cell>
          <cell r="I545">
            <v>10852.38</v>
          </cell>
          <cell r="J545">
            <v>90485</v>
          </cell>
          <cell r="K545" t="str">
            <v>MP</v>
          </cell>
        </row>
        <row r="546">
          <cell r="A546" t="str">
            <v>994504-SLR</v>
          </cell>
          <cell r="B546">
            <v>12476</v>
          </cell>
          <cell r="C546">
            <v>8166.3</v>
          </cell>
          <cell r="D546">
            <v>121.54</v>
          </cell>
          <cell r="E546">
            <v>477</v>
          </cell>
          <cell r="F546">
            <v>1622.28</v>
          </cell>
          <cell r="G546">
            <v>7915.67</v>
          </cell>
          <cell r="H546">
            <v>18302.79</v>
          </cell>
          <cell r="I546">
            <v>52601.9</v>
          </cell>
          <cell r="J546">
            <v>92056</v>
          </cell>
          <cell r="K546" t="str">
            <v>MP</v>
          </cell>
        </row>
        <row r="547">
          <cell r="A547" t="str">
            <v>994505-SLR</v>
          </cell>
          <cell r="B547">
            <v>12556</v>
          </cell>
          <cell r="C547">
            <v>132.97999999999999</v>
          </cell>
          <cell r="D547">
            <v>12.72</v>
          </cell>
          <cell r="E547">
            <v>477</v>
          </cell>
          <cell r="F547">
            <v>290.39999999999998</v>
          </cell>
          <cell r="G547">
            <v>891.45</v>
          </cell>
          <cell r="H547">
            <v>1804.5500000000002</v>
          </cell>
          <cell r="I547">
            <v>6221.78</v>
          </cell>
          <cell r="J547">
            <v>93307</v>
          </cell>
          <cell r="K547" t="str">
            <v>MP</v>
          </cell>
        </row>
        <row r="548">
          <cell r="A548" t="str">
            <v>994506-SLR</v>
          </cell>
          <cell r="B548">
            <v>12428</v>
          </cell>
          <cell r="C548">
            <v>201.76</v>
          </cell>
          <cell r="D548">
            <v>3.9</v>
          </cell>
          <cell r="E548">
            <v>477</v>
          </cell>
          <cell r="F548">
            <v>180.59</v>
          </cell>
          <cell r="G548">
            <v>453.08</v>
          </cell>
          <cell r="H548">
            <v>1316.33</v>
          </cell>
          <cell r="I548">
            <v>1951.87</v>
          </cell>
          <cell r="J548">
            <v>91681</v>
          </cell>
          <cell r="K548" t="str">
            <v>MP</v>
          </cell>
        </row>
        <row r="549">
          <cell r="A549" t="str">
            <v>994507-SLR</v>
          </cell>
          <cell r="B549">
            <v>12429</v>
          </cell>
          <cell r="C549">
            <v>196.31</v>
          </cell>
          <cell r="D549">
            <v>11.26</v>
          </cell>
          <cell r="E549">
            <v>477</v>
          </cell>
          <cell r="F549">
            <v>266.83999999999997</v>
          </cell>
          <cell r="G549">
            <v>1050.8399999999999</v>
          </cell>
          <cell r="H549">
            <v>2002.2499999999998</v>
          </cell>
          <cell r="I549">
            <v>5630.4</v>
          </cell>
          <cell r="J549">
            <v>92255</v>
          </cell>
          <cell r="K549" t="str">
            <v>MP</v>
          </cell>
        </row>
        <row r="550">
          <cell r="A550" t="str">
            <v>994508-SLR</v>
          </cell>
          <cell r="B550">
            <v>12430</v>
          </cell>
          <cell r="C550">
            <v>182.99</v>
          </cell>
          <cell r="D550">
            <v>7.88</v>
          </cell>
          <cell r="E550">
            <v>477</v>
          </cell>
          <cell r="F550">
            <v>220.89</v>
          </cell>
          <cell r="G550">
            <v>118.45</v>
          </cell>
          <cell r="H550">
            <v>1007.21</v>
          </cell>
          <cell r="I550">
            <v>3757.35</v>
          </cell>
          <cell r="J550">
            <v>90236</v>
          </cell>
          <cell r="K550" t="str">
            <v>MP</v>
          </cell>
        </row>
        <row r="551">
          <cell r="A551" t="str">
            <v>994509-SLR</v>
          </cell>
          <cell r="B551">
            <v>12557</v>
          </cell>
          <cell r="C551">
            <v>207.63</v>
          </cell>
          <cell r="D551">
            <v>0.95</v>
          </cell>
          <cell r="E551">
            <v>477</v>
          </cell>
          <cell r="F551">
            <v>142.79</v>
          </cell>
          <cell r="G551">
            <v>90.7</v>
          </cell>
          <cell r="H551">
            <v>919.06999999999994</v>
          </cell>
          <cell r="I551">
            <v>268.76</v>
          </cell>
          <cell r="J551">
            <v>90402</v>
          </cell>
          <cell r="K551" t="str">
            <v>MP</v>
          </cell>
        </row>
        <row r="552">
          <cell r="A552" t="str">
            <v>994510-SLR</v>
          </cell>
          <cell r="B552">
            <v>12477</v>
          </cell>
          <cell r="C552">
            <v>674.09</v>
          </cell>
          <cell r="D552">
            <v>9.01</v>
          </cell>
          <cell r="E552">
            <v>477</v>
          </cell>
          <cell r="F552">
            <v>201.74</v>
          </cell>
          <cell r="G552">
            <v>590.16999999999996</v>
          </cell>
          <cell r="H552">
            <v>1952.0099999999998</v>
          </cell>
          <cell r="I552">
            <v>2427.23</v>
          </cell>
          <cell r="J552">
            <v>93030</v>
          </cell>
          <cell r="K552" t="str">
            <v>MP</v>
          </cell>
        </row>
        <row r="553">
          <cell r="A553" t="str">
            <v>994512-SLR</v>
          </cell>
          <cell r="B553">
            <v>12431</v>
          </cell>
          <cell r="C553">
            <v>240.25</v>
          </cell>
          <cell r="D553">
            <v>32.86</v>
          </cell>
          <cell r="E553">
            <v>477</v>
          </cell>
          <cell r="F553">
            <v>626.41</v>
          </cell>
          <cell r="G553">
            <v>2304.4699999999998</v>
          </cell>
          <cell r="H553">
            <v>3680.99</v>
          </cell>
          <cell r="I553">
            <v>16187.4</v>
          </cell>
          <cell r="J553">
            <v>91814</v>
          </cell>
          <cell r="K553" t="str">
            <v>MP</v>
          </cell>
        </row>
        <row r="554">
          <cell r="A554" t="str">
            <v>994513-SLR</v>
          </cell>
          <cell r="B554">
            <v>12522</v>
          </cell>
          <cell r="C554">
            <v>502.43</v>
          </cell>
          <cell r="D554">
            <v>2.6</v>
          </cell>
          <cell r="E554">
            <v>477</v>
          </cell>
          <cell r="F554">
            <v>161.36000000000001</v>
          </cell>
          <cell r="G554">
            <v>247.5</v>
          </cell>
          <cell r="H554">
            <v>1390.8899999999999</v>
          </cell>
          <cell r="I554">
            <v>797.59</v>
          </cell>
          <cell r="J554">
            <v>91975</v>
          </cell>
          <cell r="K554" t="str">
            <v>MP</v>
          </cell>
        </row>
        <row r="555">
          <cell r="A555" t="str">
            <v>994514-SLR</v>
          </cell>
          <cell r="B555">
            <v>12432</v>
          </cell>
          <cell r="C555">
            <v>388.12</v>
          </cell>
          <cell r="D555">
            <v>4.97</v>
          </cell>
          <cell r="E555">
            <v>477</v>
          </cell>
          <cell r="F555">
            <v>188.06</v>
          </cell>
          <cell r="G555">
            <v>472.98</v>
          </cell>
          <cell r="H555">
            <v>1531.13</v>
          </cell>
          <cell r="I555">
            <v>2096.29</v>
          </cell>
          <cell r="J555">
            <v>90013</v>
          </cell>
          <cell r="K555" t="str">
            <v>MP</v>
          </cell>
        </row>
        <row r="556">
          <cell r="A556" t="str">
            <v>994515-SLR</v>
          </cell>
          <cell r="B556">
            <v>12776</v>
          </cell>
          <cell r="C556">
            <v>1128.95</v>
          </cell>
          <cell r="D556">
            <v>332.06</v>
          </cell>
          <cell r="E556">
            <v>477</v>
          </cell>
          <cell r="F556">
            <v>2260.8000000000002</v>
          </cell>
          <cell r="G556">
            <v>4720.2299999999996</v>
          </cell>
          <cell r="H556">
            <v>8919.0400000000009</v>
          </cell>
          <cell r="I556">
            <v>87793.41</v>
          </cell>
          <cell r="J556">
            <v>93013</v>
          </cell>
          <cell r="K556" t="str">
            <v>MP</v>
          </cell>
        </row>
        <row r="557">
          <cell r="A557" t="str">
            <v>994516-SLR</v>
          </cell>
          <cell r="B557">
            <v>12523</v>
          </cell>
          <cell r="C557">
            <v>178.32</v>
          </cell>
          <cell r="D557">
            <v>2.2000000000000002</v>
          </cell>
          <cell r="E557">
            <v>477</v>
          </cell>
          <cell r="F557">
            <v>156.86000000000001</v>
          </cell>
          <cell r="G557">
            <v>187.48</v>
          </cell>
          <cell r="H557">
            <v>1001.86</v>
          </cell>
          <cell r="I557">
            <v>922.18</v>
          </cell>
          <cell r="J557">
            <v>92272</v>
          </cell>
          <cell r="K557" t="str">
            <v>MP</v>
          </cell>
        </row>
        <row r="558">
          <cell r="A558" t="str">
            <v>994517-SLR</v>
          </cell>
          <cell r="B558">
            <v>12433</v>
          </cell>
          <cell r="C558">
            <v>197.06</v>
          </cell>
          <cell r="D558">
            <v>7.51</v>
          </cell>
          <cell r="E558">
            <v>477</v>
          </cell>
          <cell r="F558">
            <v>221.11</v>
          </cell>
          <cell r="G558">
            <v>554.14</v>
          </cell>
          <cell r="H558">
            <v>1456.82</v>
          </cell>
          <cell r="I558">
            <v>3753.6</v>
          </cell>
          <cell r="J558">
            <v>92190</v>
          </cell>
          <cell r="K558" t="str">
            <v>MP</v>
          </cell>
        </row>
        <row r="559">
          <cell r="A559" t="str">
            <v>994518-SLR</v>
          </cell>
          <cell r="B559">
            <v>12434</v>
          </cell>
          <cell r="C559">
            <v>182.52</v>
          </cell>
          <cell r="D559">
            <v>4.99</v>
          </cell>
          <cell r="E559">
            <v>477</v>
          </cell>
          <cell r="F559">
            <v>192.47</v>
          </cell>
          <cell r="G559">
            <v>375.97</v>
          </cell>
          <cell r="H559">
            <v>1232.95</v>
          </cell>
          <cell r="I559">
            <v>2498.02</v>
          </cell>
          <cell r="J559">
            <v>90485</v>
          </cell>
          <cell r="K559" t="str">
            <v>MP</v>
          </cell>
        </row>
        <row r="560">
          <cell r="A560" t="str">
            <v>994519-SLR</v>
          </cell>
          <cell r="B560">
            <v>12666</v>
          </cell>
          <cell r="C560">
            <v>5594.68</v>
          </cell>
          <cell r="D560">
            <v>86.01</v>
          </cell>
          <cell r="E560">
            <v>477</v>
          </cell>
          <cell r="F560">
            <v>1225.6400000000001</v>
          </cell>
          <cell r="G560">
            <v>5602.05</v>
          </cell>
          <cell r="H560">
            <v>12985.380000000001</v>
          </cell>
          <cell r="I560">
            <v>37412</v>
          </cell>
          <cell r="J560">
            <v>92016</v>
          </cell>
          <cell r="K560" t="str">
            <v>MP</v>
          </cell>
        </row>
        <row r="561">
          <cell r="A561" t="str">
            <v>994521-SLR</v>
          </cell>
          <cell r="B561">
            <v>12559</v>
          </cell>
          <cell r="C561">
            <v>3550.02</v>
          </cell>
          <cell r="D561">
            <v>103.51</v>
          </cell>
          <cell r="E561">
            <v>477</v>
          </cell>
          <cell r="F561">
            <v>1502.82</v>
          </cell>
          <cell r="G561">
            <v>9084.5499999999993</v>
          </cell>
          <cell r="H561">
            <v>14717.9</v>
          </cell>
          <cell r="I561">
            <v>51758.83</v>
          </cell>
          <cell r="J561">
            <v>90013</v>
          </cell>
          <cell r="K561" t="str">
            <v>MP</v>
          </cell>
        </row>
        <row r="562">
          <cell r="A562" t="str">
            <v>994523-SLR</v>
          </cell>
          <cell r="B562">
            <v>12435</v>
          </cell>
          <cell r="C562">
            <v>215.83</v>
          </cell>
          <cell r="D562">
            <v>7.94</v>
          </cell>
          <cell r="E562">
            <v>477</v>
          </cell>
          <cell r="F562">
            <v>221.54</v>
          </cell>
          <cell r="G562">
            <v>755.7</v>
          </cell>
          <cell r="H562">
            <v>1678.01</v>
          </cell>
          <cell r="I562">
            <v>3753.6</v>
          </cell>
          <cell r="J562">
            <v>93334</v>
          </cell>
          <cell r="K562" t="str">
            <v>MP</v>
          </cell>
        </row>
        <row r="563">
          <cell r="A563" t="str">
            <v>994524-SLR</v>
          </cell>
          <cell r="B563">
            <v>12615</v>
          </cell>
          <cell r="C563">
            <v>243.71</v>
          </cell>
          <cell r="D563">
            <v>113.02</v>
          </cell>
          <cell r="E563">
            <v>477</v>
          </cell>
          <cell r="F563">
            <v>1530.11</v>
          </cell>
          <cell r="G563">
            <v>2831.25</v>
          </cell>
          <cell r="H563">
            <v>5195.09</v>
          </cell>
          <cell r="I563">
            <v>56268.34</v>
          </cell>
          <cell r="J563">
            <v>91471</v>
          </cell>
          <cell r="K563" t="str">
            <v>MP</v>
          </cell>
        </row>
        <row r="564">
          <cell r="A564" t="str">
            <v>994525-SLR</v>
          </cell>
          <cell r="B564">
            <v>12524</v>
          </cell>
          <cell r="C564">
            <v>216.43</v>
          </cell>
          <cell r="D564">
            <v>3.2</v>
          </cell>
          <cell r="E564">
            <v>477</v>
          </cell>
          <cell r="F564">
            <v>172.88</v>
          </cell>
          <cell r="G564">
            <v>344.78</v>
          </cell>
          <cell r="H564">
            <v>1214.29</v>
          </cell>
          <cell r="I564">
            <v>1595</v>
          </cell>
          <cell r="J564">
            <v>93262</v>
          </cell>
          <cell r="K564" t="str">
            <v>MP</v>
          </cell>
        </row>
        <row r="565">
          <cell r="A565" t="str">
            <v>994527-SLR</v>
          </cell>
          <cell r="B565">
            <v>12492</v>
          </cell>
          <cell r="C565">
            <v>237.16</v>
          </cell>
          <cell r="D565">
            <v>4.57</v>
          </cell>
          <cell r="E565">
            <v>477</v>
          </cell>
          <cell r="F565">
            <v>188.77</v>
          </cell>
          <cell r="G565">
            <v>302.52999999999997</v>
          </cell>
          <cell r="H565">
            <v>1210.03</v>
          </cell>
          <cell r="I565">
            <v>2279.37</v>
          </cell>
          <cell r="J565">
            <v>92287</v>
          </cell>
          <cell r="K565" t="str">
            <v>MP</v>
          </cell>
        </row>
        <row r="566">
          <cell r="A566" t="str">
            <v>994528-SLR</v>
          </cell>
          <cell r="B566">
            <v>12479</v>
          </cell>
          <cell r="C566">
            <v>2021.59</v>
          </cell>
          <cell r="D566">
            <v>15.94</v>
          </cell>
          <cell r="E566">
            <v>477</v>
          </cell>
          <cell r="F566">
            <v>361.95</v>
          </cell>
          <cell r="G566">
            <v>1517.41</v>
          </cell>
          <cell r="H566">
            <v>4393.8899999999994</v>
          </cell>
          <cell r="I566">
            <v>5948.85</v>
          </cell>
          <cell r="J566">
            <v>92252</v>
          </cell>
          <cell r="K566" t="str">
            <v>MP</v>
          </cell>
        </row>
        <row r="567">
          <cell r="A567" t="str">
            <v>994531-SLR</v>
          </cell>
          <cell r="B567">
            <v>12525</v>
          </cell>
          <cell r="C567">
            <v>121.46</v>
          </cell>
          <cell r="D567">
            <v>1.73</v>
          </cell>
          <cell r="E567">
            <v>477</v>
          </cell>
          <cell r="F567">
            <v>151.55000000000001</v>
          </cell>
          <cell r="G567">
            <v>121.33</v>
          </cell>
          <cell r="H567">
            <v>873.07</v>
          </cell>
          <cell r="I567">
            <v>744.27</v>
          </cell>
          <cell r="J567">
            <v>90086</v>
          </cell>
          <cell r="K567" t="str">
            <v>MP</v>
          </cell>
        </row>
        <row r="568">
          <cell r="A568" t="str">
            <v>994532-SLR</v>
          </cell>
          <cell r="B568">
            <v>12526</v>
          </cell>
          <cell r="C568">
            <v>201.37</v>
          </cell>
          <cell r="D568">
            <v>3.48</v>
          </cell>
          <cell r="E568">
            <v>477</v>
          </cell>
          <cell r="F568">
            <v>171.29</v>
          </cell>
          <cell r="G568">
            <v>331.33</v>
          </cell>
          <cell r="H568">
            <v>1184.47</v>
          </cell>
          <cell r="I568">
            <v>1539.01</v>
          </cell>
          <cell r="J568">
            <v>93255</v>
          </cell>
          <cell r="K568" t="str">
            <v>MP</v>
          </cell>
        </row>
        <row r="569">
          <cell r="A569" t="str">
            <v>994535-SLR</v>
          </cell>
          <cell r="B569">
            <v>12562</v>
          </cell>
          <cell r="C569">
            <v>190.95</v>
          </cell>
          <cell r="D569">
            <v>3.41</v>
          </cell>
          <cell r="E569">
            <v>477</v>
          </cell>
          <cell r="F569">
            <v>170.49</v>
          </cell>
          <cell r="G569">
            <v>239.19</v>
          </cell>
          <cell r="H569">
            <v>1081.04</v>
          </cell>
          <cell r="I569">
            <v>1514.16</v>
          </cell>
          <cell r="J569">
            <v>93284</v>
          </cell>
          <cell r="K569" t="str">
            <v>MP</v>
          </cell>
        </row>
        <row r="570">
          <cell r="A570" t="str">
            <v>994536-SLR</v>
          </cell>
          <cell r="B570">
            <v>12563</v>
          </cell>
          <cell r="C570">
            <v>818.84</v>
          </cell>
          <cell r="D570">
            <v>13.15</v>
          </cell>
          <cell r="E570">
            <v>477</v>
          </cell>
          <cell r="F570">
            <v>300.29000000000002</v>
          </cell>
          <cell r="G570">
            <v>856.65</v>
          </cell>
          <cell r="H570">
            <v>2465.9299999999998</v>
          </cell>
          <cell r="I570">
            <v>5757.59</v>
          </cell>
          <cell r="J570">
            <v>92243</v>
          </cell>
          <cell r="K570" t="str">
            <v>MP</v>
          </cell>
        </row>
        <row r="571">
          <cell r="A571" t="str">
            <v>994537-SLR</v>
          </cell>
          <cell r="B571">
            <v>12587</v>
          </cell>
          <cell r="C571">
            <v>25387.31</v>
          </cell>
          <cell r="D571">
            <v>148.91999999999999</v>
          </cell>
          <cell r="E571">
            <v>477</v>
          </cell>
          <cell r="F571">
            <v>1934.67</v>
          </cell>
          <cell r="G571">
            <v>9276.6299999999992</v>
          </cell>
          <cell r="H571">
            <v>37224.53</v>
          </cell>
          <cell r="I571">
            <v>49069.440000000002</v>
          </cell>
          <cell r="J571">
            <v>93001</v>
          </cell>
          <cell r="K571" t="str">
            <v>MP</v>
          </cell>
        </row>
        <row r="572">
          <cell r="A572" t="str">
            <v>994538-SLR</v>
          </cell>
          <cell r="B572">
            <v>12436</v>
          </cell>
          <cell r="C572">
            <v>181.39</v>
          </cell>
          <cell r="D572">
            <v>2.65</v>
          </cell>
          <cell r="E572">
            <v>477</v>
          </cell>
          <cell r="F572">
            <v>161.91</v>
          </cell>
          <cell r="G572">
            <v>278.67</v>
          </cell>
          <cell r="H572">
            <v>1101.6199999999999</v>
          </cell>
          <cell r="I572">
            <v>1142.97</v>
          </cell>
          <cell r="J572">
            <v>92217</v>
          </cell>
          <cell r="K572" t="str">
            <v>MP</v>
          </cell>
        </row>
        <row r="573">
          <cell r="A573" t="str">
            <v>994539-SLR</v>
          </cell>
          <cell r="B573">
            <v>12437</v>
          </cell>
          <cell r="C573">
            <v>197.06</v>
          </cell>
          <cell r="D573">
            <v>4.28</v>
          </cell>
          <cell r="E573">
            <v>477</v>
          </cell>
          <cell r="F573">
            <v>184.72</v>
          </cell>
          <cell r="G573">
            <v>304.32</v>
          </cell>
          <cell r="H573">
            <v>1167.3800000000001</v>
          </cell>
          <cell r="I573">
            <v>2139.5500000000002</v>
          </cell>
          <cell r="J573">
            <v>93318</v>
          </cell>
          <cell r="K573" t="str">
            <v>MP</v>
          </cell>
        </row>
        <row r="574">
          <cell r="A574" t="str">
            <v>994540-SLR</v>
          </cell>
          <cell r="B574">
            <v>12564</v>
          </cell>
          <cell r="C574">
            <v>244.16</v>
          </cell>
          <cell r="D574">
            <v>2.27</v>
          </cell>
          <cell r="E574">
            <v>477</v>
          </cell>
          <cell r="F574">
            <v>157.72</v>
          </cell>
          <cell r="G574">
            <v>216.78</v>
          </cell>
          <cell r="H574">
            <v>1097.93</v>
          </cell>
          <cell r="I574">
            <v>894.49</v>
          </cell>
          <cell r="J574">
            <v>90322</v>
          </cell>
          <cell r="K574" t="str">
            <v>MP</v>
          </cell>
        </row>
        <row r="575">
          <cell r="A575" t="str">
            <v>994541=SLR</v>
          </cell>
          <cell r="B575">
            <v>12739</v>
          </cell>
          <cell r="C575">
            <v>77.790000000000006</v>
          </cell>
          <cell r="D575">
            <v>1.0900000000000001</v>
          </cell>
          <cell r="E575">
            <v>477</v>
          </cell>
          <cell r="F575">
            <v>135</v>
          </cell>
          <cell r="G575">
            <v>47.39</v>
          </cell>
          <cell r="H575">
            <v>738.27</v>
          </cell>
          <cell r="I575">
            <v>447.67</v>
          </cell>
          <cell r="J575">
            <v>93041</v>
          </cell>
          <cell r="K575" t="str">
            <v>MP</v>
          </cell>
        </row>
        <row r="576">
          <cell r="A576" t="str">
            <v>994542-SLR</v>
          </cell>
          <cell r="B576">
            <v>12616</v>
          </cell>
          <cell r="C576">
            <v>2540.81</v>
          </cell>
          <cell r="D576">
            <v>39.770000000000003</v>
          </cell>
          <cell r="E576">
            <v>477</v>
          </cell>
          <cell r="F576">
            <v>704.36</v>
          </cell>
          <cell r="G576">
            <v>3785.73</v>
          </cell>
          <cell r="H576">
            <v>7547.67</v>
          </cell>
          <cell r="I576">
            <v>17344.34</v>
          </cell>
          <cell r="J576">
            <v>92049</v>
          </cell>
          <cell r="K576" t="str">
            <v>MP</v>
          </cell>
        </row>
        <row r="577">
          <cell r="A577" t="str">
            <v>994543-SLR</v>
          </cell>
          <cell r="B577">
            <v>12654</v>
          </cell>
          <cell r="C577">
            <v>3226.56</v>
          </cell>
          <cell r="D577">
            <v>30.04</v>
          </cell>
          <cell r="E577">
            <v>477</v>
          </cell>
          <cell r="F577">
            <v>594.64</v>
          </cell>
          <cell r="G577">
            <v>2859.19</v>
          </cell>
          <cell r="H577">
            <v>7187.43</v>
          </cell>
          <cell r="I577">
            <v>11791.79</v>
          </cell>
          <cell r="J577">
            <v>91144</v>
          </cell>
          <cell r="K577" t="str">
            <v>MP</v>
          </cell>
        </row>
        <row r="578">
          <cell r="A578" t="str">
            <v>994544-SLR</v>
          </cell>
          <cell r="B578">
            <v>12618</v>
          </cell>
          <cell r="C578">
            <v>186.92</v>
          </cell>
          <cell r="D578">
            <v>3.53</v>
          </cell>
          <cell r="E578">
            <v>477</v>
          </cell>
          <cell r="F578">
            <v>171.88</v>
          </cell>
          <cell r="G578">
            <v>230.11</v>
          </cell>
          <cell r="H578">
            <v>1069.44</v>
          </cell>
          <cell r="I578">
            <v>1579.63</v>
          </cell>
          <cell r="J578">
            <v>93103</v>
          </cell>
          <cell r="K578" t="str">
            <v>MP</v>
          </cell>
        </row>
        <row r="579">
          <cell r="A579" t="str">
            <v>994545-SLR</v>
          </cell>
          <cell r="B579">
            <v>12527</v>
          </cell>
          <cell r="C579">
            <v>206.46</v>
          </cell>
          <cell r="D579">
            <v>0.47</v>
          </cell>
          <cell r="E579">
            <v>477</v>
          </cell>
          <cell r="F579">
            <v>142.04</v>
          </cell>
          <cell r="G579">
            <v>84.37</v>
          </cell>
          <cell r="H579">
            <v>910.34</v>
          </cell>
          <cell r="I579">
            <v>237.13</v>
          </cell>
          <cell r="J579">
            <v>90402</v>
          </cell>
          <cell r="K579" t="str">
            <v>MP</v>
          </cell>
        </row>
        <row r="580">
          <cell r="A580" t="str">
            <v>994546-SLR</v>
          </cell>
          <cell r="B580">
            <v>12590</v>
          </cell>
          <cell r="C580">
            <v>1980.87</v>
          </cell>
          <cell r="D580">
            <v>226.39</v>
          </cell>
          <cell r="E580">
            <v>477</v>
          </cell>
          <cell r="F580">
            <v>2808.48</v>
          </cell>
          <cell r="G580">
            <v>14747.36</v>
          </cell>
          <cell r="H580">
            <v>20240.099999999999</v>
          </cell>
          <cell r="I580">
            <v>111233.98</v>
          </cell>
          <cell r="J580">
            <v>92107</v>
          </cell>
          <cell r="K580" t="str">
            <v>MP</v>
          </cell>
        </row>
        <row r="581">
          <cell r="A581" t="str">
            <v>994547-SLR</v>
          </cell>
          <cell r="B581">
            <v>12386</v>
          </cell>
          <cell r="C581">
            <v>2649.46</v>
          </cell>
          <cell r="D581">
            <v>25.54</v>
          </cell>
          <cell r="E581">
            <v>477</v>
          </cell>
          <cell r="F581">
            <v>603.52</v>
          </cell>
          <cell r="G581">
            <v>2418.48</v>
          </cell>
          <cell r="H581">
            <v>6174</v>
          </cell>
          <cell r="I581">
            <v>12768.01</v>
          </cell>
          <cell r="J581">
            <v>92280</v>
          </cell>
          <cell r="K581" t="str">
            <v>MP</v>
          </cell>
        </row>
        <row r="582">
          <cell r="A582" t="str">
            <v>994548-SLR</v>
          </cell>
          <cell r="B582">
            <v>12388</v>
          </cell>
          <cell r="C582">
            <v>2846.32</v>
          </cell>
          <cell r="D582">
            <v>4.08</v>
          </cell>
          <cell r="E582">
            <v>477</v>
          </cell>
          <cell r="F582">
            <v>242.02</v>
          </cell>
          <cell r="G582">
            <v>586.51</v>
          </cell>
          <cell r="H582">
            <v>4155.93</v>
          </cell>
          <cell r="I582">
            <v>2037.16</v>
          </cell>
          <cell r="J582">
            <v>92315</v>
          </cell>
          <cell r="K582" t="str">
            <v>MP</v>
          </cell>
        </row>
        <row r="583">
          <cell r="A583" t="str">
            <v>994549-SLR</v>
          </cell>
          <cell r="B583">
            <v>12778</v>
          </cell>
          <cell r="C583">
            <v>938.47</v>
          </cell>
          <cell r="D583">
            <v>638.79999999999995</v>
          </cell>
          <cell r="E583">
            <v>477</v>
          </cell>
          <cell r="F583">
            <v>7461.33</v>
          </cell>
          <cell r="G583">
            <v>9607.0400000000009</v>
          </cell>
          <cell r="H583">
            <v>19122.64</v>
          </cell>
          <cell r="I583">
            <v>318657.46999999997</v>
          </cell>
          <cell r="J583">
            <v>93381</v>
          </cell>
          <cell r="K583" t="str">
            <v>MP</v>
          </cell>
        </row>
        <row r="584">
          <cell r="A584" t="str">
            <v>994551-SLR</v>
          </cell>
          <cell r="B584">
            <v>12528</v>
          </cell>
          <cell r="C584">
            <v>183.5</v>
          </cell>
          <cell r="D584">
            <v>25.31</v>
          </cell>
          <cell r="E584">
            <v>477</v>
          </cell>
          <cell r="F584">
            <v>541.28</v>
          </cell>
          <cell r="G584">
            <v>1774.79</v>
          </cell>
          <cell r="H584">
            <v>3001.88</v>
          </cell>
          <cell r="I584">
            <v>12468.25</v>
          </cell>
          <cell r="J584">
            <v>91358</v>
          </cell>
          <cell r="K584" t="str">
            <v>MP</v>
          </cell>
        </row>
        <row r="585">
          <cell r="A585" t="str">
            <v>994552-SLR</v>
          </cell>
          <cell r="B585">
            <v>12389</v>
          </cell>
          <cell r="C585">
            <v>182.43</v>
          </cell>
          <cell r="D585">
            <v>2.4500000000000002</v>
          </cell>
          <cell r="E585">
            <v>477</v>
          </cell>
          <cell r="F585">
            <v>163.85</v>
          </cell>
          <cell r="G585">
            <v>268.55</v>
          </cell>
          <cell r="H585">
            <v>1094.28</v>
          </cell>
          <cell r="I585">
            <v>1228.56</v>
          </cell>
          <cell r="J585">
            <v>92202</v>
          </cell>
          <cell r="K585" t="str">
            <v>MP</v>
          </cell>
        </row>
        <row r="586">
          <cell r="A586" t="str">
            <v>994553-SLR</v>
          </cell>
          <cell r="B586">
            <v>12529</v>
          </cell>
          <cell r="C586">
            <v>494.03</v>
          </cell>
          <cell r="D586">
            <v>11.48</v>
          </cell>
          <cell r="E586">
            <v>477</v>
          </cell>
          <cell r="F586">
            <v>262.94</v>
          </cell>
          <cell r="G586">
            <v>1092.55</v>
          </cell>
          <cell r="H586">
            <v>2338</v>
          </cell>
          <cell r="I586">
            <v>5244.76</v>
          </cell>
          <cell r="J586">
            <v>91990</v>
          </cell>
          <cell r="K586" t="str">
            <v>MP</v>
          </cell>
        </row>
        <row r="587">
          <cell r="A587" t="str">
            <v>994554-SLR</v>
          </cell>
          <cell r="B587">
            <v>12438</v>
          </cell>
          <cell r="C587">
            <v>182.99</v>
          </cell>
          <cell r="D587">
            <v>1.01</v>
          </cell>
          <cell r="E587">
            <v>477</v>
          </cell>
          <cell r="F587">
            <v>143.37</v>
          </cell>
          <cell r="G587">
            <v>95.58</v>
          </cell>
          <cell r="H587">
            <v>899.95</v>
          </cell>
          <cell r="I587">
            <v>319.06</v>
          </cell>
          <cell r="J587">
            <v>92202</v>
          </cell>
          <cell r="K587" t="str">
            <v>MP</v>
          </cell>
        </row>
        <row r="588">
          <cell r="A588" t="str">
            <v>994555-SLR</v>
          </cell>
          <cell r="B588">
            <v>12390</v>
          </cell>
          <cell r="C588">
            <v>182.43</v>
          </cell>
          <cell r="D588">
            <v>2.77</v>
          </cell>
          <cell r="E588">
            <v>477</v>
          </cell>
          <cell r="F588">
            <v>167.34</v>
          </cell>
          <cell r="G588">
            <v>203.88</v>
          </cell>
          <cell r="H588">
            <v>1033.42</v>
          </cell>
          <cell r="I588">
            <v>1383.12</v>
          </cell>
          <cell r="J588">
            <v>93103</v>
          </cell>
          <cell r="K588" t="str">
            <v>MP</v>
          </cell>
        </row>
        <row r="589">
          <cell r="A589" t="str">
            <v>994559-SLR</v>
          </cell>
          <cell r="B589">
            <v>12493</v>
          </cell>
          <cell r="C589">
            <v>0</v>
          </cell>
          <cell r="D589">
            <v>0</v>
          </cell>
          <cell r="E589">
            <v>18.8</v>
          </cell>
          <cell r="F589">
            <v>0</v>
          </cell>
          <cell r="G589">
            <v>303.16000000000003</v>
          </cell>
          <cell r="H589">
            <v>321.96000000000004</v>
          </cell>
          <cell r="I589">
            <v>505.27</v>
          </cell>
          <cell r="J589">
            <v>91972</v>
          </cell>
          <cell r="K589" t="str">
            <v>MP</v>
          </cell>
        </row>
        <row r="590">
          <cell r="A590" t="str">
            <v>994560-SLR</v>
          </cell>
          <cell r="B590">
            <v>12391</v>
          </cell>
          <cell r="C590">
            <v>129.16</v>
          </cell>
          <cell r="D590">
            <v>0</v>
          </cell>
          <cell r="E590">
            <v>0</v>
          </cell>
          <cell r="F590">
            <v>0</v>
          </cell>
          <cell r="G590">
            <v>445.63</v>
          </cell>
          <cell r="H590">
            <v>574.79</v>
          </cell>
          <cell r="I590">
            <v>613.55999999999995</v>
          </cell>
          <cell r="J590">
            <v>93050</v>
          </cell>
          <cell r="K590" t="str">
            <v>MP</v>
          </cell>
        </row>
        <row r="591">
          <cell r="A591" t="str">
            <v>994561-SLR</v>
          </cell>
          <cell r="B591">
            <v>12392</v>
          </cell>
          <cell r="C591">
            <v>0</v>
          </cell>
          <cell r="D591">
            <v>0</v>
          </cell>
          <cell r="E591">
            <v>18.7</v>
          </cell>
          <cell r="F591">
            <v>0</v>
          </cell>
          <cell r="G591">
            <v>66.08</v>
          </cell>
          <cell r="H591">
            <v>84.78</v>
          </cell>
          <cell r="I591">
            <v>110.13</v>
          </cell>
          <cell r="J591">
            <v>92172</v>
          </cell>
          <cell r="K591" t="str">
            <v>MP</v>
          </cell>
        </row>
        <row r="592">
          <cell r="A592" t="str">
            <v>994562-SLR</v>
          </cell>
          <cell r="B592">
            <v>12591</v>
          </cell>
          <cell r="C592">
            <v>262.61</v>
          </cell>
          <cell r="D592">
            <v>5.36</v>
          </cell>
          <cell r="E592">
            <v>477</v>
          </cell>
          <cell r="F592">
            <v>198.41</v>
          </cell>
          <cell r="G592">
            <v>560.34</v>
          </cell>
          <cell r="H592">
            <v>1503.72</v>
          </cell>
          <cell r="I592">
            <v>2681.2</v>
          </cell>
          <cell r="J592">
            <v>92207</v>
          </cell>
          <cell r="K592" t="str">
            <v>MP</v>
          </cell>
        </row>
        <row r="593">
          <cell r="A593" t="str">
            <v>994563-SLR</v>
          </cell>
          <cell r="B593">
            <v>12530</v>
          </cell>
          <cell r="C593">
            <v>291.70999999999998</v>
          </cell>
          <cell r="D593">
            <v>34.229999999999997</v>
          </cell>
          <cell r="E593">
            <v>477</v>
          </cell>
          <cell r="F593">
            <v>641.95000000000005</v>
          </cell>
          <cell r="G593">
            <v>2401.14</v>
          </cell>
          <cell r="H593">
            <v>3846.0299999999997</v>
          </cell>
          <cell r="I593">
            <v>16825.080000000002</v>
          </cell>
          <cell r="J593">
            <v>91750</v>
          </cell>
          <cell r="K593" t="str">
            <v>MP</v>
          </cell>
        </row>
        <row r="594">
          <cell r="A594" t="str">
            <v>994564-SLR</v>
          </cell>
          <cell r="B594">
            <v>12393</v>
          </cell>
          <cell r="C594">
            <v>172.07</v>
          </cell>
          <cell r="D594">
            <v>0.39</v>
          </cell>
          <cell r="E594">
            <v>477</v>
          </cell>
          <cell r="F594">
            <v>136.54</v>
          </cell>
          <cell r="G594">
            <v>37.96</v>
          </cell>
          <cell r="H594">
            <v>823.96</v>
          </cell>
          <cell r="I594">
            <v>27.33</v>
          </cell>
          <cell r="J594">
            <v>93030</v>
          </cell>
          <cell r="K594" t="str">
            <v>MP</v>
          </cell>
        </row>
        <row r="595">
          <cell r="A595" t="str">
            <v>994565-SLR</v>
          </cell>
          <cell r="B595">
            <v>12667</v>
          </cell>
          <cell r="C595">
            <v>397.5</v>
          </cell>
          <cell r="D595">
            <v>61.04</v>
          </cell>
          <cell r="E595">
            <v>477</v>
          </cell>
          <cell r="F595">
            <v>944.16</v>
          </cell>
          <cell r="G595">
            <v>1529.13</v>
          </cell>
          <cell r="H595">
            <v>3408.83</v>
          </cell>
          <cell r="I595">
            <v>30124.14</v>
          </cell>
          <cell r="J595">
            <v>90083</v>
          </cell>
          <cell r="K595" t="str">
            <v>MP</v>
          </cell>
        </row>
        <row r="596">
          <cell r="A596" t="str">
            <v>994566-SLR</v>
          </cell>
          <cell r="B596">
            <v>12644</v>
          </cell>
          <cell r="C596">
            <v>375.32</v>
          </cell>
          <cell r="D596">
            <v>24.74</v>
          </cell>
          <cell r="E596">
            <v>477</v>
          </cell>
          <cell r="F596">
            <v>535.03</v>
          </cell>
          <cell r="G596">
            <v>836.3</v>
          </cell>
          <cell r="H596">
            <v>2248.39</v>
          </cell>
          <cell r="I596">
            <v>11999.33</v>
          </cell>
          <cell r="J596">
            <v>90061</v>
          </cell>
          <cell r="K596" t="str">
            <v>MP</v>
          </cell>
        </row>
        <row r="597">
          <cell r="A597" t="str">
            <v>994567-SLR</v>
          </cell>
          <cell r="B597">
            <v>12441</v>
          </cell>
          <cell r="C597">
            <v>225.33</v>
          </cell>
          <cell r="D597">
            <v>20.72</v>
          </cell>
          <cell r="E597">
            <v>477</v>
          </cell>
          <cell r="F597">
            <v>469</v>
          </cell>
          <cell r="G597">
            <v>1764.73</v>
          </cell>
          <cell r="H597">
            <v>2956.7799999999997</v>
          </cell>
          <cell r="I597">
            <v>10134.719999999999</v>
          </cell>
          <cell r="J597">
            <v>92278</v>
          </cell>
          <cell r="K597" t="str">
            <v>MP</v>
          </cell>
        </row>
        <row r="598">
          <cell r="A598" t="str">
            <v>994569-SLR</v>
          </cell>
          <cell r="B598">
            <v>12532</v>
          </cell>
          <cell r="C598">
            <v>195.16</v>
          </cell>
          <cell r="D598">
            <v>1.88</v>
          </cell>
          <cell r="E598">
            <v>477</v>
          </cell>
          <cell r="F598">
            <v>153.33000000000001</v>
          </cell>
          <cell r="G598">
            <v>179.66</v>
          </cell>
          <cell r="H598">
            <v>1007.03</v>
          </cell>
          <cell r="I598">
            <v>748.57</v>
          </cell>
          <cell r="J598">
            <v>93255</v>
          </cell>
          <cell r="K598" t="str">
            <v>MP</v>
          </cell>
        </row>
        <row r="599">
          <cell r="A599" t="str">
            <v>994570-SLR</v>
          </cell>
          <cell r="B599">
            <v>12442</v>
          </cell>
          <cell r="C599">
            <v>238.79</v>
          </cell>
          <cell r="D599">
            <v>2.8</v>
          </cell>
          <cell r="E599">
            <v>477</v>
          </cell>
          <cell r="F599">
            <v>163.66999999999999</v>
          </cell>
          <cell r="G599">
            <v>210.78</v>
          </cell>
          <cell r="H599">
            <v>1093.04</v>
          </cell>
          <cell r="I599">
            <v>1163.6199999999999</v>
          </cell>
          <cell r="J599">
            <v>92284</v>
          </cell>
          <cell r="K599" t="str">
            <v>MP</v>
          </cell>
        </row>
        <row r="600">
          <cell r="A600" t="str">
            <v>994571-SLR</v>
          </cell>
          <cell r="B600">
            <v>12443</v>
          </cell>
          <cell r="C600">
            <v>5445.61</v>
          </cell>
          <cell r="D600">
            <v>38.21</v>
          </cell>
          <cell r="E600">
            <v>477</v>
          </cell>
          <cell r="F600">
            <v>686.85</v>
          </cell>
          <cell r="G600">
            <v>2636.33</v>
          </cell>
          <cell r="H600">
            <v>9284</v>
          </cell>
          <cell r="I600">
            <v>13662.73</v>
          </cell>
          <cell r="J600">
            <v>92304</v>
          </cell>
          <cell r="K600" t="str">
            <v>MP</v>
          </cell>
        </row>
        <row r="601">
          <cell r="A601" t="str">
            <v>994572-SLR</v>
          </cell>
          <cell r="B601">
            <v>12619</v>
          </cell>
          <cell r="C601">
            <v>226.87</v>
          </cell>
          <cell r="D601">
            <v>8.4</v>
          </cell>
          <cell r="E601">
            <v>477</v>
          </cell>
          <cell r="F601">
            <v>226.75</v>
          </cell>
          <cell r="G601">
            <v>883.82</v>
          </cell>
          <cell r="H601">
            <v>1822.8400000000001</v>
          </cell>
          <cell r="I601">
            <v>3973.41</v>
          </cell>
          <cell r="J601">
            <v>93130</v>
          </cell>
          <cell r="K601" t="str">
            <v>MP</v>
          </cell>
        </row>
        <row r="602">
          <cell r="A602" t="str">
            <v>994575-SLR</v>
          </cell>
          <cell r="B602">
            <v>12620</v>
          </cell>
          <cell r="C602">
            <v>1973.8</v>
          </cell>
          <cell r="D602">
            <v>38.880000000000003</v>
          </cell>
          <cell r="E602">
            <v>477</v>
          </cell>
          <cell r="F602">
            <v>699</v>
          </cell>
          <cell r="G602">
            <v>3346.75</v>
          </cell>
          <cell r="H602">
            <v>6535.43</v>
          </cell>
          <cell r="I602">
            <v>17674.080000000002</v>
          </cell>
          <cell r="J602">
            <v>91868</v>
          </cell>
          <cell r="K602" t="str">
            <v>MP</v>
          </cell>
        </row>
        <row r="603">
          <cell r="A603" t="str">
            <v>994577-SLR</v>
          </cell>
          <cell r="B603">
            <v>12535</v>
          </cell>
          <cell r="C603">
            <v>197.61</v>
          </cell>
          <cell r="D603">
            <v>4.33</v>
          </cell>
          <cell r="E603">
            <v>477</v>
          </cell>
          <cell r="F603">
            <v>180.8</v>
          </cell>
          <cell r="G603">
            <v>411.68</v>
          </cell>
          <cell r="H603">
            <v>1271.42</v>
          </cell>
          <cell r="I603">
            <v>1964.81</v>
          </cell>
          <cell r="J603">
            <v>92372</v>
          </cell>
          <cell r="K603" t="str">
            <v>MP</v>
          </cell>
        </row>
        <row r="604">
          <cell r="A604" t="str">
            <v>994578-SLR</v>
          </cell>
          <cell r="B604">
            <v>12536</v>
          </cell>
          <cell r="C604">
            <v>197.61</v>
          </cell>
          <cell r="D604">
            <v>1.98</v>
          </cell>
          <cell r="E604">
            <v>477</v>
          </cell>
          <cell r="F604">
            <v>154.43</v>
          </cell>
          <cell r="G604">
            <v>188.97</v>
          </cell>
          <cell r="H604">
            <v>1019.99</v>
          </cell>
          <cell r="I604">
            <v>794.96</v>
          </cell>
          <cell r="J604">
            <v>90219</v>
          </cell>
          <cell r="K604" t="str">
            <v>MP</v>
          </cell>
        </row>
        <row r="605">
          <cell r="A605" t="str">
            <v>994580-SLR</v>
          </cell>
          <cell r="B605">
            <v>12565</v>
          </cell>
          <cell r="C605">
            <v>198.73</v>
          </cell>
          <cell r="D605">
            <v>0.79</v>
          </cell>
          <cell r="E605">
            <v>477</v>
          </cell>
          <cell r="F605">
            <v>141.01</v>
          </cell>
          <cell r="G605">
            <v>75.67</v>
          </cell>
          <cell r="H605">
            <v>893.19999999999993</v>
          </cell>
          <cell r="I605">
            <v>198.73</v>
          </cell>
          <cell r="J605">
            <v>90390</v>
          </cell>
          <cell r="K605" t="str">
            <v>MP</v>
          </cell>
        </row>
        <row r="606">
          <cell r="A606" t="str">
            <v>994581-SLR</v>
          </cell>
          <cell r="B606">
            <v>12445</v>
          </cell>
          <cell r="C606">
            <v>201.76</v>
          </cell>
          <cell r="D606">
            <v>4.62</v>
          </cell>
          <cell r="E606">
            <v>477</v>
          </cell>
          <cell r="F606">
            <v>183.99</v>
          </cell>
          <cell r="G606">
            <v>484.76</v>
          </cell>
          <cell r="H606">
            <v>1352.13</v>
          </cell>
          <cell r="I606">
            <v>2102.02</v>
          </cell>
          <cell r="J606">
            <v>91681</v>
          </cell>
          <cell r="K606" t="str">
            <v>MP</v>
          </cell>
        </row>
        <row r="607">
          <cell r="A607" t="str">
            <v>994582-SLR</v>
          </cell>
          <cell r="B607">
            <v>12394</v>
          </cell>
          <cell r="C607">
            <v>1690.54</v>
          </cell>
          <cell r="D607">
            <v>2.4900000000000002</v>
          </cell>
          <cell r="E607">
            <v>477</v>
          </cell>
          <cell r="F607">
            <v>198.05</v>
          </cell>
          <cell r="G607">
            <v>352</v>
          </cell>
          <cell r="H607">
            <v>2720.08</v>
          </cell>
          <cell r="I607">
            <v>1240.26</v>
          </cell>
          <cell r="J607">
            <v>92287</v>
          </cell>
          <cell r="K607" t="str">
            <v>MP</v>
          </cell>
        </row>
        <row r="608">
          <cell r="A608" t="str">
            <v>994583-SLR</v>
          </cell>
          <cell r="B608">
            <v>12395</v>
          </cell>
          <cell r="C608">
            <v>0</v>
          </cell>
          <cell r="D608">
            <v>0</v>
          </cell>
          <cell r="E608">
            <v>18.55</v>
          </cell>
          <cell r="F608">
            <v>0</v>
          </cell>
          <cell r="G608">
            <v>66.55</v>
          </cell>
          <cell r="H608">
            <v>85.1</v>
          </cell>
          <cell r="I608">
            <v>110.91</v>
          </cell>
          <cell r="J608">
            <v>92172</v>
          </cell>
          <cell r="K608" t="str">
            <v>MP</v>
          </cell>
        </row>
        <row r="609">
          <cell r="A609" t="str">
            <v>994586-SLR</v>
          </cell>
          <cell r="B609">
            <v>12396</v>
          </cell>
          <cell r="C609">
            <v>92.41</v>
          </cell>
          <cell r="D609">
            <v>0</v>
          </cell>
          <cell r="E609">
            <v>91.81</v>
          </cell>
          <cell r="F609">
            <v>0</v>
          </cell>
          <cell r="G609">
            <v>191.27</v>
          </cell>
          <cell r="H609">
            <v>375.49</v>
          </cell>
          <cell r="I609">
            <v>226.36</v>
          </cell>
          <cell r="J609">
            <v>93285</v>
          </cell>
          <cell r="K609" t="str">
            <v>MP</v>
          </cell>
        </row>
        <row r="610">
          <cell r="A610" t="str">
            <v>994588-SLR</v>
          </cell>
          <cell r="B610">
            <v>12446</v>
          </cell>
          <cell r="C610">
            <v>217.8</v>
          </cell>
          <cell r="D610">
            <v>36.03</v>
          </cell>
          <cell r="E610">
            <v>477</v>
          </cell>
          <cell r="F610">
            <v>667.15</v>
          </cell>
          <cell r="G610">
            <v>3836.93</v>
          </cell>
          <cell r="H610">
            <v>5234.91</v>
          </cell>
          <cell r="I610">
            <v>18017.28</v>
          </cell>
          <cell r="J610">
            <v>90379</v>
          </cell>
          <cell r="K610" t="str">
            <v>MP</v>
          </cell>
        </row>
        <row r="611">
          <cell r="A611" t="str">
            <v>994589-SLR</v>
          </cell>
          <cell r="B611">
            <v>12447</v>
          </cell>
          <cell r="C611">
            <v>218.7</v>
          </cell>
          <cell r="D611">
            <v>12.14</v>
          </cell>
          <cell r="E611">
            <v>477</v>
          </cell>
          <cell r="F611">
            <v>211.18</v>
          </cell>
          <cell r="G611">
            <v>457.2</v>
          </cell>
          <cell r="H611">
            <v>1376.22</v>
          </cell>
          <cell r="I611">
            <v>3291.66</v>
          </cell>
          <cell r="J611">
            <v>92109</v>
          </cell>
          <cell r="K611" t="str">
            <v>MP</v>
          </cell>
        </row>
        <row r="612">
          <cell r="A612" t="str">
            <v>994590-SLR</v>
          </cell>
          <cell r="B612">
            <v>12448</v>
          </cell>
          <cell r="C612">
            <v>172.92</v>
          </cell>
          <cell r="D612">
            <v>42.04</v>
          </cell>
          <cell r="E612">
            <v>477</v>
          </cell>
          <cell r="F612">
            <v>516.79</v>
          </cell>
          <cell r="G612">
            <v>2201.79</v>
          </cell>
          <cell r="H612">
            <v>3410.54</v>
          </cell>
          <cell r="I612">
            <v>11392.64</v>
          </cell>
          <cell r="J612">
            <v>90686</v>
          </cell>
          <cell r="K612" t="str">
            <v>MP</v>
          </cell>
        </row>
        <row r="613">
          <cell r="A613" t="str">
            <v>994591-SLR</v>
          </cell>
          <cell r="B613">
            <v>12708</v>
          </cell>
          <cell r="C613">
            <v>16024.59</v>
          </cell>
          <cell r="D613">
            <v>241.95</v>
          </cell>
          <cell r="E613">
            <v>477</v>
          </cell>
          <cell r="F613">
            <v>2983.58</v>
          </cell>
          <cell r="G613">
            <v>15759.05</v>
          </cell>
          <cell r="H613">
            <v>35486.17</v>
          </cell>
          <cell r="I613">
            <v>104956.93</v>
          </cell>
          <cell r="J613">
            <v>91722</v>
          </cell>
          <cell r="K613" t="str">
            <v>MP</v>
          </cell>
        </row>
        <row r="614">
          <cell r="A614" t="str">
            <v>994592-SLR</v>
          </cell>
          <cell r="B614">
            <v>12709</v>
          </cell>
          <cell r="C614">
            <v>14078</v>
          </cell>
          <cell r="D614">
            <v>212.24</v>
          </cell>
          <cell r="E614">
            <v>477</v>
          </cell>
          <cell r="F614">
            <v>2648.44</v>
          </cell>
          <cell r="G614">
            <v>13822.71</v>
          </cell>
          <cell r="H614">
            <v>31238.39</v>
          </cell>
          <cell r="I614">
            <v>92038.28</v>
          </cell>
          <cell r="J614">
            <v>92056</v>
          </cell>
          <cell r="K614" t="str">
            <v>MP</v>
          </cell>
        </row>
        <row r="615">
          <cell r="A615" t="str">
            <v>994593-SLR</v>
          </cell>
          <cell r="B615">
            <v>12322</v>
          </cell>
          <cell r="C615">
            <v>0</v>
          </cell>
          <cell r="D615">
            <v>0</v>
          </cell>
          <cell r="E615">
            <v>0</v>
          </cell>
          <cell r="F615">
            <v>0</v>
          </cell>
          <cell r="G615">
            <v>0</v>
          </cell>
          <cell r="H615">
            <v>0</v>
          </cell>
          <cell r="I615">
            <v>478.47</v>
          </cell>
          <cell r="J615">
            <v>93053</v>
          </cell>
          <cell r="K615" t="str">
            <v>MP</v>
          </cell>
        </row>
        <row r="616">
          <cell r="A616" t="str">
            <v>994594-SLR</v>
          </cell>
          <cell r="B616">
            <v>12668</v>
          </cell>
          <cell r="C616">
            <v>2425.66</v>
          </cell>
          <cell r="D616">
            <v>290.8</v>
          </cell>
          <cell r="E616">
            <v>477</v>
          </cell>
          <cell r="F616">
            <v>703.95</v>
          </cell>
          <cell r="G616">
            <v>3583.23</v>
          </cell>
          <cell r="H616">
            <v>7480.6399999999994</v>
          </cell>
          <cell r="I616">
            <v>17446.28</v>
          </cell>
          <cell r="J616">
            <v>93021</v>
          </cell>
          <cell r="K616" t="str">
            <v>MP</v>
          </cell>
        </row>
        <row r="617">
          <cell r="A617" t="str">
            <v>994595-SLR</v>
          </cell>
          <cell r="B617">
            <v>12566</v>
          </cell>
          <cell r="C617">
            <v>462.96</v>
          </cell>
          <cell r="D617">
            <v>22.05</v>
          </cell>
          <cell r="E617">
            <v>477</v>
          </cell>
          <cell r="F617">
            <v>498.62</v>
          </cell>
          <cell r="G617">
            <v>2098.84</v>
          </cell>
          <cell r="H617">
            <v>3559.4700000000003</v>
          </cell>
          <cell r="I617">
            <v>10561.51</v>
          </cell>
          <cell r="J617">
            <v>91673</v>
          </cell>
          <cell r="K617" t="str">
            <v>MP</v>
          </cell>
        </row>
        <row r="618">
          <cell r="A618" t="str">
            <v>994596-SLR</v>
          </cell>
          <cell r="B618">
            <v>12669</v>
          </cell>
          <cell r="C618">
            <v>2819.01</v>
          </cell>
          <cell r="D618">
            <v>81.75</v>
          </cell>
          <cell r="E618">
            <v>477</v>
          </cell>
          <cell r="F618">
            <v>1177.57</v>
          </cell>
          <cell r="G618">
            <v>7683.31</v>
          </cell>
          <cell r="H618">
            <v>12238.64</v>
          </cell>
          <cell r="I618">
            <v>38055.86</v>
          </cell>
          <cell r="J618">
            <v>90013</v>
          </cell>
          <cell r="K618" t="str">
            <v>MP</v>
          </cell>
        </row>
        <row r="619">
          <cell r="A619" t="str">
            <v>994597-SLR</v>
          </cell>
          <cell r="B619">
            <v>12721</v>
          </cell>
          <cell r="C619">
            <v>208.72</v>
          </cell>
          <cell r="D619">
            <v>23.25</v>
          </cell>
          <cell r="E619">
            <v>477</v>
          </cell>
          <cell r="F619">
            <v>518.08000000000004</v>
          </cell>
          <cell r="G619">
            <v>2212.6799999999998</v>
          </cell>
          <cell r="H619">
            <v>3439.73</v>
          </cell>
          <cell r="I619">
            <v>11413.7</v>
          </cell>
          <cell r="J619">
            <v>90402</v>
          </cell>
          <cell r="K619" t="str">
            <v>MP</v>
          </cell>
        </row>
        <row r="620">
          <cell r="A620" t="str">
            <v>994598-SLR</v>
          </cell>
          <cell r="B620">
            <v>12646</v>
          </cell>
          <cell r="C620">
            <v>1133.52</v>
          </cell>
          <cell r="D620">
            <v>5.58</v>
          </cell>
          <cell r="E620">
            <v>477</v>
          </cell>
          <cell r="F620">
            <v>440.1</v>
          </cell>
          <cell r="G620">
            <v>1848.97</v>
          </cell>
          <cell r="H620">
            <v>3905.17</v>
          </cell>
          <cell r="I620">
            <v>8592.33</v>
          </cell>
          <cell r="J620">
            <v>92285</v>
          </cell>
          <cell r="K620" t="str">
            <v>MP</v>
          </cell>
        </row>
        <row r="621">
          <cell r="A621" t="str">
            <v>994599-SLR</v>
          </cell>
          <cell r="B621">
            <v>12595</v>
          </cell>
          <cell r="C621">
            <v>207.16</v>
          </cell>
          <cell r="D621">
            <v>1.34</v>
          </cell>
          <cell r="E621">
            <v>477</v>
          </cell>
          <cell r="F621">
            <v>147.09</v>
          </cell>
          <cell r="G621">
            <v>113.66</v>
          </cell>
          <cell r="H621">
            <v>946.25</v>
          </cell>
          <cell r="I621">
            <v>460.1</v>
          </cell>
          <cell r="J621">
            <v>92278</v>
          </cell>
          <cell r="K621" t="str">
            <v>MP</v>
          </cell>
        </row>
        <row r="622">
          <cell r="A622" t="str">
            <v>994600-SLR</v>
          </cell>
          <cell r="B622">
            <v>12779</v>
          </cell>
          <cell r="C622">
            <v>604.03</v>
          </cell>
          <cell r="D622">
            <v>44.57</v>
          </cell>
          <cell r="E622">
            <v>477</v>
          </cell>
          <cell r="F622">
            <v>758.51</v>
          </cell>
          <cell r="G622">
            <v>2679.77</v>
          </cell>
          <cell r="H622">
            <v>4563.88</v>
          </cell>
          <cell r="I622">
            <v>21682.83</v>
          </cell>
          <cell r="J622">
            <v>93072</v>
          </cell>
          <cell r="K622" t="str">
            <v>MP</v>
          </cell>
        </row>
        <row r="623">
          <cell r="A623" t="str">
            <v>994601-SLR</v>
          </cell>
          <cell r="B623">
            <v>12672</v>
          </cell>
          <cell r="C623">
            <v>8264.65</v>
          </cell>
          <cell r="D623">
            <v>66.14</v>
          </cell>
          <cell r="E623">
            <v>477</v>
          </cell>
          <cell r="F623">
            <v>1001.62</v>
          </cell>
          <cell r="G623">
            <v>3976.37</v>
          </cell>
          <cell r="H623">
            <v>13785.779999999999</v>
          </cell>
          <cell r="I623">
            <v>24805.65</v>
          </cell>
          <cell r="J623">
            <v>92304</v>
          </cell>
          <cell r="K623" t="str">
            <v>MP</v>
          </cell>
        </row>
        <row r="624">
          <cell r="A624" t="str">
            <v>994602-SLR</v>
          </cell>
          <cell r="B624">
            <v>12621</v>
          </cell>
          <cell r="C624">
            <v>418.7</v>
          </cell>
          <cell r="D624">
            <v>2.5299999999999998</v>
          </cell>
          <cell r="E624">
            <v>477</v>
          </cell>
          <cell r="F624">
            <v>160.72</v>
          </cell>
          <cell r="G624">
            <v>267.58999999999997</v>
          </cell>
          <cell r="H624">
            <v>1326.54</v>
          </cell>
          <cell r="I624">
            <v>852.99</v>
          </cell>
          <cell r="J624">
            <v>93131</v>
          </cell>
          <cell r="K624" t="str">
            <v>MP</v>
          </cell>
        </row>
        <row r="625">
          <cell r="A625" t="str">
            <v>994603-SLR</v>
          </cell>
          <cell r="B625">
            <v>12398</v>
          </cell>
          <cell r="C625">
            <v>0</v>
          </cell>
          <cell r="D625">
            <v>0</v>
          </cell>
          <cell r="E625">
            <v>0</v>
          </cell>
          <cell r="F625">
            <v>0</v>
          </cell>
          <cell r="G625">
            <v>91.63</v>
          </cell>
          <cell r="H625">
            <v>91.63</v>
          </cell>
          <cell r="I625">
            <v>152.71</v>
          </cell>
          <cell r="J625">
            <v>91437</v>
          </cell>
          <cell r="K625" t="str">
            <v>MP</v>
          </cell>
        </row>
        <row r="626">
          <cell r="A626" t="str">
            <v>994604-SLR</v>
          </cell>
          <cell r="B626">
            <v>12722</v>
          </cell>
          <cell r="C626">
            <v>235.92</v>
          </cell>
          <cell r="D626">
            <v>3.82</v>
          </cell>
          <cell r="E626">
            <v>477</v>
          </cell>
          <cell r="F626">
            <v>175.14</v>
          </cell>
          <cell r="G626">
            <v>363.87</v>
          </cell>
          <cell r="H626">
            <v>1255.75</v>
          </cell>
          <cell r="I626">
            <v>1675.39</v>
          </cell>
          <cell r="J626">
            <v>93138</v>
          </cell>
          <cell r="K626" t="str">
            <v>MP</v>
          </cell>
        </row>
        <row r="627">
          <cell r="A627" t="str">
            <v>994605-SLR</v>
          </cell>
          <cell r="B627">
            <v>12710</v>
          </cell>
          <cell r="C627">
            <v>240.6</v>
          </cell>
          <cell r="D627">
            <v>45.38</v>
          </cell>
          <cell r="E627">
            <v>477</v>
          </cell>
          <cell r="F627">
            <v>767.62</v>
          </cell>
          <cell r="G627">
            <v>682.1</v>
          </cell>
          <cell r="H627">
            <v>2212.6999999999998</v>
          </cell>
          <cell r="I627">
            <v>22450.68</v>
          </cell>
          <cell r="J627">
            <v>93176</v>
          </cell>
          <cell r="K627" t="str">
            <v>MP</v>
          </cell>
        </row>
        <row r="628">
          <cell r="A628" t="str">
            <v>994606-SLR</v>
          </cell>
          <cell r="B628">
            <v>12604</v>
          </cell>
          <cell r="C628">
            <v>677.52</v>
          </cell>
          <cell r="D628">
            <v>7.79</v>
          </cell>
          <cell r="E628">
            <v>477</v>
          </cell>
          <cell r="F628">
            <v>235.12</v>
          </cell>
          <cell r="G628">
            <v>595.54</v>
          </cell>
          <cell r="H628">
            <v>1992.9699999999998</v>
          </cell>
          <cell r="I628">
            <v>3895.74</v>
          </cell>
          <cell r="J628">
            <v>93382</v>
          </cell>
          <cell r="K628" t="str">
            <v>MP</v>
          </cell>
        </row>
        <row r="629">
          <cell r="A629" t="str">
            <v>994607-SLR</v>
          </cell>
          <cell r="B629">
            <v>12699</v>
          </cell>
          <cell r="C629">
            <v>1533.89</v>
          </cell>
          <cell r="D629">
            <v>19.23</v>
          </cell>
          <cell r="E629">
            <v>477</v>
          </cell>
          <cell r="F629">
            <v>435.79</v>
          </cell>
          <cell r="G629">
            <v>1926.95</v>
          </cell>
          <cell r="H629">
            <v>4392.8600000000006</v>
          </cell>
          <cell r="I629">
            <v>8080.99</v>
          </cell>
          <cell r="J629">
            <v>92056</v>
          </cell>
          <cell r="K629" t="str">
            <v>MP</v>
          </cell>
        </row>
        <row r="630">
          <cell r="A630" t="str">
            <v>994608-SLR</v>
          </cell>
          <cell r="B630">
            <v>12673</v>
          </cell>
          <cell r="C630">
            <v>285.27</v>
          </cell>
          <cell r="D630">
            <v>39.08</v>
          </cell>
          <cell r="E630">
            <v>477</v>
          </cell>
          <cell r="F630">
            <v>703</v>
          </cell>
          <cell r="G630">
            <v>668.54</v>
          </cell>
          <cell r="H630">
            <v>2172.89</v>
          </cell>
          <cell r="I630">
            <v>19540.29</v>
          </cell>
          <cell r="J630">
            <v>90236</v>
          </cell>
          <cell r="K630" t="str">
            <v>MP</v>
          </cell>
        </row>
        <row r="631">
          <cell r="A631" t="str">
            <v>994609-SLR</v>
          </cell>
          <cell r="B631">
            <v>12780</v>
          </cell>
          <cell r="C631">
            <v>186.1</v>
          </cell>
          <cell r="D631">
            <v>78.33</v>
          </cell>
          <cell r="E631">
            <v>477</v>
          </cell>
          <cell r="F631">
            <v>1143.25</v>
          </cell>
          <cell r="G631">
            <v>5520.34</v>
          </cell>
          <cell r="H631">
            <v>7405.02</v>
          </cell>
          <cell r="I631">
            <v>39166.519999999997</v>
          </cell>
          <cell r="J631">
            <v>92018</v>
          </cell>
          <cell r="K631" t="str">
            <v>MP</v>
          </cell>
        </row>
        <row r="632">
          <cell r="A632" t="str">
            <v>994611-SLR</v>
          </cell>
          <cell r="B632">
            <v>12675</v>
          </cell>
          <cell r="C632">
            <v>163.68</v>
          </cell>
          <cell r="D632">
            <v>27.39</v>
          </cell>
          <cell r="E632">
            <v>477</v>
          </cell>
          <cell r="F632">
            <v>568.46</v>
          </cell>
          <cell r="G632">
            <v>1943.87</v>
          </cell>
          <cell r="H632">
            <v>3180.3999999999996</v>
          </cell>
          <cell r="I632">
            <v>13693.73</v>
          </cell>
          <cell r="J632">
            <v>90062</v>
          </cell>
          <cell r="K632" t="str">
            <v>MP</v>
          </cell>
        </row>
        <row r="633">
          <cell r="A633" t="str">
            <v>994612-SLR</v>
          </cell>
          <cell r="B633">
            <v>12723</v>
          </cell>
          <cell r="C633">
            <v>195.02</v>
          </cell>
          <cell r="D633">
            <v>1.86</v>
          </cell>
          <cell r="E633">
            <v>477</v>
          </cell>
          <cell r="F633">
            <v>152.96</v>
          </cell>
          <cell r="G633">
            <v>158</v>
          </cell>
          <cell r="H633">
            <v>984.84</v>
          </cell>
          <cell r="I633">
            <v>732.5</v>
          </cell>
          <cell r="J633">
            <v>93219</v>
          </cell>
          <cell r="K633" t="str">
            <v>MP</v>
          </cell>
        </row>
        <row r="634">
          <cell r="A634" t="str">
            <v>994613-SLR</v>
          </cell>
          <cell r="B634">
            <v>12450</v>
          </cell>
          <cell r="C634">
            <v>392.48</v>
          </cell>
          <cell r="D634">
            <v>0</v>
          </cell>
          <cell r="E634">
            <v>18.78</v>
          </cell>
          <cell r="F634">
            <v>0</v>
          </cell>
          <cell r="G634">
            <v>576.16</v>
          </cell>
          <cell r="H634">
            <v>987.42</v>
          </cell>
          <cell r="I634">
            <v>567.78</v>
          </cell>
          <cell r="J634">
            <v>93050</v>
          </cell>
          <cell r="K634" t="str">
            <v>MP</v>
          </cell>
        </row>
        <row r="635">
          <cell r="A635" t="str">
            <v>994614-SLR</v>
          </cell>
          <cell r="B635">
            <v>12449</v>
          </cell>
          <cell r="C635">
            <v>164.73</v>
          </cell>
          <cell r="D635">
            <v>0</v>
          </cell>
          <cell r="E635">
            <v>18.78</v>
          </cell>
          <cell r="F635">
            <v>0</v>
          </cell>
          <cell r="G635">
            <v>200.7</v>
          </cell>
          <cell r="H635">
            <v>384.21</v>
          </cell>
          <cell r="I635">
            <v>169.77</v>
          </cell>
          <cell r="J635">
            <v>93050</v>
          </cell>
          <cell r="K635" t="str">
            <v>MP</v>
          </cell>
        </row>
        <row r="636">
          <cell r="A636" t="str">
            <v>994615-SLR</v>
          </cell>
          <cell r="B636">
            <v>12589</v>
          </cell>
          <cell r="C636">
            <v>186.92</v>
          </cell>
          <cell r="D636">
            <v>2.4300000000000002</v>
          </cell>
          <cell r="E636">
            <v>477</v>
          </cell>
          <cell r="F636">
            <v>159.4</v>
          </cell>
          <cell r="G636">
            <v>109.4</v>
          </cell>
          <cell r="H636">
            <v>935.15</v>
          </cell>
          <cell r="I636">
            <v>1026.1500000000001</v>
          </cell>
          <cell r="J636">
            <v>90793</v>
          </cell>
          <cell r="K636" t="str">
            <v>MP</v>
          </cell>
        </row>
        <row r="637">
          <cell r="A637" t="str">
            <v>994617-SLR</v>
          </cell>
          <cell r="B637">
            <v>12623</v>
          </cell>
          <cell r="C637">
            <v>190.1</v>
          </cell>
          <cell r="D637">
            <v>1.66</v>
          </cell>
          <cell r="E637">
            <v>477</v>
          </cell>
          <cell r="F637">
            <v>150.62</v>
          </cell>
          <cell r="G637">
            <v>156.83000000000001</v>
          </cell>
          <cell r="H637">
            <v>976.21</v>
          </cell>
          <cell r="I637">
            <v>633.65</v>
          </cell>
          <cell r="J637">
            <v>91178</v>
          </cell>
          <cell r="K637" t="str">
            <v>MP</v>
          </cell>
        </row>
        <row r="638">
          <cell r="A638" t="str">
            <v>994620-SLR</v>
          </cell>
          <cell r="B638">
            <v>12711</v>
          </cell>
          <cell r="C638">
            <v>368.54</v>
          </cell>
          <cell r="D638">
            <v>24.11</v>
          </cell>
          <cell r="E638">
            <v>477</v>
          </cell>
          <cell r="F638">
            <v>536.12</v>
          </cell>
          <cell r="G638">
            <v>1742.7</v>
          </cell>
          <cell r="H638">
            <v>3148.4700000000003</v>
          </cell>
          <cell r="I638">
            <v>12055.18</v>
          </cell>
          <cell r="J638">
            <v>90503</v>
          </cell>
          <cell r="K638" t="str">
            <v>MP</v>
          </cell>
        </row>
        <row r="639">
          <cell r="A639" t="str">
            <v>994622-SLR</v>
          </cell>
          <cell r="B639">
            <v>12596</v>
          </cell>
          <cell r="C639">
            <v>210.88</v>
          </cell>
          <cell r="D639">
            <v>24.46</v>
          </cell>
          <cell r="E639">
            <v>477</v>
          </cell>
          <cell r="F639">
            <v>289.75</v>
          </cell>
          <cell r="G639">
            <v>889.39</v>
          </cell>
          <cell r="H639">
            <v>1891.48</v>
          </cell>
          <cell r="I639">
            <v>6117.47</v>
          </cell>
          <cell r="J639">
            <v>93247</v>
          </cell>
          <cell r="K639" t="str">
            <v>MP</v>
          </cell>
        </row>
        <row r="640">
          <cell r="A640" t="str">
            <v>994623-SLR</v>
          </cell>
          <cell r="B640">
            <v>12567</v>
          </cell>
          <cell r="C640">
            <v>328.46</v>
          </cell>
          <cell r="D640">
            <v>7.02</v>
          </cell>
          <cell r="E640">
            <v>477</v>
          </cell>
          <cell r="F640">
            <v>211.2</v>
          </cell>
          <cell r="G640">
            <v>1020.13</v>
          </cell>
          <cell r="H640">
            <v>2043.81</v>
          </cell>
          <cell r="I640">
            <v>3182.2</v>
          </cell>
          <cell r="J640">
            <v>93211</v>
          </cell>
          <cell r="K640" t="str">
            <v>MP</v>
          </cell>
        </row>
        <row r="641">
          <cell r="A641" t="str">
            <v>994624-SLR</v>
          </cell>
          <cell r="B641">
            <v>12597</v>
          </cell>
          <cell r="C641">
            <v>204.17</v>
          </cell>
          <cell r="D641">
            <v>3.28</v>
          </cell>
          <cell r="E641">
            <v>477</v>
          </cell>
          <cell r="F641">
            <v>169.09</v>
          </cell>
          <cell r="G641">
            <v>231.45</v>
          </cell>
          <cell r="H641">
            <v>1084.99</v>
          </cell>
          <cell r="I641">
            <v>1438.86</v>
          </cell>
          <cell r="J641">
            <v>90219</v>
          </cell>
          <cell r="K641" t="str">
            <v>MP</v>
          </cell>
        </row>
        <row r="642">
          <cell r="A642" t="str">
            <v>994625-SLR</v>
          </cell>
          <cell r="B642">
            <v>12647</v>
          </cell>
          <cell r="C642">
            <v>272.95999999999998</v>
          </cell>
          <cell r="D642">
            <v>3.96</v>
          </cell>
          <cell r="E642">
            <v>477</v>
          </cell>
          <cell r="F642">
            <v>176.72</v>
          </cell>
          <cell r="G642">
            <v>377.21</v>
          </cell>
          <cell r="H642">
            <v>1307.8499999999999</v>
          </cell>
          <cell r="I642">
            <v>1708.42</v>
          </cell>
          <cell r="J642">
            <v>91591</v>
          </cell>
          <cell r="K642" t="str">
            <v>MP</v>
          </cell>
        </row>
        <row r="643">
          <cell r="A643" t="str">
            <v>994627-SLR</v>
          </cell>
          <cell r="B643">
            <v>12568</v>
          </cell>
          <cell r="C643">
            <v>179.81</v>
          </cell>
          <cell r="D643">
            <v>0.81</v>
          </cell>
          <cell r="E643">
            <v>477</v>
          </cell>
          <cell r="F643">
            <v>141.21</v>
          </cell>
          <cell r="G643">
            <v>77.31</v>
          </cell>
          <cell r="H643">
            <v>876.1400000000001</v>
          </cell>
          <cell r="I643">
            <v>226.29</v>
          </cell>
          <cell r="J643">
            <v>93223</v>
          </cell>
          <cell r="K643" t="str">
            <v>MP</v>
          </cell>
        </row>
        <row r="644">
          <cell r="A644" t="str">
            <v>994628-SLR</v>
          </cell>
          <cell r="B644">
            <v>12599</v>
          </cell>
          <cell r="C644">
            <v>383.46</v>
          </cell>
          <cell r="D644">
            <v>11.5</v>
          </cell>
          <cell r="E644">
            <v>477</v>
          </cell>
          <cell r="F644">
            <v>202.73</v>
          </cell>
          <cell r="G644">
            <v>596.85</v>
          </cell>
          <cell r="H644">
            <v>1671.54</v>
          </cell>
          <cell r="I644">
            <v>2746.38</v>
          </cell>
          <cell r="J644">
            <v>90257</v>
          </cell>
          <cell r="K644" t="str">
            <v>MP</v>
          </cell>
        </row>
        <row r="645">
          <cell r="A645" t="str">
            <v>994629-SLR</v>
          </cell>
          <cell r="B645">
            <v>12545</v>
          </cell>
          <cell r="C645">
            <v>267.77</v>
          </cell>
          <cell r="D645">
            <v>66.36</v>
          </cell>
          <cell r="E645">
            <v>477</v>
          </cell>
          <cell r="F645">
            <v>252.23</v>
          </cell>
          <cell r="G645">
            <v>1014.84</v>
          </cell>
          <cell r="H645">
            <v>2078.1999999999998</v>
          </cell>
          <cell r="I645">
            <v>5062.82</v>
          </cell>
          <cell r="J645">
            <v>92174</v>
          </cell>
          <cell r="K645" t="str">
            <v>MP</v>
          </cell>
        </row>
        <row r="646">
          <cell r="A646" t="str">
            <v>994630-SLR</v>
          </cell>
          <cell r="B646">
            <v>12601</v>
          </cell>
          <cell r="C646">
            <v>8601.27</v>
          </cell>
          <cell r="D646">
            <v>95.03</v>
          </cell>
          <cell r="E646">
            <v>477</v>
          </cell>
          <cell r="F646">
            <v>1328.65</v>
          </cell>
          <cell r="G646">
            <v>9057.48</v>
          </cell>
          <cell r="H646">
            <v>19559.43</v>
          </cell>
          <cell r="I646">
            <v>38974.639999999999</v>
          </cell>
          <cell r="J646">
            <v>92373</v>
          </cell>
          <cell r="K646" t="str">
            <v>MP</v>
          </cell>
        </row>
        <row r="647">
          <cell r="A647" t="str">
            <v>994631-SLR</v>
          </cell>
          <cell r="B647">
            <v>12724</v>
          </cell>
          <cell r="C647">
            <v>365.49</v>
          </cell>
          <cell r="D647">
            <v>229.3</v>
          </cell>
          <cell r="E647">
            <v>477</v>
          </cell>
          <cell r="F647">
            <v>3097.68</v>
          </cell>
          <cell r="G647">
            <v>6314.74</v>
          </cell>
          <cell r="H647">
            <v>10484.209999999999</v>
          </cell>
          <cell r="I647">
            <v>125700.03</v>
          </cell>
          <cell r="J647">
            <v>91578</v>
          </cell>
          <cell r="K647" t="str">
            <v>MP</v>
          </cell>
        </row>
        <row r="648">
          <cell r="A648" t="str">
            <v>994632-SLR</v>
          </cell>
          <cell r="B648">
            <v>12451</v>
          </cell>
          <cell r="C648">
            <v>112.27</v>
          </cell>
          <cell r="D648">
            <v>0</v>
          </cell>
          <cell r="E648">
            <v>18.8</v>
          </cell>
          <cell r="F648">
            <v>0</v>
          </cell>
          <cell r="G648">
            <v>458.05</v>
          </cell>
          <cell r="H648">
            <v>589.12</v>
          </cell>
          <cell r="I648">
            <v>651.14</v>
          </cell>
          <cell r="J648">
            <v>92172</v>
          </cell>
          <cell r="K648" t="str">
            <v>MP</v>
          </cell>
        </row>
        <row r="649">
          <cell r="A649" t="str">
            <v>994633-SLR</v>
          </cell>
          <cell r="B649">
            <v>12698</v>
          </cell>
          <cell r="C649">
            <v>353.54</v>
          </cell>
          <cell r="D649">
            <v>26.9</v>
          </cell>
          <cell r="E649">
            <v>477</v>
          </cell>
          <cell r="F649">
            <v>559.36</v>
          </cell>
          <cell r="G649">
            <v>1887.27</v>
          </cell>
          <cell r="H649">
            <v>3304.07</v>
          </cell>
          <cell r="I649">
            <v>13100.05</v>
          </cell>
          <cell r="J649">
            <v>91750</v>
          </cell>
          <cell r="K649" t="str">
            <v>MP</v>
          </cell>
        </row>
        <row r="650">
          <cell r="A650" t="str">
            <v>994637-SLR</v>
          </cell>
          <cell r="B650">
            <v>12602</v>
          </cell>
          <cell r="C650">
            <v>254.02</v>
          </cell>
          <cell r="D650">
            <v>5.87</v>
          </cell>
          <cell r="E650">
            <v>477</v>
          </cell>
          <cell r="F650">
            <v>198.26</v>
          </cell>
          <cell r="G650">
            <v>353.14</v>
          </cell>
          <cell r="H650">
            <v>1288.29</v>
          </cell>
          <cell r="I650">
            <v>2682.98</v>
          </cell>
          <cell r="J650">
            <v>93112</v>
          </cell>
          <cell r="K650" t="str">
            <v>MP</v>
          </cell>
        </row>
        <row r="651">
          <cell r="A651" t="str">
            <v>994638-SLR</v>
          </cell>
          <cell r="B651">
            <v>12624</v>
          </cell>
          <cell r="C651">
            <v>190.1</v>
          </cell>
          <cell r="D651">
            <v>16.399999999999999</v>
          </cell>
          <cell r="E651">
            <v>477</v>
          </cell>
          <cell r="F651">
            <v>372.57</v>
          </cell>
          <cell r="G651">
            <v>410.7</v>
          </cell>
          <cell r="H651">
            <v>1466.77</v>
          </cell>
          <cell r="I651">
            <v>8007.42</v>
          </cell>
          <cell r="J651">
            <v>91147</v>
          </cell>
          <cell r="K651" t="str">
            <v>MP</v>
          </cell>
        </row>
        <row r="652">
          <cell r="A652" t="str">
            <v>994642-SLR</v>
          </cell>
          <cell r="B652">
            <v>12725</v>
          </cell>
          <cell r="C652">
            <v>512.04999999999995</v>
          </cell>
          <cell r="D652">
            <v>18.8</v>
          </cell>
          <cell r="E652">
            <v>477</v>
          </cell>
          <cell r="F652">
            <v>427.41</v>
          </cell>
          <cell r="G652">
            <v>1983.75</v>
          </cell>
          <cell r="H652">
            <v>3419.01</v>
          </cell>
          <cell r="I652">
            <v>8915.58</v>
          </cell>
          <cell r="J652">
            <v>92094</v>
          </cell>
          <cell r="K652" t="str">
            <v>MP</v>
          </cell>
        </row>
        <row r="653">
          <cell r="A653" t="str">
            <v>994643-SLR</v>
          </cell>
          <cell r="B653">
            <v>12747</v>
          </cell>
          <cell r="C653">
            <v>631.80999999999995</v>
          </cell>
          <cell r="D653">
            <v>28.56</v>
          </cell>
          <cell r="E653">
            <v>477</v>
          </cell>
          <cell r="F653">
            <v>577.79</v>
          </cell>
          <cell r="G653">
            <v>1858.96</v>
          </cell>
          <cell r="H653">
            <v>3574.12</v>
          </cell>
          <cell r="I653">
            <v>13639.36</v>
          </cell>
          <cell r="J653">
            <v>92107</v>
          </cell>
          <cell r="K653" t="str">
            <v>MP</v>
          </cell>
        </row>
        <row r="654">
          <cell r="A654" t="str">
            <v>994644-SLR</v>
          </cell>
          <cell r="B654">
            <v>12677</v>
          </cell>
          <cell r="C654">
            <v>498.96</v>
          </cell>
          <cell r="D654">
            <v>118.32</v>
          </cell>
          <cell r="E654">
            <v>477</v>
          </cell>
          <cell r="F654">
            <v>345.78</v>
          </cell>
          <cell r="G654">
            <v>1370.15</v>
          </cell>
          <cell r="H654">
            <v>2810.21</v>
          </cell>
          <cell r="I654">
            <v>7098.78</v>
          </cell>
          <cell r="J654">
            <v>92088</v>
          </cell>
          <cell r="K654" t="str">
            <v>MP</v>
          </cell>
        </row>
        <row r="655">
          <cell r="A655" t="str">
            <v>994646-SLR</v>
          </cell>
          <cell r="B655">
            <v>12678</v>
          </cell>
          <cell r="C655">
            <v>196.41</v>
          </cell>
          <cell r="D655">
            <v>1.1399999999999999</v>
          </cell>
          <cell r="E655">
            <v>477</v>
          </cell>
          <cell r="F655">
            <v>144.91</v>
          </cell>
          <cell r="G655">
            <v>108.62</v>
          </cell>
          <cell r="H655">
            <v>928.07999999999993</v>
          </cell>
          <cell r="I655">
            <v>374.12</v>
          </cell>
          <cell r="J655">
            <v>90390</v>
          </cell>
          <cell r="K655" t="str">
            <v>MP</v>
          </cell>
        </row>
        <row r="656">
          <cell r="A656" t="str">
            <v>994647-SLR</v>
          </cell>
          <cell r="B656">
            <v>12701</v>
          </cell>
          <cell r="C656">
            <v>149.65</v>
          </cell>
          <cell r="D656">
            <v>37.19</v>
          </cell>
          <cell r="E656">
            <v>477</v>
          </cell>
          <cell r="F656">
            <v>675.25</v>
          </cell>
          <cell r="G656">
            <v>2608.33</v>
          </cell>
          <cell r="H656">
            <v>3947.42</v>
          </cell>
          <cell r="I656">
            <v>18444.12</v>
          </cell>
          <cell r="J656">
            <v>90349</v>
          </cell>
          <cell r="K656" t="str">
            <v>MP</v>
          </cell>
        </row>
        <row r="657">
          <cell r="A657" t="str">
            <v>994648-SLR</v>
          </cell>
          <cell r="B657">
            <v>12650</v>
          </cell>
          <cell r="C657">
            <v>627.41</v>
          </cell>
          <cell r="D657">
            <v>29.19</v>
          </cell>
          <cell r="E657">
            <v>477</v>
          </cell>
          <cell r="F657">
            <v>585.04999999999995</v>
          </cell>
          <cell r="G657">
            <v>1608.45</v>
          </cell>
          <cell r="H657">
            <v>3327.1</v>
          </cell>
          <cell r="I657">
            <v>13965.7</v>
          </cell>
          <cell r="J657">
            <v>92255</v>
          </cell>
          <cell r="K657" t="str">
            <v>MP</v>
          </cell>
        </row>
        <row r="658">
          <cell r="A658" t="str">
            <v>994650-SLR</v>
          </cell>
          <cell r="B658">
            <v>12679</v>
          </cell>
          <cell r="C658">
            <v>272.27999999999997</v>
          </cell>
          <cell r="D658">
            <v>21.16</v>
          </cell>
          <cell r="E658">
            <v>477</v>
          </cell>
          <cell r="F658">
            <v>478.98</v>
          </cell>
          <cell r="G658">
            <v>1484.74</v>
          </cell>
          <cell r="H658">
            <v>2734.16</v>
          </cell>
          <cell r="I658">
            <v>10314.49</v>
          </cell>
          <cell r="J658">
            <v>90503</v>
          </cell>
          <cell r="K658" t="str">
            <v>MP</v>
          </cell>
        </row>
        <row r="659">
          <cell r="A659" t="str">
            <v>994651-SLR</v>
          </cell>
          <cell r="B659">
            <v>12542</v>
          </cell>
          <cell r="C659">
            <v>0</v>
          </cell>
          <cell r="D659">
            <v>0</v>
          </cell>
          <cell r="E659">
            <v>18.829999999999998</v>
          </cell>
          <cell r="F659">
            <v>0</v>
          </cell>
          <cell r="G659">
            <v>16.22</v>
          </cell>
          <cell r="H659">
            <v>35.049999999999997</v>
          </cell>
          <cell r="I659">
            <v>27.03</v>
          </cell>
          <cell r="J659">
            <v>92124</v>
          </cell>
          <cell r="K659" t="str">
            <v>MP</v>
          </cell>
        </row>
        <row r="660">
          <cell r="A660" t="str">
            <v>994652-SLR</v>
          </cell>
          <cell r="B660">
            <v>12541</v>
          </cell>
          <cell r="C660">
            <v>0</v>
          </cell>
          <cell r="D660">
            <v>0</v>
          </cell>
          <cell r="E660">
            <v>18.829999999999998</v>
          </cell>
          <cell r="F660">
            <v>0</v>
          </cell>
          <cell r="G660">
            <v>50.67</v>
          </cell>
          <cell r="H660">
            <v>69.5</v>
          </cell>
          <cell r="I660">
            <v>84.46</v>
          </cell>
          <cell r="J660">
            <v>93050</v>
          </cell>
          <cell r="K660" t="str">
            <v>MP</v>
          </cell>
        </row>
        <row r="661">
          <cell r="A661" t="str">
            <v>994654-SLR</v>
          </cell>
          <cell r="B661">
            <v>12726</v>
          </cell>
          <cell r="C661">
            <v>180.75</v>
          </cell>
          <cell r="D661">
            <v>4.17</v>
          </cell>
          <cell r="E661">
            <v>477</v>
          </cell>
          <cell r="F661">
            <v>179.02</v>
          </cell>
          <cell r="G661">
            <v>292.25</v>
          </cell>
          <cell r="H661">
            <v>1133.19</v>
          </cell>
          <cell r="I661">
            <v>1902.6</v>
          </cell>
          <cell r="J661">
            <v>93302</v>
          </cell>
          <cell r="K661" t="str">
            <v>MP</v>
          </cell>
        </row>
        <row r="662">
          <cell r="A662" t="str">
            <v>994655-SLR</v>
          </cell>
          <cell r="B662">
            <v>12727</v>
          </cell>
          <cell r="C662">
            <v>17101.91</v>
          </cell>
          <cell r="D662">
            <v>152.76</v>
          </cell>
          <cell r="E662">
            <v>477</v>
          </cell>
          <cell r="F662">
            <v>1713.72</v>
          </cell>
          <cell r="G662">
            <v>7774.24</v>
          </cell>
          <cell r="H662">
            <v>27219.629999999997</v>
          </cell>
          <cell r="I662">
            <v>47530.68</v>
          </cell>
          <cell r="J662">
            <v>93175</v>
          </cell>
          <cell r="K662" t="str">
            <v>MP</v>
          </cell>
        </row>
        <row r="663">
          <cell r="A663" t="str">
            <v>994657-SLR</v>
          </cell>
          <cell r="B663">
            <v>12625</v>
          </cell>
          <cell r="C663">
            <v>341.2</v>
          </cell>
          <cell r="D663">
            <v>44.86</v>
          </cell>
          <cell r="E663">
            <v>477</v>
          </cell>
          <cell r="F663">
            <v>769.53</v>
          </cell>
          <cell r="G663">
            <v>3273.09</v>
          </cell>
          <cell r="H663">
            <v>4905.68</v>
          </cell>
          <cell r="I663">
            <v>22435.200000000001</v>
          </cell>
          <cell r="J663">
            <v>92172</v>
          </cell>
          <cell r="K663" t="str">
            <v>MP</v>
          </cell>
        </row>
        <row r="664">
          <cell r="A664" t="str">
            <v>994660-SLR</v>
          </cell>
          <cell r="B664">
            <v>12728</v>
          </cell>
          <cell r="C664">
            <v>336.38</v>
          </cell>
          <cell r="D664">
            <v>9.1300000000000008</v>
          </cell>
          <cell r="E664">
            <v>477</v>
          </cell>
          <cell r="F664">
            <v>234.9</v>
          </cell>
          <cell r="G664">
            <v>868.51</v>
          </cell>
          <cell r="H664">
            <v>1925.92</v>
          </cell>
          <cell r="I664">
            <v>4225.6000000000004</v>
          </cell>
          <cell r="J664">
            <v>90013</v>
          </cell>
          <cell r="K664" t="str">
            <v>MP</v>
          </cell>
        </row>
        <row r="665">
          <cell r="A665" t="str">
            <v>994662-SLR</v>
          </cell>
          <cell r="B665">
            <v>12781</v>
          </cell>
          <cell r="C665">
            <v>209.96</v>
          </cell>
          <cell r="D665">
            <v>51.04</v>
          </cell>
          <cell r="E665">
            <v>477</v>
          </cell>
          <cell r="F665">
            <v>834.38</v>
          </cell>
          <cell r="G665">
            <v>1278.52</v>
          </cell>
          <cell r="H665">
            <v>2850.9</v>
          </cell>
          <cell r="I665">
            <v>25309.360000000001</v>
          </cell>
          <cell r="J665">
            <v>91471</v>
          </cell>
          <cell r="K665" t="str">
            <v>MP</v>
          </cell>
        </row>
        <row r="666">
          <cell r="A666" t="str">
            <v>994663-SLR</v>
          </cell>
          <cell r="B666">
            <v>12681</v>
          </cell>
          <cell r="C666">
            <v>205.77</v>
          </cell>
          <cell r="D666">
            <v>3.33</v>
          </cell>
          <cell r="E666">
            <v>477</v>
          </cell>
          <cell r="F666">
            <v>169.58</v>
          </cell>
          <cell r="G666">
            <v>233.54</v>
          </cell>
          <cell r="H666">
            <v>1089.22</v>
          </cell>
          <cell r="I666">
            <v>1459.07</v>
          </cell>
          <cell r="J666">
            <v>93285</v>
          </cell>
          <cell r="K666" t="str">
            <v>MP</v>
          </cell>
        </row>
        <row r="667">
          <cell r="A667" t="str">
            <v>994665-SLR</v>
          </cell>
          <cell r="B667">
            <v>12682</v>
          </cell>
          <cell r="C667">
            <v>205.77</v>
          </cell>
          <cell r="D667">
            <v>2.5099999999999998</v>
          </cell>
          <cell r="E667">
            <v>477</v>
          </cell>
          <cell r="F667">
            <v>160.31</v>
          </cell>
          <cell r="G667">
            <v>238.61</v>
          </cell>
          <cell r="H667">
            <v>1084.1999999999998</v>
          </cell>
          <cell r="I667">
            <v>1047.54</v>
          </cell>
          <cell r="J667">
            <v>92144</v>
          </cell>
          <cell r="K667" t="str">
            <v>MP</v>
          </cell>
        </row>
        <row r="668">
          <cell r="A668" t="str">
            <v>994667-SLR</v>
          </cell>
          <cell r="B668">
            <v>12683</v>
          </cell>
          <cell r="C668">
            <v>536.89</v>
          </cell>
          <cell r="D668">
            <v>5.31</v>
          </cell>
          <cell r="E668">
            <v>477</v>
          </cell>
          <cell r="F668">
            <v>191.93</v>
          </cell>
          <cell r="G668">
            <v>505.69</v>
          </cell>
          <cell r="H668">
            <v>1716.82</v>
          </cell>
          <cell r="I668">
            <v>2119.48</v>
          </cell>
          <cell r="J668">
            <v>93006</v>
          </cell>
          <cell r="K668" t="str">
            <v>MP</v>
          </cell>
        </row>
        <row r="669">
          <cell r="A669" t="str">
            <v>994669-SLR</v>
          </cell>
          <cell r="B669">
            <v>12748</v>
          </cell>
          <cell r="C669">
            <v>179.01</v>
          </cell>
          <cell r="D669">
            <v>5.0999999999999996</v>
          </cell>
          <cell r="E669">
            <v>477</v>
          </cell>
          <cell r="F669">
            <v>193.55</v>
          </cell>
          <cell r="G669">
            <v>382.64</v>
          </cell>
          <cell r="H669">
            <v>1237.3000000000002</v>
          </cell>
          <cell r="I669">
            <v>2549.0500000000002</v>
          </cell>
          <cell r="J669">
            <v>90097</v>
          </cell>
          <cell r="K669" t="str">
            <v>MP</v>
          </cell>
        </row>
        <row r="670">
          <cell r="A670" t="str">
            <v>994670-SLR</v>
          </cell>
          <cell r="B670">
            <v>12684</v>
          </cell>
          <cell r="C670">
            <v>182.38</v>
          </cell>
          <cell r="D670">
            <v>1.98</v>
          </cell>
          <cell r="E670">
            <v>477</v>
          </cell>
          <cell r="F670">
            <v>154.32</v>
          </cell>
          <cell r="G670">
            <v>128.69</v>
          </cell>
          <cell r="H670">
            <v>944.37000000000012</v>
          </cell>
          <cell r="I670">
            <v>805.57</v>
          </cell>
          <cell r="J670">
            <v>93103</v>
          </cell>
          <cell r="K670" t="str">
            <v>MP</v>
          </cell>
        </row>
        <row r="671">
          <cell r="A671" t="str">
            <v>994671-SLR</v>
          </cell>
          <cell r="B671">
            <v>12712</v>
          </cell>
          <cell r="C671">
            <v>2421.63</v>
          </cell>
          <cell r="D671">
            <v>63.28</v>
          </cell>
          <cell r="E671">
            <v>477</v>
          </cell>
          <cell r="F671">
            <v>969.37</v>
          </cell>
          <cell r="G671">
            <v>6023.6</v>
          </cell>
          <cell r="H671">
            <v>9954.880000000001</v>
          </cell>
          <cell r="I671">
            <v>29218.23</v>
          </cell>
          <cell r="J671">
            <v>91178</v>
          </cell>
          <cell r="K671" t="str">
            <v>MP</v>
          </cell>
        </row>
        <row r="672">
          <cell r="A672" t="str">
            <v>994672-SLR</v>
          </cell>
          <cell r="B672">
            <v>12749</v>
          </cell>
          <cell r="C672">
            <v>289.29000000000002</v>
          </cell>
          <cell r="D672">
            <v>78.790000000000006</v>
          </cell>
          <cell r="E672">
            <v>477</v>
          </cell>
          <cell r="F672">
            <v>244.67</v>
          </cell>
          <cell r="G672">
            <v>1176.17</v>
          </cell>
          <cell r="H672">
            <v>2265.92</v>
          </cell>
          <cell r="I672">
            <v>6274.22</v>
          </cell>
          <cell r="J672">
            <v>92174</v>
          </cell>
          <cell r="K672" t="str">
            <v>MP</v>
          </cell>
        </row>
        <row r="673">
          <cell r="A673" t="str">
            <v>994676-SLR</v>
          </cell>
          <cell r="B673">
            <v>12685</v>
          </cell>
          <cell r="C673">
            <v>721.87</v>
          </cell>
          <cell r="D673">
            <v>29.56</v>
          </cell>
          <cell r="E673">
            <v>477</v>
          </cell>
          <cell r="F673">
            <v>589.29</v>
          </cell>
          <cell r="G673">
            <v>3004</v>
          </cell>
          <cell r="H673">
            <v>4821.7199999999993</v>
          </cell>
          <cell r="I673">
            <v>14059.21</v>
          </cell>
          <cell r="J673">
            <v>93013</v>
          </cell>
          <cell r="K673" t="str">
            <v>MP</v>
          </cell>
        </row>
        <row r="674">
          <cell r="A674" t="str">
            <v>994677-SLR</v>
          </cell>
          <cell r="B674">
            <v>12765</v>
          </cell>
          <cell r="C674">
            <v>711.3</v>
          </cell>
          <cell r="D674">
            <v>13.09</v>
          </cell>
          <cell r="E674">
            <v>477</v>
          </cell>
          <cell r="F674">
            <v>211.09</v>
          </cell>
          <cell r="G674">
            <v>667.43</v>
          </cell>
          <cell r="H674">
            <v>2079.91</v>
          </cell>
          <cell r="I674">
            <v>2794.5</v>
          </cell>
          <cell r="J674">
            <v>93030</v>
          </cell>
          <cell r="K674" t="str">
            <v>MP</v>
          </cell>
        </row>
        <row r="675">
          <cell r="A675" t="str">
            <v>994678-SLR</v>
          </cell>
          <cell r="B675">
            <v>12687</v>
          </cell>
          <cell r="C675">
            <v>143.07</v>
          </cell>
          <cell r="D675">
            <v>4.1900000000000004</v>
          </cell>
          <cell r="E675">
            <v>477</v>
          </cell>
          <cell r="F675">
            <v>157.47</v>
          </cell>
          <cell r="G675">
            <v>214.66</v>
          </cell>
          <cell r="H675">
            <v>996.39</v>
          </cell>
          <cell r="I675">
            <v>984.44</v>
          </cell>
          <cell r="J675">
            <v>93030</v>
          </cell>
          <cell r="K675" t="str">
            <v>MP</v>
          </cell>
        </row>
        <row r="676">
          <cell r="A676" t="str">
            <v>994680-SLR</v>
          </cell>
          <cell r="B676">
            <v>12689</v>
          </cell>
          <cell r="C676">
            <v>1265.22</v>
          </cell>
          <cell r="D676">
            <v>39.49</v>
          </cell>
          <cell r="E676">
            <v>477</v>
          </cell>
          <cell r="F676">
            <v>701.16</v>
          </cell>
          <cell r="G676">
            <v>3758.71</v>
          </cell>
          <cell r="H676">
            <v>6241.58</v>
          </cell>
          <cell r="I676">
            <v>18477.990000000002</v>
          </cell>
          <cell r="J676">
            <v>90013</v>
          </cell>
          <cell r="K676" t="str">
            <v>MP</v>
          </cell>
        </row>
        <row r="677">
          <cell r="A677" t="str">
            <v>994683-SLR</v>
          </cell>
          <cell r="B677">
            <v>12691</v>
          </cell>
          <cell r="C677">
            <v>358.55</v>
          </cell>
          <cell r="D677">
            <v>2.2999999999999998</v>
          </cell>
          <cell r="E677">
            <v>477</v>
          </cell>
          <cell r="F677">
            <v>152.55000000000001</v>
          </cell>
          <cell r="G677">
            <v>109.35</v>
          </cell>
          <cell r="H677">
            <v>1099.75</v>
          </cell>
          <cell r="I677">
            <v>554.45000000000005</v>
          </cell>
          <cell r="J677">
            <v>92302</v>
          </cell>
          <cell r="K677" t="str">
            <v>MP</v>
          </cell>
        </row>
        <row r="678">
          <cell r="A678" t="str">
            <v>994688-SLR</v>
          </cell>
          <cell r="B678">
            <v>12692</v>
          </cell>
          <cell r="C678">
            <v>1504.71</v>
          </cell>
          <cell r="D678">
            <v>12.59</v>
          </cell>
          <cell r="E678">
            <v>477</v>
          </cell>
          <cell r="F678">
            <v>287.54000000000002</v>
          </cell>
          <cell r="G678">
            <v>756.37</v>
          </cell>
          <cell r="H678">
            <v>3038.21</v>
          </cell>
          <cell r="I678">
            <v>4785.74</v>
          </cell>
          <cell r="J678">
            <v>92315</v>
          </cell>
          <cell r="K678" t="str">
            <v>MP</v>
          </cell>
        </row>
        <row r="679">
          <cell r="A679" t="str">
            <v>994690-SLR</v>
          </cell>
          <cell r="B679">
            <v>12693</v>
          </cell>
          <cell r="C679">
            <v>1137.72</v>
          </cell>
          <cell r="D679">
            <v>34.83</v>
          </cell>
          <cell r="E679">
            <v>477</v>
          </cell>
          <cell r="F679">
            <v>648.61</v>
          </cell>
          <cell r="G679">
            <v>2093.64</v>
          </cell>
          <cell r="H679">
            <v>4391.7999999999993</v>
          </cell>
          <cell r="I679">
            <v>16274.44</v>
          </cell>
          <cell r="J679">
            <v>92316</v>
          </cell>
          <cell r="K679" t="str">
            <v>MP</v>
          </cell>
        </row>
        <row r="680">
          <cell r="A680" t="str">
            <v>994693-SLR</v>
          </cell>
          <cell r="B680">
            <v>12729</v>
          </cell>
          <cell r="C680">
            <v>1299.6500000000001</v>
          </cell>
          <cell r="D680">
            <v>11.42</v>
          </cell>
          <cell r="E680">
            <v>477</v>
          </cell>
          <cell r="F680">
            <v>261.69</v>
          </cell>
          <cell r="G680">
            <v>1087.19</v>
          </cell>
          <cell r="H680">
            <v>3136.9500000000003</v>
          </cell>
          <cell r="I680">
            <v>4410.99</v>
          </cell>
          <cell r="J680">
            <v>90219</v>
          </cell>
          <cell r="K680" t="str">
            <v>MP</v>
          </cell>
        </row>
        <row r="681">
          <cell r="A681" t="str">
            <v>994694-SLR</v>
          </cell>
          <cell r="B681">
            <v>12627</v>
          </cell>
          <cell r="C681">
            <v>378.2</v>
          </cell>
          <cell r="D681">
            <v>3.06</v>
          </cell>
          <cell r="E681">
            <v>477</v>
          </cell>
          <cell r="F681">
            <v>166.56</v>
          </cell>
          <cell r="G681">
            <v>291.45</v>
          </cell>
          <cell r="H681">
            <v>1316.27</v>
          </cell>
          <cell r="I681">
            <v>1152.6600000000001</v>
          </cell>
          <cell r="J681">
            <v>93050</v>
          </cell>
          <cell r="K681" t="str">
            <v>MP</v>
          </cell>
        </row>
        <row r="682">
          <cell r="A682" t="str">
            <v>994695-SLR</v>
          </cell>
          <cell r="B682">
            <v>12730</v>
          </cell>
          <cell r="C682">
            <v>873.46</v>
          </cell>
          <cell r="D682">
            <v>15.53</v>
          </cell>
          <cell r="E682">
            <v>477</v>
          </cell>
          <cell r="F682">
            <v>352.93</v>
          </cell>
          <cell r="G682">
            <v>1476.79</v>
          </cell>
          <cell r="H682">
            <v>3195.71</v>
          </cell>
          <cell r="I682">
            <v>6883.61</v>
          </cell>
          <cell r="J682">
            <v>91975</v>
          </cell>
          <cell r="K682" t="str">
            <v>MP</v>
          </cell>
        </row>
        <row r="683">
          <cell r="A683" t="str">
            <v>994696-SLR</v>
          </cell>
          <cell r="B683">
            <v>12628</v>
          </cell>
          <cell r="C683">
            <v>233.96</v>
          </cell>
          <cell r="D683">
            <v>3.16</v>
          </cell>
          <cell r="E683">
            <v>477</v>
          </cell>
          <cell r="F683">
            <v>167.65</v>
          </cell>
          <cell r="G683">
            <v>205.71</v>
          </cell>
          <cell r="H683">
            <v>1087.48</v>
          </cell>
          <cell r="I683">
            <v>1345.29</v>
          </cell>
          <cell r="J683">
            <v>93382</v>
          </cell>
          <cell r="K683" t="str">
            <v>MP</v>
          </cell>
        </row>
        <row r="684">
          <cell r="A684" t="str">
            <v>994697-SLR</v>
          </cell>
          <cell r="B684">
            <v>12694</v>
          </cell>
          <cell r="C684">
            <v>109.58</v>
          </cell>
          <cell r="D684">
            <v>6.4</v>
          </cell>
          <cell r="E684">
            <v>477</v>
          </cell>
          <cell r="F684">
            <v>204.11</v>
          </cell>
          <cell r="G684">
            <v>448.35</v>
          </cell>
          <cell r="H684">
            <v>1245.44</v>
          </cell>
          <cell r="I684">
            <v>3086.49</v>
          </cell>
          <cell r="J684">
            <v>92167</v>
          </cell>
          <cell r="K684" t="str">
            <v>MP</v>
          </cell>
        </row>
        <row r="685">
          <cell r="A685" t="str">
            <v>994698-SLR</v>
          </cell>
          <cell r="B685">
            <v>12695</v>
          </cell>
          <cell r="C685">
            <v>109.58</v>
          </cell>
          <cell r="D685">
            <v>6.4</v>
          </cell>
          <cell r="E685">
            <v>477</v>
          </cell>
          <cell r="F685">
            <v>204.11</v>
          </cell>
          <cell r="G685">
            <v>448.35</v>
          </cell>
          <cell r="H685">
            <v>1245.44</v>
          </cell>
          <cell r="I685">
            <v>3086.49</v>
          </cell>
          <cell r="J685">
            <v>92167</v>
          </cell>
          <cell r="K685" t="str">
            <v>MP</v>
          </cell>
        </row>
        <row r="686">
          <cell r="A686" t="str">
            <v>994699-SLR</v>
          </cell>
          <cell r="B686">
            <v>12629</v>
          </cell>
          <cell r="C686">
            <v>2054.98</v>
          </cell>
          <cell r="D686">
            <v>7.51</v>
          </cell>
          <cell r="E686">
            <v>477</v>
          </cell>
          <cell r="F686">
            <v>216.58</v>
          </cell>
          <cell r="G686">
            <v>450.83</v>
          </cell>
          <cell r="H686">
            <v>3206.9</v>
          </cell>
          <cell r="I686">
            <v>1694.43</v>
          </cell>
          <cell r="J686">
            <v>92287</v>
          </cell>
          <cell r="K686" t="str">
            <v>MP</v>
          </cell>
        </row>
        <row r="687">
          <cell r="A687" t="str">
            <v>994700-SLR</v>
          </cell>
          <cell r="B687">
            <v>12630</v>
          </cell>
          <cell r="C687">
            <v>107.23</v>
          </cell>
          <cell r="D687">
            <v>5.71</v>
          </cell>
          <cell r="E687">
            <v>477</v>
          </cell>
          <cell r="F687">
            <v>196.48</v>
          </cell>
          <cell r="G687">
            <v>486.79</v>
          </cell>
          <cell r="H687">
            <v>1273.21</v>
          </cell>
          <cell r="I687">
            <v>2750.54</v>
          </cell>
          <cell r="J687">
            <v>93261</v>
          </cell>
          <cell r="K687" t="str">
            <v>MP</v>
          </cell>
        </row>
        <row r="688">
          <cell r="A688" t="str">
            <v>994701-SLR</v>
          </cell>
          <cell r="B688">
            <v>12631</v>
          </cell>
          <cell r="C688">
            <v>107.23</v>
          </cell>
          <cell r="D688">
            <v>0.92</v>
          </cell>
          <cell r="E688">
            <v>477</v>
          </cell>
          <cell r="F688">
            <v>142.41999999999999</v>
          </cell>
          <cell r="G688">
            <v>78.31</v>
          </cell>
          <cell r="H688">
            <v>805.87999999999988</v>
          </cell>
          <cell r="I688">
            <v>352.53</v>
          </cell>
          <cell r="J688">
            <v>93261</v>
          </cell>
          <cell r="K688" t="str">
            <v>MP</v>
          </cell>
        </row>
        <row r="689">
          <cell r="A689" t="str">
            <v>994702-SLR</v>
          </cell>
          <cell r="B689">
            <v>12696</v>
          </cell>
          <cell r="C689">
            <v>215.42</v>
          </cell>
          <cell r="D689">
            <v>7.74</v>
          </cell>
          <cell r="E689">
            <v>477</v>
          </cell>
          <cell r="F689">
            <v>219.35</v>
          </cell>
          <cell r="G689">
            <v>543.23</v>
          </cell>
          <cell r="H689">
            <v>1462.74</v>
          </cell>
          <cell r="I689">
            <v>3657.02</v>
          </cell>
          <cell r="J689">
            <v>91814</v>
          </cell>
          <cell r="K689" t="str">
            <v>MP</v>
          </cell>
        </row>
        <row r="690">
          <cell r="A690" t="str">
            <v>994704-SLR</v>
          </cell>
          <cell r="B690">
            <v>12697</v>
          </cell>
          <cell r="C690">
            <v>185.1</v>
          </cell>
          <cell r="D690">
            <v>25.38</v>
          </cell>
          <cell r="E690">
            <v>477</v>
          </cell>
          <cell r="F690">
            <v>542.27</v>
          </cell>
          <cell r="G690">
            <v>1653.74</v>
          </cell>
          <cell r="H690">
            <v>2883.49</v>
          </cell>
          <cell r="I690">
            <v>12510.57</v>
          </cell>
          <cell r="J690">
            <v>93318</v>
          </cell>
          <cell r="K690" t="str">
            <v>MP</v>
          </cell>
        </row>
        <row r="691">
          <cell r="A691" t="str">
            <v>994714-SLR</v>
          </cell>
          <cell r="B691">
            <v>12731</v>
          </cell>
          <cell r="C691">
            <v>195.02</v>
          </cell>
          <cell r="D691">
            <v>1.79</v>
          </cell>
          <cell r="E691">
            <v>477</v>
          </cell>
          <cell r="F691">
            <v>152.13999999999999</v>
          </cell>
          <cell r="G691">
            <v>116.09</v>
          </cell>
          <cell r="H691">
            <v>942.04</v>
          </cell>
          <cell r="I691">
            <v>696.16</v>
          </cell>
          <cell r="J691">
            <v>93103</v>
          </cell>
          <cell r="K691" t="str">
            <v>MP</v>
          </cell>
        </row>
        <row r="692">
          <cell r="A692" t="str">
            <v>994715-SLR</v>
          </cell>
          <cell r="B692">
            <v>12732</v>
          </cell>
          <cell r="C692">
            <v>195.02</v>
          </cell>
          <cell r="D692">
            <v>1.45</v>
          </cell>
          <cell r="E692">
            <v>477</v>
          </cell>
          <cell r="F692">
            <v>148.29</v>
          </cell>
          <cell r="G692">
            <v>137.1</v>
          </cell>
          <cell r="H692">
            <v>958.86</v>
          </cell>
          <cell r="I692">
            <v>525.12</v>
          </cell>
          <cell r="J692">
            <v>92202</v>
          </cell>
          <cell r="K692" t="str">
            <v>MP</v>
          </cell>
        </row>
        <row r="693">
          <cell r="A693" t="str">
            <v>994716-SLR</v>
          </cell>
          <cell r="B693">
            <v>12713</v>
          </cell>
          <cell r="C693">
            <v>1420.02</v>
          </cell>
          <cell r="D693">
            <v>61.09</v>
          </cell>
          <cell r="E693">
            <v>477</v>
          </cell>
          <cell r="F693">
            <v>944.73</v>
          </cell>
          <cell r="G693">
            <v>3672.96</v>
          </cell>
          <cell r="H693">
            <v>6575.8</v>
          </cell>
          <cell r="I693">
            <v>29126.9</v>
          </cell>
          <cell r="J693">
            <v>92313</v>
          </cell>
          <cell r="K693" t="str">
            <v>MP</v>
          </cell>
        </row>
        <row r="694">
          <cell r="A694" t="str">
            <v>994717-SLR</v>
          </cell>
          <cell r="B694">
            <v>12733</v>
          </cell>
          <cell r="C694">
            <v>262.56</v>
          </cell>
          <cell r="D694">
            <v>10.64</v>
          </cell>
          <cell r="E694">
            <v>477</v>
          </cell>
          <cell r="F694">
            <v>251.98</v>
          </cell>
          <cell r="G694">
            <v>1119.3699999999999</v>
          </cell>
          <cell r="H694">
            <v>2121.5500000000002</v>
          </cell>
          <cell r="I694">
            <v>5057.1099999999997</v>
          </cell>
          <cell r="J694">
            <v>92172</v>
          </cell>
          <cell r="K694" t="str">
            <v>MP</v>
          </cell>
        </row>
        <row r="695">
          <cell r="A695" t="str">
            <v>994718-SLR</v>
          </cell>
          <cell r="B695">
            <v>12714</v>
          </cell>
          <cell r="C695">
            <v>2403.06</v>
          </cell>
          <cell r="D695">
            <v>12.86</v>
          </cell>
          <cell r="E695">
            <v>477</v>
          </cell>
          <cell r="F695">
            <v>293.70999999999998</v>
          </cell>
          <cell r="G695">
            <v>773.02</v>
          </cell>
          <cell r="H695">
            <v>3959.65</v>
          </cell>
          <cell r="I695">
            <v>4025.9</v>
          </cell>
          <cell r="J695">
            <v>92315</v>
          </cell>
          <cell r="K695" t="str">
            <v>MP</v>
          </cell>
        </row>
        <row r="696">
          <cell r="A696" t="str">
            <v>994719-SLR</v>
          </cell>
          <cell r="B696">
            <v>12715</v>
          </cell>
          <cell r="C696">
            <v>671.62</v>
          </cell>
          <cell r="D696">
            <v>96.27</v>
          </cell>
          <cell r="E696">
            <v>477</v>
          </cell>
          <cell r="F696">
            <v>1341.33</v>
          </cell>
          <cell r="G696">
            <v>6752.9</v>
          </cell>
          <cell r="H696">
            <v>9339.119999999999</v>
          </cell>
          <cell r="I696">
            <v>47467.11</v>
          </cell>
          <cell r="J696">
            <v>91750</v>
          </cell>
          <cell r="K696" t="str">
            <v>MP</v>
          </cell>
        </row>
        <row r="697">
          <cell r="A697" t="str">
            <v>994721-SLR</v>
          </cell>
          <cell r="B697">
            <v>12782</v>
          </cell>
          <cell r="C697">
            <v>190.87</v>
          </cell>
          <cell r="D697">
            <v>124.07</v>
          </cell>
          <cell r="E697">
            <v>477</v>
          </cell>
          <cell r="F697">
            <v>1654.58</v>
          </cell>
          <cell r="G697">
            <v>8701.9500000000007</v>
          </cell>
          <cell r="H697">
            <v>11148.470000000001</v>
          </cell>
          <cell r="I697">
            <v>61841.88</v>
          </cell>
          <cell r="J697">
            <v>92018</v>
          </cell>
          <cell r="K697" t="str">
            <v>MP</v>
          </cell>
        </row>
        <row r="698">
          <cell r="A698" t="str">
            <v>994730-SLR</v>
          </cell>
          <cell r="B698">
            <v>12605</v>
          </cell>
          <cell r="C698">
            <v>0</v>
          </cell>
          <cell r="D698">
            <v>0</v>
          </cell>
          <cell r="E698">
            <v>19.010000000000002</v>
          </cell>
          <cell r="F698">
            <v>0</v>
          </cell>
          <cell r="G698">
            <v>717.27</v>
          </cell>
          <cell r="H698">
            <v>736.28</v>
          </cell>
          <cell r="I698">
            <v>1195.45</v>
          </cell>
          <cell r="J698">
            <v>93050</v>
          </cell>
          <cell r="K698" t="str">
            <v>MP</v>
          </cell>
        </row>
        <row r="699">
          <cell r="A699" t="str">
            <v>994731-SLR</v>
          </cell>
          <cell r="B699">
            <v>12607</v>
          </cell>
          <cell r="C699">
            <v>364.37</v>
          </cell>
          <cell r="D699">
            <v>0</v>
          </cell>
          <cell r="E699">
            <v>19.010000000000002</v>
          </cell>
          <cell r="F699">
            <v>0</v>
          </cell>
          <cell r="G699">
            <v>625.13</v>
          </cell>
          <cell r="H699">
            <v>1008.51</v>
          </cell>
          <cell r="I699">
            <v>677.52</v>
          </cell>
          <cell r="J699">
            <v>91250</v>
          </cell>
          <cell r="K699" t="str">
            <v>MP</v>
          </cell>
        </row>
        <row r="700">
          <cell r="A700" t="str">
            <v>994733-SLR</v>
          </cell>
          <cell r="B700">
            <v>12783</v>
          </cell>
          <cell r="C700">
            <v>204.23</v>
          </cell>
          <cell r="D700">
            <v>16.43</v>
          </cell>
          <cell r="E700">
            <v>477</v>
          </cell>
          <cell r="F700">
            <v>373.61</v>
          </cell>
          <cell r="G700">
            <v>1153.21</v>
          </cell>
          <cell r="H700">
            <v>2224.48</v>
          </cell>
          <cell r="I700">
            <v>8016.54</v>
          </cell>
          <cell r="J700">
            <v>91750</v>
          </cell>
          <cell r="K700" t="str">
            <v>MP</v>
          </cell>
        </row>
        <row r="701">
          <cell r="A701" t="str">
            <v>994735-SLR</v>
          </cell>
          <cell r="B701">
            <v>12751</v>
          </cell>
          <cell r="C701">
            <v>560.33000000000004</v>
          </cell>
          <cell r="D701">
            <v>37.619999999999997</v>
          </cell>
          <cell r="E701">
            <v>477</v>
          </cell>
          <cell r="F701">
            <v>692.7</v>
          </cell>
          <cell r="G701">
            <v>2522.89</v>
          </cell>
          <cell r="H701">
            <v>4290.54</v>
          </cell>
          <cell r="I701">
            <v>18808.91</v>
          </cell>
          <cell r="J701">
            <v>92107</v>
          </cell>
          <cell r="K701" t="str">
            <v>MP</v>
          </cell>
        </row>
        <row r="702">
          <cell r="A702" t="str">
            <v>994739-SLR</v>
          </cell>
          <cell r="B702">
            <v>12752</v>
          </cell>
          <cell r="C702">
            <v>680.71</v>
          </cell>
          <cell r="D702">
            <v>7.74</v>
          </cell>
          <cell r="E702">
            <v>477</v>
          </cell>
          <cell r="F702">
            <v>234.72</v>
          </cell>
          <cell r="G702">
            <v>866.97</v>
          </cell>
          <cell r="H702">
            <v>2267.1400000000003</v>
          </cell>
          <cell r="I702">
            <v>3874.56</v>
          </cell>
          <cell r="J702">
            <v>91678</v>
          </cell>
          <cell r="K702" t="str">
            <v>MP</v>
          </cell>
        </row>
        <row r="703">
          <cell r="A703" t="str">
            <v>994741-SLR</v>
          </cell>
          <cell r="B703">
            <v>12718</v>
          </cell>
          <cell r="C703">
            <v>199.77</v>
          </cell>
          <cell r="D703">
            <v>15.33</v>
          </cell>
          <cell r="E703">
            <v>477</v>
          </cell>
          <cell r="F703">
            <v>357.99</v>
          </cell>
          <cell r="G703">
            <v>1104.0899999999999</v>
          </cell>
          <cell r="H703">
            <v>2154.1800000000003</v>
          </cell>
          <cell r="I703">
            <v>7671.28</v>
          </cell>
          <cell r="J703">
            <v>90512</v>
          </cell>
          <cell r="K703" t="str">
            <v>MP</v>
          </cell>
        </row>
        <row r="704">
          <cell r="A704" t="str">
            <v>994742-SLR</v>
          </cell>
          <cell r="B704">
            <v>12704</v>
          </cell>
          <cell r="C704">
            <v>170.86</v>
          </cell>
          <cell r="D704">
            <v>0.79</v>
          </cell>
          <cell r="E704">
            <v>477</v>
          </cell>
          <cell r="F704">
            <v>136.78</v>
          </cell>
          <cell r="G704">
            <v>39.99</v>
          </cell>
          <cell r="H704">
            <v>825.42</v>
          </cell>
          <cell r="I704">
            <v>39.200000000000003</v>
          </cell>
          <cell r="J704">
            <v>93030</v>
          </cell>
          <cell r="K704" t="str">
            <v>MP</v>
          </cell>
        </row>
        <row r="705">
          <cell r="A705" t="str">
            <v>994743-SLR</v>
          </cell>
          <cell r="B705">
            <v>12753</v>
          </cell>
          <cell r="C705">
            <v>175.36</v>
          </cell>
          <cell r="D705">
            <v>0.44</v>
          </cell>
          <cell r="E705">
            <v>477</v>
          </cell>
          <cell r="F705">
            <v>136.97999999999999</v>
          </cell>
          <cell r="G705">
            <v>41.66</v>
          </cell>
          <cell r="H705">
            <v>831.43999999999994</v>
          </cell>
          <cell r="I705">
            <v>43.45</v>
          </cell>
          <cell r="J705">
            <v>91462</v>
          </cell>
          <cell r="K705" t="str">
            <v>MP</v>
          </cell>
        </row>
        <row r="706">
          <cell r="A706" t="str">
            <v>994747-SLR</v>
          </cell>
          <cell r="B706">
            <v>12639</v>
          </cell>
          <cell r="C706">
            <v>0</v>
          </cell>
          <cell r="D706">
            <v>0</v>
          </cell>
          <cell r="E706">
            <v>0</v>
          </cell>
          <cell r="F706">
            <v>0</v>
          </cell>
          <cell r="G706">
            <v>102.21</v>
          </cell>
          <cell r="H706">
            <v>102.21</v>
          </cell>
          <cell r="I706">
            <v>170.34</v>
          </cell>
          <cell r="J706">
            <v>93050</v>
          </cell>
          <cell r="K706" t="str">
            <v>MP</v>
          </cell>
        </row>
        <row r="707">
          <cell r="A707" t="str">
            <v>994748-SLR</v>
          </cell>
          <cell r="B707">
            <v>12641</v>
          </cell>
          <cell r="C707">
            <v>0</v>
          </cell>
          <cell r="D707">
            <v>0</v>
          </cell>
          <cell r="E707">
            <v>19.23</v>
          </cell>
          <cell r="F707">
            <v>0</v>
          </cell>
          <cell r="G707">
            <v>590.52</v>
          </cell>
          <cell r="H707">
            <v>609.75</v>
          </cell>
          <cell r="I707">
            <v>984.2</v>
          </cell>
          <cell r="J707">
            <v>93050</v>
          </cell>
          <cell r="K707" t="str">
            <v>MP</v>
          </cell>
        </row>
        <row r="708">
          <cell r="A708" t="str">
            <v>994779-SLR</v>
          </cell>
          <cell r="B708">
            <v>12735</v>
          </cell>
          <cell r="C708">
            <v>266.36</v>
          </cell>
          <cell r="D708">
            <v>3.46</v>
          </cell>
          <cell r="E708">
            <v>477</v>
          </cell>
          <cell r="F708">
            <v>170.99</v>
          </cell>
          <cell r="G708">
            <v>328.84</v>
          </cell>
          <cell r="H708">
            <v>1246.6499999999999</v>
          </cell>
          <cell r="I708">
            <v>1460.91</v>
          </cell>
          <cell r="J708">
            <v>91591</v>
          </cell>
          <cell r="K708" t="str">
            <v>MP</v>
          </cell>
        </row>
        <row r="709">
          <cell r="A709" t="str">
            <v>994781-SLR</v>
          </cell>
          <cell r="B709">
            <v>12754</v>
          </cell>
          <cell r="C709">
            <v>294.45999999999998</v>
          </cell>
          <cell r="D709">
            <v>5.6</v>
          </cell>
          <cell r="E709">
            <v>477</v>
          </cell>
          <cell r="F709">
            <v>139.59</v>
          </cell>
          <cell r="G709">
            <v>63.66</v>
          </cell>
          <cell r="H709">
            <v>980.31</v>
          </cell>
          <cell r="I709">
            <v>39.909999999999997</v>
          </cell>
          <cell r="J709">
            <v>91162</v>
          </cell>
          <cell r="K709" t="str">
            <v>MP</v>
          </cell>
        </row>
        <row r="710">
          <cell r="A710" t="str">
            <v>994783-SLR</v>
          </cell>
          <cell r="B710">
            <v>12737</v>
          </cell>
          <cell r="C710">
            <v>187.41</v>
          </cell>
          <cell r="D710">
            <v>34.630000000000003</v>
          </cell>
          <cell r="E710">
            <v>477</v>
          </cell>
          <cell r="F710">
            <v>646.32000000000005</v>
          </cell>
          <cell r="G710">
            <v>2428.36</v>
          </cell>
          <cell r="H710">
            <v>3773.7200000000003</v>
          </cell>
          <cell r="I710">
            <v>17123.400000000001</v>
          </cell>
          <cell r="J710">
            <v>93043</v>
          </cell>
          <cell r="K710" t="str">
            <v>MP</v>
          </cell>
        </row>
        <row r="711">
          <cell r="A711" t="str">
            <v>994784-SLR</v>
          </cell>
          <cell r="B711">
            <v>12755</v>
          </cell>
          <cell r="C711">
            <v>211.84</v>
          </cell>
          <cell r="D711">
            <v>3.17</v>
          </cell>
          <cell r="E711">
            <v>477</v>
          </cell>
          <cell r="F711">
            <v>167.65</v>
          </cell>
          <cell r="G711">
            <v>300.62</v>
          </cell>
          <cell r="H711">
            <v>1160.28</v>
          </cell>
          <cell r="I711">
            <v>1367.22</v>
          </cell>
          <cell r="J711">
            <v>90402</v>
          </cell>
          <cell r="K711" t="str">
            <v>MP</v>
          </cell>
        </row>
        <row r="712">
          <cell r="A712" t="str">
            <v>994793-SLR</v>
          </cell>
          <cell r="B712">
            <v>12719</v>
          </cell>
          <cell r="C712">
            <v>634.04</v>
          </cell>
          <cell r="D712">
            <v>41.23</v>
          </cell>
          <cell r="E712">
            <v>477</v>
          </cell>
          <cell r="F712">
            <v>720.73</v>
          </cell>
          <cell r="G712">
            <v>2891.36</v>
          </cell>
          <cell r="H712">
            <v>4764.3600000000006</v>
          </cell>
          <cell r="I712">
            <v>19977.3</v>
          </cell>
          <cell r="J712">
            <v>90004</v>
          </cell>
          <cell r="K712" t="str">
            <v>MP</v>
          </cell>
        </row>
        <row r="713">
          <cell r="A713" t="str">
            <v>994794-SLR</v>
          </cell>
          <cell r="B713">
            <v>12784</v>
          </cell>
          <cell r="C713">
            <v>1685.48</v>
          </cell>
          <cell r="D713">
            <v>234.56</v>
          </cell>
          <cell r="E713">
            <v>477</v>
          </cell>
          <cell r="F713">
            <v>2900.22</v>
          </cell>
          <cell r="G713">
            <v>5875.93</v>
          </cell>
          <cell r="H713">
            <v>11173.19</v>
          </cell>
          <cell r="I713">
            <v>115598.51</v>
          </cell>
          <cell r="J713">
            <v>90004</v>
          </cell>
          <cell r="K713" t="str">
            <v>MP</v>
          </cell>
        </row>
        <row r="714">
          <cell r="A714" t="str">
            <v>994801-SLR</v>
          </cell>
          <cell r="B714">
            <v>12756</v>
          </cell>
          <cell r="C714">
            <v>252.72</v>
          </cell>
          <cell r="D714">
            <v>2.61</v>
          </cell>
          <cell r="E714">
            <v>477</v>
          </cell>
          <cell r="F714">
            <v>147.75</v>
          </cell>
          <cell r="G714">
            <v>132.62</v>
          </cell>
          <cell r="H714">
            <v>1012.7</v>
          </cell>
          <cell r="I714">
            <v>443.86</v>
          </cell>
          <cell r="J714">
            <v>90257</v>
          </cell>
          <cell r="K714" t="str">
            <v>MP</v>
          </cell>
        </row>
        <row r="715">
          <cell r="A715" t="str">
            <v>994802-SLR</v>
          </cell>
          <cell r="B715">
            <v>12758</v>
          </cell>
          <cell r="C715">
            <v>252.72</v>
          </cell>
          <cell r="D715">
            <v>1.49</v>
          </cell>
          <cell r="E715">
            <v>477</v>
          </cell>
          <cell r="F715">
            <v>141.02000000000001</v>
          </cell>
          <cell r="G715">
            <v>75.77</v>
          </cell>
          <cell r="H715">
            <v>948</v>
          </cell>
          <cell r="I715">
            <v>145.29</v>
          </cell>
          <cell r="J715">
            <v>90257</v>
          </cell>
          <cell r="K715" t="str">
            <v>MP</v>
          </cell>
        </row>
        <row r="716">
          <cell r="A716" t="str">
            <v>994804-SLR</v>
          </cell>
          <cell r="B716">
            <v>12738</v>
          </cell>
          <cell r="C716">
            <v>0</v>
          </cell>
          <cell r="D716">
            <v>0</v>
          </cell>
          <cell r="E716">
            <v>0</v>
          </cell>
          <cell r="F716">
            <v>0</v>
          </cell>
          <cell r="G716">
            <v>1771.57</v>
          </cell>
          <cell r="H716">
            <v>1771.57</v>
          </cell>
          <cell r="I716">
            <v>2952.61</v>
          </cell>
          <cell r="J716">
            <v>90097</v>
          </cell>
          <cell r="K716" t="str">
            <v>MP</v>
          </cell>
        </row>
        <row r="717">
          <cell r="A717" t="str">
            <v>994807-SLR</v>
          </cell>
          <cell r="B717">
            <v>12742</v>
          </cell>
          <cell r="C717">
            <v>0</v>
          </cell>
          <cell r="D717">
            <v>0</v>
          </cell>
          <cell r="E717">
            <v>19.100000000000001</v>
          </cell>
          <cell r="F717">
            <v>0</v>
          </cell>
          <cell r="G717">
            <v>265.44</v>
          </cell>
          <cell r="H717">
            <v>284.54000000000002</v>
          </cell>
          <cell r="I717">
            <v>442.4</v>
          </cell>
          <cell r="J717">
            <v>93050</v>
          </cell>
          <cell r="K717" t="str">
            <v>MP</v>
          </cell>
        </row>
        <row r="719">
          <cell r="H719">
            <v>0</v>
          </cell>
        </row>
        <row r="720">
          <cell r="A720" t="str">
            <v>TOTAIS</v>
          </cell>
          <cell r="C720">
            <v>1031501.5500000009</v>
          </cell>
          <cell r="D720">
            <v>130481.13000000002</v>
          </cell>
          <cell r="E720">
            <v>315657.77</v>
          </cell>
          <cell r="F720">
            <v>445111.29</v>
          </cell>
          <cell r="G720">
            <v>2062991.4899999991</v>
          </cell>
          <cell r="H720">
            <v>3985743.2299999944</v>
          </cell>
          <cell r="I720">
            <v>13761735.699999982</v>
          </cell>
        </row>
        <row r="723">
          <cell r="A723" t="str">
            <v>ATIVO FIXO - LOCAL 91</v>
          </cell>
        </row>
        <row r="724">
          <cell r="A724" t="str">
            <v>PROC</v>
          </cell>
          <cell r="B724" t="str">
            <v>NF</v>
          </cell>
          <cell r="C724" t="str">
            <v>FRETE</v>
          </cell>
          <cell r="D724" t="str">
            <v>SEG</v>
          </cell>
          <cell r="E724" t="str">
            <v>COM</v>
          </cell>
          <cell r="F724" t="str">
            <v>ALF</v>
          </cell>
          <cell r="G724" t="str">
            <v>IMP</v>
          </cell>
          <cell r="H724" t="str">
            <v>TOTAL</v>
          </cell>
          <cell r="I724" t="str">
            <v>FOB</v>
          </cell>
          <cell r="J724" t="str">
            <v>FORN</v>
          </cell>
          <cell r="K724" t="str">
            <v>TIPO</v>
          </cell>
          <cell r="L724" t="str">
            <v>ICMS</v>
          </cell>
          <cell r="N724" t="str">
            <v>IPI</v>
          </cell>
        </row>
        <row r="725">
          <cell r="A725" t="str">
            <v>992677-SLR</v>
          </cell>
          <cell r="B725">
            <v>11848</v>
          </cell>
          <cell r="C725">
            <v>0</v>
          </cell>
          <cell r="D725">
            <v>0</v>
          </cell>
          <cell r="E725">
            <v>16.77</v>
          </cell>
          <cell r="F725">
            <v>0</v>
          </cell>
          <cell r="G725">
            <v>86.17</v>
          </cell>
          <cell r="H725">
            <v>102.94</v>
          </cell>
          <cell r="I725">
            <v>143.62</v>
          </cell>
          <cell r="J725">
            <v>91952</v>
          </cell>
          <cell r="K725" t="str">
            <v>AF</v>
          </cell>
        </row>
        <row r="726">
          <cell r="A726" t="str">
            <v>993728=SLR</v>
          </cell>
          <cell r="B726">
            <v>12651</v>
          </cell>
          <cell r="C726">
            <v>147.63</v>
          </cell>
          <cell r="D726">
            <v>210.11</v>
          </cell>
          <cell r="E726">
            <v>0</v>
          </cell>
          <cell r="F726">
            <v>0</v>
          </cell>
          <cell r="G726">
            <v>19280.669999999998</v>
          </cell>
          <cell r="H726">
            <v>19638.41</v>
          </cell>
          <cell r="I726">
            <v>101127</v>
          </cell>
          <cell r="J726">
            <v>91672</v>
          </cell>
          <cell r="K726" t="str">
            <v>AF</v>
          </cell>
        </row>
        <row r="727">
          <cell r="A727" t="str">
            <v>994047-SLR</v>
          </cell>
          <cell r="B727">
            <v>11783</v>
          </cell>
          <cell r="C727">
            <v>731.62</v>
          </cell>
          <cell r="D727">
            <v>69.78</v>
          </cell>
          <cell r="E727">
            <v>477</v>
          </cell>
          <cell r="F727">
            <v>227.82</v>
          </cell>
          <cell r="G727">
            <v>893.91</v>
          </cell>
          <cell r="H727">
            <v>2400.13</v>
          </cell>
          <cell r="I727">
            <v>3516.57</v>
          </cell>
          <cell r="J727">
            <v>91062</v>
          </cell>
          <cell r="K727" t="str">
            <v>AF</v>
          </cell>
        </row>
        <row r="728">
          <cell r="A728" t="str">
            <v>994169=SLR</v>
          </cell>
          <cell r="B728">
            <v>12744</v>
          </cell>
          <cell r="C728">
            <v>2420.44</v>
          </cell>
          <cell r="D728">
            <v>72.680000000000007</v>
          </cell>
          <cell r="E728">
            <v>477</v>
          </cell>
          <cell r="F728">
            <v>1074.43</v>
          </cell>
          <cell r="G728">
            <v>1456.37</v>
          </cell>
          <cell r="H728">
            <v>5500.92</v>
          </cell>
          <cell r="I728">
            <v>33916.160000000003</v>
          </cell>
          <cell r="J728">
            <v>96018</v>
          </cell>
          <cell r="K728" t="str">
            <v>AF</v>
          </cell>
        </row>
        <row r="729">
          <cell r="A729" t="str">
            <v>994183-SLR</v>
          </cell>
          <cell r="B729">
            <v>12569</v>
          </cell>
          <cell r="C729">
            <v>583.15</v>
          </cell>
          <cell r="D729">
            <v>60.58</v>
          </cell>
          <cell r="E729">
            <v>477</v>
          </cell>
          <cell r="F729">
            <v>939.03</v>
          </cell>
          <cell r="G729">
            <v>1214.19</v>
          </cell>
          <cell r="H729">
            <v>3273.9500000000003</v>
          </cell>
          <cell r="I729">
            <v>29710.94</v>
          </cell>
          <cell r="J729">
            <v>96026</v>
          </cell>
          <cell r="K729" t="str">
            <v>AF</v>
          </cell>
        </row>
        <row r="730">
          <cell r="A730" t="str">
            <v>994337-SLR</v>
          </cell>
          <cell r="B730">
            <v>12463</v>
          </cell>
          <cell r="C730">
            <v>939.94</v>
          </cell>
          <cell r="D730">
            <v>69.44</v>
          </cell>
          <cell r="E730">
            <v>477</v>
          </cell>
          <cell r="F730">
            <v>1038.8699999999999</v>
          </cell>
          <cell r="G730">
            <v>6610.44</v>
          </cell>
          <cell r="H730">
            <v>9135.6899999999987</v>
          </cell>
          <cell r="I730">
            <v>33782.400000000001</v>
          </cell>
          <cell r="J730">
            <v>96002</v>
          </cell>
          <cell r="K730" t="str">
            <v>AF</v>
          </cell>
        </row>
        <row r="731">
          <cell r="A731" t="str">
            <v>994377=SLR</v>
          </cell>
          <cell r="B731">
            <v>12659</v>
          </cell>
          <cell r="C731">
            <v>2634.75</v>
          </cell>
          <cell r="D731">
            <v>104.74</v>
          </cell>
          <cell r="E731">
            <v>477</v>
          </cell>
          <cell r="F731">
            <v>1436.77</v>
          </cell>
          <cell r="G731">
            <v>3230.04</v>
          </cell>
          <cell r="H731">
            <v>7883.3</v>
          </cell>
          <cell r="I731">
            <v>49737.22</v>
          </cell>
          <cell r="J731">
            <v>96020</v>
          </cell>
          <cell r="K731" t="str">
            <v>AF</v>
          </cell>
        </row>
        <row r="732">
          <cell r="A732" t="str">
            <v>994441=SLR</v>
          </cell>
          <cell r="B732">
            <v>12745</v>
          </cell>
          <cell r="C732">
            <v>353.97</v>
          </cell>
          <cell r="D732">
            <v>3.89</v>
          </cell>
          <cell r="E732">
            <v>477</v>
          </cell>
          <cell r="F732">
            <v>175.89</v>
          </cell>
          <cell r="G732">
            <v>389.66</v>
          </cell>
          <cell r="H732">
            <v>1400.41</v>
          </cell>
          <cell r="I732">
            <v>1590.44</v>
          </cell>
          <cell r="J732">
            <v>96021</v>
          </cell>
          <cell r="K732" t="str">
            <v>AF</v>
          </cell>
        </row>
        <row r="733">
          <cell r="A733" t="str">
            <v>994576-SLR</v>
          </cell>
          <cell r="B733">
            <v>12534</v>
          </cell>
          <cell r="C733">
            <v>1126.02</v>
          </cell>
          <cell r="D733">
            <v>4.54</v>
          </cell>
          <cell r="E733">
            <v>477</v>
          </cell>
          <cell r="F733">
            <v>208.5</v>
          </cell>
          <cell r="G733">
            <v>713.55</v>
          </cell>
          <cell r="H733">
            <v>2529.6099999999997</v>
          </cell>
          <cell r="I733">
            <v>2267.2800000000002</v>
          </cell>
          <cell r="J733">
            <v>91532</v>
          </cell>
          <cell r="K733" t="str">
            <v>AF</v>
          </cell>
        </row>
        <row r="735">
          <cell r="H735">
            <v>0</v>
          </cell>
        </row>
        <row r="736">
          <cell r="A736" t="str">
            <v>TOTAIS</v>
          </cell>
          <cell r="C736">
            <v>8937.52</v>
          </cell>
          <cell r="D736">
            <v>595.75999999999988</v>
          </cell>
          <cell r="E736">
            <v>3355.77</v>
          </cell>
          <cell r="F736">
            <v>5101.3100000000004</v>
          </cell>
          <cell r="G736">
            <v>33875</v>
          </cell>
          <cell r="H736">
            <v>51865.360000000008</v>
          </cell>
          <cell r="I736">
            <v>255791.63</v>
          </cell>
          <cell r="L736">
            <v>0</v>
          </cell>
          <cell r="N736">
            <v>0</v>
          </cell>
        </row>
        <row r="739">
          <cell r="A739" t="str">
            <v>MATERIAL DE CONSUMO - LOCAL 91</v>
          </cell>
        </row>
        <row r="740">
          <cell r="A740" t="str">
            <v>PROC</v>
          </cell>
          <cell r="B740" t="str">
            <v>NF</v>
          </cell>
          <cell r="C740" t="str">
            <v>FRETE</v>
          </cell>
          <cell r="D740" t="str">
            <v>SEG</v>
          </cell>
          <cell r="E740" t="str">
            <v>COM</v>
          </cell>
          <cell r="F740" t="str">
            <v>ALF</v>
          </cell>
          <cell r="G740" t="str">
            <v>IMP</v>
          </cell>
          <cell r="H740" t="str">
            <v>TOTAL</v>
          </cell>
          <cell r="I740" t="str">
            <v>FOB</v>
          </cell>
          <cell r="J740" t="str">
            <v>FORN</v>
          </cell>
          <cell r="K740" t="str">
            <v>TIPO</v>
          </cell>
          <cell r="L740" t="str">
            <v>DESP</v>
          </cell>
          <cell r="M740" t="str">
            <v>CC</v>
          </cell>
          <cell r="N740" t="str">
            <v>IPI</v>
          </cell>
          <cell r="O740" t="str">
            <v>ICMS</v>
          </cell>
        </row>
        <row r="741">
          <cell r="A741" t="str">
            <v>992798-SLR</v>
          </cell>
          <cell r="B741">
            <v>11849</v>
          </cell>
          <cell r="C741">
            <v>0</v>
          </cell>
          <cell r="D741">
            <v>0</v>
          </cell>
          <cell r="E741">
            <v>16.53</v>
          </cell>
          <cell r="F741">
            <v>0</v>
          </cell>
          <cell r="G741">
            <v>478.48</v>
          </cell>
          <cell r="H741">
            <v>495.01</v>
          </cell>
          <cell r="I741">
            <v>797.47</v>
          </cell>
          <cell r="J741">
            <v>90002</v>
          </cell>
          <cell r="K741" t="str">
            <v>MC</v>
          </cell>
        </row>
        <row r="742">
          <cell r="A742" t="str">
            <v>992803-SLR</v>
          </cell>
          <cell r="B742">
            <v>12145</v>
          </cell>
          <cell r="C742">
            <v>0</v>
          </cell>
          <cell r="D742">
            <v>0</v>
          </cell>
          <cell r="E742">
            <v>16.59</v>
          </cell>
          <cell r="F742">
            <v>0</v>
          </cell>
          <cell r="G742">
            <v>478.48</v>
          </cell>
          <cell r="H742">
            <v>495.07</v>
          </cell>
          <cell r="I742">
            <v>797.47</v>
          </cell>
          <cell r="J742">
            <v>90002</v>
          </cell>
          <cell r="K742" t="str">
            <v>MC</v>
          </cell>
        </row>
        <row r="743">
          <cell r="A743" t="str">
            <v>993197-SLR</v>
          </cell>
          <cell r="B743">
            <v>12573</v>
          </cell>
          <cell r="C743">
            <v>0</v>
          </cell>
          <cell r="D743">
            <v>0</v>
          </cell>
          <cell r="E743">
            <v>17.7</v>
          </cell>
          <cell r="F743">
            <v>0</v>
          </cell>
          <cell r="G743">
            <v>20.99</v>
          </cell>
          <cell r="H743">
            <v>38.69</v>
          </cell>
          <cell r="I743">
            <v>34.979999999999997</v>
          </cell>
          <cell r="J743">
            <v>91944</v>
          </cell>
          <cell r="K743" t="str">
            <v>MC</v>
          </cell>
        </row>
        <row r="744">
          <cell r="A744" t="str">
            <v>993627-SLR</v>
          </cell>
          <cell r="B744">
            <v>12020</v>
          </cell>
          <cell r="C744">
            <v>194</v>
          </cell>
          <cell r="D744">
            <v>1.46</v>
          </cell>
          <cell r="E744">
            <v>477</v>
          </cell>
          <cell r="F744">
            <v>148.51</v>
          </cell>
          <cell r="G744">
            <v>153.66</v>
          </cell>
          <cell r="H744">
            <v>974.63</v>
          </cell>
          <cell r="I744">
            <v>536.27</v>
          </cell>
          <cell r="J744">
            <v>92196</v>
          </cell>
          <cell r="K744" t="str">
            <v>MC</v>
          </cell>
        </row>
        <row r="745">
          <cell r="A745" t="str">
            <v>993662-SLR</v>
          </cell>
          <cell r="B745">
            <v>11850</v>
          </cell>
          <cell r="C745">
            <v>71.489999999999995</v>
          </cell>
          <cell r="D745">
            <v>0</v>
          </cell>
          <cell r="E745">
            <v>17.71</v>
          </cell>
          <cell r="F745">
            <v>0</v>
          </cell>
          <cell r="G745">
            <v>407.46</v>
          </cell>
          <cell r="H745">
            <v>496.65999999999997</v>
          </cell>
          <cell r="I745">
            <v>607.65</v>
          </cell>
          <cell r="J745">
            <v>91330</v>
          </cell>
          <cell r="K745" t="str">
            <v>MC</v>
          </cell>
        </row>
        <row r="746">
          <cell r="A746" t="str">
            <v>993687-SLR</v>
          </cell>
          <cell r="B746">
            <v>11787</v>
          </cell>
          <cell r="C746">
            <v>1329.03</v>
          </cell>
          <cell r="D746">
            <v>60.47</v>
          </cell>
          <cell r="E746">
            <v>477</v>
          </cell>
          <cell r="F746">
            <v>963.33</v>
          </cell>
          <cell r="G746">
            <v>5812.45</v>
          </cell>
          <cell r="H746">
            <v>8642.2799999999988</v>
          </cell>
          <cell r="I746">
            <v>30045.63</v>
          </cell>
          <cell r="J746">
            <v>91953</v>
          </cell>
          <cell r="K746" t="str">
            <v>MC</v>
          </cell>
        </row>
        <row r="747">
          <cell r="A747" t="str">
            <v>993750-SLR</v>
          </cell>
          <cell r="B747">
            <v>12022</v>
          </cell>
          <cell r="C747">
            <v>182.64</v>
          </cell>
          <cell r="D747">
            <v>1.46</v>
          </cell>
          <cell r="E747">
            <v>477</v>
          </cell>
          <cell r="F747">
            <v>148.54</v>
          </cell>
          <cell r="G747">
            <v>134.99</v>
          </cell>
          <cell r="H747">
            <v>944.63</v>
          </cell>
          <cell r="I747">
            <v>548.74</v>
          </cell>
          <cell r="J747">
            <v>91952</v>
          </cell>
          <cell r="K747" t="str">
            <v>MC</v>
          </cell>
        </row>
        <row r="748">
          <cell r="A748" t="str">
            <v>993811-SLR</v>
          </cell>
          <cell r="B748">
            <v>12494</v>
          </cell>
          <cell r="C748">
            <v>137.22</v>
          </cell>
          <cell r="D748">
            <v>7.6</v>
          </cell>
          <cell r="E748">
            <v>477</v>
          </cell>
          <cell r="F748">
            <v>220.85</v>
          </cell>
          <cell r="G748">
            <v>789.29</v>
          </cell>
          <cell r="H748">
            <v>1631.96</v>
          </cell>
          <cell r="I748">
            <v>3801.64</v>
          </cell>
          <cell r="J748">
            <v>93000</v>
          </cell>
          <cell r="K748" t="str">
            <v>MC</v>
          </cell>
        </row>
        <row r="749">
          <cell r="A749" t="str">
            <v>993829-SLR</v>
          </cell>
          <cell r="B749">
            <v>12023</v>
          </cell>
          <cell r="C749">
            <v>125.81</v>
          </cell>
          <cell r="D749">
            <v>2662.76</v>
          </cell>
          <cell r="E749">
            <v>477</v>
          </cell>
          <cell r="F749">
            <v>518.09</v>
          </cell>
          <cell r="G749">
            <v>2212.84</v>
          </cell>
          <cell r="H749">
            <v>5996.5</v>
          </cell>
          <cell r="I749">
            <v>11497.46</v>
          </cell>
          <cell r="J749">
            <v>91953</v>
          </cell>
          <cell r="K749" t="str">
            <v>MC</v>
          </cell>
        </row>
        <row r="750">
          <cell r="A750" t="str">
            <v>993830-SLR</v>
          </cell>
          <cell r="B750">
            <v>11815</v>
          </cell>
          <cell r="C750">
            <v>167.81</v>
          </cell>
          <cell r="D750">
            <v>1266.8499999999999</v>
          </cell>
          <cell r="E750">
            <v>477</v>
          </cell>
          <cell r="F750">
            <v>259.52</v>
          </cell>
          <cell r="G750">
            <v>1076.4000000000001</v>
          </cell>
          <cell r="H750">
            <v>3247.58</v>
          </cell>
          <cell r="I750">
            <v>5486.47</v>
          </cell>
          <cell r="J750">
            <v>91953</v>
          </cell>
          <cell r="K750" t="str">
            <v>MC</v>
          </cell>
        </row>
        <row r="751">
          <cell r="A751" t="str">
            <v>993883-SLR</v>
          </cell>
          <cell r="B751">
            <v>12266</v>
          </cell>
          <cell r="C751">
            <v>147.72</v>
          </cell>
          <cell r="D751">
            <v>2.63</v>
          </cell>
          <cell r="E751">
            <v>477</v>
          </cell>
          <cell r="F751">
            <v>161.66999999999999</v>
          </cell>
          <cell r="G751">
            <v>263.31</v>
          </cell>
          <cell r="H751">
            <v>1052.33</v>
          </cell>
          <cell r="I751">
            <v>1166.19</v>
          </cell>
          <cell r="J751">
            <v>97550</v>
          </cell>
          <cell r="K751" t="str">
            <v>MC</v>
          </cell>
        </row>
        <row r="752">
          <cell r="A752" t="str">
            <v>993892-SLR</v>
          </cell>
          <cell r="B752">
            <v>12399</v>
          </cell>
          <cell r="C752">
            <v>499.7</v>
          </cell>
          <cell r="D752">
            <v>5.37</v>
          </cell>
          <cell r="E752">
            <v>477</v>
          </cell>
          <cell r="F752">
            <v>203.82</v>
          </cell>
          <cell r="G752">
            <v>658.43</v>
          </cell>
          <cell r="H752">
            <v>1844.3199999999997</v>
          </cell>
          <cell r="I752">
            <v>2684.99</v>
          </cell>
          <cell r="J752">
            <v>92215</v>
          </cell>
          <cell r="K752" t="str">
            <v>MC</v>
          </cell>
        </row>
        <row r="753">
          <cell r="A753" t="str">
            <v>993899-SLR</v>
          </cell>
          <cell r="B753">
            <v>11771</v>
          </cell>
          <cell r="C753">
            <v>241.76</v>
          </cell>
          <cell r="D753">
            <v>0</v>
          </cell>
          <cell r="E753">
            <v>18.329999999999998</v>
          </cell>
          <cell r="F753">
            <v>0</v>
          </cell>
          <cell r="G753">
            <v>579.66999999999996</v>
          </cell>
          <cell r="H753">
            <v>839.76</v>
          </cell>
          <cell r="I753">
            <v>724.36</v>
          </cell>
          <cell r="J753">
            <v>91976</v>
          </cell>
          <cell r="K753" t="str">
            <v>MC</v>
          </cell>
        </row>
        <row r="754">
          <cell r="A754" t="str">
            <v>993914-SLR</v>
          </cell>
          <cell r="B754">
            <v>12052</v>
          </cell>
          <cell r="C754">
            <v>230.95</v>
          </cell>
          <cell r="D754">
            <v>18.989999999999998</v>
          </cell>
          <cell r="E754">
            <v>477</v>
          </cell>
          <cell r="F754">
            <v>430.38</v>
          </cell>
          <cell r="G754">
            <v>1906.25</v>
          </cell>
          <cell r="H754">
            <v>3063.57</v>
          </cell>
          <cell r="I754">
            <v>9263.4</v>
          </cell>
          <cell r="J754">
            <v>91330</v>
          </cell>
          <cell r="K754" t="str">
            <v>MC</v>
          </cell>
        </row>
        <row r="755">
          <cell r="A755" t="str">
            <v>993936-SLR</v>
          </cell>
          <cell r="B755">
            <v>12099</v>
          </cell>
          <cell r="C755">
            <v>1081.3499999999999</v>
          </cell>
          <cell r="D755">
            <v>2.5299999999999998</v>
          </cell>
          <cell r="E755">
            <v>477</v>
          </cell>
          <cell r="F755">
            <v>160.59</v>
          </cell>
          <cell r="G755">
            <v>241</v>
          </cell>
          <cell r="H755">
            <v>1962.4699999999998</v>
          </cell>
          <cell r="I755">
            <v>184.54</v>
          </cell>
          <cell r="J755">
            <v>96027</v>
          </cell>
          <cell r="K755" t="str">
            <v>MC</v>
          </cell>
        </row>
        <row r="756">
          <cell r="A756" t="str">
            <v>993937-SLR</v>
          </cell>
          <cell r="B756">
            <v>12100</v>
          </cell>
          <cell r="C756">
            <v>1081.3499999999999</v>
          </cell>
          <cell r="D756">
            <v>2.5299999999999998</v>
          </cell>
          <cell r="E756">
            <v>477</v>
          </cell>
          <cell r="F756">
            <v>160.59</v>
          </cell>
          <cell r="G756">
            <v>241</v>
          </cell>
          <cell r="H756">
            <v>1962.4699999999998</v>
          </cell>
          <cell r="I756">
            <v>184.54</v>
          </cell>
          <cell r="J756">
            <v>96027</v>
          </cell>
          <cell r="K756" t="str">
            <v>MC</v>
          </cell>
        </row>
        <row r="757">
          <cell r="A757" t="str">
            <v>993938-SLR</v>
          </cell>
          <cell r="B757">
            <v>12101</v>
          </cell>
          <cell r="C757">
            <v>1410.46</v>
          </cell>
          <cell r="D757">
            <v>3.19</v>
          </cell>
          <cell r="E757">
            <v>477</v>
          </cell>
          <cell r="F757">
            <v>168.01</v>
          </cell>
          <cell r="G757">
            <v>303.66000000000003</v>
          </cell>
          <cell r="H757">
            <v>2362.3199999999997</v>
          </cell>
          <cell r="I757">
            <v>184.54</v>
          </cell>
          <cell r="J757">
            <v>96027</v>
          </cell>
          <cell r="K757" t="str">
            <v>MC</v>
          </cell>
        </row>
        <row r="758">
          <cell r="A758" t="str">
            <v>993939-SLR</v>
          </cell>
          <cell r="B758">
            <v>12102</v>
          </cell>
          <cell r="C758">
            <v>1034.3499999999999</v>
          </cell>
          <cell r="D758">
            <v>2.44</v>
          </cell>
          <cell r="E758">
            <v>477</v>
          </cell>
          <cell r="F758">
            <v>159.53</v>
          </cell>
          <cell r="G758">
            <v>232.05</v>
          </cell>
          <cell r="H758">
            <v>1905.37</v>
          </cell>
          <cell r="I758">
            <v>184.54</v>
          </cell>
          <cell r="J758">
            <v>96027</v>
          </cell>
          <cell r="K758" t="str">
            <v>MC</v>
          </cell>
        </row>
        <row r="759">
          <cell r="A759" t="str">
            <v>993940-SLR</v>
          </cell>
          <cell r="B759">
            <v>12249</v>
          </cell>
          <cell r="C759">
            <v>1081.3499999999999</v>
          </cell>
          <cell r="D759">
            <v>2.5299999999999998</v>
          </cell>
          <cell r="E759">
            <v>477</v>
          </cell>
          <cell r="F759">
            <v>160.59</v>
          </cell>
          <cell r="G759">
            <v>241</v>
          </cell>
          <cell r="H759">
            <v>1962.4699999999998</v>
          </cell>
          <cell r="I759">
            <v>184.54</v>
          </cell>
          <cell r="J759">
            <v>96027</v>
          </cell>
          <cell r="K759" t="str">
            <v>MC</v>
          </cell>
        </row>
        <row r="760">
          <cell r="A760" t="str">
            <v>993941-SLR</v>
          </cell>
          <cell r="B760">
            <v>12106</v>
          </cell>
          <cell r="C760">
            <v>1081.3499999999999</v>
          </cell>
          <cell r="D760">
            <v>2.5299999999999998</v>
          </cell>
          <cell r="E760">
            <v>477</v>
          </cell>
          <cell r="F760">
            <v>160.59</v>
          </cell>
          <cell r="G760">
            <v>241</v>
          </cell>
          <cell r="H760">
            <v>1962.4699999999998</v>
          </cell>
          <cell r="I760">
            <v>184.54</v>
          </cell>
          <cell r="J760">
            <v>96027</v>
          </cell>
          <cell r="K760" t="str">
            <v>MC</v>
          </cell>
        </row>
        <row r="761">
          <cell r="A761" t="str">
            <v>993942-SLR</v>
          </cell>
          <cell r="B761">
            <v>12199</v>
          </cell>
          <cell r="C761">
            <v>612.65</v>
          </cell>
          <cell r="D761">
            <v>55.67</v>
          </cell>
          <cell r="E761">
            <v>477</v>
          </cell>
          <cell r="F761">
            <v>208.9</v>
          </cell>
          <cell r="G761">
            <v>785.54</v>
          </cell>
          <cell r="H761">
            <v>2139.7600000000002</v>
          </cell>
          <cell r="I761">
            <v>2795.91</v>
          </cell>
          <cell r="J761">
            <v>91062</v>
          </cell>
          <cell r="K761" t="str">
            <v>MC</v>
          </cell>
        </row>
        <row r="762">
          <cell r="A762" t="str">
            <v>993950-SLR</v>
          </cell>
          <cell r="B762">
            <v>11865</v>
          </cell>
          <cell r="C762">
            <v>178.21</v>
          </cell>
          <cell r="D762">
            <v>2.52</v>
          </cell>
          <cell r="E762">
            <v>477</v>
          </cell>
          <cell r="F762">
            <v>160.5</v>
          </cell>
          <cell r="G762">
            <v>265.57</v>
          </cell>
          <cell r="H762">
            <v>1083.8</v>
          </cell>
          <cell r="I762">
            <v>1083.8900000000001</v>
          </cell>
          <cell r="J762">
            <v>91491</v>
          </cell>
          <cell r="K762" t="str">
            <v>MC</v>
          </cell>
        </row>
        <row r="763">
          <cell r="A763" t="str">
            <v>994007-SLR</v>
          </cell>
          <cell r="B763">
            <v>12268</v>
          </cell>
          <cell r="C763">
            <v>148.09</v>
          </cell>
          <cell r="D763">
            <v>32.619999999999997</v>
          </cell>
          <cell r="E763">
            <v>477</v>
          </cell>
          <cell r="F763">
            <v>627.01</v>
          </cell>
          <cell r="G763">
            <v>3299.48</v>
          </cell>
          <cell r="H763">
            <v>4584.2</v>
          </cell>
          <cell r="I763">
            <v>16306.65</v>
          </cell>
          <cell r="J763">
            <v>91330</v>
          </cell>
          <cell r="K763" t="str">
            <v>MC</v>
          </cell>
        </row>
        <row r="764">
          <cell r="A764" t="str">
            <v>994012-SLR</v>
          </cell>
          <cell r="B764">
            <v>12064</v>
          </cell>
          <cell r="C764">
            <v>707.41</v>
          </cell>
          <cell r="D764">
            <v>4.97</v>
          </cell>
          <cell r="E764">
            <v>477</v>
          </cell>
          <cell r="F764">
            <v>188.09</v>
          </cell>
          <cell r="G764">
            <v>473.27</v>
          </cell>
          <cell r="H764">
            <v>1850.74</v>
          </cell>
          <cell r="I764">
            <v>1778.49</v>
          </cell>
          <cell r="J764">
            <v>96023</v>
          </cell>
          <cell r="K764" t="str">
            <v>MC</v>
          </cell>
        </row>
        <row r="765">
          <cell r="A765" t="str">
            <v>994013-SLR</v>
          </cell>
          <cell r="B765">
            <v>12204</v>
          </cell>
          <cell r="C765">
            <v>631.27</v>
          </cell>
          <cell r="D765">
            <v>6.21</v>
          </cell>
          <cell r="E765">
            <v>477</v>
          </cell>
          <cell r="F765">
            <v>202.11</v>
          </cell>
          <cell r="G765">
            <v>635.42999999999995</v>
          </cell>
          <cell r="H765">
            <v>1952.02</v>
          </cell>
          <cell r="I765">
            <v>2476.4499999999998</v>
          </cell>
          <cell r="J765">
            <v>97550</v>
          </cell>
          <cell r="K765" t="str">
            <v>MC</v>
          </cell>
        </row>
        <row r="766">
          <cell r="A766" t="str">
            <v>994017-SLR</v>
          </cell>
          <cell r="B766">
            <v>12039</v>
          </cell>
          <cell r="C766">
            <v>147.81</v>
          </cell>
          <cell r="D766">
            <v>1.5</v>
          </cell>
          <cell r="E766">
            <v>477</v>
          </cell>
          <cell r="F766">
            <v>148.88</v>
          </cell>
          <cell r="G766">
            <v>142.11000000000001</v>
          </cell>
          <cell r="H766">
            <v>917.3</v>
          </cell>
          <cell r="I766">
            <v>598.62</v>
          </cell>
          <cell r="J766">
            <v>91952</v>
          </cell>
          <cell r="K766" t="str">
            <v>MC</v>
          </cell>
        </row>
        <row r="767">
          <cell r="A767" t="str">
            <v>994040-SLR</v>
          </cell>
          <cell r="B767">
            <v>11839</v>
          </cell>
          <cell r="C767">
            <v>428.22</v>
          </cell>
          <cell r="D767">
            <v>0</v>
          </cell>
          <cell r="E767">
            <v>18.21</v>
          </cell>
          <cell r="F767">
            <v>0</v>
          </cell>
          <cell r="G767">
            <v>574.45000000000005</v>
          </cell>
          <cell r="H767">
            <v>1020.8800000000001</v>
          </cell>
          <cell r="I767">
            <v>719.28</v>
          </cell>
          <cell r="J767">
            <v>91976</v>
          </cell>
          <cell r="K767" t="str">
            <v>MC</v>
          </cell>
        </row>
        <row r="768">
          <cell r="A768" t="str">
            <v>994071-SLR</v>
          </cell>
          <cell r="B768">
            <v>11851</v>
          </cell>
          <cell r="C768">
            <v>315.76</v>
          </cell>
          <cell r="D768">
            <v>0</v>
          </cell>
          <cell r="E768">
            <v>0</v>
          </cell>
          <cell r="F768">
            <v>0</v>
          </cell>
          <cell r="G768">
            <v>625.55999999999995</v>
          </cell>
          <cell r="H768">
            <v>941.31999999999994</v>
          </cell>
          <cell r="I768">
            <v>726.84</v>
          </cell>
          <cell r="J768">
            <v>91976</v>
          </cell>
          <cell r="K768" t="str">
            <v>MC</v>
          </cell>
        </row>
        <row r="769">
          <cell r="A769" t="str">
            <v>994170-SLR</v>
          </cell>
          <cell r="B769">
            <v>12345</v>
          </cell>
          <cell r="C769">
            <v>1082.69</v>
          </cell>
          <cell r="D769">
            <v>2.54</v>
          </cell>
          <cell r="E769">
            <v>477</v>
          </cell>
          <cell r="F769">
            <v>160.80000000000001</v>
          </cell>
          <cell r="G769">
            <v>241.74</v>
          </cell>
          <cell r="H769">
            <v>1964.77</v>
          </cell>
          <cell r="I769">
            <v>187.11</v>
          </cell>
          <cell r="J769">
            <v>96027</v>
          </cell>
          <cell r="K769" t="str">
            <v>MC</v>
          </cell>
        </row>
        <row r="770">
          <cell r="A770" t="str">
            <v>994171-SLR</v>
          </cell>
          <cell r="B770">
            <v>12346</v>
          </cell>
          <cell r="C770">
            <v>1082.69</v>
          </cell>
          <cell r="D770">
            <v>2.54</v>
          </cell>
          <cell r="E770">
            <v>477</v>
          </cell>
          <cell r="F770">
            <v>160.68</v>
          </cell>
          <cell r="G770">
            <v>241.74</v>
          </cell>
          <cell r="H770">
            <v>1964.65</v>
          </cell>
          <cell r="I770">
            <v>187.11</v>
          </cell>
          <cell r="J770">
            <v>96027</v>
          </cell>
          <cell r="K770" t="str">
            <v>MC</v>
          </cell>
        </row>
        <row r="771">
          <cell r="A771" t="str">
            <v>994209-SLR</v>
          </cell>
          <cell r="B771">
            <v>12632</v>
          </cell>
          <cell r="C771">
            <v>0</v>
          </cell>
          <cell r="D771">
            <v>0</v>
          </cell>
          <cell r="E771">
            <v>18.55</v>
          </cell>
          <cell r="F771">
            <v>0</v>
          </cell>
          <cell r="G771">
            <v>21.83</v>
          </cell>
          <cell r="H771">
            <v>40.379999999999995</v>
          </cell>
          <cell r="I771">
            <v>36.380000000000003</v>
          </cell>
          <cell r="J771">
            <v>97550</v>
          </cell>
          <cell r="K771" t="str">
            <v>MC</v>
          </cell>
        </row>
        <row r="772">
          <cell r="A772" t="str">
            <v>994220-SLR</v>
          </cell>
          <cell r="B772">
            <v>12483</v>
          </cell>
          <cell r="C772">
            <v>233.89</v>
          </cell>
          <cell r="D772">
            <v>17.23</v>
          </cell>
          <cell r="E772">
            <v>477</v>
          </cell>
          <cell r="F772">
            <v>401.74</v>
          </cell>
          <cell r="G772">
            <v>1715.05</v>
          </cell>
          <cell r="H772">
            <v>2844.91</v>
          </cell>
          <cell r="I772">
            <v>8617.93</v>
          </cell>
          <cell r="J772">
            <v>91330</v>
          </cell>
          <cell r="K772" t="str">
            <v>MC</v>
          </cell>
        </row>
        <row r="773">
          <cell r="A773" t="str">
            <v>994237-SLR</v>
          </cell>
          <cell r="B773">
            <v>11844</v>
          </cell>
          <cell r="C773">
            <v>643.26</v>
          </cell>
          <cell r="D773">
            <v>64.87</v>
          </cell>
          <cell r="E773">
            <v>477</v>
          </cell>
          <cell r="F773">
            <v>987.24</v>
          </cell>
          <cell r="G773">
            <v>6174.47</v>
          </cell>
          <cell r="H773">
            <v>8346.84</v>
          </cell>
          <cell r="I773">
            <v>31789.1</v>
          </cell>
          <cell r="J773">
            <v>96014</v>
          </cell>
          <cell r="K773" t="str">
            <v>MC</v>
          </cell>
        </row>
        <row r="774">
          <cell r="A774" t="str">
            <v>994242-SLR</v>
          </cell>
          <cell r="B774">
            <v>11773</v>
          </cell>
          <cell r="C774">
            <v>0</v>
          </cell>
          <cell r="D774">
            <v>0</v>
          </cell>
          <cell r="E774">
            <v>0</v>
          </cell>
          <cell r="F774">
            <v>0</v>
          </cell>
          <cell r="G774">
            <v>515.95000000000005</v>
          </cell>
          <cell r="H774">
            <v>515.95000000000005</v>
          </cell>
          <cell r="I774">
            <v>859.92</v>
          </cell>
          <cell r="J774">
            <v>90002</v>
          </cell>
          <cell r="K774" t="str">
            <v>MC</v>
          </cell>
        </row>
        <row r="775">
          <cell r="A775" t="str">
            <v>994388-SLR</v>
          </cell>
          <cell r="B775">
            <v>12135</v>
          </cell>
          <cell r="C775">
            <v>0</v>
          </cell>
          <cell r="D775">
            <v>0</v>
          </cell>
          <cell r="E775">
            <v>16.84</v>
          </cell>
          <cell r="F775">
            <v>0</v>
          </cell>
          <cell r="G775">
            <v>481.94</v>
          </cell>
          <cell r="H775">
            <v>498.78</v>
          </cell>
          <cell r="I775">
            <v>803.23</v>
          </cell>
          <cell r="J775">
            <v>90002</v>
          </cell>
          <cell r="K775" t="str">
            <v>MC</v>
          </cell>
        </row>
        <row r="776">
          <cell r="A776" t="str">
            <v>994423-SLR</v>
          </cell>
          <cell r="B776">
            <v>12642</v>
          </cell>
          <cell r="C776">
            <v>193.8</v>
          </cell>
          <cell r="D776">
            <v>23.42</v>
          </cell>
          <cell r="E776">
            <v>477</v>
          </cell>
          <cell r="F776">
            <v>520.11</v>
          </cell>
          <cell r="G776">
            <v>2229.85</v>
          </cell>
          <cell r="H776">
            <v>3444.18</v>
          </cell>
          <cell r="I776">
            <v>11518.83</v>
          </cell>
          <cell r="J776">
            <v>91491</v>
          </cell>
          <cell r="K776" t="str">
            <v>MC</v>
          </cell>
        </row>
        <row r="777">
          <cell r="A777" t="str">
            <v>994534-SLR</v>
          </cell>
          <cell r="B777">
            <v>12706</v>
          </cell>
          <cell r="C777">
            <v>1032.54</v>
          </cell>
          <cell r="D777">
            <v>17.68</v>
          </cell>
          <cell r="E777">
            <v>477</v>
          </cell>
          <cell r="F777">
            <v>294.72000000000003</v>
          </cell>
          <cell r="G777">
            <v>1681.67</v>
          </cell>
          <cell r="H777">
            <v>3503.61</v>
          </cell>
          <cell r="I777">
            <v>7800.66</v>
          </cell>
          <cell r="J777">
            <v>96008</v>
          </cell>
          <cell r="K777" t="str">
            <v>MC</v>
          </cell>
        </row>
        <row r="778">
          <cell r="A778" t="str">
            <v>994557-SLR</v>
          </cell>
          <cell r="B778">
            <v>12439</v>
          </cell>
          <cell r="C778">
            <v>75.67</v>
          </cell>
          <cell r="D778">
            <v>0</v>
          </cell>
          <cell r="E778">
            <v>18.7</v>
          </cell>
          <cell r="F778">
            <v>0</v>
          </cell>
          <cell r="G778">
            <v>469.61</v>
          </cell>
          <cell r="H778">
            <v>563.98</v>
          </cell>
          <cell r="I778">
            <v>707.11</v>
          </cell>
          <cell r="J778">
            <v>91330</v>
          </cell>
          <cell r="K778" t="str">
            <v>MC</v>
          </cell>
        </row>
        <row r="779">
          <cell r="A779" t="str">
            <v>994568-SLR</v>
          </cell>
          <cell r="B779">
            <v>12592</v>
          </cell>
          <cell r="C779">
            <v>239.64</v>
          </cell>
          <cell r="D779">
            <v>18.02</v>
          </cell>
          <cell r="E779">
            <v>477</v>
          </cell>
          <cell r="F779">
            <v>408.79</v>
          </cell>
          <cell r="G779">
            <v>1715.33</v>
          </cell>
          <cell r="H779">
            <v>2858.7799999999997</v>
          </cell>
          <cell r="I779">
            <v>8770.41</v>
          </cell>
          <cell r="J779">
            <v>91330</v>
          </cell>
          <cell r="K779" t="str">
            <v>MC</v>
          </cell>
        </row>
        <row r="780">
          <cell r="A780" t="str">
            <v>994579-SLR</v>
          </cell>
          <cell r="B780">
            <v>12537</v>
          </cell>
          <cell r="C780">
            <v>197.61</v>
          </cell>
          <cell r="D780">
            <v>0.98</v>
          </cell>
          <cell r="E780">
            <v>477</v>
          </cell>
          <cell r="F780">
            <v>147.49</v>
          </cell>
          <cell r="G780">
            <v>137.26</v>
          </cell>
          <cell r="H780">
            <v>960.34</v>
          </cell>
          <cell r="I780">
            <v>487.72</v>
          </cell>
          <cell r="J780">
            <v>91532</v>
          </cell>
          <cell r="K780" t="str">
            <v>MC</v>
          </cell>
        </row>
        <row r="781">
          <cell r="A781" t="str">
            <v>994616-SLR</v>
          </cell>
          <cell r="B781">
            <v>12622</v>
          </cell>
          <cell r="C781">
            <v>266.13</v>
          </cell>
          <cell r="D781">
            <v>8.8699999999999992</v>
          </cell>
          <cell r="E781">
            <v>477</v>
          </cell>
          <cell r="F781">
            <v>231.96</v>
          </cell>
          <cell r="G781">
            <v>932.52</v>
          </cell>
          <cell r="H781">
            <v>1916.48</v>
          </cell>
          <cell r="I781">
            <v>4165.57</v>
          </cell>
          <cell r="J781">
            <v>97550</v>
          </cell>
          <cell r="K781" t="str">
            <v>MC</v>
          </cell>
        </row>
        <row r="782">
          <cell r="A782" t="str">
            <v>994626-SLR</v>
          </cell>
          <cell r="B782">
            <v>12538</v>
          </cell>
          <cell r="C782">
            <v>168.6</v>
          </cell>
          <cell r="D782">
            <v>1466.94</v>
          </cell>
          <cell r="E782">
            <v>477</v>
          </cell>
          <cell r="F782">
            <v>301.77999999999997</v>
          </cell>
          <cell r="G782">
            <v>1258.43</v>
          </cell>
          <cell r="H782">
            <v>3672.75</v>
          </cell>
          <cell r="I782">
            <v>6441.85</v>
          </cell>
          <cell r="J782">
            <v>91953</v>
          </cell>
          <cell r="K782" t="str">
            <v>MC</v>
          </cell>
        </row>
        <row r="783">
          <cell r="A783" t="str">
            <v>994659-SLR</v>
          </cell>
          <cell r="B783">
            <v>12703</v>
          </cell>
          <cell r="C783">
            <v>13389.09</v>
          </cell>
          <cell r="D783">
            <v>106.61</v>
          </cell>
          <cell r="E783">
            <v>477</v>
          </cell>
          <cell r="F783">
            <v>1020.89</v>
          </cell>
          <cell r="G783">
            <v>7138.47</v>
          </cell>
          <cell r="H783">
            <v>22132.06</v>
          </cell>
          <cell r="I783">
            <v>20535.78</v>
          </cell>
          <cell r="J783">
            <v>92412</v>
          </cell>
          <cell r="K783" t="str">
            <v>MC</v>
          </cell>
        </row>
        <row r="784">
          <cell r="A784" t="str">
            <v>994740-SLR</v>
          </cell>
          <cell r="B784">
            <v>12734</v>
          </cell>
          <cell r="C784">
            <v>199.77</v>
          </cell>
          <cell r="D784">
            <v>0.91</v>
          </cell>
          <cell r="E784">
            <v>477</v>
          </cell>
          <cell r="F784">
            <v>142.34</v>
          </cell>
          <cell r="G784">
            <v>86.93</v>
          </cell>
          <cell r="H784">
            <v>906.95</v>
          </cell>
          <cell r="I784">
            <v>256.85000000000002</v>
          </cell>
          <cell r="J784">
            <v>91532</v>
          </cell>
          <cell r="K784" t="str">
            <v>MC</v>
          </cell>
        </row>
        <row r="785">
          <cell r="A785" t="str">
            <v>994749-SLR</v>
          </cell>
          <cell r="B785">
            <v>12705</v>
          </cell>
          <cell r="C785">
            <v>0</v>
          </cell>
          <cell r="D785">
            <v>0</v>
          </cell>
          <cell r="E785">
            <v>19.23</v>
          </cell>
          <cell r="F785">
            <v>0</v>
          </cell>
          <cell r="G785">
            <v>45.42</v>
          </cell>
          <cell r="H785">
            <v>64.650000000000006</v>
          </cell>
          <cell r="I785">
            <v>75.709999999999994</v>
          </cell>
          <cell r="J785">
            <v>96012</v>
          </cell>
          <cell r="K785" t="str">
            <v>MC</v>
          </cell>
        </row>
        <row r="786">
          <cell r="A786" t="str">
            <v>994790-SLR</v>
          </cell>
          <cell r="B786">
            <v>12740</v>
          </cell>
          <cell r="C786">
            <v>0</v>
          </cell>
          <cell r="D786">
            <v>0</v>
          </cell>
          <cell r="E786">
            <v>0</v>
          </cell>
          <cell r="F786">
            <v>0</v>
          </cell>
          <cell r="G786">
            <v>545.1</v>
          </cell>
          <cell r="H786">
            <v>545.1</v>
          </cell>
          <cell r="I786">
            <v>908.5</v>
          </cell>
          <cell r="J786">
            <v>90002</v>
          </cell>
          <cell r="K786" t="str">
            <v>MC</v>
          </cell>
        </row>
        <row r="787">
          <cell r="A787" t="str">
            <v>994806-SLR</v>
          </cell>
          <cell r="B787">
            <v>12741</v>
          </cell>
          <cell r="C787">
            <v>0</v>
          </cell>
          <cell r="D787">
            <v>0</v>
          </cell>
          <cell r="E787">
            <v>0</v>
          </cell>
          <cell r="F787">
            <v>0</v>
          </cell>
          <cell r="G787">
            <v>561.52</v>
          </cell>
          <cell r="H787">
            <v>561.52</v>
          </cell>
          <cell r="I787">
            <v>935.86</v>
          </cell>
          <cell r="J787">
            <v>90002</v>
          </cell>
          <cell r="K787" t="str">
            <v>MC</v>
          </cell>
        </row>
        <row r="788">
          <cell r="A788" t="str">
            <v>994808-SLR</v>
          </cell>
          <cell r="B788">
            <v>12743</v>
          </cell>
          <cell r="C788">
            <v>0</v>
          </cell>
          <cell r="D788">
            <v>0</v>
          </cell>
          <cell r="E788">
            <v>0</v>
          </cell>
          <cell r="F788">
            <v>0</v>
          </cell>
          <cell r="G788">
            <v>538.73</v>
          </cell>
          <cell r="H788">
            <v>538.73</v>
          </cell>
          <cell r="I788">
            <v>897.89</v>
          </cell>
          <cell r="J788">
            <v>90002</v>
          </cell>
          <cell r="K788" t="str">
            <v>MC</v>
          </cell>
        </row>
        <row r="789">
          <cell r="A789" t="str">
            <v>994870-SLR</v>
          </cell>
          <cell r="B789">
            <v>12767</v>
          </cell>
          <cell r="C789">
            <v>0</v>
          </cell>
          <cell r="D789">
            <v>0</v>
          </cell>
          <cell r="E789">
            <v>0</v>
          </cell>
          <cell r="F789">
            <v>0</v>
          </cell>
          <cell r="G789">
            <v>0</v>
          </cell>
          <cell r="H789">
            <v>0</v>
          </cell>
          <cell r="I789">
            <v>289.67</v>
          </cell>
          <cell r="J789">
            <v>91976</v>
          </cell>
          <cell r="K789" t="str">
            <v>MC</v>
          </cell>
        </row>
        <row r="791">
          <cell r="H791">
            <v>0</v>
          </cell>
        </row>
        <row r="792">
          <cell r="A792" t="str">
            <v>TOTAIS</v>
          </cell>
          <cell r="C792">
            <v>32073.14</v>
          </cell>
          <cell r="D792">
            <v>5877.44</v>
          </cell>
          <cell r="E792">
            <v>15919.39</v>
          </cell>
          <cell r="F792">
            <v>10338.640000000001</v>
          </cell>
          <cell r="G792">
            <v>50007.380000000005</v>
          </cell>
          <cell r="H792">
            <v>114215.98999999996</v>
          </cell>
          <cell r="I792">
            <v>201859.28</v>
          </cell>
        </row>
        <row r="795">
          <cell r="H795">
            <v>0</v>
          </cell>
          <cell r="I795">
            <v>0</v>
          </cell>
        </row>
        <row r="796">
          <cell r="G796" t="str">
            <v>PROC</v>
          </cell>
          <cell r="H796" t="str">
            <v>FOB</v>
          </cell>
          <cell r="I796" t="str">
            <v>DESP</v>
          </cell>
        </row>
        <row r="797">
          <cell r="G797" t="str">
            <v/>
          </cell>
        </row>
      </sheetData>
      <sheetData sheetId="8"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1234389.6700000006</v>
          </cell>
          <cell r="R3">
            <v>148682.38000000018</v>
          </cell>
          <cell r="S3">
            <v>331507.86999999982</v>
          </cell>
          <cell r="T3">
            <v>505352.7300000001</v>
          </cell>
          <cell r="U3">
            <v>2461902.1500000013</v>
          </cell>
          <cell r="V3">
            <v>15847427.110000001</v>
          </cell>
          <cell r="Y3">
            <v>9562.7999999999993</v>
          </cell>
          <cell r="Z3">
            <v>2262.86</v>
          </cell>
          <cell r="AA3">
            <v>1908</v>
          </cell>
          <cell r="AB3">
            <v>48757.75</v>
          </cell>
          <cell r="AC3">
            <v>52632.800000000003</v>
          </cell>
          <cell r="AD3">
            <v>1125893.54</v>
          </cell>
        </row>
        <row r="4">
          <cell r="A4" t="str">
            <v/>
          </cell>
          <cell r="H4">
            <v>0</v>
          </cell>
        </row>
        <row r="5">
          <cell r="A5" t="str">
            <v>981976=SLR</v>
          </cell>
          <cell r="B5">
            <v>12892</v>
          </cell>
          <cell r="C5">
            <v>181.91</v>
          </cell>
          <cell r="D5">
            <v>0.37</v>
          </cell>
          <cell r="E5">
            <v>477</v>
          </cell>
          <cell r="F5">
            <v>234.87</v>
          </cell>
          <cell r="G5">
            <v>868.24</v>
          </cell>
          <cell r="H5">
            <v>1762.3899999999999</v>
          </cell>
          <cell r="I5">
            <v>4387.3999999999996</v>
          </cell>
          <cell r="J5">
            <v>93422</v>
          </cell>
          <cell r="K5" t="str">
            <v>MP</v>
          </cell>
        </row>
        <row r="6">
          <cell r="A6" t="str">
            <v>991525-SLR</v>
          </cell>
          <cell r="B6">
            <v>13237</v>
          </cell>
          <cell r="C6">
            <v>0</v>
          </cell>
          <cell r="D6">
            <v>0</v>
          </cell>
          <cell r="E6">
            <v>0</v>
          </cell>
          <cell r="F6">
            <v>18.7</v>
          </cell>
          <cell r="G6">
            <v>527</v>
          </cell>
          <cell r="H6">
            <v>545.70000000000005</v>
          </cell>
          <cell r="I6">
            <v>879.22</v>
          </cell>
          <cell r="J6">
            <v>90002</v>
          </cell>
          <cell r="K6" t="str">
            <v>MP</v>
          </cell>
        </row>
        <row r="7">
          <cell r="A7" t="str">
            <v>991527-SLR</v>
          </cell>
          <cell r="B7">
            <v>13171</v>
          </cell>
          <cell r="C7">
            <v>0</v>
          </cell>
          <cell r="D7">
            <v>0</v>
          </cell>
          <cell r="E7">
            <v>0</v>
          </cell>
          <cell r="F7">
            <v>0</v>
          </cell>
          <cell r="G7">
            <v>556.79</v>
          </cell>
          <cell r="H7">
            <v>556.79</v>
          </cell>
          <cell r="I7">
            <v>927.98</v>
          </cell>
          <cell r="J7">
            <v>90002</v>
          </cell>
          <cell r="K7" t="str">
            <v>MP</v>
          </cell>
        </row>
        <row r="8">
          <cell r="A8" t="str">
            <v>991528-SLR</v>
          </cell>
          <cell r="B8">
            <v>13172</v>
          </cell>
          <cell r="C8">
            <v>0</v>
          </cell>
          <cell r="D8">
            <v>0</v>
          </cell>
          <cell r="E8">
            <v>0</v>
          </cell>
          <cell r="F8">
            <v>19.399999999999999</v>
          </cell>
          <cell r="G8">
            <v>535.94000000000005</v>
          </cell>
          <cell r="H8">
            <v>555.34</v>
          </cell>
          <cell r="I8">
            <v>893.23</v>
          </cell>
          <cell r="J8">
            <v>90002</v>
          </cell>
          <cell r="K8" t="str">
            <v>MP</v>
          </cell>
        </row>
        <row r="9">
          <cell r="A9" t="str">
            <v>991531-SLR</v>
          </cell>
          <cell r="B9">
            <v>13173</v>
          </cell>
          <cell r="C9">
            <v>0</v>
          </cell>
          <cell r="D9">
            <v>0</v>
          </cell>
          <cell r="E9">
            <v>0</v>
          </cell>
          <cell r="F9">
            <v>19</v>
          </cell>
          <cell r="G9">
            <v>552.36</v>
          </cell>
          <cell r="H9">
            <v>571.36</v>
          </cell>
          <cell r="I9">
            <v>920.59</v>
          </cell>
          <cell r="J9">
            <v>90002</v>
          </cell>
          <cell r="K9" t="str">
            <v>MP</v>
          </cell>
        </row>
        <row r="10">
          <cell r="A10" t="str">
            <v>991532-SLR</v>
          </cell>
          <cell r="B10">
            <v>13238</v>
          </cell>
          <cell r="C10">
            <v>0</v>
          </cell>
          <cell r="D10">
            <v>0</v>
          </cell>
          <cell r="E10">
            <v>0.01</v>
          </cell>
          <cell r="F10">
            <v>0.01</v>
          </cell>
          <cell r="G10">
            <v>576.95000000000005</v>
          </cell>
          <cell r="H10">
            <v>576.97</v>
          </cell>
          <cell r="I10">
            <v>961.58</v>
          </cell>
          <cell r="J10">
            <v>90002</v>
          </cell>
          <cell r="K10" t="str">
            <v>MP</v>
          </cell>
        </row>
        <row r="11">
          <cell r="A11" t="str">
            <v>991987-SLR</v>
          </cell>
          <cell r="B11">
            <v>13174</v>
          </cell>
          <cell r="C11">
            <v>0</v>
          </cell>
          <cell r="D11">
            <v>0</v>
          </cell>
          <cell r="E11">
            <v>0</v>
          </cell>
          <cell r="F11">
            <v>18.8</v>
          </cell>
          <cell r="G11">
            <v>428.65</v>
          </cell>
          <cell r="H11">
            <v>447.45</v>
          </cell>
          <cell r="I11">
            <v>714.41</v>
          </cell>
          <cell r="J11">
            <v>91974</v>
          </cell>
          <cell r="K11" t="str">
            <v>MP</v>
          </cell>
        </row>
        <row r="12">
          <cell r="A12" t="str">
            <v>991991-SLR</v>
          </cell>
          <cell r="B12">
            <v>13175</v>
          </cell>
          <cell r="C12">
            <v>1.97</v>
          </cell>
          <cell r="D12">
            <v>0</v>
          </cell>
          <cell r="E12">
            <v>0</v>
          </cell>
          <cell r="F12">
            <v>19.600000000000001</v>
          </cell>
          <cell r="G12">
            <v>17.690000000000001</v>
          </cell>
          <cell r="H12">
            <v>39.260000000000005</v>
          </cell>
          <cell r="I12">
            <v>27.49</v>
          </cell>
          <cell r="J12">
            <v>93030</v>
          </cell>
          <cell r="K12" t="str">
            <v>MP</v>
          </cell>
        </row>
        <row r="13">
          <cell r="A13" t="str">
            <v>992044-SLR</v>
          </cell>
          <cell r="B13">
            <v>13176</v>
          </cell>
          <cell r="C13">
            <v>0</v>
          </cell>
          <cell r="D13">
            <v>0</v>
          </cell>
          <cell r="E13">
            <v>17.649999999999999</v>
          </cell>
          <cell r="F13">
            <v>0</v>
          </cell>
          <cell r="G13">
            <v>511.2</v>
          </cell>
          <cell r="H13">
            <v>528.85</v>
          </cell>
          <cell r="I13">
            <v>852</v>
          </cell>
          <cell r="J13">
            <v>90002</v>
          </cell>
          <cell r="K13" t="str">
            <v>MP</v>
          </cell>
        </row>
        <row r="14">
          <cell r="A14" t="str">
            <v>992047-SLR</v>
          </cell>
          <cell r="B14">
            <v>13177</v>
          </cell>
          <cell r="C14">
            <v>0</v>
          </cell>
          <cell r="D14">
            <v>0</v>
          </cell>
          <cell r="E14">
            <v>0</v>
          </cell>
          <cell r="F14">
            <v>17.350000000000001</v>
          </cell>
          <cell r="G14">
            <v>281.77</v>
          </cell>
          <cell r="H14">
            <v>299.12</v>
          </cell>
          <cell r="I14">
            <v>469.62</v>
          </cell>
          <cell r="J14">
            <v>90013</v>
          </cell>
          <cell r="K14" t="str">
            <v>MP</v>
          </cell>
        </row>
        <row r="15">
          <cell r="A15" t="str">
            <v>992800-SLR</v>
          </cell>
          <cell r="B15">
            <v>13596</v>
          </cell>
          <cell r="C15">
            <v>0</v>
          </cell>
          <cell r="D15">
            <v>0</v>
          </cell>
          <cell r="E15">
            <v>16.59</v>
          </cell>
          <cell r="F15">
            <v>0</v>
          </cell>
          <cell r="G15">
            <v>76.97</v>
          </cell>
          <cell r="H15">
            <v>93.56</v>
          </cell>
          <cell r="I15">
            <v>127.89</v>
          </cell>
          <cell r="J15">
            <v>90338</v>
          </cell>
          <cell r="K15" t="str">
            <v>MP</v>
          </cell>
        </row>
        <row r="16">
          <cell r="A16" t="str">
            <v>992806-SLR</v>
          </cell>
          <cell r="B16">
            <v>13178</v>
          </cell>
          <cell r="C16">
            <v>0.75</v>
          </cell>
          <cell r="D16">
            <v>0</v>
          </cell>
          <cell r="E16">
            <v>0</v>
          </cell>
          <cell r="F16">
            <v>16.75</v>
          </cell>
          <cell r="G16">
            <v>25.99</v>
          </cell>
          <cell r="H16">
            <v>43.489999999999995</v>
          </cell>
          <cell r="I16">
            <v>42.56</v>
          </cell>
          <cell r="J16">
            <v>90257</v>
          </cell>
          <cell r="K16" t="str">
            <v>MP</v>
          </cell>
        </row>
        <row r="17">
          <cell r="A17" t="str">
            <v>992819-SLR</v>
          </cell>
          <cell r="B17">
            <v>13179</v>
          </cell>
          <cell r="C17">
            <v>0</v>
          </cell>
          <cell r="D17">
            <v>0</v>
          </cell>
          <cell r="E17">
            <v>16.5</v>
          </cell>
          <cell r="F17">
            <v>0</v>
          </cell>
          <cell r="G17">
            <v>371.66</v>
          </cell>
          <cell r="H17">
            <v>388.16</v>
          </cell>
          <cell r="I17">
            <v>619.42999999999995</v>
          </cell>
          <cell r="J17">
            <v>92066</v>
          </cell>
          <cell r="K17" t="str">
            <v>MP</v>
          </cell>
        </row>
        <row r="18">
          <cell r="A18" t="str">
            <v>992862-SLR</v>
          </cell>
          <cell r="B18">
            <v>13180</v>
          </cell>
          <cell r="C18">
            <v>0</v>
          </cell>
          <cell r="D18">
            <v>0</v>
          </cell>
          <cell r="E18">
            <v>16.989999999999998</v>
          </cell>
          <cell r="F18">
            <v>0</v>
          </cell>
          <cell r="G18">
            <v>117.28</v>
          </cell>
          <cell r="H18">
            <v>134.27000000000001</v>
          </cell>
          <cell r="I18">
            <v>195.47</v>
          </cell>
          <cell r="J18">
            <v>91814</v>
          </cell>
          <cell r="K18" t="str">
            <v>MP</v>
          </cell>
        </row>
        <row r="19">
          <cell r="A19" t="str">
            <v>992886-SLR</v>
          </cell>
          <cell r="B19">
            <v>13131</v>
          </cell>
          <cell r="C19">
            <v>456.91</v>
          </cell>
          <cell r="D19">
            <v>69.41</v>
          </cell>
          <cell r="E19">
            <v>520.95000000000005</v>
          </cell>
          <cell r="F19">
            <v>202.7</v>
          </cell>
          <cell r="G19">
            <v>659.39</v>
          </cell>
          <cell r="H19">
            <v>1909.3600000000001</v>
          </cell>
          <cell r="I19">
            <v>2613.61</v>
          </cell>
          <cell r="J19">
            <v>92335</v>
          </cell>
          <cell r="K19" t="str">
            <v>MP</v>
          </cell>
        </row>
        <row r="20">
          <cell r="A20" t="str">
            <v>992896-SLR</v>
          </cell>
          <cell r="B20">
            <v>13181</v>
          </cell>
          <cell r="C20">
            <v>0</v>
          </cell>
          <cell r="D20">
            <v>0</v>
          </cell>
          <cell r="E20">
            <v>0</v>
          </cell>
          <cell r="F20">
            <v>16.98</v>
          </cell>
          <cell r="G20">
            <v>406.48</v>
          </cell>
          <cell r="H20">
            <v>423.46000000000004</v>
          </cell>
          <cell r="I20">
            <v>677.47</v>
          </cell>
          <cell r="J20">
            <v>90013</v>
          </cell>
          <cell r="K20" t="str">
            <v>MP</v>
          </cell>
        </row>
        <row r="21">
          <cell r="A21" t="str">
            <v>993673-SLR</v>
          </cell>
          <cell r="B21">
            <v>12835</v>
          </cell>
          <cell r="C21">
            <v>219.25</v>
          </cell>
          <cell r="D21">
            <v>5.95</v>
          </cell>
          <cell r="E21">
            <v>477</v>
          </cell>
          <cell r="F21">
            <v>200.55</v>
          </cell>
          <cell r="G21">
            <v>426.26</v>
          </cell>
          <cell r="H21">
            <v>1329.01</v>
          </cell>
          <cell r="I21">
            <v>2819.54</v>
          </cell>
          <cell r="J21">
            <v>93081</v>
          </cell>
          <cell r="K21" t="str">
            <v>MP</v>
          </cell>
        </row>
        <row r="22">
          <cell r="A22" t="str">
            <v>993890=SLR</v>
          </cell>
          <cell r="B22">
            <v>12978</v>
          </cell>
          <cell r="C22">
            <v>1101.81</v>
          </cell>
          <cell r="D22">
            <v>13.2</v>
          </cell>
          <cell r="E22">
            <v>477</v>
          </cell>
          <cell r="F22">
            <v>301.24</v>
          </cell>
          <cell r="G22">
            <v>859.43</v>
          </cell>
          <cell r="H22">
            <v>2752.68</v>
          </cell>
          <cell r="I22">
            <v>5495.97</v>
          </cell>
          <cell r="J22">
            <v>93336</v>
          </cell>
          <cell r="K22" t="str">
            <v>MP</v>
          </cell>
        </row>
        <row r="23">
          <cell r="A23" t="str">
            <v>993946-SLR</v>
          </cell>
          <cell r="B23">
            <v>12786</v>
          </cell>
          <cell r="C23">
            <v>198.42</v>
          </cell>
          <cell r="D23">
            <v>17.03</v>
          </cell>
          <cell r="E23">
            <v>477</v>
          </cell>
          <cell r="F23">
            <v>386.96</v>
          </cell>
          <cell r="G23">
            <v>426.87</v>
          </cell>
          <cell r="H23">
            <v>1506.2800000000002</v>
          </cell>
          <cell r="I23">
            <v>8321.85</v>
          </cell>
          <cell r="J23">
            <v>91627</v>
          </cell>
          <cell r="K23" t="str">
            <v>MP</v>
          </cell>
        </row>
        <row r="24">
          <cell r="A24" t="str">
            <v>994218-SLR</v>
          </cell>
          <cell r="B24">
            <v>13391</v>
          </cell>
          <cell r="C24">
            <v>0</v>
          </cell>
          <cell r="D24">
            <v>0</v>
          </cell>
          <cell r="E24">
            <v>0</v>
          </cell>
          <cell r="F24">
            <v>0</v>
          </cell>
          <cell r="G24">
            <v>15.69</v>
          </cell>
          <cell r="H24">
            <v>15.69</v>
          </cell>
          <cell r="I24">
            <v>26.15</v>
          </cell>
          <cell r="J24">
            <v>93453</v>
          </cell>
          <cell r="K24" t="str">
            <v>MP</v>
          </cell>
        </row>
        <row r="25">
          <cell r="A25" t="str">
            <v>994225-SLR</v>
          </cell>
          <cell r="B25">
            <v>12814</v>
          </cell>
          <cell r="C25">
            <v>18003.349999999999</v>
          </cell>
          <cell r="D25">
            <v>271.89</v>
          </cell>
          <cell r="E25">
            <v>477</v>
          </cell>
          <cell r="F25">
            <v>3320.91</v>
          </cell>
          <cell r="G25">
            <v>17708.05</v>
          </cell>
          <cell r="H25">
            <v>39781.199999999997</v>
          </cell>
          <cell r="I25">
            <v>117940.56</v>
          </cell>
          <cell r="J25">
            <v>91722</v>
          </cell>
          <cell r="K25" t="str">
            <v>MP</v>
          </cell>
        </row>
        <row r="26">
          <cell r="A26" t="str">
            <v>994264-SLR</v>
          </cell>
          <cell r="B26">
            <v>12904</v>
          </cell>
          <cell r="C26">
            <v>220.33</v>
          </cell>
          <cell r="D26">
            <v>93.19</v>
          </cell>
          <cell r="E26">
            <v>477</v>
          </cell>
          <cell r="F26">
            <v>1311.41</v>
          </cell>
          <cell r="G26">
            <v>8911.98</v>
          </cell>
          <cell r="H26">
            <v>11013.91</v>
          </cell>
          <cell r="I26">
            <v>46591.199999999997</v>
          </cell>
          <cell r="J26">
            <v>90685</v>
          </cell>
          <cell r="K26" t="str">
            <v>MP</v>
          </cell>
        </row>
        <row r="27">
          <cell r="A27" t="str">
            <v>994313-SLR</v>
          </cell>
          <cell r="B27">
            <v>12815</v>
          </cell>
          <cell r="C27">
            <v>6685.98</v>
          </cell>
          <cell r="D27">
            <v>39.86</v>
          </cell>
          <cell r="E27">
            <v>477</v>
          </cell>
          <cell r="F27">
            <v>855.83</v>
          </cell>
          <cell r="G27">
            <v>3198.83</v>
          </cell>
          <cell r="H27">
            <v>11257.5</v>
          </cell>
          <cell r="I27">
            <v>19931.07</v>
          </cell>
          <cell r="J27">
            <v>93114</v>
          </cell>
          <cell r="K27" t="str">
            <v>MP</v>
          </cell>
        </row>
        <row r="28">
          <cell r="A28" t="str">
            <v>994326-SLR</v>
          </cell>
          <cell r="B28">
            <v>12923</v>
          </cell>
          <cell r="C28">
            <v>210.17</v>
          </cell>
          <cell r="D28">
            <v>79.64</v>
          </cell>
          <cell r="E28">
            <v>477</v>
          </cell>
          <cell r="F28">
            <v>1158.55</v>
          </cell>
          <cell r="G28">
            <v>7621.1</v>
          </cell>
          <cell r="H28">
            <v>9546.4600000000009</v>
          </cell>
          <cell r="I28">
            <v>39820.83</v>
          </cell>
          <cell r="J28">
            <v>90402</v>
          </cell>
          <cell r="K28" t="str">
            <v>MP</v>
          </cell>
        </row>
        <row r="29">
          <cell r="A29" t="str">
            <v>994365-SLR</v>
          </cell>
          <cell r="B29">
            <v>13240</v>
          </cell>
          <cell r="C29">
            <v>354.62</v>
          </cell>
          <cell r="D29">
            <v>13.48</v>
          </cell>
          <cell r="E29">
            <v>477</v>
          </cell>
          <cell r="F29">
            <v>325.17</v>
          </cell>
          <cell r="G29">
            <v>1492.09</v>
          </cell>
          <cell r="H29">
            <v>2662.3599999999997</v>
          </cell>
          <cell r="I29">
            <v>6737.08</v>
          </cell>
          <cell r="J29">
            <v>92354</v>
          </cell>
          <cell r="K29" t="str">
            <v>MP</v>
          </cell>
        </row>
        <row r="30">
          <cell r="A30" t="str">
            <v>994371-SLR</v>
          </cell>
          <cell r="B30">
            <v>12905</v>
          </cell>
          <cell r="C30">
            <v>1191.6099999999999</v>
          </cell>
          <cell r="D30">
            <v>73.28</v>
          </cell>
          <cell r="E30">
            <v>477</v>
          </cell>
          <cell r="F30">
            <v>1108.94</v>
          </cell>
          <cell r="G30">
            <v>7202.23</v>
          </cell>
          <cell r="H30">
            <v>10053.06</v>
          </cell>
          <cell r="I30">
            <v>36641.589999999997</v>
          </cell>
          <cell r="J30">
            <v>92254</v>
          </cell>
          <cell r="K30" t="str">
            <v>MP</v>
          </cell>
        </row>
        <row r="31">
          <cell r="A31" t="str">
            <v>994405-SLR</v>
          </cell>
          <cell r="B31">
            <v>13850</v>
          </cell>
          <cell r="C31">
            <v>105.04</v>
          </cell>
          <cell r="D31">
            <v>0</v>
          </cell>
          <cell r="E31">
            <v>18.45</v>
          </cell>
          <cell r="F31">
            <v>0</v>
          </cell>
          <cell r="G31">
            <v>136.80000000000001</v>
          </cell>
          <cell r="H31">
            <v>260.29000000000002</v>
          </cell>
          <cell r="I31">
            <v>122.96</v>
          </cell>
          <cell r="J31">
            <v>93050</v>
          </cell>
          <cell r="K31" t="str">
            <v>MP</v>
          </cell>
        </row>
        <row r="32">
          <cell r="A32" t="str">
            <v>994415-SLR</v>
          </cell>
          <cell r="B32">
            <v>13708</v>
          </cell>
          <cell r="C32">
            <v>166.18</v>
          </cell>
          <cell r="D32">
            <v>1.78</v>
          </cell>
          <cell r="E32">
            <v>429</v>
          </cell>
          <cell r="F32">
            <v>155.87</v>
          </cell>
          <cell r="G32">
            <v>137.66</v>
          </cell>
          <cell r="H32">
            <v>890.49</v>
          </cell>
          <cell r="I32">
            <v>890.93</v>
          </cell>
          <cell r="J32">
            <v>93492</v>
          </cell>
          <cell r="K32" t="str">
            <v>MP</v>
          </cell>
        </row>
        <row r="33">
          <cell r="A33" t="str">
            <v>994419-SLR</v>
          </cell>
          <cell r="B33">
            <v>0</v>
          </cell>
          <cell r="C33">
            <v>456.75</v>
          </cell>
          <cell r="D33">
            <v>41.81</v>
          </cell>
          <cell r="E33">
            <v>477</v>
          </cell>
          <cell r="F33">
            <v>737.58</v>
          </cell>
          <cell r="G33">
            <v>2996.22</v>
          </cell>
          <cell r="H33">
            <v>4709.3599999999997</v>
          </cell>
          <cell r="I33">
            <v>20903.03</v>
          </cell>
          <cell r="J33">
            <v>90061</v>
          </cell>
          <cell r="K33" t="str">
            <v>MP</v>
          </cell>
        </row>
        <row r="34">
          <cell r="A34" t="str">
            <v>994424-SLR</v>
          </cell>
          <cell r="B34">
            <v>12926</v>
          </cell>
          <cell r="C34">
            <v>220.27</v>
          </cell>
          <cell r="D34">
            <v>26056.240000000002</v>
          </cell>
          <cell r="E34">
            <v>477</v>
          </cell>
          <cell r="F34">
            <v>2941.1</v>
          </cell>
          <cell r="G34">
            <v>16706.990000000002</v>
          </cell>
          <cell r="H34">
            <v>46401.600000000006</v>
          </cell>
          <cell r="I34">
            <v>118877.6</v>
          </cell>
          <cell r="J34">
            <v>90614</v>
          </cell>
          <cell r="K34" t="str">
            <v>MP</v>
          </cell>
        </row>
        <row r="35">
          <cell r="A35" t="str">
            <v>994430-SLR</v>
          </cell>
          <cell r="B35">
            <v>13392</v>
          </cell>
          <cell r="C35">
            <v>223.19</v>
          </cell>
          <cell r="D35">
            <v>63.77</v>
          </cell>
          <cell r="E35">
            <v>477</v>
          </cell>
          <cell r="F35">
            <v>974.88</v>
          </cell>
          <cell r="G35">
            <v>4472.6899999999996</v>
          </cell>
          <cell r="H35">
            <v>6211.53</v>
          </cell>
          <cell r="I35">
            <v>31660.83</v>
          </cell>
          <cell r="J35">
            <v>91969</v>
          </cell>
          <cell r="K35" t="str">
            <v>MP</v>
          </cell>
        </row>
        <row r="36">
          <cell r="A36" t="str">
            <v>994451-SLR</v>
          </cell>
          <cell r="B36">
            <v>13386</v>
          </cell>
          <cell r="C36">
            <v>0</v>
          </cell>
          <cell r="D36">
            <v>0</v>
          </cell>
          <cell r="E36">
            <v>0</v>
          </cell>
          <cell r="F36">
            <v>0</v>
          </cell>
          <cell r="G36">
            <v>0</v>
          </cell>
          <cell r="H36">
            <v>0</v>
          </cell>
          <cell r="I36">
            <v>300.45999999999998</v>
          </cell>
          <cell r="J36">
            <v>92209</v>
          </cell>
          <cell r="K36" t="str">
            <v>MP</v>
          </cell>
        </row>
        <row r="37">
          <cell r="A37" t="str">
            <v>994483-SLR</v>
          </cell>
          <cell r="B37">
            <v>13136</v>
          </cell>
          <cell r="C37">
            <v>6368.8</v>
          </cell>
          <cell r="D37">
            <v>51.67</v>
          </cell>
          <cell r="E37">
            <v>477</v>
          </cell>
          <cell r="F37">
            <v>838.51</v>
          </cell>
          <cell r="G37">
            <v>3106.44</v>
          </cell>
          <cell r="H37">
            <v>10842.42</v>
          </cell>
          <cell r="I37">
            <v>19466.53</v>
          </cell>
          <cell r="J37">
            <v>93114</v>
          </cell>
          <cell r="K37" t="str">
            <v>MP</v>
          </cell>
        </row>
        <row r="38">
          <cell r="A38" t="str">
            <v>994495-SLR</v>
          </cell>
          <cell r="B38">
            <v>12928</v>
          </cell>
          <cell r="C38">
            <v>3081.05</v>
          </cell>
          <cell r="D38">
            <v>79.66</v>
          </cell>
          <cell r="E38">
            <v>477</v>
          </cell>
          <cell r="F38">
            <v>1223.51</v>
          </cell>
          <cell r="G38">
            <v>5159.8100000000004</v>
          </cell>
          <cell r="H38">
            <v>10021.030000000001</v>
          </cell>
          <cell r="I38">
            <v>39831.56</v>
          </cell>
          <cell r="J38">
            <v>93115</v>
          </cell>
          <cell r="K38" t="str">
            <v>MP</v>
          </cell>
        </row>
        <row r="39">
          <cell r="A39" t="str">
            <v>994498-SLR</v>
          </cell>
          <cell r="B39">
            <v>12837</v>
          </cell>
          <cell r="C39">
            <v>13152.85</v>
          </cell>
          <cell r="D39">
            <v>236.07</v>
          </cell>
          <cell r="E39">
            <v>477</v>
          </cell>
          <cell r="F39">
            <v>3213.08</v>
          </cell>
          <cell r="G39">
            <v>21161.040000000001</v>
          </cell>
          <cell r="H39">
            <v>38240.04</v>
          </cell>
          <cell r="I39">
            <v>118037.67</v>
          </cell>
          <cell r="J39">
            <v>93247</v>
          </cell>
          <cell r="K39" t="str">
            <v>MP</v>
          </cell>
        </row>
        <row r="40">
          <cell r="A40" t="str">
            <v>994503-SLR</v>
          </cell>
          <cell r="B40">
            <v>12907</v>
          </cell>
          <cell r="C40">
            <v>877.25</v>
          </cell>
          <cell r="D40">
            <v>47.02</v>
          </cell>
          <cell r="E40">
            <v>477</v>
          </cell>
          <cell r="F40">
            <v>805.76</v>
          </cell>
          <cell r="G40">
            <v>2931.82</v>
          </cell>
          <cell r="H40">
            <v>5138.8500000000004</v>
          </cell>
          <cell r="I40">
            <v>23505.79</v>
          </cell>
          <cell r="J40">
            <v>92001</v>
          </cell>
          <cell r="K40" t="str">
            <v>MP</v>
          </cell>
        </row>
        <row r="41">
          <cell r="A41" t="str">
            <v>994520-SLR</v>
          </cell>
          <cell r="B41">
            <v>12816</v>
          </cell>
          <cell r="C41">
            <v>2172.69</v>
          </cell>
          <cell r="D41">
            <v>55.41</v>
          </cell>
          <cell r="E41">
            <v>477</v>
          </cell>
          <cell r="F41">
            <v>929.53</v>
          </cell>
          <cell r="G41">
            <v>5687.14</v>
          </cell>
          <cell r="H41">
            <v>9321.77</v>
          </cell>
          <cell r="I41">
            <v>27704.23</v>
          </cell>
          <cell r="J41">
            <v>90013</v>
          </cell>
          <cell r="K41" t="str">
            <v>MP</v>
          </cell>
        </row>
        <row r="42">
          <cell r="A42" t="str">
            <v>994521-SLR</v>
          </cell>
          <cell r="B42">
            <v>12788</v>
          </cell>
          <cell r="C42">
            <v>3550.02</v>
          </cell>
          <cell r="D42">
            <v>103.51</v>
          </cell>
          <cell r="E42">
            <v>477</v>
          </cell>
          <cell r="F42">
            <v>1502.82</v>
          </cell>
          <cell r="G42">
            <v>9084.5499999999993</v>
          </cell>
          <cell r="H42">
            <v>14717.9</v>
          </cell>
          <cell r="I42">
            <v>51758.83</v>
          </cell>
          <cell r="J42">
            <v>90013</v>
          </cell>
          <cell r="K42" t="str">
            <v>MP</v>
          </cell>
        </row>
        <row r="43">
          <cell r="A43" t="str">
            <v>994526-SLR</v>
          </cell>
          <cell r="B43">
            <v>12929</v>
          </cell>
          <cell r="C43">
            <v>595.92999999999995</v>
          </cell>
          <cell r="D43">
            <v>979.98</v>
          </cell>
          <cell r="E43">
            <v>477</v>
          </cell>
          <cell r="F43">
            <v>2051.4299999999998</v>
          </cell>
          <cell r="G43">
            <v>15161.07</v>
          </cell>
          <cell r="H43">
            <v>19265.41</v>
          </cell>
          <cell r="I43">
            <v>79041.070000000007</v>
          </cell>
          <cell r="J43">
            <v>91431</v>
          </cell>
          <cell r="K43" t="str">
            <v>MP</v>
          </cell>
        </row>
        <row r="44">
          <cell r="A44" t="str">
            <v>994529-SLR</v>
          </cell>
          <cell r="B44">
            <v>12908</v>
          </cell>
          <cell r="C44">
            <v>852.78</v>
          </cell>
          <cell r="D44">
            <v>62</v>
          </cell>
          <cell r="E44">
            <v>477</v>
          </cell>
          <cell r="F44">
            <v>974.24</v>
          </cell>
          <cell r="G44">
            <v>4149.54</v>
          </cell>
          <cell r="H44">
            <v>6515.5599999999995</v>
          </cell>
          <cell r="I44">
            <v>31003.09</v>
          </cell>
          <cell r="J44">
            <v>92107</v>
          </cell>
          <cell r="K44" t="str">
            <v>MP</v>
          </cell>
        </row>
        <row r="45">
          <cell r="A45" t="str">
            <v>994530-SLR</v>
          </cell>
          <cell r="B45">
            <v>13132</v>
          </cell>
          <cell r="C45">
            <v>3314.28</v>
          </cell>
          <cell r="D45">
            <v>5319.38</v>
          </cell>
          <cell r="E45">
            <v>477</v>
          </cell>
          <cell r="F45">
            <v>7570.44</v>
          </cell>
          <cell r="G45">
            <v>43444.05</v>
          </cell>
          <cell r="H45">
            <v>60125.15</v>
          </cell>
          <cell r="I45">
            <v>321121.34000000003</v>
          </cell>
          <cell r="J45">
            <v>93020</v>
          </cell>
          <cell r="K45" t="str">
            <v>MP</v>
          </cell>
        </row>
        <row r="46">
          <cell r="A46" t="str">
            <v>994533-SLR</v>
          </cell>
          <cell r="B46">
            <v>13547</v>
          </cell>
          <cell r="C46">
            <v>251.12</v>
          </cell>
          <cell r="D46">
            <v>1.66</v>
          </cell>
          <cell r="E46">
            <v>477</v>
          </cell>
          <cell r="F46">
            <v>156.44999999999999</v>
          </cell>
          <cell r="G46">
            <v>173.15</v>
          </cell>
          <cell r="H46">
            <v>1059.3800000000001</v>
          </cell>
          <cell r="I46">
            <v>831.77</v>
          </cell>
          <cell r="J46">
            <v>90219</v>
          </cell>
          <cell r="K46" t="str">
            <v>MP</v>
          </cell>
        </row>
        <row r="47">
          <cell r="A47" t="str">
            <v>994550-SLR</v>
          </cell>
          <cell r="B47">
            <v>12959</v>
          </cell>
          <cell r="C47">
            <v>335.28</v>
          </cell>
          <cell r="D47">
            <v>57.27</v>
          </cell>
          <cell r="E47">
            <v>477</v>
          </cell>
          <cell r="F47">
            <v>909.22</v>
          </cell>
          <cell r="G47">
            <v>4064.17</v>
          </cell>
          <cell r="H47">
            <v>5842.9400000000005</v>
          </cell>
          <cell r="I47">
            <v>28636.57</v>
          </cell>
          <cell r="J47">
            <v>90062</v>
          </cell>
          <cell r="K47" t="str">
            <v>MP</v>
          </cell>
        </row>
        <row r="48">
          <cell r="A48" t="str">
            <v>994556-SLR</v>
          </cell>
          <cell r="B48">
            <v>13000</v>
          </cell>
          <cell r="C48">
            <v>185.64</v>
          </cell>
          <cell r="D48">
            <v>121.48</v>
          </cell>
          <cell r="E48">
            <v>477</v>
          </cell>
          <cell r="F48">
            <v>1625.27</v>
          </cell>
          <cell r="G48">
            <v>11562.32</v>
          </cell>
          <cell r="H48">
            <v>13971.71</v>
          </cell>
          <cell r="I48">
            <v>60547.199999999997</v>
          </cell>
          <cell r="J48">
            <v>90685</v>
          </cell>
          <cell r="K48" t="str">
            <v>MP</v>
          </cell>
        </row>
        <row r="49">
          <cell r="A49" t="str">
            <v>994573-SLR</v>
          </cell>
          <cell r="B49">
            <v>13258</v>
          </cell>
          <cell r="C49">
            <v>498.92</v>
          </cell>
          <cell r="D49">
            <v>592.79999999999995</v>
          </cell>
          <cell r="E49">
            <v>477</v>
          </cell>
          <cell r="F49">
            <v>1061.45</v>
          </cell>
          <cell r="G49">
            <v>2887.74</v>
          </cell>
          <cell r="H49">
            <v>5517.91</v>
          </cell>
          <cell r="I49">
            <v>35225.120000000003</v>
          </cell>
          <cell r="J49">
            <v>90570</v>
          </cell>
          <cell r="K49" t="str">
            <v>MP</v>
          </cell>
        </row>
        <row r="50">
          <cell r="A50" t="str">
            <v>994574-SLR</v>
          </cell>
          <cell r="B50">
            <v>13182</v>
          </cell>
          <cell r="C50">
            <v>292.55</v>
          </cell>
          <cell r="D50">
            <v>94.29</v>
          </cell>
          <cell r="E50">
            <v>477</v>
          </cell>
          <cell r="F50">
            <v>1318.6</v>
          </cell>
          <cell r="G50">
            <v>2361.2199999999998</v>
          </cell>
          <cell r="H50">
            <v>4543.66</v>
          </cell>
          <cell r="I50">
            <v>46837.5</v>
          </cell>
          <cell r="J50">
            <v>93018</v>
          </cell>
          <cell r="K50" t="str">
            <v>MP</v>
          </cell>
        </row>
        <row r="51">
          <cell r="A51" t="str">
            <v>994584-SLR</v>
          </cell>
          <cell r="B51">
            <v>13305</v>
          </cell>
          <cell r="C51">
            <v>130.08000000000001</v>
          </cell>
          <cell r="D51">
            <v>0</v>
          </cell>
          <cell r="E51">
            <v>0</v>
          </cell>
          <cell r="F51">
            <v>0</v>
          </cell>
          <cell r="G51">
            <v>502.5</v>
          </cell>
          <cell r="H51">
            <v>632.58000000000004</v>
          </cell>
          <cell r="I51">
            <v>707.42</v>
          </cell>
          <cell r="J51">
            <v>93050</v>
          </cell>
          <cell r="K51" t="str">
            <v>MP</v>
          </cell>
        </row>
        <row r="52">
          <cell r="A52" t="str">
            <v>994587-SLR</v>
          </cell>
          <cell r="B52">
            <v>12930</v>
          </cell>
          <cell r="C52">
            <v>1368.75</v>
          </cell>
          <cell r="D52">
            <v>179.37</v>
          </cell>
          <cell r="E52">
            <v>477</v>
          </cell>
          <cell r="F52">
            <v>2278.15</v>
          </cell>
          <cell r="G52">
            <v>11683.24</v>
          </cell>
          <cell r="H52">
            <v>15986.51</v>
          </cell>
          <cell r="I52">
            <v>88322.99</v>
          </cell>
          <cell r="J52">
            <v>92107</v>
          </cell>
          <cell r="K52" t="str">
            <v>MP</v>
          </cell>
        </row>
        <row r="53">
          <cell r="A53" t="str">
            <v>994610-SLR</v>
          </cell>
          <cell r="B53">
            <v>13269</v>
          </cell>
          <cell r="C53">
            <v>327.86</v>
          </cell>
          <cell r="D53">
            <v>101.17</v>
          </cell>
          <cell r="E53">
            <v>477</v>
          </cell>
          <cell r="F53">
            <v>1403.87</v>
          </cell>
          <cell r="G53">
            <v>7141.99</v>
          </cell>
          <cell r="H53">
            <v>9451.89</v>
          </cell>
          <cell r="I53">
            <v>50584.5</v>
          </cell>
          <cell r="J53">
            <v>90468</v>
          </cell>
          <cell r="K53" t="str">
            <v>MP</v>
          </cell>
        </row>
        <row r="54">
          <cell r="A54" t="str">
            <v>994618-SLR</v>
          </cell>
          <cell r="B54">
            <v>12931</v>
          </cell>
          <cell r="C54">
            <v>11275.07</v>
          </cell>
          <cell r="D54">
            <v>197.66</v>
          </cell>
          <cell r="E54">
            <v>477</v>
          </cell>
          <cell r="F54">
            <v>2484.3000000000002</v>
          </cell>
          <cell r="G54">
            <v>15067.16</v>
          </cell>
          <cell r="H54">
            <v>29501.19</v>
          </cell>
          <cell r="I54">
            <v>87560.81</v>
          </cell>
          <cell r="J54">
            <v>92233</v>
          </cell>
          <cell r="K54" t="str">
            <v>MP</v>
          </cell>
        </row>
        <row r="55">
          <cell r="A55" t="str">
            <v>994621-SLR</v>
          </cell>
          <cell r="B55">
            <v>12961</v>
          </cell>
          <cell r="C55">
            <v>264.01</v>
          </cell>
          <cell r="D55">
            <v>15.37</v>
          </cell>
          <cell r="E55">
            <v>477</v>
          </cell>
          <cell r="F55">
            <v>231.91</v>
          </cell>
          <cell r="G55">
            <v>621.33000000000004</v>
          </cell>
          <cell r="H55">
            <v>1609.62</v>
          </cell>
          <cell r="I55">
            <v>4165.76</v>
          </cell>
          <cell r="J55">
            <v>93190</v>
          </cell>
          <cell r="K55" t="str">
            <v>MP</v>
          </cell>
        </row>
        <row r="56">
          <cell r="A56" t="str">
            <v>994636-SLR</v>
          </cell>
          <cell r="B56">
            <v>13183</v>
          </cell>
          <cell r="C56">
            <v>196.72</v>
          </cell>
          <cell r="D56">
            <v>82.43</v>
          </cell>
          <cell r="E56">
            <v>477</v>
          </cell>
          <cell r="F56">
            <v>1189.71</v>
          </cell>
          <cell r="G56">
            <v>5809.46</v>
          </cell>
          <cell r="H56">
            <v>7755.32</v>
          </cell>
          <cell r="I56">
            <v>41217</v>
          </cell>
          <cell r="J56">
            <v>92190</v>
          </cell>
          <cell r="K56" t="str">
            <v>MP</v>
          </cell>
        </row>
        <row r="57">
          <cell r="A57" t="str">
            <v>994639-SLR</v>
          </cell>
          <cell r="B57">
            <v>12817</v>
          </cell>
          <cell r="C57">
            <v>213.21</v>
          </cell>
          <cell r="D57">
            <v>5.97</v>
          </cell>
          <cell r="E57">
            <v>477</v>
          </cell>
          <cell r="F57">
            <v>199.29</v>
          </cell>
          <cell r="G57">
            <v>567.79999999999995</v>
          </cell>
          <cell r="H57">
            <v>1463.27</v>
          </cell>
          <cell r="I57">
            <v>2769.24</v>
          </cell>
          <cell r="J57">
            <v>90402</v>
          </cell>
          <cell r="K57" t="str">
            <v>MP</v>
          </cell>
        </row>
        <row r="58">
          <cell r="A58" t="str">
            <v>994640-SLR</v>
          </cell>
          <cell r="B58">
            <v>13022</v>
          </cell>
          <cell r="C58">
            <v>21328.76</v>
          </cell>
          <cell r="D58">
            <v>249.16</v>
          </cell>
          <cell r="E58">
            <v>477</v>
          </cell>
          <cell r="F58">
            <v>3544.63</v>
          </cell>
          <cell r="G58">
            <v>24097.29</v>
          </cell>
          <cell r="H58">
            <v>49696.84</v>
          </cell>
          <cell r="I58">
            <v>124584.1</v>
          </cell>
          <cell r="J58">
            <v>92003</v>
          </cell>
          <cell r="K58" t="str">
            <v>MP</v>
          </cell>
        </row>
        <row r="59">
          <cell r="A59" t="str">
            <v>994641-SLR</v>
          </cell>
          <cell r="B59">
            <v>12791</v>
          </cell>
          <cell r="C59">
            <v>75.91</v>
          </cell>
          <cell r="D59">
            <v>1.73</v>
          </cell>
          <cell r="E59">
            <v>477</v>
          </cell>
          <cell r="F59">
            <v>145.1</v>
          </cell>
          <cell r="G59">
            <v>52.21</v>
          </cell>
          <cell r="H59">
            <v>751.95</v>
          </cell>
          <cell r="I59">
            <v>503.32</v>
          </cell>
          <cell r="J59">
            <v>90086</v>
          </cell>
          <cell r="K59" t="str">
            <v>MP</v>
          </cell>
        </row>
        <row r="60">
          <cell r="A60" t="str">
            <v>994645-SLR</v>
          </cell>
          <cell r="B60">
            <v>13086</v>
          </cell>
          <cell r="C60">
            <v>1071.69</v>
          </cell>
          <cell r="D60">
            <v>39.74</v>
          </cell>
          <cell r="E60">
            <v>477</v>
          </cell>
          <cell r="F60">
            <v>728.05</v>
          </cell>
          <cell r="G60">
            <v>4405.37</v>
          </cell>
          <cell r="H60">
            <v>6721.85</v>
          </cell>
          <cell r="I60">
            <v>19866.53</v>
          </cell>
          <cell r="J60">
            <v>90506</v>
          </cell>
          <cell r="K60" t="str">
            <v>MP</v>
          </cell>
        </row>
        <row r="61">
          <cell r="A61" t="str">
            <v>994649-SLR</v>
          </cell>
          <cell r="B61">
            <v>13001</v>
          </cell>
          <cell r="C61">
            <v>201.8</v>
          </cell>
          <cell r="D61">
            <v>171.76</v>
          </cell>
          <cell r="E61">
            <v>477</v>
          </cell>
          <cell r="F61">
            <v>2142.1799999999998</v>
          </cell>
          <cell r="G61">
            <v>4302.68</v>
          </cell>
          <cell r="H61">
            <v>7295.42</v>
          </cell>
          <cell r="I61">
            <v>85680</v>
          </cell>
          <cell r="J61">
            <v>93005</v>
          </cell>
          <cell r="K61" t="str">
            <v>MP</v>
          </cell>
        </row>
        <row r="62">
          <cell r="A62" t="str">
            <v>994656-SLR</v>
          </cell>
          <cell r="B62">
            <v>12819</v>
          </cell>
          <cell r="C62">
            <v>238.09</v>
          </cell>
          <cell r="D62">
            <v>26.12</v>
          </cell>
          <cell r="E62">
            <v>477</v>
          </cell>
          <cell r="F62">
            <v>550.62</v>
          </cell>
          <cell r="G62">
            <v>1832.88</v>
          </cell>
          <cell r="H62">
            <v>3124.71</v>
          </cell>
          <cell r="I62">
            <v>12827.76</v>
          </cell>
          <cell r="J62">
            <v>93043</v>
          </cell>
          <cell r="K62" t="str">
            <v>MP</v>
          </cell>
        </row>
        <row r="63">
          <cell r="A63" t="str">
            <v>994658-SLR</v>
          </cell>
          <cell r="B63">
            <v>13184</v>
          </cell>
          <cell r="C63">
            <v>205.52</v>
          </cell>
          <cell r="D63">
            <v>105.22</v>
          </cell>
          <cell r="E63">
            <v>477</v>
          </cell>
          <cell r="F63">
            <v>1442.17</v>
          </cell>
          <cell r="G63">
            <v>10016.09</v>
          </cell>
          <cell r="H63">
            <v>12246</v>
          </cell>
          <cell r="I63">
            <v>52405.54</v>
          </cell>
          <cell r="J63">
            <v>90402</v>
          </cell>
          <cell r="K63" t="str">
            <v>MP</v>
          </cell>
        </row>
        <row r="64">
          <cell r="A64" t="str">
            <v>994661-SLR</v>
          </cell>
          <cell r="B64">
            <v>13323</v>
          </cell>
          <cell r="C64">
            <v>15595.09</v>
          </cell>
          <cell r="D64">
            <v>256.3</v>
          </cell>
          <cell r="E64">
            <v>477</v>
          </cell>
          <cell r="F64">
            <v>3496.15</v>
          </cell>
          <cell r="G64">
            <v>17760.91</v>
          </cell>
          <cell r="H64">
            <v>37585.449999999997</v>
          </cell>
          <cell r="I64">
            <v>128153.3</v>
          </cell>
          <cell r="J64">
            <v>93182</v>
          </cell>
          <cell r="K64" t="str">
            <v>MP</v>
          </cell>
        </row>
        <row r="65">
          <cell r="A65" t="str">
            <v>994664=SLR</v>
          </cell>
          <cell r="B65">
            <v>12792</v>
          </cell>
          <cell r="C65">
            <v>205.77</v>
          </cell>
          <cell r="D65">
            <v>8.57</v>
          </cell>
          <cell r="E65">
            <v>477</v>
          </cell>
          <cell r="F65">
            <v>228.54</v>
          </cell>
          <cell r="G65">
            <v>600.39</v>
          </cell>
          <cell r="H65">
            <v>1520.27</v>
          </cell>
          <cell r="I65">
            <v>4074.17</v>
          </cell>
          <cell r="J65">
            <v>93227</v>
          </cell>
          <cell r="K65" t="str">
            <v>MP</v>
          </cell>
        </row>
        <row r="66">
          <cell r="A66" t="str">
            <v>994666-SLR</v>
          </cell>
          <cell r="B66">
            <v>12918</v>
          </cell>
          <cell r="C66">
            <v>2905.12</v>
          </cell>
          <cell r="D66">
            <v>24.93</v>
          </cell>
          <cell r="E66">
            <v>477</v>
          </cell>
          <cell r="F66">
            <v>657.29</v>
          </cell>
          <cell r="G66">
            <v>3566.59</v>
          </cell>
          <cell r="H66">
            <v>7630.93</v>
          </cell>
          <cell r="I66">
            <v>14898.04</v>
          </cell>
          <cell r="J66">
            <v>92056</v>
          </cell>
          <cell r="K66" t="str">
            <v>MP</v>
          </cell>
        </row>
        <row r="67">
          <cell r="A67" t="str">
            <v>994668-SLR</v>
          </cell>
          <cell r="B67">
            <v>12919</v>
          </cell>
          <cell r="C67">
            <v>37221.49</v>
          </cell>
          <cell r="D67">
            <v>177.66</v>
          </cell>
          <cell r="E67">
            <v>477</v>
          </cell>
          <cell r="F67">
            <v>2258.66</v>
          </cell>
          <cell r="G67">
            <v>11046.48</v>
          </cell>
          <cell r="H67">
            <v>51181.289999999994</v>
          </cell>
          <cell r="I67">
            <v>51606.68</v>
          </cell>
          <cell r="J67">
            <v>93182</v>
          </cell>
          <cell r="K67" t="str">
            <v>MP</v>
          </cell>
        </row>
        <row r="68">
          <cell r="A68" t="str">
            <v>994673-SLR</v>
          </cell>
          <cell r="B68">
            <v>12962</v>
          </cell>
          <cell r="C68">
            <v>470.82</v>
          </cell>
          <cell r="D68">
            <v>6.25</v>
          </cell>
          <cell r="E68">
            <v>477</v>
          </cell>
          <cell r="F68">
            <v>202.45</v>
          </cell>
          <cell r="G68">
            <v>406.77</v>
          </cell>
          <cell r="H68">
            <v>1563.29</v>
          </cell>
          <cell r="I68">
            <v>2651.95</v>
          </cell>
          <cell r="J68">
            <v>93382</v>
          </cell>
          <cell r="K68" t="str">
            <v>MP</v>
          </cell>
        </row>
        <row r="69">
          <cell r="A69" t="str">
            <v>994675-SLR</v>
          </cell>
          <cell r="B69">
            <v>13009</v>
          </cell>
          <cell r="C69">
            <v>9367.9599999999991</v>
          </cell>
          <cell r="D69">
            <v>90.57</v>
          </cell>
          <cell r="E69">
            <v>477</v>
          </cell>
          <cell r="F69">
            <v>1276.9000000000001</v>
          </cell>
          <cell r="G69">
            <v>7439.11</v>
          </cell>
          <cell r="H69">
            <v>18651.539999999997</v>
          </cell>
          <cell r="I69">
            <v>35912.49</v>
          </cell>
          <cell r="J69">
            <v>93429</v>
          </cell>
          <cell r="K69" t="str">
            <v>MP</v>
          </cell>
        </row>
        <row r="70">
          <cell r="A70" t="str">
            <v>994679-SLR</v>
          </cell>
          <cell r="B70">
            <v>12980</v>
          </cell>
          <cell r="C70">
            <v>176.23</v>
          </cell>
          <cell r="D70">
            <v>651.84</v>
          </cell>
          <cell r="E70">
            <v>477</v>
          </cell>
          <cell r="F70">
            <v>199.43</v>
          </cell>
          <cell r="G70">
            <v>419.28</v>
          </cell>
          <cell r="H70">
            <v>1923.7800000000002</v>
          </cell>
          <cell r="I70">
            <v>2812.63</v>
          </cell>
          <cell r="J70">
            <v>90614</v>
          </cell>
          <cell r="K70" t="str">
            <v>MP</v>
          </cell>
        </row>
        <row r="71">
          <cell r="A71" t="str">
            <v>994681-SLR</v>
          </cell>
          <cell r="B71">
            <v>12820</v>
          </cell>
          <cell r="C71">
            <v>2118.56</v>
          </cell>
          <cell r="D71">
            <v>8.5299999999999994</v>
          </cell>
          <cell r="E71">
            <v>477</v>
          </cell>
          <cell r="F71">
            <v>228.12</v>
          </cell>
          <cell r="G71">
            <v>512.39</v>
          </cell>
          <cell r="H71">
            <v>3344.6</v>
          </cell>
          <cell r="I71">
            <v>2142.8200000000002</v>
          </cell>
          <cell r="J71">
            <v>93182</v>
          </cell>
          <cell r="K71" t="str">
            <v>MP</v>
          </cell>
        </row>
        <row r="72">
          <cell r="A72" t="str">
            <v>994682-SLR</v>
          </cell>
          <cell r="B72">
            <v>12909</v>
          </cell>
          <cell r="C72">
            <v>2093.66</v>
          </cell>
          <cell r="D72">
            <v>24.95</v>
          </cell>
          <cell r="E72">
            <v>477</v>
          </cell>
          <cell r="F72">
            <v>584.44000000000005</v>
          </cell>
          <cell r="G72">
            <v>2773.11</v>
          </cell>
          <cell r="H72">
            <v>5953.16</v>
          </cell>
          <cell r="I72">
            <v>12472.51</v>
          </cell>
          <cell r="J72">
            <v>92049</v>
          </cell>
          <cell r="K72" t="str">
            <v>MP</v>
          </cell>
        </row>
        <row r="73">
          <cell r="A73" t="str">
            <v>994684-SLR</v>
          </cell>
          <cell r="B73">
            <v>12804</v>
          </cell>
          <cell r="C73">
            <v>394.67</v>
          </cell>
          <cell r="D73">
            <v>107.55</v>
          </cell>
          <cell r="E73">
            <v>477</v>
          </cell>
          <cell r="F73">
            <v>1468.49</v>
          </cell>
          <cell r="G73">
            <v>10237.59</v>
          </cell>
          <cell r="H73">
            <v>12685.3</v>
          </cell>
          <cell r="I73">
            <v>53383.93</v>
          </cell>
          <cell r="J73">
            <v>92243</v>
          </cell>
          <cell r="K73" t="str">
            <v>MP</v>
          </cell>
        </row>
        <row r="74">
          <cell r="A74" t="str">
            <v>994685-SLR</v>
          </cell>
          <cell r="B74">
            <v>13076</v>
          </cell>
          <cell r="C74">
            <v>149.88999999999999</v>
          </cell>
          <cell r="D74">
            <v>8.9</v>
          </cell>
          <cell r="E74">
            <v>477</v>
          </cell>
          <cell r="F74">
            <v>232.3</v>
          </cell>
          <cell r="G74">
            <v>623.79999999999995</v>
          </cell>
          <cell r="H74">
            <v>1491.8899999999999</v>
          </cell>
          <cell r="I74">
            <v>4296.92</v>
          </cell>
          <cell r="J74">
            <v>92243</v>
          </cell>
          <cell r="K74" t="str">
            <v>MP</v>
          </cell>
        </row>
        <row r="75">
          <cell r="A75" t="str">
            <v>994686-SLR</v>
          </cell>
          <cell r="B75">
            <v>12862</v>
          </cell>
          <cell r="C75">
            <v>1507.81</v>
          </cell>
          <cell r="D75">
            <v>100.72</v>
          </cell>
          <cell r="E75">
            <v>477</v>
          </cell>
          <cell r="F75">
            <v>1425.4</v>
          </cell>
          <cell r="G75">
            <v>6180.42</v>
          </cell>
          <cell r="H75">
            <v>9691.35</v>
          </cell>
          <cell r="I75">
            <v>50362.37</v>
          </cell>
          <cell r="J75">
            <v>92243</v>
          </cell>
          <cell r="K75" t="str">
            <v>MP</v>
          </cell>
        </row>
        <row r="76">
          <cell r="A76" t="str">
            <v>994687-SLR</v>
          </cell>
          <cell r="B76">
            <v>13586</v>
          </cell>
          <cell r="C76">
            <v>109.87</v>
          </cell>
          <cell r="D76">
            <v>0</v>
          </cell>
          <cell r="E76">
            <v>10</v>
          </cell>
          <cell r="F76">
            <v>0</v>
          </cell>
          <cell r="G76">
            <v>179.11</v>
          </cell>
          <cell r="H76">
            <v>298.98</v>
          </cell>
          <cell r="I76">
            <v>165.22</v>
          </cell>
          <cell r="J76">
            <v>93300</v>
          </cell>
          <cell r="K76" t="str">
            <v>MP</v>
          </cell>
        </row>
        <row r="77">
          <cell r="A77" t="str">
            <v>994689=SLR</v>
          </cell>
          <cell r="B77">
            <v>12793</v>
          </cell>
          <cell r="C77">
            <v>1252.22</v>
          </cell>
          <cell r="D77">
            <v>28.7</v>
          </cell>
          <cell r="E77">
            <v>477</v>
          </cell>
          <cell r="F77">
            <v>579.49</v>
          </cell>
          <cell r="G77">
            <v>2731.27</v>
          </cell>
          <cell r="H77">
            <v>5068.68</v>
          </cell>
          <cell r="I77">
            <v>13094.2</v>
          </cell>
          <cell r="J77">
            <v>92259</v>
          </cell>
          <cell r="K77" t="str">
            <v>MP</v>
          </cell>
        </row>
        <row r="78">
          <cell r="A78" t="str">
            <v>994691-SLR</v>
          </cell>
          <cell r="B78">
            <v>12849</v>
          </cell>
          <cell r="C78">
            <v>228.02</v>
          </cell>
          <cell r="D78">
            <v>1.55</v>
          </cell>
          <cell r="E78">
            <v>477</v>
          </cell>
          <cell r="F78">
            <v>154.69999999999999</v>
          </cell>
          <cell r="G78">
            <v>191.24</v>
          </cell>
          <cell r="H78">
            <v>1052.51</v>
          </cell>
          <cell r="I78">
            <v>776.95</v>
          </cell>
          <cell r="J78">
            <v>93255</v>
          </cell>
          <cell r="K78" t="str">
            <v>MP</v>
          </cell>
        </row>
        <row r="79">
          <cell r="A79" t="str">
            <v>994692-SLR</v>
          </cell>
          <cell r="B79">
            <v>12910</v>
          </cell>
          <cell r="C79">
            <v>627.78</v>
          </cell>
          <cell r="D79">
            <v>9.7100000000000009</v>
          </cell>
          <cell r="E79">
            <v>477</v>
          </cell>
          <cell r="F79">
            <v>255.78</v>
          </cell>
          <cell r="G79">
            <v>1044.81</v>
          </cell>
          <cell r="H79">
            <v>2415.08</v>
          </cell>
          <cell r="I79">
            <v>4860.26</v>
          </cell>
          <cell r="J79">
            <v>93417</v>
          </cell>
          <cell r="K79" t="str">
            <v>MP</v>
          </cell>
        </row>
        <row r="80">
          <cell r="A80" t="str">
            <v>994703-SLR</v>
          </cell>
          <cell r="B80">
            <v>13261</v>
          </cell>
          <cell r="C80">
            <v>181.09</v>
          </cell>
          <cell r="D80">
            <v>56.61</v>
          </cell>
          <cell r="E80">
            <v>477</v>
          </cell>
          <cell r="F80">
            <v>898.24</v>
          </cell>
          <cell r="G80">
            <v>3995.83</v>
          </cell>
          <cell r="H80">
            <v>5608.77</v>
          </cell>
          <cell r="I80">
            <v>28303.919999999998</v>
          </cell>
          <cell r="J80">
            <v>90485</v>
          </cell>
          <cell r="K80" t="str">
            <v>MP</v>
          </cell>
        </row>
        <row r="81">
          <cell r="A81" t="str">
            <v>994705-SLR</v>
          </cell>
          <cell r="B81">
            <v>13010</v>
          </cell>
          <cell r="C81">
            <v>228.96</v>
          </cell>
          <cell r="D81">
            <v>56.17</v>
          </cell>
          <cell r="E81">
            <v>477</v>
          </cell>
          <cell r="F81">
            <v>894.36</v>
          </cell>
          <cell r="G81">
            <v>851.07</v>
          </cell>
          <cell r="H81">
            <v>2507.56</v>
          </cell>
          <cell r="I81">
            <v>28084</v>
          </cell>
          <cell r="J81">
            <v>93176</v>
          </cell>
          <cell r="K81" t="str">
            <v>MP</v>
          </cell>
        </row>
        <row r="82">
          <cell r="A82" t="str">
            <v>994706-SLR</v>
          </cell>
          <cell r="B82">
            <v>12933</v>
          </cell>
          <cell r="C82">
            <v>480.89</v>
          </cell>
          <cell r="D82">
            <v>14.5</v>
          </cell>
          <cell r="E82">
            <v>477</v>
          </cell>
          <cell r="F82">
            <v>351.75</v>
          </cell>
          <cell r="G82">
            <v>1471.76</v>
          </cell>
          <cell r="H82">
            <v>2795.8999999999996</v>
          </cell>
          <cell r="I82">
            <v>7249.77</v>
          </cell>
          <cell r="J82">
            <v>91678</v>
          </cell>
          <cell r="K82" t="str">
            <v>MP</v>
          </cell>
        </row>
        <row r="83">
          <cell r="A83" t="str">
            <v>994707-SLR</v>
          </cell>
          <cell r="B83">
            <v>12801</v>
          </cell>
          <cell r="C83">
            <v>339.06</v>
          </cell>
          <cell r="D83">
            <v>193.22</v>
          </cell>
          <cell r="E83">
            <v>477</v>
          </cell>
          <cell r="F83">
            <v>2434.0500000000002</v>
          </cell>
          <cell r="G83">
            <v>7573.99</v>
          </cell>
          <cell r="H83">
            <v>11017.32</v>
          </cell>
          <cell r="I83">
            <v>96267.92</v>
          </cell>
          <cell r="J83">
            <v>90402</v>
          </cell>
          <cell r="K83" t="str">
            <v>MP</v>
          </cell>
        </row>
        <row r="84">
          <cell r="A84" t="str">
            <v>994708-SLR</v>
          </cell>
          <cell r="B84">
            <v>12934</v>
          </cell>
          <cell r="C84">
            <v>209.45</v>
          </cell>
          <cell r="D84">
            <v>3.12</v>
          </cell>
          <cell r="E84">
            <v>477</v>
          </cell>
          <cell r="F84">
            <v>172.02</v>
          </cell>
          <cell r="G84">
            <v>230.93</v>
          </cell>
          <cell r="H84">
            <v>1092.52</v>
          </cell>
          <cell r="I84">
            <v>1563.82</v>
          </cell>
          <cell r="J84">
            <v>91678</v>
          </cell>
          <cell r="K84" t="str">
            <v>MP</v>
          </cell>
        </row>
        <row r="85">
          <cell r="A85" t="str">
            <v>994709-SLR</v>
          </cell>
          <cell r="B85">
            <v>12935</v>
          </cell>
          <cell r="C85">
            <v>306.54000000000002</v>
          </cell>
          <cell r="D85">
            <v>2.4900000000000002</v>
          </cell>
          <cell r="E85">
            <v>477</v>
          </cell>
          <cell r="F85">
            <v>147.09</v>
          </cell>
          <cell r="G85">
            <v>127.03</v>
          </cell>
          <cell r="H85">
            <v>1060.1500000000001</v>
          </cell>
          <cell r="I85">
            <v>360.71</v>
          </cell>
          <cell r="J85">
            <v>90424</v>
          </cell>
          <cell r="K85" t="str">
            <v>MP</v>
          </cell>
        </row>
        <row r="86">
          <cell r="A86" t="str">
            <v>994710-SLR</v>
          </cell>
          <cell r="B86">
            <v>13088</v>
          </cell>
          <cell r="C86">
            <v>5492.8</v>
          </cell>
          <cell r="D86">
            <v>87.21</v>
          </cell>
          <cell r="E86">
            <v>477</v>
          </cell>
          <cell r="F86">
            <v>1239.29</v>
          </cell>
          <cell r="G86">
            <v>5680.96</v>
          </cell>
          <cell r="H86">
            <v>12977.26</v>
          </cell>
          <cell r="I86">
            <v>38118</v>
          </cell>
          <cell r="J86">
            <v>92016</v>
          </cell>
          <cell r="K86" t="str">
            <v>MP</v>
          </cell>
        </row>
        <row r="87">
          <cell r="A87" t="str">
            <v>994711-SLR</v>
          </cell>
          <cell r="B87">
            <v>13089</v>
          </cell>
          <cell r="C87">
            <v>698.04</v>
          </cell>
          <cell r="D87">
            <v>43.78</v>
          </cell>
          <cell r="E87">
            <v>477</v>
          </cell>
          <cell r="F87">
            <v>765.33</v>
          </cell>
          <cell r="G87">
            <v>3168.89</v>
          </cell>
          <cell r="H87">
            <v>5153.04</v>
          </cell>
          <cell r="I87">
            <v>21893.07</v>
          </cell>
          <cell r="J87">
            <v>93302</v>
          </cell>
          <cell r="K87" t="str">
            <v>MP</v>
          </cell>
        </row>
        <row r="88">
          <cell r="A88" t="str">
            <v>994712-SLR</v>
          </cell>
          <cell r="B88">
            <v>13091</v>
          </cell>
          <cell r="C88">
            <v>66.709999999999994</v>
          </cell>
          <cell r="D88">
            <v>121.58</v>
          </cell>
          <cell r="E88">
            <v>477</v>
          </cell>
          <cell r="F88">
            <v>1626.51</v>
          </cell>
          <cell r="G88">
            <v>4460.16</v>
          </cell>
          <cell r="H88">
            <v>6751.96</v>
          </cell>
          <cell r="I88">
            <v>60721.21</v>
          </cell>
          <cell r="J88">
            <v>90083</v>
          </cell>
          <cell r="K88" t="str">
            <v>MP</v>
          </cell>
        </row>
        <row r="89">
          <cell r="A89" t="str">
            <v>994713-SLR</v>
          </cell>
          <cell r="B89">
            <v>12936</v>
          </cell>
          <cell r="C89">
            <v>1290.17</v>
          </cell>
          <cell r="D89">
            <v>24.66</v>
          </cell>
          <cell r="E89">
            <v>477</v>
          </cell>
          <cell r="F89">
            <v>534.02</v>
          </cell>
          <cell r="G89">
            <v>2221.31</v>
          </cell>
          <cell r="H89">
            <v>4547.16</v>
          </cell>
          <cell r="I89">
            <v>11039.42</v>
          </cell>
          <cell r="J89">
            <v>91990</v>
          </cell>
          <cell r="K89" t="str">
            <v>MP</v>
          </cell>
        </row>
        <row r="90">
          <cell r="A90" t="str">
            <v>994722-SLR</v>
          </cell>
          <cell r="B90">
            <v>13018</v>
          </cell>
          <cell r="C90">
            <v>176.12</v>
          </cell>
          <cell r="D90">
            <v>80.709999999999994</v>
          </cell>
          <cell r="E90">
            <v>477</v>
          </cell>
          <cell r="F90">
            <v>1169.82</v>
          </cell>
          <cell r="G90">
            <v>5685.7</v>
          </cell>
          <cell r="H90">
            <v>7589.3499999999995</v>
          </cell>
          <cell r="I90">
            <v>40355.279999999999</v>
          </cell>
          <cell r="J90">
            <v>90062</v>
          </cell>
          <cell r="K90" t="str">
            <v>MP</v>
          </cell>
        </row>
        <row r="91">
          <cell r="A91" t="str">
            <v>994723-SLR</v>
          </cell>
          <cell r="B91">
            <v>13137</v>
          </cell>
          <cell r="C91">
            <v>185.08</v>
          </cell>
          <cell r="D91">
            <v>11.85</v>
          </cell>
          <cell r="E91">
            <v>477</v>
          </cell>
          <cell r="F91">
            <v>279.37</v>
          </cell>
          <cell r="G91">
            <v>856.75</v>
          </cell>
          <cell r="H91">
            <v>1810.0500000000002</v>
          </cell>
          <cell r="I91">
            <v>5922.7</v>
          </cell>
          <cell r="J91">
            <v>93428</v>
          </cell>
          <cell r="K91" t="str">
            <v>MP</v>
          </cell>
        </row>
        <row r="92">
          <cell r="A92" t="str">
            <v>994724-SLR</v>
          </cell>
          <cell r="B92">
            <v>12809</v>
          </cell>
          <cell r="C92">
            <v>325.36</v>
          </cell>
          <cell r="D92">
            <v>6.14</v>
          </cell>
          <cell r="E92">
            <v>477</v>
          </cell>
          <cell r="F92">
            <v>201.19</v>
          </cell>
          <cell r="G92">
            <v>645.32000000000005</v>
          </cell>
          <cell r="H92">
            <v>1655.0100000000002</v>
          </cell>
          <cell r="I92">
            <v>2741.43</v>
          </cell>
          <cell r="J92">
            <v>91375</v>
          </cell>
          <cell r="K92" t="str">
            <v>MP</v>
          </cell>
        </row>
        <row r="93">
          <cell r="A93" t="str">
            <v>994725-SLR</v>
          </cell>
          <cell r="B93">
            <v>12821</v>
          </cell>
          <cell r="C93">
            <v>329.04</v>
          </cell>
          <cell r="D93">
            <v>13.39</v>
          </cell>
          <cell r="E93">
            <v>477</v>
          </cell>
          <cell r="F93">
            <v>305.97000000000003</v>
          </cell>
          <cell r="G93">
            <v>1276.31</v>
          </cell>
          <cell r="H93">
            <v>2401.71</v>
          </cell>
          <cell r="I93">
            <v>6375.01</v>
          </cell>
          <cell r="J93">
            <v>90721</v>
          </cell>
          <cell r="K93" t="str">
            <v>MP</v>
          </cell>
        </row>
        <row r="94">
          <cell r="A94" t="str">
            <v>994726-SLR</v>
          </cell>
          <cell r="B94">
            <v>12963</v>
          </cell>
          <cell r="C94">
            <v>1258.55</v>
          </cell>
          <cell r="D94">
            <v>27.85</v>
          </cell>
          <cell r="E94">
            <v>477</v>
          </cell>
          <cell r="F94">
            <v>571.66</v>
          </cell>
          <cell r="G94">
            <v>1683.27</v>
          </cell>
          <cell r="H94">
            <v>4018.33</v>
          </cell>
          <cell r="I94">
            <v>12740.87</v>
          </cell>
          <cell r="J94">
            <v>93072</v>
          </cell>
          <cell r="K94" t="str">
            <v>MP</v>
          </cell>
        </row>
        <row r="95">
          <cell r="A95" t="str">
            <v>994728-SLR</v>
          </cell>
          <cell r="B95">
            <v>12811</v>
          </cell>
          <cell r="C95">
            <v>150.1</v>
          </cell>
          <cell r="D95">
            <v>2.87</v>
          </cell>
          <cell r="E95">
            <v>477</v>
          </cell>
          <cell r="F95">
            <v>164.31</v>
          </cell>
          <cell r="G95">
            <v>272.42</v>
          </cell>
          <cell r="H95">
            <v>1066.7</v>
          </cell>
          <cell r="I95">
            <v>1280.81</v>
          </cell>
          <cell r="J95">
            <v>92243</v>
          </cell>
          <cell r="K95" t="str">
            <v>MP</v>
          </cell>
        </row>
        <row r="96">
          <cell r="A96" t="str">
            <v>994729-SLR</v>
          </cell>
          <cell r="B96">
            <v>12937</v>
          </cell>
          <cell r="C96">
            <v>4265.5600000000004</v>
          </cell>
          <cell r="D96">
            <v>3.26</v>
          </cell>
          <cell r="E96">
            <v>477</v>
          </cell>
          <cell r="F96">
            <v>269.7</v>
          </cell>
          <cell r="G96">
            <v>708.26</v>
          </cell>
          <cell r="H96">
            <v>5723.7800000000007</v>
          </cell>
          <cell r="I96">
            <v>1624.8</v>
          </cell>
          <cell r="J96">
            <v>93086</v>
          </cell>
          <cell r="K96" t="str">
            <v>MP</v>
          </cell>
        </row>
        <row r="97">
          <cell r="A97" t="str">
            <v>994732-SLR</v>
          </cell>
          <cell r="B97">
            <v>12794</v>
          </cell>
          <cell r="C97">
            <v>200.41</v>
          </cell>
          <cell r="D97">
            <v>25.12</v>
          </cell>
          <cell r="E97">
            <v>477</v>
          </cell>
          <cell r="F97">
            <v>259</v>
          </cell>
          <cell r="G97">
            <v>1677.64</v>
          </cell>
          <cell r="H97">
            <v>2639.17</v>
          </cell>
          <cell r="I97">
            <v>11757.59</v>
          </cell>
          <cell r="J97">
            <v>91750</v>
          </cell>
          <cell r="K97" t="str">
            <v>MP</v>
          </cell>
        </row>
        <row r="98">
          <cell r="A98" t="str">
            <v>994734-SLR</v>
          </cell>
          <cell r="B98">
            <v>12822</v>
          </cell>
          <cell r="C98">
            <v>333.65</v>
          </cell>
          <cell r="D98">
            <v>14.69</v>
          </cell>
          <cell r="E98">
            <v>477</v>
          </cell>
          <cell r="F98">
            <v>220.9</v>
          </cell>
          <cell r="G98">
            <v>750.99</v>
          </cell>
          <cell r="H98">
            <v>1797.23</v>
          </cell>
          <cell r="I98">
            <v>3611.06</v>
          </cell>
          <cell r="J98">
            <v>93025</v>
          </cell>
          <cell r="K98" t="str">
            <v>MP</v>
          </cell>
        </row>
        <row r="99">
          <cell r="A99" t="str">
            <v>994736-SLR</v>
          </cell>
          <cell r="B99">
            <v>13270</v>
          </cell>
          <cell r="C99">
            <v>998.85</v>
          </cell>
          <cell r="D99">
            <v>179.24</v>
          </cell>
          <cell r="E99">
            <v>477</v>
          </cell>
          <cell r="F99">
            <v>2321.52</v>
          </cell>
          <cell r="G99">
            <v>14756.82</v>
          </cell>
          <cell r="H99">
            <v>18733.43</v>
          </cell>
          <cell r="I99">
            <v>90618.65</v>
          </cell>
          <cell r="J99">
            <v>90570</v>
          </cell>
          <cell r="K99" t="str">
            <v>MP</v>
          </cell>
        </row>
        <row r="100">
          <cell r="A100" t="str">
            <v>994737-SLR</v>
          </cell>
          <cell r="B100">
            <v>12938</v>
          </cell>
          <cell r="C100">
            <v>540.48</v>
          </cell>
          <cell r="D100">
            <v>28.83</v>
          </cell>
          <cell r="E100">
            <v>477</v>
          </cell>
          <cell r="F100">
            <v>581.34</v>
          </cell>
          <cell r="G100">
            <v>1611.91</v>
          </cell>
          <cell r="H100">
            <v>3239.5600000000004</v>
          </cell>
          <cell r="I100">
            <v>13888.36</v>
          </cell>
          <cell r="J100">
            <v>93018</v>
          </cell>
          <cell r="K100" t="str">
            <v>MP</v>
          </cell>
        </row>
        <row r="101">
          <cell r="A101" t="str">
            <v>994738-SLR</v>
          </cell>
          <cell r="B101">
            <v>12823</v>
          </cell>
          <cell r="C101">
            <v>1208.8</v>
          </cell>
          <cell r="D101">
            <v>100.89</v>
          </cell>
          <cell r="E101">
            <v>477</v>
          </cell>
          <cell r="F101">
            <v>277.63</v>
          </cell>
          <cell r="G101">
            <v>1155.33</v>
          </cell>
          <cell r="H101">
            <v>3219.65</v>
          </cell>
          <cell r="I101">
            <v>4859.74</v>
          </cell>
          <cell r="J101">
            <v>92336</v>
          </cell>
          <cell r="K101" t="str">
            <v>MP</v>
          </cell>
        </row>
        <row r="102">
          <cell r="A102" t="str">
            <v>994744-SLR</v>
          </cell>
          <cell r="B102">
            <v>13158</v>
          </cell>
          <cell r="C102">
            <v>3606.77</v>
          </cell>
          <cell r="D102">
            <v>114.81</v>
          </cell>
          <cell r="E102">
            <v>477</v>
          </cell>
          <cell r="F102">
            <v>1631.39</v>
          </cell>
          <cell r="G102">
            <v>7335.14</v>
          </cell>
          <cell r="H102">
            <v>13165.11</v>
          </cell>
          <cell r="I102">
            <v>57404.59</v>
          </cell>
          <cell r="J102">
            <v>93123</v>
          </cell>
          <cell r="K102" t="str">
            <v>MP</v>
          </cell>
        </row>
        <row r="103">
          <cell r="A103" t="str">
            <v>994745-SLR</v>
          </cell>
          <cell r="B103">
            <v>12939</v>
          </cell>
          <cell r="C103">
            <v>1011.77</v>
          </cell>
          <cell r="D103">
            <v>8.6999999999999993</v>
          </cell>
          <cell r="E103">
            <v>477</v>
          </cell>
          <cell r="F103">
            <v>252.82</v>
          </cell>
          <cell r="G103">
            <v>1019.87</v>
          </cell>
          <cell r="H103">
            <v>2770.16</v>
          </cell>
          <cell r="I103">
            <v>4345.26</v>
          </cell>
          <cell r="J103">
            <v>90219</v>
          </cell>
          <cell r="K103" t="str">
            <v>MP</v>
          </cell>
        </row>
        <row r="104">
          <cell r="A104" t="str">
            <v>994746-SLR</v>
          </cell>
          <cell r="B104">
            <v>12911</v>
          </cell>
          <cell r="C104">
            <v>796.48</v>
          </cell>
          <cell r="D104">
            <v>18.78</v>
          </cell>
          <cell r="E104">
            <v>477</v>
          </cell>
          <cell r="F104">
            <v>461.15</v>
          </cell>
          <cell r="G104">
            <v>1938.85</v>
          </cell>
          <cell r="H104">
            <v>3692.2599999999998</v>
          </cell>
          <cell r="I104">
            <v>9387.6</v>
          </cell>
          <cell r="J104">
            <v>90013</v>
          </cell>
          <cell r="K104" t="str">
            <v>MP</v>
          </cell>
        </row>
        <row r="105">
          <cell r="A105" t="str">
            <v>994751-SLR</v>
          </cell>
          <cell r="B105">
            <v>13114</v>
          </cell>
          <cell r="C105">
            <v>176.73</v>
          </cell>
          <cell r="D105">
            <v>44.04</v>
          </cell>
          <cell r="E105">
            <v>477</v>
          </cell>
          <cell r="F105">
            <v>756.47</v>
          </cell>
          <cell r="G105">
            <v>4225.8</v>
          </cell>
          <cell r="H105">
            <v>5680.04</v>
          </cell>
          <cell r="I105">
            <v>22020.28</v>
          </cell>
          <cell r="J105">
            <v>92003</v>
          </cell>
          <cell r="K105" t="str">
            <v>MP</v>
          </cell>
        </row>
        <row r="106">
          <cell r="A106" t="str">
            <v>994752-SLR</v>
          </cell>
          <cell r="B106">
            <v>12981</v>
          </cell>
          <cell r="C106">
            <v>557.29</v>
          </cell>
          <cell r="D106">
            <v>7.48</v>
          </cell>
          <cell r="E106">
            <v>477</v>
          </cell>
          <cell r="F106">
            <v>216.36</v>
          </cell>
          <cell r="G106">
            <v>487.12</v>
          </cell>
          <cell r="H106">
            <v>1745.25</v>
          </cell>
          <cell r="I106">
            <v>3182.34</v>
          </cell>
          <cell r="J106">
            <v>93185</v>
          </cell>
          <cell r="K106" t="str">
            <v>MP</v>
          </cell>
        </row>
        <row r="107">
          <cell r="A107" t="str">
            <v>994754-SLR</v>
          </cell>
          <cell r="B107">
            <v>12807</v>
          </cell>
          <cell r="C107">
            <v>213.73</v>
          </cell>
          <cell r="D107">
            <v>6.62</v>
          </cell>
          <cell r="E107">
            <v>477</v>
          </cell>
          <cell r="F107">
            <v>206.72</v>
          </cell>
          <cell r="G107">
            <v>464.59</v>
          </cell>
          <cell r="H107">
            <v>1368.66</v>
          </cell>
          <cell r="I107">
            <v>3098.12</v>
          </cell>
          <cell r="J107">
            <v>90503</v>
          </cell>
          <cell r="K107" t="str">
            <v>MP</v>
          </cell>
        </row>
        <row r="108">
          <cell r="A108" t="str">
            <v>994755-SLR</v>
          </cell>
          <cell r="B108">
            <v>13082</v>
          </cell>
          <cell r="C108">
            <v>3063.77</v>
          </cell>
          <cell r="D108">
            <v>69.489999999999995</v>
          </cell>
          <cell r="E108">
            <v>477</v>
          </cell>
          <cell r="F108">
            <v>1172.26</v>
          </cell>
          <cell r="G108">
            <v>7736.85</v>
          </cell>
          <cell r="H108">
            <v>12519.369999999999</v>
          </cell>
          <cell r="I108">
            <v>37581.300000000003</v>
          </cell>
          <cell r="J108">
            <v>92049</v>
          </cell>
          <cell r="K108" t="str">
            <v>MP</v>
          </cell>
        </row>
        <row r="109">
          <cell r="A109" t="str">
            <v>994756-SLR</v>
          </cell>
          <cell r="B109">
            <v>13011</v>
          </cell>
          <cell r="C109">
            <v>240.38</v>
          </cell>
          <cell r="D109">
            <v>144.69999999999999</v>
          </cell>
          <cell r="E109">
            <v>477</v>
          </cell>
          <cell r="F109">
            <v>1892.63</v>
          </cell>
          <cell r="G109">
            <v>2182.11</v>
          </cell>
          <cell r="H109">
            <v>4936.82</v>
          </cell>
          <cell r="I109">
            <v>72352</v>
          </cell>
          <cell r="J109">
            <v>93176</v>
          </cell>
          <cell r="K109" t="str">
            <v>MP</v>
          </cell>
        </row>
        <row r="110">
          <cell r="A110" t="str">
            <v>994757-SLR</v>
          </cell>
          <cell r="B110">
            <v>12940</v>
          </cell>
          <cell r="C110">
            <v>197.53</v>
          </cell>
          <cell r="D110">
            <v>18.850000000000001</v>
          </cell>
          <cell r="E110">
            <v>477</v>
          </cell>
          <cell r="F110">
            <v>435.99</v>
          </cell>
          <cell r="G110">
            <v>1638.66</v>
          </cell>
          <cell r="H110">
            <v>2768.0299999999997</v>
          </cell>
          <cell r="I110">
            <v>9422.7800000000007</v>
          </cell>
          <cell r="J110">
            <v>93217</v>
          </cell>
          <cell r="K110" t="str">
            <v>MP</v>
          </cell>
        </row>
        <row r="111">
          <cell r="A111" t="str">
            <v>994758=SLR</v>
          </cell>
          <cell r="B111">
            <v>13326</v>
          </cell>
          <cell r="C111">
            <v>208.15</v>
          </cell>
          <cell r="D111">
            <v>50.37</v>
          </cell>
          <cell r="E111">
            <v>477</v>
          </cell>
          <cell r="F111">
            <v>823.88</v>
          </cell>
          <cell r="G111">
            <v>757.11</v>
          </cell>
          <cell r="H111">
            <v>2316.5100000000002</v>
          </cell>
          <cell r="I111">
            <v>24978.36</v>
          </cell>
          <cell r="J111">
            <v>93426</v>
          </cell>
          <cell r="K111" t="str">
            <v>MP</v>
          </cell>
        </row>
        <row r="112">
          <cell r="A112" t="str">
            <v>994759-SLR</v>
          </cell>
          <cell r="B112">
            <v>12850</v>
          </cell>
          <cell r="C112">
            <v>194.36</v>
          </cell>
          <cell r="D112">
            <v>27.75</v>
          </cell>
          <cell r="E112">
            <v>477</v>
          </cell>
          <cell r="F112">
            <v>568.91</v>
          </cell>
          <cell r="G112">
            <v>2641.96</v>
          </cell>
          <cell r="H112">
            <v>3909.98</v>
          </cell>
          <cell r="I112">
            <v>13682.94</v>
          </cell>
          <cell r="J112">
            <v>90468</v>
          </cell>
          <cell r="K112" t="str">
            <v>MP</v>
          </cell>
        </row>
        <row r="113">
          <cell r="A113" t="str">
            <v>994760-SLR</v>
          </cell>
          <cell r="B113">
            <v>12912</v>
          </cell>
          <cell r="C113">
            <v>186.8</v>
          </cell>
          <cell r="D113">
            <v>24.24</v>
          </cell>
          <cell r="E113">
            <v>477</v>
          </cell>
          <cell r="F113">
            <v>533.46</v>
          </cell>
          <cell r="G113">
            <v>1726.13</v>
          </cell>
          <cell r="H113">
            <v>2947.63</v>
          </cell>
          <cell r="I113">
            <v>12118.07</v>
          </cell>
          <cell r="J113">
            <v>90697</v>
          </cell>
          <cell r="K113" t="str">
            <v>MP</v>
          </cell>
        </row>
        <row r="114">
          <cell r="A114" t="str">
            <v>994761-SLR</v>
          </cell>
          <cell r="B114">
            <v>13093</v>
          </cell>
          <cell r="C114">
            <v>247.77</v>
          </cell>
          <cell r="D114">
            <v>79.95</v>
          </cell>
          <cell r="E114">
            <v>477</v>
          </cell>
          <cell r="F114">
            <v>1162.82</v>
          </cell>
          <cell r="G114">
            <v>5642.13</v>
          </cell>
          <cell r="H114">
            <v>7609.67</v>
          </cell>
          <cell r="I114">
            <v>39973.199999999997</v>
          </cell>
          <cell r="J114">
            <v>90062</v>
          </cell>
          <cell r="K114" t="str">
            <v>MP</v>
          </cell>
        </row>
        <row r="115">
          <cell r="A115" t="str">
            <v>994762-SLR</v>
          </cell>
          <cell r="B115">
            <v>12824</v>
          </cell>
          <cell r="C115">
            <v>204.08</v>
          </cell>
          <cell r="D115">
            <v>139.94</v>
          </cell>
          <cell r="E115">
            <v>477</v>
          </cell>
          <cell r="F115">
            <v>1838.11</v>
          </cell>
          <cell r="G115">
            <v>9843.91</v>
          </cell>
          <cell r="H115">
            <v>12503.04</v>
          </cell>
          <cell r="I115">
            <v>69969.600000000006</v>
          </cell>
          <cell r="J115">
            <v>92018</v>
          </cell>
          <cell r="K115" t="str">
            <v>MP</v>
          </cell>
        </row>
        <row r="116">
          <cell r="A116" t="str">
            <v>994763-SLR</v>
          </cell>
          <cell r="B116">
            <v>12851</v>
          </cell>
          <cell r="C116">
            <v>189.5</v>
          </cell>
          <cell r="D116">
            <v>2.4300000000000002</v>
          </cell>
          <cell r="E116">
            <v>477</v>
          </cell>
          <cell r="F116">
            <v>159.47999999999999</v>
          </cell>
          <cell r="G116">
            <v>170.68</v>
          </cell>
          <cell r="H116">
            <v>999.09000000000015</v>
          </cell>
          <cell r="I116">
            <v>1027.19</v>
          </cell>
          <cell r="J116">
            <v>90097</v>
          </cell>
          <cell r="K116" t="str">
            <v>MP</v>
          </cell>
        </row>
        <row r="117">
          <cell r="A117" t="str">
            <v>994764-SLR</v>
          </cell>
          <cell r="B117">
            <v>12825</v>
          </cell>
          <cell r="C117">
            <v>111.49</v>
          </cell>
          <cell r="D117">
            <v>0.16</v>
          </cell>
          <cell r="E117">
            <v>477</v>
          </cell>
          <cell r="F117">
            <v>136.41</v>
          </cell>
          <cell r="G117">
            <v>36.78</v>
          </cell>
          <cell r="H117">
            <v>761.83999999999992</v>
          </cell>
          <cell r="I117">
            <v>81.92</v>
          </cell>
          <cell r="J117">
            <v>93385</v>
          </cell>
          <cell r="K117" t="str">
            <v>MP</v>
          </cell>
        </row>
        <row r="118">
          <cell r="A118" t="str">
            <v>994765-SLR</v>
          </cell>
          <cell r="B118">
            <v>13014</v>
          </cell>
          <cell r="C118">
            <v>14088.36</v>
          </cell>
          <cell r="D118">
            <v>184.21</v>
          </cell>
          <cell r="E118">
            <v>477</v>
          </cell>
          <cell r="F118">
            <v>2649.57</v>
          </cell>
          <cell r="G118">
            <v>13829.21</v>
          </cell>
          <cell r="H118">
            <v>31228.35</v>
          </cell>
          <cell r="I118">
            <v>92106</v>
          </cell>
          <cell r="J118">
            <v>92056</v>
          </cell>
          <cell r="K118" t="str">
            <v>MP</v>
          </cell>
        </row>
        <row r="119">
          <cell r="A119" t="str">
            <v>994766-SLR</v>
          </cell>
          <cell r="B119">
            <v>13012</v>
          </cell>
          <cell r="C119">
            <v>632.51</v>
          </cell>
          <cell r="D119">
            <v>4.93</v>
          </cell>
          <cell r="E119">
            <v>477</v>
          </cell>
          <cell r="F119">
            <v>201.91</v>
          </cell>
          <cell r="G119">
            <v>621</v>
          </cell>
          <cell r="H119">
            <v>1937.3500000000001</v>
          </cell>
          <cell r="I119">
            <v>2467.58</v>
          </cell>
          <cell r="J119">
            <v>92056</v>
          </cell>
          <cell r="K119" t="str">
            <v>MP</v>
          </cell>
        </row>
        <row r="120">
          <cell r="A120" t="str">
            <v>994767-SLR</v>
          </cell>
          <cell r="B120">
            <v>13185</v>
          </cell>
          <cell r="C120">
            <v>9869.32</v>
          </cell>
          <cell r="D120">
            <v>103.6</v>
          </cell>
          <cell r="E120">
            <v>477</v>
          </cell>
          <cell r="F120">
            <v>1645.91</v>
          </cell>
          <cell r="G120">
            <v>12354.29</v>
          </cell>
          <cell r="H120">
            <v>24450.120000000003</v>
          </cell>
          <cell r="I120">
            <v>51798.53</v>
          </cell>
          <cell r="J120">
            <v>92056</v>
          </cell>
          <cell r="K120" t="str">
            <v>MP</v>
          </cell>
        </row>
        <row r="121">
          <cell r="A121" t="str">
            <v>994768-SLR</v>
          </cell>
          <cell r="B121">
            <v>13186</v>
          </cell>
          <cell r="C121">
            <v>2381.4899999999998</v>
          </cell>
          <cell r="D121">
            <v>109.82</v>
          </cell>
          <cell r="E121">
            <v>477</v>
          </cell>
          <cell r="F121">
            <v>1494.52</v>
          </cell>
          <cell r="G121">
            <v>6605.16</v>
          </cell>
          <cell r="H121">
            <v>11067.99</v>
          </cell>
          <cell r="I121">
            <v>52551.68</v>
          </cell>
          <cell r="J121">
            <v>93072</v>
          </cell>
          <cell r="K121" t="str">
            <v>MP</v>
          </cell>
        </row>
        <row r="122">
          <cell r="A122" t="str">
            <v>994769-SLR</v>
          </cell>
          <cell r="B122">
            <v>12941</v>
          </cell>
          <cell r="C122">
            <v>296.95999999999998</v>
          </cell>
          <cell r="D122">
            <v>47.78</v>
          </cell>
          <cell r="E122">
            <v>477</v>
          </cell>
          <cell r="F122">
            <v>197.36</v>
          </cell>
          <cell r="G122">
            <v>87.09</v>
          </cell>
          <cell r="H122">
            <v>1106.19</v>
          </cell>
          <cell r="I122">
            <v>2600.1799999999998</v>
          </cell>
          <cell r="J122">
            <v>93021</v>
          </cell>
          <cell r="K122" t="str">
            <v>MP</v>
          </cell>
        </row>
        <row r="123">
          <cell r="A123" t="str">
            <v>994770-SLR</v>
          </cell>
          <cell r="B123">
            <v>12942</v>
          </cell>
          <cell r="C123">
            <v>1973.72</v>
          </cell>
          <cell r="D123">
            <v>27.34</v>
          </cell>
          <cell r="E123">
            <v>477</v>
          </cell>
          <cell r="F123">
            <v>563.54999999999995</v>
          </cell>
          <cell r="G123">
            <v>2596.65</v>
          </cell>
          <cell r="H123">
            <v>5638.26</v>
          </cell>
          <cell r="I123">
            <v>11665.53</v>
          </cell>
          <cell r="J123">
            <v>91975</v>
          </cell>
          <cell r="K123" t="str">
            <v>MP</v>
          </cell>
        </row>
        <row r="124">
          <cell r="A124" t="str">
            <v>994771-SLR</v>
          </cell>
          <cell r="B124">
            <v>12795</v>
          </cell>
          <cell r="C124">
            <v>152.69999999999999</v>
          </cell>
          <cell r="D124">
            <v>28.94</v>
          </cell>
          <cell r="E124">
            <v>477</v>
          </cell>
          <cell r="F124">
            <v>259</v>
          </cell>
          <cell r="G124">
            <v>2029.56</v>
          </cell>
          <cell r="H124">
            <v>2947.2</v>
          </cell>
          <cell r="I124">
            <v>14315.25</v>
          </cell>
          <cell r="J124">
            <v>91979</v>
          </cell>
          <cell r="K124" t="str">
            <v>MP</v>
          </cell>
        </row>
        <row r="125">
          <cell r="A125" t="str">
            <v>994773-SLR</v>
          </cell>
          <cell r="B125">
            <v>13187</v>
          </cell>
          <cell r="C125">
            <v>840.77</v>
          </cell>
          <cell r="D125">
            <v>22.43</v>
          </cell>
          <cell r="E125">
            <v>477</v>
          </cell>
          <cell r="F125">
            <v>506.83</v>
          </cell>
          <cell r="G125">
            <v>1460.04</v>
          </cell>
          <cell r="H125">
            <v>3307.0699999999997</v>
          </cell>
          <cell r="I125">
            <v>10367.01</v>
          </cell>
          <cell r="J125">
            <v>92107</v>
          </cell>
          <cell r="K125" t="str">
            <v>MP</v>
          </cell>
        </row>
        <row r="126">
          <cell r="A126" t="str">
            <v>994774-SLR</v>
          </cell>
          <cell r="B126">
            <v>12943</v>
          </cell>
          <cell r="C126">
            <v>499.28</v>
          </cell>
          <cell r="D126">
            <v>29.7</v>
          </cell>
          <cell r="E126">
            <v>477</v>
          </cell>
          <cell r="F126">
            <v>602.05999999999995</v>
          </cell>
          <cell r="G126">
            <v>2921.9</v>
          </cell>
          <cell r="H126">
            <v>4529.9400000000005</v>
          </cell>
          <cell r="I126">
            <v>14849.45</v>
          </cell>
          <cell r="J126">
            <v>92254</v>
          </cell>
          <cell r="K126" t="str">
            <v>MP</v>
          </cell>
        </row>
        <row r="127">
          <cell r="A127" t="str">
            <v>994775-SLR</v>
          </cell>
          <cell r="B127">
            <v>13113</v>
          </cell>
          <cell r="C127">
            <v>427.89</v>
          </cell>
          <cell r="D127">
            <v>2.34</v>
          </cell>
          <cell r="E127">
            <v>477</v>
          </cell>
          <cell r="F127">
            <v>158.37</v>
          </cell>
          <cell r="G127">
            <v>245.69</v>
          </cell>
          <cell r="H127">
            <v>1311.29</v>
          </cell>
          <cell r="I127">
            <v>739.7</v>
          </cell>
          <cell r="J127">
            <v>93424</v>
          </cell>
          <cell r="K127" t="str">
            <v>MP</v>
          </cell>
        </row>
        <row r="128">
          <cell r="A128" t="str">
            <v>994776-SLR</v>
          </cell>
          <cell r="B128">
            <v>13188</v>
          </cell>
          <cell r="C128">
            <v>187.35</v>
          </cell>
          <cell r="D128">
            <v>2.77</v>
          </cell>
          <cell r="E128">
            <v>477</v>
          </cell>
          <cell r="F128">
            <v>163.31</v>
          </cell>
          <cell r="G128">
            <v>263.94</v>
          </cell>
          <cell r="H128">
            <v>1094.3700000000001</v>
          </cell>
          <cell r="I128">
            <v>1199.04</v>
          </cell>
          <cell r="J128">
            <v>93357</v>
          </cell>
          <cell r="K128" t="str">
            <v>MP</v>
          </cell>
        </row>
        <row r="129">
          <cell r="A129" t="str">
            <v>994777-SLR</v>
          </cell>
          <cell r="B129">
            <v>13095</v>
          </cell>
          <cell r="C129">
            <v>38164.6</v>
          </cell>
          <cell r="D129">
            <v>216.76</v>
          </cell>
          <cell r="E129">
            <v>477</v>
          </cell>
          <cell r="F129">
            <v>2699.41</v>
          </cell>
          <cell r="G129">
            <v>13031.31</v>
          </cell>
          <cell r="H129">
            <v>54589.08</v>
          </cell>
          <cell r="I129">
            <v>70212.899999999994</v>
          </cell>
          <cell r="J129">
            <v>92253</v>
          </cell>
          <cell r="K129" t="str">
            <v>MP</v>
          </cell>
        </row>
        <row r="130">
          <cell r="A130" t="str">
            <v>994778-SLR</v>
          </cell>
          <cell r="B130">
            <v>13013</v>
          </cell>
          <cell r="C130">
            <v>209.44</v>
          </cell>
          <cell r="D130">
            <v>0.86</v>
          </cell>
          <cell r="E130">
            <v>477</v>
          </cell>
          <cell r="F130">
            <v>146.41999999999999</v>
          </cell>
          <cell r="G130">
            <v>121.35</v>
          </cell>
          <cell r="H130">
            <v>955.06999999999994</v>
          </cell>
          <cell r="I130">
            <v>428.4</v>
          </cell>
          <cell r="J130">
            <v>93407</v>
          </cell>
          <cell r="K130" t="str">
            <v>MP</v>
          </cell>
        </row>
        <row r="131">
          <cell r="A131" t="str">
            <v>994780-SLR</v>
          </cell>
          <cell r="B131">
            <v>13015</v>
          </cell>
          <cell r="C131">
            <v>177.07</v>
          </cell>
          <cell r="D131">
            <v>100.97</v>
          </cell>
          <cell r="E131">
            <v>477</v>
          </cell>
          <cell r="F131">
            <v>1394.14</v>
          </cell>
          <cell r="G131">
            <v>7081.44</v>
          </cell>
          <cell r="H131">
            <v>9230.619999999999</v>
          </cell>
          <cell r="I131">
            <v>50303.68</v>
          </cell>
          <cell r="J131">
            <v>90061</v>
          </cell>
          <cell r="K131" t="str">
            <v>MP</v>
          </cell>
        </row>
        <row r="132">
          <cell r="A132" t="str">
            <v>994782-SLR</v>
          </cell>
          <cell r="B132">
            <v>13138</v>
          </cell>
          <cell r="C132">
            <v>5406.45</v>
          </cell>
          <cell r="D132">
            <v>114.71</v>
          </cell>
          <cell r="E132">
            <v>477</v>
          </cell>
          <cell r="F132">
            <v>1549.13</v>
          </cell>
          <cell r="G132">
            <v>9109.4500000000007</v>
          </cell>
          <cell r="H132">
            <v>16656.740000000002</v>
          </cell>
          <cell r="I132">
            <v>51952.01</v>
          </cell>
          <cell r="J132">
            <v>93407</v>
          </cell>
          <cell r="K132" t="str">
            <v>MP</v>
          </cell>
        </row>
        <row r="133">
          <cell r="A133" t="str">
            <v>994785-SLR</v>
          </cell>
          <cell r="B133">
            <v>12806</v>
          </cell>
          <cell r="C133">
            <v>781.73</v>
          </cell>
          <cell r="D133">
            <v>10.91</v>
          </cell>
          <cell r="E133">
            <v>477</v>
          </cell>
          <cell r="F133">
            <v>255.04</v>
          </cell>
          <cell r="G133">
            <v>1038.6099999999999</v>
          </cell>
          <cell r="H133">
            <v>2563.29</v>
          </cell>
          <cell r="I133">
            <v>4673.74</v>
          </cell>
          <cell r="J133">
            <v>91678</v>
          </cell>
          <cell r="K133" t="str">
            <v>MP</v>
          </cell>
        </row>
        <row r="134">
          <cell r="A134" t="str">
            <v>994786-SLR</v>
          </cell>
          <cell r="B134">
            <v>12979</v>
          </cell>
          <cell r="C134">
            <v>296.73</v>
          </cell>
          <cell r="D134">
            <v>10.06</v>
          </cell>
          <cell r="E134">
            <v>477</v>
          </cell>
          <cell r="F134">
            <v>245.42</v>
          </cell>
          <cell r="G134">
            <v>957.42</v>
          </cell>
          <cell r="H134">
            <v>1986.63</v>
          </cell>
          <cell r="I134">
            <v>4732.2700000000004</v>
          </cell>
          <cell r="J134">
            <v>93039</v>
          </cell>
          <cell r="K134" t="str">
            <v>MP</v>
          </cell>
        </row>
        <row r="135">
          <cell r="A135" t="str">
            <v>994787-SLR</v>
          </cell>
          <cell r="B135">
            <v>12945</v>
          </cell>
          <cell r="C135">
            <v>908.55</v>
          </cell>
          <cell r="D135">
            <v>86.5</v>
          </cell>
          <cell r="E135">
            <v>477</v>
          </cell>
          <cell r="F135">
            <v>1251.5899999999999</v>
          </cell>
          <cell r="G135">
            <v>5752.04</v>
          </cell>
          <cell r="H135">
            <v>8475.68</v>
          </cell>
          <cell r="I135">
            <v>43251.44</v>
          </cell>
          <cell r="J135">
            <v>92107</v>
          </cell>
          <cell r="K135" t="str">
            <v>MP</v>
          </cell>
        </row>
        <row r="136">
          <cell r="A136" t="str">
            <v>994788-SLR</v>
          </cell>
          <cell r="B136">
            <v>12946</v>
          </cell>
          <cell r="C136">
            <v>61.31</v>
          </cell>
          <cell r="D136">
            <v>1.57</v>
          </cell>
          <cell r="E136">
            <v>477</v>
          </cell>
          <cell r="F136">
            <v>149.78</v>
          </cell>
          <cell r="G136">
            <v>110.33</v>
          </cell>
          <cell r="H136">
            <v>799.99</v>
          </cell>
          <cell r="I136">
            <v>725.17</v>
          </cell>
          <cell r="J136">
            <v>92003</v>
          </cell>
          <cell r="K136" t="str">
            <v>MP</v>
          </cell>
        </row>
        <row r="137">
          <cell r="A137" t="str">
            <v>994792-SLR</v>
          </cell>
          <cell r="B137">
            <v>12948</v>
          </cell>
          <cell r="C137">
            <v>387.75</v>
          </cell>
          <cell r="D137">
            <v>3.05</v>
          </cell>
          <cell r="E137">
            <v>477</v>
          </cell>
          <cell r="F137">
            <v>166.38</v>
          </cell>
          <cell r="G137">
            <v>320.43</v>
          </cell>
          <cell r="H137">
            <v>1354.61</v>
          </cell>
          <cell r="I137">
            <v>1135.06</v>
          </cell>
          <cell r="J137">
            <v>92003</v>
          </cell>
          <cell r="K137" t="str">
            <v>MP</v>
          </cell>
        </row>
        <row r="138">
          <cell r="A138" t="str">
            <v>994795-SLR</v>
          </cell>
          <cell r="B138">
            <v>12796</v>
          </cell>
          <cell r="C138">
            <v>253.65</v>
          </cell>
          <cell r="D138">
            <v>128.09</v>
          </cell>
          <cell r="E138">
            <v>477</v>
          </cell>
          <cell r="F138">
            <v>359.36</v>
          </cell>
          <cell r="G138">
            <v>1504.25</v>
          </cell>
          <cell r="H138">
            <v>2722.35</v>
          </cell>
          <cell r="I138">
            <v>7647.65</v>
          </cell>
          <cell r="J138">
            <v>92092</v>
          </cell>
          <cell r="K138" t="str">
            <v>MP</v>
          </cell>
        </row>
        <row r="139">
          <cell r="A139" t="str">
            <v>994796-SLR</v>
          </cell>
          <cell r="B139">
            <v>12826</v>
          </cell>
          <cell r="C139">
            <v>468.79</v>
          </cell>
          <cell r="D139">
            <v>17.78</v>
          </cell>
          <cell r="E139">
            <v>477</v>
          </cell>
          <cell r="F139">
            <v>156.18</v>
          </cell>
          <cell r="G139">
            <v>203.73</v>
          </cell>
          <cell r="H139">
            <v>1323.48</v>
          </cell>
          <cell r="I139">
            <v>601.36</v>
          </cell>
          <cell r="J139">
            <v>91162</v>
          </cell>
          <cell r="K139" t="str">
            <v>MP</v>
          </cell>
        </row>
        <row r="140">
          <cell r="A140" t="str">
            <v>994797-SLR</v>
          </cell>
          <cell r="B140">
            <v>13263</v>
          </cell>
          <cell r="C140">
            <v>944.87</v>
          </cell>
          <cell r="D140">
            <v>375.47</v>
          </cell>
          <cell r="E140">
            <v>477</v>
          </cell>
          <cell r="F140">
            <v>787.45</v>
          </cell>
          <cell r="G140">
            <v>4251.18</v>
          </cell>
          <cell r="H140">
            <v>6835.97</v>
          </cell>
          <cell r="I140">
            <v>22627.54</v>
          </cell>
          <cell r="J140">
            <v>93298</v>
          </cell>
          <cell r="K140" t="str">
            <v>MP</v>
          </cell>
        </row>
        <row r="141">
          <cell r="A141" t="str">
            <v>994798-SLR</v>
          </cell>
          <cell r="B141">
            <v>12982</v>
          </cell>
          <cell r="C141">
            <v>187.37</v>
          </cell>
          <cell r="D141">
            <v>1.02</v>
          </cell>
          <cell r="E141">
            <v>477</v>
          </cell>
          <cell r="F141">
            <v>147.63999999999999</v>
          </cell>
          <cell r="G141">
            <v>97</v>
          </cell>
          <cell r="H141">
            <v>910.03</v>
          </cell>
          <cell r="I141">
            <v>504.45</v>
          </cell>
          <cell r="J141">
            <v>90097</v>
          </cell>
          <cell r="K141" t="str">
            <v>MP</v>
          </cell>
        </row>
        <row r="142">
          <cell r="A142" t="str">
            <v>994799-SLR</v>
          </cell>
          <cell r="B142">
            <v>12983</v>
          </cell>
          <cell r="C142">
            <v>550.74</v>
          </cell>
          <cell r="D142">
            <v>39.299999999999997</v>
          </cell>
          <cell r="E142">
            <v>477</v>
          </cell>
          <cell r="F142">
            <v>699.11</v>
          </cell>
          <cell r="G142">
            <v>4135.2700000000004</v>
          </cell>
          <cell r="H142">
            <v>5901.42</v>
          </cell>
          <cell r="I142">
            <v>19101.7</v>
          </cell>
          <cell r="J142">
            <v>92225</v>
          </cell>
          <cell r="K142" t="str">
            <v>MP</v>
          </cell>
        </row>
        <row r="143">
          <cell r="A143" t="str">
            <v>994800-SLR</v>
          </cell>
          <cell r="B143">
            <v>13016</v>
          </cell>
          <cell r="C143">
            <v>405.43</v>
          </cell>
          <cell r="D143">
            <v>12.76</v>
          </cell>
          <cell r="E143">
            <v>477</v>
          </cell>
          <cell r="F143">
            <v>298.83</v>
          </cell>
          <cell r="G143">
            <v>917.97</v>
          </cell>
          <cell r="H143">
            <v>2111.9899999999998</v>
          </cell>
          <cell r="I143">
            <v>6138.72</v>
          </cell>
          <cell r="J143">
            <v>90809</v>
          </cell>
          <cell r="K143" t="str">
            <v>MP</v>
          </cell>
        </row>
        <row r="144">
          <cell r="A144" t="str">
            <v>994803-SLR</v>
          </cell>
          <cell r="B144">
            <v>12927</v>
          </cell>
          <cell r="C144">
            <v>245.24</v>
          </cell>
          <cell r="D144">
            <v>10.31</v>
          </cell>
          <cell r="E144">
            <v>477</v>
          </cell>
          <cell r="F144">
            <v>253.74</v>
          </cell>
          <cell r="G144">
            <v>860.43</v>
          </cell>
          <cell r="H144">
            <v>1846.7199999999998</v>
          </cell>
          <cell r="I144">
            <v>5152.8100000000004</v>
          </cell>
          <cell r="J144">
            <v>93285</v>
          </cell>
          <cell r="K144" t="str">
            <v>MP</v>
          </cell>
        </row>
        <row r="145">
          <cell r="A145" t="str">
            <v>994809-SLR</v>
          </cell>
          <cell r="B145">
            <v>12964</v>
          </cell>
          <cell r="C145">
            <v>204.66</v>
          </cell>
          <cell r="D145">
            <v>2.88</v>
          </cell>
          <cell r="E145">
            <v>477</v>
          </cell>
          <cell r="F145">
            <v>169.19</v>
          </cell>
          <cell r="G145">
            <v>214.6</v>
          </cell>
          <cell r="H145">
            <v>1068.33</v>
          </cell>
          <cell r="I145">
            <v>1443.25</v>
          </cell>
          <cell r="J145">
            <v>90219</v>
          </cell>
          <cell r="K145" t="str">
            <v>MP</v>
          </cell>
        </row>
        <row r="146">
          <cell r="A146" t="str">
            <v>994810-SLR</v>
          </cell>
          <cell r="B146">
            <v>12913</v>
          </cell>
          <cell r="C146">
            <v>185.84</v>
          </cell>
          <cell r="D146">
            <v>5.38</v>
          </cell>
          <cell r="E146">
            <v>477</v>
          </cell>
          <cell r="F146">
            <v>196.87</v>
          </cell>
          <cell r="G146">
            <v>316.93</v>
          </cell>
          <cell r="H146">
            <v>1182.02</v>
          </cell>
          <cell r="I146">
            <v>2689.92</v>
          </cell>
          <cell r="J146">
            <v>92255</v>
          </cell>
          <cell r="K146" t="str">
            <v>MP</v>
          </cell>
        </row>
        <row r="147">
          <cell r="A147" t="str">
            <v>994811-SLR</v>
          </cell>
          <cell r="B147">
            <v>12949</v>
          </cell>
          <cell r="C147">
            <v>312.39</v>
          </cell>
          <cell r="D147">
            <v>11.5</v>
          </cell>
          <cell r="E147">
            <v>477</v>
          </cell>
          <cell r="F147">
            <v>277.23</v>
          </cell>
          <cell r="G147">
            <v>1092.8900000000001</v>
          </cell>
          <cell r="H147">
            <v>2171.0100000000002</v>
          </cell>
          <cell r="I147">
            <v>5747.7</v>
          </cell>
          <cell r="J147">
            <v>92255</v>
          </cell>
          <cell r="K147" t="str">
            <v>MP</v>
          </cell>
        </row>
        <row r="148">
          <cell r="A148" t="str">
            <v>994812-SLR</v>
          </cell>
          <cell r="B148">
            <v>13017</v>
          </cell>
          <cell r="C148">
            <v>209.44</v>
          </cell>
          <cell r="D148">
            <v>148.93</v>
          </cell>
          <cell r="E148">
            <v>477</v>
          </cell>
          <cell r="F148">
            <v>1934.87</v>
          </cell>
          <cell r="G148">
            <v>3730.72</v>
          </cell>
          <cell r="H148">
            <v>6500.9599999999991</v>
          </cell>
          <cell r="I148">
            <v>74256</v>
          </cell>
          <cell r="J148">
            <v>91471</v>
          </cell>
          <cell r="K148" t="str">
            <v>MP</v>
          </cell>
        </row>
        <row r="149">
          <cell r="A149" t="str">
            <v>994813-SLR</v>
          </cell>
          <cell r="B149">
            <v>12852</v>
          </cell>
          <cell r="C149">
            <v>213.8</v>
          </cell>
          <cell r="D149">
            <v>3.54</v>
          </cell>
          <cell r="E149">
            <v>477</v>
          </cell>
          <cell r="F149">
            <v>176.74</v>
          </cell>
          <cell r="G149">
            <v>377.33</v>
          </cell>
          <cell r="H149">
            <v>1248.4100000000001</v>
          </cell>
          <cell r="I149">
            <v>1768.68</v>
          </cell>
          <cell r="J149">
            <v>92144</v>
          </cell>
          <cell r="K149" t="str">
            <v>MP</v>
          </cell>
        </row>
        <row r="150">
          <cell r="A150" t="str">
            <v>994814-SLR</v>
          </cell>
          <cell r="B150">
            <v>12853</v>
          </cell>
          <cell r="C150">
            <v>213.8</v>
          </cell>
          <cell r="D150">
            <v>6.12</v>
          </cell>
          <cell r="E150">
            <v>477</v>
          </cell>
          <cell r="F150">
            <v>205.87</v>
          </cell>
          <cell r="G150">
            <v>426.54</v>
          </cell>
          <cell r="H150">
            <v>1329.3300000000002</v>
          </cell>
          <cell r="I150">
            <v>3061.17</v>
          </cell>
          <cell r="J150">
            <v>93287</v>
          </cell>
          <cell r="K150" t="str">
            <v>MP</v>
          </cell>
        </row>
        <row r="151">
          <cell r="A151" t="str">
            <v>994815-SLR</v>
          </cell>
          <cell r="B151">
            <v>13189</v>
          </cell>
          <cell r="C151">
            <v>224.82</v>
          </cell>
          <cell r="D151">
            <v>43.26</v>
          </cell>
          <cell r="E151">
            <v>477</v>
          </cell>
          <cell r="F151">
            <v>744.95</v>
          </cell>
          <cell r="G151">
            <v>3034.19</v>
          </cell>
          <cell r="H151">
            <v>4524.22</v>
          </cell>
          <cell r="I151">
            <v>21404.74</v>
          </cell>
          <cell r="J151">
            <v>90062</v>
          </cell>
          <cell r="K151" t="str">
            <v>MP</v>
          </cell>
        </row>
        <row r="152">
          <cell r="A152" t="str">
            <v>994816-SLR</v>
          </cell>
          <cell r="B152">
            <v>13191</v>
          </cell>
          <cell r="C152">
            <v>182.67</v>
          </cell>
          <cell r="D152">
            <v>97.5</v>
          </cell>
          <cell r="E152">
            <v>477</v>
          </cell>
          <cell r="F152">
            <v>1354.98</v>
          </cell>
          <cell r="G152">
            <v>6836.78</v>
          </cell>
          <cell r="H152">
            <v>8948.93</v>
          </cell>
          <cell r="I152">
            <v>48561.120000000003</v>
          </cell>
          <cell r="J152">
            <v>92393</v>
          </cell>
          <cell r="K152" t="str">
            <v>MP</v>
          </cell>
        </row>
        <row r="153">
          <cell r="A153" t="str">
            <v>994817-SLR</v>
          </cell>
          <cell r="B153">
            <v>12950</v>
          </cell>
          <cell r="C153">
            <v>153.27000000000001</v>
          </cell>
          <cell r="D153">
            <v>17.170000000000002</v>
          </cell>
          <cell r="E153">
            <v>477</v>
          </cell>
          <cell r="F153">
            <v>396.58</v>
          </cell>
          <cell r="G153">
            <v>1663.2</v>
          </cell>
          <cell r="H153">
            <v>2707.2200000000003</v>
          </cell>
          <cell r="I153">
            <v>8583.23</v>
          </cell>
          <cell r="J153">
            <v>90953</v>
          </cell>
          <cell r="K153" t="str">
            <v>MP</v>
          </cell>
        </row>
        <row r="154">
          <cell r="A154" t="str">
            <v>994818-SLR</v>
          </cell>
          <cell r="B154">
            <v>13192</v>
          </cell>
          <cell r="C154">
            <v>192.03</v>
          </cell>
          <cell r="D154">
            <v>48.95</v>
          </cell>
          <cell r="E154">
            <v>477</v>
          </cell>
          <cell r="F154">
            <v>807.78</v>
          </cell>
          <cell r="G154">
            <v>3433.02</v>
          </cell>
          <cell r="H154">
            <v>4958.78</v>
          </cell>
          <cell r="I154">
            <v>24280.560000000001</v>
          </cell>
          <cell r="J154">
            <v>93023</v>
          </cell>
          <cell r="K154" t="str">
            <v>MP</v>
          </cell>
        </row>
        <row r="155">
          <cell r="A155" t="str">
            <v>994819-SLR</v>
          </cell>
          <cell r="B155">
            <v>12810</v>
          </cell>
          <cell r="C155">
            <v>115.46</v>
          </cell>
          <cell r="D155">
            <v>3.96</v>
          </cell>
          <cell r="E155">
            <v>477</v>
          </cell>
          <cell r="F155">
            <v>178.83</v>
          </cell>
          <cell r="G155">
            <v>395.04</v>
          </cell>
          <cell r="H155">
            <v>1170.29</v>
          </cell>
          <cell r="I155">
            <v>1959.52</v>
          </cell>
          <cell r="J155">
            <v>93418</v>
          </cell>
          <cell r="K155" t="str">
            <v>MP</v>
          </cell>
        </row>
        <row r="156">
          <cell r="A156" t="str">
            <v>994820-SLR</v>
          </cell>
          <cell r="B156">
            <v>12893</v>
          </cell>
          <cell r="C156">
            <v>29449.27</v>
          </cell>
          <cell r="D156">
            <v>802.05</v>
          </cell>
          <cell r="E156">
            <v>477</v>
          </cell>
          <cell r="F156">
            <v>10582.98</v>
          </cell>
          <cell r="G156">
            <v>74854.27</v>
          </cell>
          <cell r="H156">
            <v>116165.57</v>
          </cell>
          <cell r="I156">
            <v>428672.89</v>
          </cell>
          <cell r="J156">
            <v>92376</v>
          </cell>
          <cell r="K156" t="str">
            <v>MP</v>
          </cell>
        </row>
        <row r="157">
          <cell r="A157" t="str">
            <v>994821-SLR</v>
          </cell>
          <cell r="B157">
            <v>12984</v>
          </cell>
          <cell r="C157">
            <v>2689.77</v>
          </cell>
          <cell r="D157">
            <v>26.56</v>
          </cell>
          <cell r="E157">
            <v>477</v>
          </cell>
          <cell r="F157">
            <v>616.03</v>
          </cell>
          <cell r="G157">
            <v>3199.82</v>
          </cell>
          <cell r="H157">
            <v>7009.18</v>
          </cell>
          <cell r="I157">
            <v>13282.79</v>
          </cell>
          <cell r="J157">
            <v>92056</v>
          </cell>
          <cell r="K157" t="str">
            <v>MP</v>
          </cell>
        </row>
        <row r="158">
          <cell r="A158" t="str">
            <v>994822-SLR</v>
          </cell>
          <cell r="B158">
            <v>12854</v>
          </cell>
          <cell r="C158">
            <v>2380.37</v>
          </cell>
          <cell r="D158">
            <v>34.01</v>
          </cell>
          <cell r="E158">
            <v>477</v>
          </cell>
          <cell r="F158">
            <v>639.45000000000005</v>
          </cell>
          <cell r="G158">
            <v>2215.1999999999998</v>
          </cell>
          <cell r="H158">
            <v>5746.03</v>
          </cell>
          <cell r="I158">
            <v>14625.59</v>
          </cell>
          <cell r="J158">
            <v>92056</v>
          </cell>
          <cell r="K158" t="str">
            <v>MP</v>
          </cell>
        </row>
        <row r="159">
          <cell r="A159" t="str">
            <v>994823-SLR</v>
          </cell>
          <cell r="B159">
            <v>13020</v>
          </cell>
          <cell r="C159">
            <v>7200.72</v>
          </cell>
          <cell r="D159">
            <v>108.55</v>
          </cell>
          <cell r="E159">
            <v>477</v>
          </cell>
          <cell r="F159">
            <v>1479.73</v>
          </cell>
          <cell r="G159">
            <v>7070.14</v>
          </cell>
          <cell r="H159">
            <v>16336.14</v>
          </cell>
          <cell r="I159">
            <v>47076.4</v>
          </cell>
          <cell r="J159">
            <v>92056</v>
          </cell>
          <cell r="K159" t="str">
            <v>MP</v>
          </cell>
        </row>
        <row r="160">
          <cell r="A160" t="str">
            <v>994824-SLR</v>
          </cell>
          <cell r="B160">
            <v>12855</v>
          </cell>
          <cell r="C160">
            <v>4231.99</v>
          </cell>
          <cell r="D160">
            <v>41.52</v>
          </cell>
          <cell r="E160">
            <v>477</v>
          </cell>
          <cell r="F160">
            <v>724.14</v>
          </cell>
          <cell r="G160">
            <v>3952.73</v>
          </cell>
          <cell r="H160">
            <v>9427.380000000001</v>
          </cell>
          <cell r="I160">
            <v>16530.32</v>
          </cell>
          <cell r="J160">
            <v>91990</v>
          </cell>
          <cell r="K160" t="str">
            <v>MP</v>
          </cell>
        </row>
        <row r="161">
          <cell r="A161" t="str">
            <v>994825-SLR</v>
          </cell>
          <cell r="B161">
            <v>12856</v>
          </cell>
          <cell r="C161">
            <v>199.22</v>
          </cell>
          <cell r="D161">
            <v>3.67</v>
          </cell>
          <cell r="E161">
            <v>477</v>
          </cell>
          <cell r="F161">
            <v>173.35</v>
          </cell>
          <cell r="G161">
            <v>348.75</v>
          </cell>
          <cell r="H161">
            <v>1201.99</v>
          </cell>
          <cell r="I161">
            <v>1632.62</v>
          </cell>
          <cell r="J161">
            <v>91934</v>
          </cell>
          <cell r="K161" t="str">
            <v>MP</v>
          </cell>
        </row>
        <row r="162">
          <cell r="A162" t="str">
            <v>994826-SLR</v>
          </cell>
          <cell r="B162">
            <v>12947</v>
          </cell>
          <cell r="C162">
            <v>228.18</v>
          </cell>
          <cell r="D162">
            <v>0.52</v>
          </cell>
          <cell r="E162">
            <v>477</v>
          </cell>
          <cell r="F162">
            <v>143.08000000000001</v>
          </cell>
          <cell r="G162">
            <v>93.14</v>
          </cell>
          <cell r="H162">
            <v>941.92000000000007</v>
          </cell>
          <cell r="I162">
            <v>261.52</v>
          </cell>
          <cell r="J162">
            <v>92202</v>
          </cell>
          <cell r="K162" t="str">
            <v>MP</v>
          </cell>
        </row>
        <row r="163">
          <cell r="A163" t="str">
            <v>994827-SLR</v>
          </cell>
          <cell r="B163">
            <v>12951</v>
          </cell>
          <cell r="C163">
            <v>196.38</v>
          </cell>
          <cell r="D163">
            <v>7.17</v>
          </cell>
          <cell r="E163">
            <v>477</v>
          </cell>
          <cell r="F163">
            <v>217.25</v>
          </cell>
          <cell r="G163">
            <v>719.47</v>
          </cell>
          <cell r="H163">
            <v>1617.27</v>
          </cell>
          <cell r="I163">
            <v>3582.73</v>
          </cell>
          <cell r="J163">
            <v>90685</v>
          </cell>
          <cell r="K163" t="str">
            <v>MP</v>
          </cell>
        </row>
        <row r="164">
          <cell r="A164" t="str">
            <v>994828-SLR</v>
          </cell>
          <cell r="B164">
            <v>12985</v>
          </cell>
          <cell r="C164">
            <v>287.98</v>
          </cell>
          <cell r="D164">
            <v>11.15</v>
          </cell>
          <cell r="E164">
            <v>477</v>
          </cell>
          <cell r="F164">
            <v>268.35000000000002</v>
          </cell>
          <cell r="G164">
            <v>822.09</v>
          </cell>
          <cell r="H164">
            <v>1866.5700000000002</v>
          </cell>
          <cell r="I164">
            <v>5572.93</v>
          </cell>
          <cell r="J164">
            <v>90485</v>
          </cell>
          <cell r="K164" t="str">
            <v>MP</v>
          </cell>
        </row>
        <row r="165">
          <cell r="A165" t="str">
            <v>994829-SLR</v>
          </cell>
          <cell r="B165">
            <v>12986</v>
          </cell>
          <cell r="C165">
            <v>287.98</v>
          </cell>
          <cell r="D165">
            <v>5.57</v>
          </cell>
          <cell r="E165">
            <v>477</v>
          </cell>
          <cell r="F165">
            <v>201.35</v>
          </cell>
          <cell r="G165">
            <v>431.2</v>
          </cell>
          <cell r="H165">
            <v>1403.1</v>
          </cell>
          <cell r="I165">
            <v>2786.47</v>
          </cell>
          <cell r="J165">
            <v>93326</v>
          </cell>
          <cell r="K165" t="str">
            <v>MP</v>
          </cell>
        </row>
        <row r="166">
          <cell r="A166" t="str">
            <v>994830-SLR</v>
          </cell>
          <cell r="B166">
            <v>12914</v>
          </cell>
          <cell r="C166">
            <v>1052.21</v>
          </cell>
          <cell r="D166">
            <v>28.37</v>
          </cell>
          <cell r="E166">
            <v>477</v>
          </cell>
          <cell r="F166">
            <v>599.51</v>
          </cell>
          <cell r="G166">
            <v>2900.37</v>
          </cell>
          <cell r="H166">
            <v>5057.46</v>
          </cell>
          <cell r="I166">
            <v>14182.45</v>
          </cell>
          <cell r="J166">
            <v>91990</v>
          </cell>
          <cell r="K166" t="str">
            <v>MP</v>
          </cell>
        </row>
        <row r="167">
          <cell r="A167" t="str">
            <v>994832-SLR</v>
          </cell>
          <cell r="B167">
            <v>13021</v>
          </cell>
          <cell r="C167">
            <v>175.93</v>
          </cell>
          <cell r="D167">
            <v>3.9</v>
          </cell>
          <cell r="E167">
            <v>477</v>
          </cell>
          <cell r="F167">
            <v>155.93</v>
          </cell>
          <cell r="G167">
            <v>201.65</v>
          </cell>
          <cell r="H167">
            <v>1014.41</v>
          </cell>
          <cell r="I167">
            <v>883.25</v>
          </cell>
          <cell r="J167">
            <v>93030</v>
          </cell>
          <cell r="K167" t="str">
            <v>MP</v>
          </cell>
        </row>
        <row r="168">
          <cell r="A168" t="str">
            <v>994833*SLR</v>
          </cell>
          <cell r="B168">
            <v>12987</v>
          </cell>
          <cell r="C168">
            <v>1055.78</v>
          </cell>
          <cell r="D168">
            <v>14.36</v>
          </cell>
          <cell r="E168">
            <v>477</v>
          </cell>
          <cell r="F168">
            <v>327.39</v>
          </cell>
          <cell r="G168">
            <v>1367.78</v>
          </cell>
          <cell r="H168">
            <v>3242.3099999999995</v>
          </cell>
          <cell r="I168">
            <v>6128.69</v>
          </cell>
          <cell r="J168">
            <v>91975</v>
          </cell>
          <cell r="K168" t="str">
            <v>MP</v>
          </cell>
        </row>
        <row r="169">
          <cell r="A169" t="str">
            <v>994834-SLR</v>
          </cell>
          <cell r="B169">
            <v>12953</v>
          </cell>
          <cell r="C169">
            <v>1424.4</v>
          </cell>
          <cell r="D169">
            <v>161.41</v>
          </cell>
          <cell r="E169">
            <v>477</v>
          </cell>
          <cell r="F169">
            <v>2107.64</v>
          </cell>
          <cell r="G169">
            <v>10698.1</v>
          </cell>
          <cell r="H169">
            <v>14868.550000000001</v>
          </cell>
          <cell r="I169">
            <v>80707.289999999994</v>
          </cell>
          <cell r="J169">
            <v>92107</v>
          </cell>
          <cell r="K169" t="str">
            <v>MP</v>
          </cell>
        </row>
        <row r="170">
          <cell r="A170" t="str">
            <v>994835-SLR</v>
          </cell>
          <cell r="B170">
            <v>13032</v>
          </cell>
          <cell r="C170">
            <v>977.79</v>
          </cell>
          <cell r="D170">
            <v>110.47</v>
          </cell>
          <cell r="E170">
            <v>477</v>
          </cell>
          <cell r="F170">
            <v>307.48</v>
          </cell>
          <cell r="G170">
            <v>1147.7</v>
          </cell>
          <cell r="H170">
            <v>3020.44</v>
          </cell>
          <cell r="I170">
            <v>5759.92</v>
          </cell>
          <cell r="J170">
            <v>91821</v>
          </cell>
          <cell r="K170" t="str">
            <v>MP</v>
          </cell>
        </row>
        <row r="171">
          <cell r="A171" t="str">
            <v>994836-SLR</v>
          </cell>
          <cell r="B171">
            <v>13193</v>
          </cell>
          <cell r="C171">
            <v>357.39</v>
          </cell>
          <cell r="D171">
            <v>17.52</v>
          </cell>
          <cell r="E171">
            <v>477</v>
          </cell>
          <cell r="F171">
            <v>135</v>
          </cell>
          <cell r="G171">
            <v>271.98</v>
          </cell>
          <cell r="H171">
            <v>1258.8899999999999</v>
          </cell>
          <cell r="I171">
            <v>1071.24</v>
          </cell>
          <cell r="J171">
            <v>92079</v>
          </cell>
          <cell r="K171" t="str">
            <v>MP</v>
          </cell>
        </row>
        <row r="172">
          <cell r="A172" t="str">
            <v>994837-SLR</v>
          </cell>
          <cell r="B172">
            <v>13034</v>
          </cell>
          <cell r="C172">
            <v>3843.66</v>
          </cell>
          <cell r="D172">
            <v>127.11</v>
          </cell>
          <cell r="E172">
            <v>477</v>
          </cell>
          <cell r="F172">
            <v>2498.15</v>
          </cell>
          <cell r="G172">
            <v>19424.54</v>
          </cell>
          <cell r="H172">
            <v>26370.46</v>
          </cell>
          <cell r="I172">
            <v>98186.68</v>
          </cell>
          <cell r="J172">
            <v>90338</v>
          </cell>
          <cell r="K172" t="str">
            <v>MP</v>
          </cell>
        </row>
        <row r="173">
          <cell r="A173" t="str">
            <v>994838-SLR</v>
          </cell>
          <cell r="B173">
            <v>12952</v>
          </cell>
          <cell r="C173">
            <v>252.02</v>
          </cell>
          <cell r="D173">
            <v>11.5</v>
          </cell>
          <cell r="E173">
            <v>477</v>
          </cell>
          <cell r="F173">
            <v>274.55</v>
          </cell>
          <cell r="G173">
            <v>841.57</v>
          </cell>
          <cell r="H173">
            <v>1856.6399999999999</v>
          </cell>
          <cell r="I173">
            <v>5747.7</v>
          </cell>
          <cell r="J173">
            <v>91814</v>
          </cell>
          <cell r="K173" t="str">
            <v>MP</v>
          </cell>
        </row>
        <row r="174">
          <cell r="A174" t="str">
            <v>994839-SLR</v>
          </cell>
          <cell r="B174">
            <v>12827</v>
          </cell>
          <cell r="C174">
            <v>213.8</v>
          </cell>
          <cell r="D174">
            <v>7.44</v>
          </cell>
          <cell r="E174">
            <v>477</v>
          </cell>
          <cell r="F174">
            <v>220.85</v>
          </cell>
          <cell r="G174">
            <v>749.88</v>
          </cell>
          <cell r="H174">
            <v>1668.97</v>
          </cell>
          <cell r="I174">
            <v>3725.49</v>
          </cell>
          <cell r="J174">
            <v>91978</v>
          </cell>
          <cell r="K174" t="str">
            <v>MP</v>
          </cell>
        </row>
        <row r="175">
          <cell r="A175" t="str">
            <v>994840-SLR</v>
          </cell>
          <cell r="B175">
            <v>13039</v>
          </cell>
          <cell r="C175">
            <v>208.87</v>
          </cell>
          <cell r="D175">
            <v>21.38</v>
          </cell>
          <cell r="E175">
            <v>477</v>
          </cell>
          <cell r="F175">
            <v>483.81</v>
          </cell>
          <cell r="G175">
            <v>549.46</v>
          </cell>
          <cell r="H175">
            <v>1740.52</v>
          </cell>
          <cell r="I175">
            <v>10483.42</v>
          </cell>
          <cell r="J175">
            <v>90402</v>
          </cell>
          <cell r="K175" t="str">
            <v>MP</v>
          </cell>
        </row>
        <row r="176">
          <cell r="A176" t="str">
            <v>994841-SLR</v>
          </cell>
          <cell r="B176">
            <v>12857</v>
          </cell>
          <cell r="C176">
            <v>186.72</v>
          </cell>
          <cell r="D176">
            <v>3.56</v>
          </cell>
          <cell r="E176">
            <v>477</v>
          </cell>
          <cell r="F176">
            <v>176.32</v>
          </cell>
          <cell r="G176">
            <v>373.8</v>
          </cell>
          <cell r="H176">
            <v>1217.3999999999999</v>
          </cell>
          <cell r="I176">
            <v>1777.09</v>
          </cell>
          <cell r="J176">
            <v>92303</v>
          </cell>
          <cell r="K176" t="str">
            <v>MP</v>
          </cell>
        </row>
        <row r="177">
          <cell r="A177" t="str">
            <v>994842-SLR</v>
          </cell>
          <cell r="B177">
            <v>12954</v>
          </cell>
          <cell r="C177">
            <v>1271.33</v>
          </cell>
          <cell r="D177">
            <v>11.5</v>
          </cell>
          <cell r="E177">
            <v>477</v>
          </cell>
          <cell r="F177">
            <v>263.19</v>
          </cell>
          <cell r="G177">
            <v>1093.6500000000001</v>
          </cell>
          <cell r="H177">
            <v>3116.67</v>
          </cell>
          <cell r="I177">
            <v>4473.24</v>
          </cell>
          <cell r="J177">
            <v>92303</v>
          </cell>
          <cell r="K177" t="str">
            <v>MP</v>
          </cell>
        </row>
        <row r="178">
          <cell r="A178" t="str">
            <v>994843-SLR</v>
          </cell>
          <cell r="B178">
            <v>12955</v>
          </cell>
          <cell r="C178">
            <v>1025.77</v>
          </cell>
          <cell r="D178">
            <v>6.21</v>
          </cell>
          <cell r="E178">
            <v>477</v>
          </cell>
          <cell r="F178">
            <v>225.21</v>
          </cell>
          <cell r="G178">
            <v>496.84</v>
          </cell>
          <cell r="H178">
            <v>2231.0300000000002</v>
          </cell>
          <cell r="I178">
            <v>3108.36</v>
          </cell>
          <cell r="J178">
            <v>92316</v>
          </cell>
          <cell r="K178" t="str">
            <v>MP</v>
          </cell>
        </row>
        <row r="179">
          <cell r="A179" t="str">
            <v>994844-SLR</v>
          </cell>
          <cell r="B179">
            <v>13749</v>
          </cell>
          <cell r="C179">
            <v>625.03</v>
          </cell>
          <cell r="D179">
            <v>14.54</v>
          </cell>
          <cell r="E179">
            <v>429</v>
          </cell>
          <cell r="F179">
            <v>359</v>
          </cell>
          <cell r="G179">
            <v>1502.71</v>
          </cell>
          <cell r="H179">
            <v>2930.2799999999997</v>
          </cell>
          <cell r="I179">
            <v>7269.41</v>
          </cell>
          <cell r="J179">
            <v>92285</v>
          </cell>
          <cell r="K179" t="str">
            <v>MP</v>
          </cell>
        </row>
        <row r="180">
          <cell r="A180" t="str">
            <v>994845-SLR</v>
          </cell>
          <cell r="B180">
            <v>13043</v>
          </cell>
          <cell r="C180">
            <v>4345.4799999999996</v>
          </cell>
          <cell r="D180">
            <v>19.61</v>
          </cell>
          <cell r="E180">
            <v>477</v>
          </cell>
          <cell r="F180">
            <v>560.79999999999995</v>
          </cell>
          <cell r="G180">
            <v>1700.75</v>
          </cell>
          <cell r="H180">
            <v>7103.6399999999994</v>
          </cell>
          <cell r="I180">
            <v>9807.7900000000009</v>
          </cell>
          <cell r="J180">
            <v>91997</v>
          </cell>
          <cell r="K180" t="str">
            <v>MP</v>
          </cell>
        </row>
        <row r="181">
          <cell r="A181" t="str">
            <v>994846-SLR</v>
          </cell>
          <cell r="B181">
            <v>12988</v>
          </cell>
          <cell r="C181">
            <v>400.71</v>
          </cell>
          <cell r="D181">
            <v>11.61</v>
          </cell>
          <cell r="E181">
            <v>477</v>
          </cell>
          <cell r="F181">
            <v>283.66000000000003</v>
          </cell>
          <cell r="G181">
            <v>754.9</v>
          </cell>
          <cell r="H181">
            <v>1927.88</v>
          </cell>
          <cell r="I181">
            <v>5803.53</v>
          </cell>
          <cell r="J181">
            <v>92313</v>
          </cell>
          <cell r="K181" t="str">
            <v>MP</v>
          </cell>
        </row>
        <row r="182">
          <cell r="A182" t="str">
            <v>994847-SLR</v>
          </cell>
          <cell r="B182">
            <v>12956</v>
          </cell>
          <cell r="C182">
            <v>235.94</v>
          </cell>
          <cell r="D182">
            <v>2.97</v>
          </cell>
          <cell r="E182">
            <v>477</v>
          </cell>
          <cell r="F182">
            <v>165.42</v>
          </cell>
          <cell r="G182">
            <v>222.49</v>
          </cell>
          <cell r="H182">
            <v>1103.82</v>
          </cell>
          <cell r="I182">
            <v>1244.3800000000001</v>
          </cell>
          <cell r="J182">
            <v>92284</v>
          </cell>
          <cell r="K182" t="str">
            <v>MP</v>
          </cell>
        </row>
        <row r="183">
          <cell r="A183" t="str">
            <v>994848-SLR</v>
          </cell>
          <cell r="B183">
            <v>12915</v>
          </cell>
          <cell r="C183">
            <v>1760.02</v>
          </cell>
          <cell r="D183">
            <v>6.04</v>
          </cell>
          <cell r="E183">
            <v>477</v>
          </cell>
          <cell r="F183">
            <v>239.81</v>
          </cell>
          <cell r="G183">
            <v>862.1</v>
          </cell>
          <cell r="H183">
            <v>3344.97</v>
          </cell>
          <cell r="I183">
            <v>3019.84</v>
          </cell>
          <cell r="J183">
            <v>92316</v>
          </cell>
          <cell r="K183" t="str">
            <v>MP</v>
          </cell>
        </row>
        <row r="184">
          <cell r="A184" t="str">
            <v>994849-SLR</v>
          </cell>
          <cell r="B184">
            <v>13046</v>
          </cell>
          <cell r="C184">
            <v>2152.91</v>
          </cell>
          <cell r="D184">
            <v>61.14</v>
          </cell>
          <cell r="E184">
            <v>477</v>
          </cell>
          <cell r="F184">
            <v>993.58</v>
          </cell>
          <cell r="G184">
            <v>6164.9</v>
          </cell>
          <cell r="H184">
            <v>9849.5299999999988</v>
          </cell>
          <cell r="I184">
            <v>30565.14</v>
          </cell>
          <cell r="J184">
            <v>90013</v>
          </cell>
          <cell r="K184" t="str">
            <v>MP</v>
          </cell>
        </row>
        <row r="185">
          <cell r="A185" t="str">
            <v>994850-SLR</v>
          </cell>
          <cell r="B185">
            <v>13049</v>
          </cell>
          <cell r="C185">
            <v>482.93</v>
          </cell>
          <cell r="D185">
            <v>34.08</v>
          </cell>
          <cell r="E185">
            <v>477</v>
          </cell>
          <cell r="F185">
            <v>640.24</v>
          </cell>
          <cell r="G185">
            <v>2111.14</v>
          </cell>
          <cell r="H185">
            <v>3745.39</v>
          </cell>
          <cell r="I185">
            <v>16558.169999999998</v>
          </cell>
          <cell r="J185">
            <v>90503</v>
          </cell>
          <cell r="K185" t="str">
            <v>MP</v>
          </cell>
        </row>
        <row r="186">
          <cell r="A186" t="str">
            <v>994851-SLR</v>
          </cell>
          <cell r="B186">
            <v>12989</v>
          </cell>
          <cell r="C186">
            <v>326.69</v>
          </cell>
          <cell r="D186">
            <v>12.34</v>
          </cell>
          <cell r="E186">
            <v>477</v>
          </cell>
          <cell r="F186">
            <v>296.64</v>
          </cell>
          <cell r="G186">
            <v>911.08</v>
          </cell>
          <cell r="H186">
            <v>2023.75</v>
          </cell>
          <cell r="I186">
            <v>6168.66</v>
          </cell>
          <cell r="J186">
            <v>91981</v>
          </cell>
          <cell r="K186" t="str">
            <v>MP</v>
          </cell>
        </row>
        <row r="187">
          <cell r="A187" t="str">
            <v>994852-SLR</v>
          </cell>
          <cell r="B187">
            <v>13115</v>
          </cell>
          <cell r="C187">
            <v>377.38</v>
          </cell>
          <cell r="D187">
            <v>6.53</v>
          </cell>
          <cell r="E187">
            <v>477</v>
          </cell>
          <cell r="F187">
            <v>205.63</v>
          </cell>
          <cell r="G187">
            <v>425.11</v>
          </cell>
          <cell r="H187">
            <v>1491.65</v>
          </cell>
          <cell r="I187">
            <v>2886.18</v>
          </cell>
          <cell r="J187">
            <v>93425</v>
          </cell>
          <cell r="K187" t="str">
            <v>MP</v>
          </cell>
        </row>
        <row r="188">
          <cell r="A188" t="str">
            <v>994853-SLR</v>
          </cell>
          <cell r="B188">
            <v>12889</v>
          </cell>
          <cell r="C188">
            <v>390.7</v>
          </cell>
          <cell r="D188">
            <v>5.85</v>
          </cell>
          <cell r="E188">
            <v>477</v>
          </cell>
          <cell r="F188">
            <v>197.91</v>
          </cell>
          <cell r="G188">
            <v>556.15</v>
          </cell>
          <cell r="H188">
            <v>1627.6100000000001</v>
          </cell>
          <cell r="I188">
            <v>2530.5700000000002</v>
          </cell>
          <cell r="J188">
            <v>93050</v>
          </cell>
          <cell r="K188" t="str">
            <v>MP</v>
          </cell>
        </row>
        <row r="189">
          <cell r="A189" t="str">
            <v>994854-SLR</v>
          </cell>
          <cell r="B189">
            <v>12800</v>
          </cell>
          <cell r="C189">
            <v>0</v>
          </cell>
          <cell r="D189">
            <v>0</v>
          </cell>
          <cell r="E189">
            <v>0</v>
          </cell>
          <cell r="F189">
            <v>0</v>
          </cell>
          <cell r="G189">
            <v>0</v>
          </cell>
          <cell r="H189">
            <v>0</v>
          </cell>
          <cell r="I189">
            <v>28.97</v>
          </cell>
          <cell r="J189">
            <v>92243</v>
          </cell>
          <cell r="K189" t="str">
            <v>MP</v>
          </cell>
        </row>
        <row r="190">
          <cell r="A190" t="str">
            <v>994855-SLR</v>
          </cell>
          <cell r="B190">
            <v>13096</v>
          </cell>
          <cell r="C190">
            <v>527.59</v>
          </cell>
          <cell r="D190">
            <v>18.05</v>
          </cell>
          <cell r="E190">
            <v>477</v>
          </cell>
          <cell r="F190">
            <v>409.51</v>
          </cell>
          <cell r="G190">
            <v>1899.23</v>
          </cell>
          <cell r="H190">
            <v>3331.38</v>
          </cell>
          <cell r="I190">
            <v>8498.33</v>
          </cell>
          <cell r="J190">
            <v>93424</v>
          </cell>
          <cell r="K190" t="str">
            <v>MP</v>
          </cell>
        </row>
        <row r="191">
          <cell r="A191" t="str">
            <v>994856-SLR</v>
          </cell>
          <cell r="B191">
            <v>13393</v>
          </cell>
          <cell r="C191">
            <v>851.03</v>
          </cell>
          <cell r="D191">
            <v>6.48</v>
          </cell>
          <cell r="E191">
            <v>477</v>
          </cell>
          <cell r="F191">
            <v>205.17</v>
          </cell>
          <cell r="G191">
            <v>617.49</v>
          </cell>
          <cell r="H191">
            <v>2157.17</v>
          </cell>
          <cell r="I191">
            <v>2392.44</v>
          </cell>
          <cell r="J191">
            <v>93429</v>
          </cell>
          <cell r="K191" t="str">
            <v>MP</v>
          </cell>
        </row>
        <row r="192">
          <cell r="A192" t="str">
            <v>994857-SLR</v>
          </cell>
          <cell r="B192">
            <v>12858</v>
          </cell>
          <cell r="C192">
            <v>420.01</v>
          </cell>
          <cell r="D192">
            <v>4.9000000000000004</v>
          </cell>
          <cell r="E192">
            <v>477</v>
          </cell>
          <cell r="F192">
            <v>196.71</v>
          </cell>
          <cell r="G192">
            <v>546.03</v>
          </cell>
          <cell r="H192">
            <v>1644.6499999999999</v>
          </cell>
          <cell r="I192">
            <v>2448.94</v>
          </cell>
          <cell r="J192">
            <v>91990</v>
          </cell>
          <cell r="K192" t="str">
            <v>MP</v>
          </cell>
        </row>
        <row r="193">
          <cell r="A193" t="str">
            <v>994858-SLR</v>
          </cell>
          <cell r="B193">
            <v>12859</v>
          </cell>
          <cell r="C193">
            <v>597.23</v>
          </cell>
          <cell r="D193">
            <v>8.73</v>
          </cell>
          <cell r="E193">
            <v>477</v>
          </cell>
          <cell r="F193">
            <v>243.75</v>
          </cell>
          <cell r="G193">
            <v>943.25</v>
          </cell>
          <cell r="H193">
            <v>2269.96</v>
          </cell>
          <cell r="I193">
            <v>4358.5200000000004</v>
          </cell>
          <cell r="J193">
            <v>91178</v>
          </cell>
          <cell r="K193" t="str">
            <v>MP</v>
          </cell>
        </row>
        <row r="194">
          <cell r="A194" t="str">
            <v>994859-SLR</v>
          </cell>
          <cell r="B194">
            <v>12957</v>
          </cell>
          <cell r="C194">
            <v>1436.91</v>
          </cell>
          <cell r="D194">
            <v>31.46</v>
          </cell>
          <cell r="E194">
            <v>477</v>
          </cell>
          <cell r="F194">
            <v>642.91999999999996</v>
          </cell>
          <cell r="G194">
            <v>3218.48</v>
          </cell>
          <cell r="H194">
            <v>5806.77</v>
          </cell>
          <cell r="I194">
            <v>15725.9</v>
          </cell>
          <cell r="J194">
            <v>91990</v>
          </cell>
          <cell r="K194" t="str">
            <v>MP</v>
          </cell>
        </row>
        <row r="195">
          <cell r="A195" t="str">
            <v>994861-SLR</v>
          </cell>
          <cell r="B195">
            <v>12860</v>
          </cell>
          <cell r="C195">
            <v>188.53</v>
          </cell>
          <cell r="D195">
            <v>8.1</v>
          </cell>
          <cell r="E195">
            <v>477</v>
          </cell>
          <cell r="F195">
            <v>227.65</v>
          </cell>
          <cell r="G195">
            <v>594.87</v>
          </cell>
          <cell r="H195">
            <v>1496.15</v>
          </cell>
          <cell r="I195">
            <v>4052.41</v>
          </cell>
          <cell r="J195">
            <v>90097</v>
          </cell>
          <cell r="K195" t="str">
            <v>MP</v>
          </cell>
        </row>
        <row r="196">
          <cell r="A196" t="str">
            <v>994862-SLR</v>
          </cell>
          <cell r="B196">
            <v>13327</v>
          </cell>
          <cell r="C196">
            <v>331.15</v>
          </cell>
          <cell r="D196">
            <v>86.5</v>
          </cell>
          <cell r="E196">
            <v>477</v>
          </cell>
          <cell r="F196">
            <v>1231.0899999999999</v>
          </cell>
          <cell r="G196">
            <v>6066.9</v>
          </cell>
          <cell r="H196">
            <v>8192.64</v>
          </cell>
          <cell r="I196">
            <v>42917.36</v>
          </cell>
          <cell r="J196">
            <v>93023</v>
          </cell>
          <cell r="K196" t="str">
            <v>MP</v>
          </cell>
        </row>
        <row r="197">
          <cell r="A197" t="str">
            <v>994863-SLR</v>
          </cell>
          <cell r="B197">
            <v>13194</v>
          </cell>
          <cell r="C197">
            <v>182.67</v>
          </cell>
          <cell r="D197">
            <v>1.33</v>
          </cell>
          <cell r="E197">
            <v>477</v>
          </cell>
          <cell r="F197">
            <v>147.04</v>
          </cell>
          <cell r="G197">
            <v>93.27</v>
          </cell>
          <cell r="H197">
            <v>901.31</v>
          </cell>
          <cell r="I197">
            <v>482.24</v>
          </cell>
          <cell r="J197">
            <v>90496</v>
          </cell>
          <cell r="K197" t="str">
            <v>MP</v>
          </cell>
        </row>
        <row r="198">
          <cell r="A198" t="str">
            <v>994864-SLR</v>
          </cell>
          <cell r="B198">
            <v>13195</v>
          </cell>
          <cell r="C198">
            <v>262.29000000000002</v>
          </cell>
          <cell r="D198">
            <v>56.58</v>
          </cell>
          <cell r="E198">
            <v>477</v>
          </cell>
          <cell r="F198">
            <v>893.84</v>
          </cell>
          <cell r="G198">
            <v>5385.82</v>
          </cell>
          <cell r="H198">
            <v>7075.53</v>
          </cell>
          <cell r="I198">
            <v>28027.56</v>
          </cell>
          <cell r="J198">
            <v>90468</v>
          </cell>
          <cell r="K198" t="str">
            <v>MP</v>
          </cell>
        </row>
        <row r="199">
          <cell r="A199" t="str">
            <v>994865-SLR</v>
          </cell>
          <cell r="B199">
            <v>13051</v>
          </cell>
          <cell r="C199">
            <v>257.63</v>
          </cell>
          <cell r="D199">
            <v>1.98</v>
          </cell>
          <cell r="E199">
            <v>477</v>
          </cell>
          <cell r="F199">
            <v>154.34</v>
          </cell>
          <cell r="G199">
            <v>188.24</v>
          </cell>
          <cell r="H199">
            <v>1079.19</v>
          </cell>
          <cell r="I199">
            <v>731.14</v>
          </cell>
          <cell r="J199">
            <v>92251</v>
          </cell>
          <cell r="K199" t="str">
            <v>MP</v>
          </cell>
        </row>
        <row r="200">
          <cell r="A200" t="str">
            <v>994866-SLR</v>
          </cell>
          <cell r="B200">
            <v>13196</v>
          </cell>
          <cell r="C200">
            <v>873.3</v>
          </cell>
          <cell r="D200">
            <v>1559.11</v>
          </cell>
          <cell r="E200">
            <v>477</v>
          </cell>
          <cell r="F200">
            <v>2405.14</v>
          </cell>
          <cell r="G200">
            <v>12849.35</v>
          </cell>
          <cell r="H200">
            <v>18163.900000000001</v>
          </cell>
          <cell r="I200">
            <v>94451.42</v>
          </cell>
          <cell r="J200">
            <v>90570</v>
          </cell>
          <cell r="K200" t="str">
            <v>MP</v>
          </cell>
        </row>
        <row r="201">
          <cell r="A201" t="str">
            <v>994867-SLR</v>
          </cell>
          <cell r="B201">
            <v>12958</v>
          </cell>
          <cell r="C201">
            <v>1836.28</v>
          </cell>
          <cell r="D201">
            <v>9.6199999999999992</v>
          </cell>
          <cell r="E201">
            <v>477</v>
          </cell>
          <cell r="F201">
            <v>240.48</v>
          </cell>
          <cell r="G201">
            <v>915.68</v>
          </cell>
          <cell r="H201">
            <v>3479.0599999999995</v>
          </cell>
          <cell r="I201">
            <v>2973.48</v>
          </cell>
          <cell r="J201">
            <v>92294</v>
          </cell>
          <cell r="K201" t="str">
            <v>MP</v>
          </cell>
        </row>
        <row r="202">
          <cell r="A202" t="str">
            <v>994868-SLR</v>
          </cell>
          <cell r="B202">
            <v>12917</v>
          </cell>
          <cell r="C202">
            <v>125.01</v>
          </cell>
          <cell r="D202">
            <v>5.4</v>
          </cell>
          <cell r="E202">
            <v>477</v>
          </cell>
          <cell r="F202">
            <v>195.77</v>
          </cell>
          <cell r="G202">
            <v>538.1</v>
          </cell>
          <cell r="H202">
            <v>1341.28</v>
          </cell>
          <cell r="I202">
            <v>2701.42</v>
          </cell>
          <cell r="J202">
            <v>92202</v>
          </cell>
          <cell r="K202" t="str">
            <v>MP</v>
          </cell>
        </row>
        <row r="203">
          <cell r="A203" t="str">
            <v>994869-SLR</v>
          </cell>
          <cell r="B203">
            <v>12808</v>
          </cell>
          <cell r="C203">
            <v>103.88</v>
          </cell>
          <cell r="D203">
            <v>0.23</v>
          </cell>
          <cell r="E203">
            <v>477</v>
          </cell>
          <cell r="F203">
            <v>134.59</v>
          </cell>
          <cell r="G203">
            <v>21.43</v>
          </cell>
          <cell r="H203">
            <v>737.13</v>
          </cell>
          <cell r="I203">
            <v>8.66</v>
          </cell>
          <cell r="J203">
            <v>90593</v>
          </cell>
          <cell r="K203" t="str">
            <v>MP</v>
          </cell>
        </row>
        <row r="204">
          <cell r="A204" t="str">
            <v>994871-SLR</v>
          </cell>
          <cell r="B204">
            <v>12785</v>
          </cell>
          <cell r="C204">
            <v>0</v>
          </cell>
          <cell r="D204">
            <v>0</v>
          </cell>
          <cell r="E204">
            <v>21.12</v>
          </cell>
          <cell r="F204">
            <v>0</v>
          </cell>
          <cell r="G204">
            <v>44.01</v>
          </cell>
          <cell r="H204">
            <v>65.13</v>
          </cell>
          <cell r="I204">
            <v>73.349999999999994</v>
          </cell>
          <cell r="J204">
            <v>92202</v>
          </cell>
          <cell r="K204" t="str">
            <v>MP</v>
          </cell>
        </row>
        <row r="205">
          <cell r="A205" t="str">
            <v>994872-SLR</v>
          </cell>
          <cell r="B205">
            <v>13302</v>
          </cell>
          <cell r="C205">
            <v>489.38</v>
          </cell>
          <cell r="D205">
            <v>7.36</v>
          </cell>
          <cell r="E205">
            <v>477</v>
          </cell>
          <cell r="F205">
            <v>176.35</v>
          </cell>
          <cell r="G205">
            <v>374.13</v>
          </cell>
          <cell r="H205">
            <v>1524.2199999999998</v>
          </cell>
          <cell r="I205">
            <v>1475.79</v>
          </cell>
          <cell r="J205">
            <v>93030</v>
          </cell>
          <cell r="K205" t="str">
            <v>MP</v>
          </cell>
        </row>
        <row r="206">
          <cell r="A206" t="str">
            <v>994873-SLR</v>
          </cell>
          <cell r="B206">
            <v>13150</v>
          </cell>
          <cell r="C206">
            <v>218.61</v>
          </cell>
          <cell r="D206">
            <v>28.47</v>
          </cell>
          <cell r="E206">
            <v>477</v>
          </cell>
          <cell r="F206">
            <v>581.95000000000005</v>
          </cell>
          <cell r="G206">
            <v>2027.81</v>
          </cell>
          <cell r="H206">
            <v>3333.84</v>
          </cell>
          <cell r="I206">
            <v>14237.25</v>
          </cell>
          <cell r="J206">
            <v>91814</v>
          </cell>
          <cell r="K206" t="str">
            <v>MP</v>
          </cell>
        </row>
        <row r="207">
          <cell r="A207" t="str">
            <v>994874-SLR</v>
          </cell>
          <cell r="B207">
            <v>12965</v>
          </cell>
          <cell r="C207">
            <v>490.03</v>
          </cell>
          <cell r="D207">
            <v>9.3800000000000008</v>
          </cell>
          <cell r="E207">
            <v>477</v>
          </cell>
          <cell r="F207">
            <v>237.72</v>
          </cell>
          <cell r="G207">
            <v>892.32</v>
          </cell>
          <cell r="H207">
            <v>2106.4499999999998</v>
          </cell>
          <cell r="I207">
            <v>4196.99</v>
          </cell>
          <cell r="J207">
            <v>93016</v>
          </cell>
          <cell r="K207" t="str">
            <v>MP</v>
          </cell>
        </row>
        <row r="208">
          <cell r="A208" t="str">
            <v>994876=SLR</v>
          </cell>
          <cell r="B208">
            <v>13163</v>
          </cell>
          <cell r="C208">
            <v>1589.73</v>
          </cell>
          <cell r="D208">
            <v>43.89</v>
          </cell>
          <cell r="E208">
            <v>477</v>
          </cell>
          <cell r="F208">
            <v>750.68</v>
          </cell>
          <cell r="G208">
            <v>4176.8599999999997</v>
          </cell>
          <cell r="H208">
            <v>7038.16</v>
          </cell>
          <cell r="I208">
            <v>20349.87</v>
          </cell>
          <cell r="J208">
            <v>90013</v>
          </cell>
          <cell r="K208" t="str">
            <v>MP</v>
          </cell>
        </row>
        <row r="209">
          <cell r="A209" t="str">
            <v>994877-SLR</v>
          </cell>
          <cell r="B209">
            <v>13116</v>
          </cell>
          <cell r="C209">
            <v>476.95</v>
          </cell>
          <cell r="D209">
            <v>34.44</v>
          </cell>
          <cell r="E209">
            <v>477</v>
          </cell>
          <cell r="F209">
            <v>644.27</v>
          </cell>
          <cell r="G209">
            <v>2415.62</v>
          </cell>
          <cell r="H209">
            <v>4048.2799999999997</v>
          </cell>
          <cell r="I209">
            <v>16743.009999999998</v>
          </cell>
          <cell r="J209">
            <v>93302</v>
          </cell>
          <cell r="K209" t="str">
            <v>MP</v>
          </cell>
        </row>
        <row r="210">
          <cell r="A210" t="str">
            <v>994878-SLR</v>
          </cell>
          <cell r="B210">
            <v>13098</v>
          </cell>
          <cell r="C210">
            <v>116.74</v>
          </cell>
          <cell r="D210">
            <v>4.08</v>
          </cell>
          <cell r="E210">
            <v>477</v>
          </cell>
          <cell r="F210">
            <v>178.01</v>
          </cell>
          <cell r="G210">
            <v>61.28</v>
          </cell>
          <cell r="H210">
            <v>837.1099999999999</v>
          </cell>
          <cell r="I210">
            <v>1921.81</v>
          </cell>
          <cell r="J210">
            <v>90061</v>
          </cell>
          <cell r="K210" t="str">
            <v>MP</v>
          </cell>
        </row>
        <row r="211">
          <cell r="A211" t="str">
            <v>994879-SLR</v>
          </cell>
          <cell r="B211">
            <v>13200</v>
          </cell>
          <cell r="C211">
            <v>435.59</v>
          </cell>
          <cell r="D211">
            <v>35.369999999999997</v>
          </cell>
          <cell r="E211">
            <v>477</v>
          </cell>
          <cell r="F211">
            <v>664.57</v>
          </cell>
          <cell r="G211">
            <v>1396.53</v>
          </cell>
          <cell r="H211">
            <v>3009.0600000000004</v>
          </cell>
          <cell r="I211">
            <v>17685.37</v>
          </cell>
          <cell r="J211">
            <v>90083</v>
          </cell>
          <cell r="K211" t="str">
            <v>MP</v>
          </cell>
        </row>
        <row r="212">
          <cell r="A212" t="str">
            <v>994880-SLR</v>
          </cell>
          <cell r="B212">
            <v>13709</v>
          </cell>
          <cell r="C212">
            <v>301.25</v>
          </cell>
          <cell r="D212">
            <v>12.31</v>
          </cell>
          <cell r="E212">
            <v>429</v>
          </cell>
          <cell r="F212">
            <v>206.19</v>
          </cell>
          <cell r="G212">
            <v>626.08000000000004</v>
          </cell>
          <cell r="H212">
            <v>1574.83</v>
          </cell>
          <cell r="I212">
            <v>2987.33</v>
          </cell>
          <cell r="J212">
            <v>90424</v>
          </cell>
          <cell r="K212" t="str">
            <v>MP</v>
          </cell>
        </row>
        <row r="213">
          <cell r="A213" t="str">
            <v>994881-SLR</v>
          </cell>
          <cell r="B213">
            <v>13328</v>
          </cell>
          <cell r="C213">
            <v>375.35</v>
          </cell>
          <cell r="D213">
            <v>25814.76</v>
          </cell>
          <cell r="E213">
            <v>477</v>
          </cell>
          <cell r="F213">
            <v>3004.7</v>
          </cell>
          <cell r="G213">
            <v>25654.1</v>
          </cell>
          <cell r="H213">
            <v>55325.909999999996</v>
          </cell>
          <cell r="I213">
            <v>121543.2</v>
          </cell>
          <cell r="J213">
            <v>90614</v>
          </cell>
          <cell r="K213" t="str">
            <v>MP</v>
          </cell>
        </row>
        <row r="214">
          <cell r="A214" t="str">
            <v>994882-SLR</v>
          </cell>
          <cell r="B214">
            <v>13052</v>
          </cell>
          <cell r="C214">
            <v>1322.44</v>
          </cell>
          <cell r="D214">
            <v>19.73</v>
          </cell>
          <cell r="E214">
            <v>477</v>
          </cell>
          <cell r="F214">
            <v>446.69</v>
          </cell>
          <cell r="G214">
            <v>1185.56</v>
          </cell>
          <cell r="H214">
            <v>3451.42</v>
          </cell>
          <cell r="I214">
            <v>8537.5400000000009</v>
          </cell>
          <cell r="J214">
            <v>92285</v>
          </cell>
          <cell r="K214" t="str">
            <v>MP</v>
          </cell>
        </row>
        <row r="215">
          <cell r="A215" t="str">
            <v>994883-SLR</v>
          </cell>
          <cell r="B215">
            <v>13053</v>
          </cell>
          <cell r="C215">
            <v>199.92</v>
          </cell>
          <cell r="D215">
            <v>0.82</v>
          </cell>
          <cell r="E215">
            <v>477</v>
          </cell>
          <cell r="F215">
            <v>535.17999999999995</v>
          </cell>
          <cell r="G215">
            <v>20.51</v>
          </cell>
          <cell r="H215">
            <v>1233.43</v>
          </cell>
          <cell r="I215">
            <v>209.44</v>
          </cell>
          <cell r="J215">
            <v>90390</v>
          </cell>
          <cell r="K215" t="str">
            <v>MP</v>
          </cell>
        </row>
        <row r="216">
          <cell r="A216" t="str">
            <v>994884-SLR</v>
          </cell>
          <cell r="B216">
            <v>13054</v>
          </cell>
          <cell r="C216">
            <v>199.92</v>
          </cell>
          <cell r="D216">
            <v>32.770000000000003</v>
          </cell>
          <cell r="E216">
            <v>477</v>
          </cell>
          <cell r="F216">
            <v>625.42999999999995</v>
          </cell>
          <cell r="G216">
            <v>492.5</v>
          </cell>
          <cell r="H216">
            <v>1827.62</v>
          </cell>
          <cell r="I216">
            <v>16184</v>
          </cell>
          <cell r="J216">
            <v>92166</v>
          </cell>
          <cell r="K216" t="str">
            <v>MP</v>
          </cell>
        </row>
        <row r="217">
          <cell r="A217" t="str">
            <v>994885-SLR</v>
          </cell>
          <cell r="B217">
            <v>13055</v>
          </cell>
          <cell r="C217">
            <v>247.52</v>
          </cell>
          <cell r="D217">
            <v>30.46</v>
          </cell>
          <cell r="E217">
            <v>477</v>
          </cell>
          <cell r="F217">
            <v>605.02</v>
          </cell>
          <cell r="G217">
            <v>2171.4</v>
          </cell>
          <cell r="H217">
            <v>3531.4</v>
          </cell>
          <cell r="I217">
            <v>15232</v>
          </cell>
          <cell r="J217">
            <v>92190</v>
          </cell>
          <cell r="K217" t="str">
            <v>MP</v>
          </cell>
        </row>
        <row r="218">
          <cell r="A218" t="str">
            <v>994886-SLR</v>
          </cell>
          <cell r="B218">
            <v>13056</v>
          </cell>
          <cell r="C218">
            <v>193.54</v>
          </cell>
          <cell r="D218">
            <v>14.91</v>
          </cell>
          <cell r="E218">
            <v>477</v>
          </cell>
          <cell r="F218">
            <v>348.04</v>
          </cell>
          <cell r="G218">
            <v>1609.15</v>
          </cell>
          <cell r="H218">
            <v>2642.6400000000003</v>
          </cell>
          <cell r="I218">
            <v>7454.16</v>
          </cell>
          <cell r="J218">
            <v>92217</v>
          </cell>
          <cell r="K218" t="str">
            <v>MP</v>
          </cell>
        </row>
        <row r="219">
          <cell r="A219" t="str">
            <v>994887-SLR</v>
          </cell>
          <cell r="B219">
            <v>13299</v>
          </cell>
          <cell r="C219">
            <v>8547.0400000000009</v>
          </cell>
          <cell r="D219">
            <v>28.96</v>
          </cell>
          <cell r="E219">
            <v>477</v>
          </cell>
          <cell r="F219">
            <v>774.79</v>
          </cell>
          <cell r="G219">
            <v>4145.25</v>
          </cell>
          <cell r="H219">
            <v>13973.04</v>
          </cell>
          <cell r="I219">
            <v>14479.09</v>
          </cell>
          <cell r="J219">
            <v>93429</v>
          </cell>
          <cell r="K219" t="str">
            <v>MP</v>
          </cell>
        </row>
        <row r="220">
          <cell r="A220" t="str">
            <v>994888-SLR</v>
          </cell>
          <cell r="B220">
            <v>13297</v>
          </cell>
          <cell r="C220">
            <v>4117.0200000000004</v>
          </cell>
          <cell r="D220">
            <v>6.03</v>
          </cell>
          <cell r="E220">
            <v>477</v>
          </cell>
          <cell r="F220">
            <v>300.41000000000003</v>
          </cell>
          <cell r="G220">
            <v>857</v>
          </cell>
          <cell r="H220">
            <v>5757.46</v>
          </cell>
          <cell r="I220">
            <v>2469.27</v>
          </cell>
          <cell r="J220">
            <v>93038</v>
          </cell>
          <cell r="K220" t="str">
            <v>MP</v>
          </cell>
        </row>
        <row r="221">
          <cell r="A221" t="str">
            <v>994889-SLR</v>
          </cell>
          <cell r="B221">
            <v>12966</v>
          </cell>
          <cell r="C221">
            <v>273.27</v>
          </cell>
          <cell r="D221">
            <v>10.32</v>
          </cell>
          <cell r="E221">
            <v>477</v>
          </cell>
          <cell r="F221">
            <v>248.32</v>
          </cell>
          <cell r="G221">
            <v>981.84</v>
          </cell>
          <cell r="H221">
            <v>1990.75</v>
          </cell>
          <cell r="I221">
            <v>4884.0200000000004</v>
          </cell>
          <cell r="J221">
            <v>90322</v>
          </cell>
          <cell r="K221" t="str">
            <v>MP</v>
          </cell>
        </row>
        <row r="222">
          <cell r="A222" t="str">
            <v>994890-SLR</v>
          </cell>
          <cell r="B222">
            <v>13329</v>
          </cell>
          <cell r="C222">
            <v>184.5</v>
          </cell>
          <cell r="D222">
            <v>15.52</v>
          </cell>
          <cell r="E222">
            <v>477</v>
          </cell>
          <cell r="F222">
            <v>352.78</v>
          </cell>
          <cell r="G222">
            <v>1087.69</v>
          </cell>
          <cell r="H222">
            <v>2117.4899999999998</v>
          </cell>
          <cell r="I222">
            <v>7569.2</v>
          </cell>
          <cell r="J222">
            <v>93428</v>
          </cell>
          <cell r="K222" t="str">
            <v>MP</v>
          </cell>
        </row>
        <row r="223">
          <cell r="A223" t="str">
            <v>994891-SLR</v>
          </cell>
          <cell r="B223">
            <v>13264</v>
          </cell>
          <cell r="C223">
            <v>5108.1099999999997</v>
          </cell>
          <cell r="D223">
            <v>64.06</v>
          </cell>
          <cell r="E223">
            <v>477</v>
          </cell>
          <cell r="F223">
            <v>1093.06</v>
          </cell>
          <cell r="G223">
            <v>4836.04</v>
          </cell>
          <cell r="H223">
            <v>11578.27</v>
          </cell>
          <cell r="I223">
            <v>32028.12</v>
          </cell>
          <cell r="J223">
            <v>92056</v>
          </cell>
          <cell r="K223" t="str">
            <v>MP</v>
          </cell>
        </row>
        <row r="224">
          <cell r="A224" t="str">
            <v>994892-SLR</v>
          </cell>
          <cell r="B224">
            <v>13005</v>
          </cell>
          <cell r="C224">
            <v>1605.53</v>
          </cell>
          <cell r="D224">
            <v>11.78</v>
          </cell>
          <cell r="E224">
            <v>477</v>
          </cell>
          <cell r="F224">
            <v>269.66000000000003</v>
          </cell>
          <cell r="G224">
            <v>1121.26</v>
          </cell>
          <cell r="H224">
            <v>3485.2299999999996</v>
          </cell>
          <cell r="I224">
            <v>4284.08</v>
          </cell>
          <cell r="J224">
            <v>93328</v>
          </cell>
          <cell r="K224" t="str">
            <v>MP</v>
          </cell>
        </row>
        <row r="225">
          <cell r="A225" t="str">
            <v>994893-SLR</v>
          </cell>
          <cell r="B225">
            <v>13004</v>
          </cell>
          <cell r="C225">
            <v>181.06</v>
          </cell>
          <cell r="D225">
            <v>8.44</v>
          </cell>
          <cell r="E225">
            <v>477</v>
          </cell>
          <cell r="F225">
            <v>227.23</v>
          </cell>
          <cell r="G225">
            <v>803.7</v>
          </cell>
          <cell r="H225">
            <v>1697.43</v>
          </cell>
          <cell r="I225">
            <v>4040.51</v>
          </cell>
          <cell r="J225">
            <v>92376</v>
          </cell>
          <cell r="K225" t="str">
            <v>MP</v>
          </cell>
        </row>
        <row r="226">
          <cell r="A226" t="str">
            <v>994894-SLR</v>
          </cell>
          <cell r="B226">
            <v>13300</v>
          </cell>
          <cell r="C226">
            <v>887.14</v>
          </cell>
          <cell r="D226">
            <v>9.91</v>
          </cell>
          <cell r="E226">
            <v>477</v>
          </cell>
          <cell r="F226">
            <v>243.74</v>
          </cell>
          <cell r="G226">
            <v>943.14</v>
          </cell>
          <cell r="H226">
            <v>2560.9299999999998</v>
          </cell>
          <cell r="I226">
            <v>4066.83</v>
          </cell>
          <cell r="J226">
            <v>93429</v>
          </cell>
          <cell r="K226" t="str">
            <v>MP</v>
          </cell>
        </row>
        <row r="227">
          <cell r="A227" t="str">
            <v>994895-SLR</v>
          </cell>
          <cell r="B227">
            <v>13151</v>
          </cell>
          <cell r="C227">
            <v>151.86000000000001</v>
          </cell>
          <cell r="D227">
            <v>5.43</v>
          </cell>
          <cell r="E227">
            <v>477</v>
          </cell>
          <cell r="F227">
            <v>193.25</v>
          </cell>
          <cell r="G227">
            <v>516.79999999999995</v>
          </cell>
          <cell r="H227">
            <v>1344.34</v>
          </cell>
          <cell r="I227">
            <v>2562.71</v>
          </cell>
          <cell r="J227">
            <v>90953</v>
          </cell>
          <cell r="K227" t="str">
            <v>MP</v>
          </cell>
        </row>
        <row r="228">
          <cell r="A228" t="str">
            <v>994896-SLR</v>
          </cell>
          <cell r="B228">
            <v>13202</v>
          </cell>
          <cell r="C228">
            <v>215.45</v>
          </cell>
          <cell r="D228">
            <v>18.64</v>
          </cell>
          <cell r="E228">
            <v>477</v>
          </cell>
          <cell r="F228">
            <v>432.23</v>
          </cell>
          <cell r="G228">
            <v>1337.67</v>
          </cell>
          <cell r="H228">
            <v>2480.9899999999998</v>
          </cell>
          <cell r="I228">
            <v>9320.66</v>
          </cell>
          <cell r="J228">
            <v>90697</v>
          </cell>
          <cell r="K228" t="str">
            <v>MP</v>
          </cell>
        </row>
        <row r="229">
          <cell r="A229" t="str">
            <v>994897-SLR</v>
          </cell>
          <cell r="B229">
            <v>13241</v>
          </cell>
          <cell r="C229">
            <v>181.55</v>
          </cell>
          <cell r="D229">
            <v>11.88</v>
          </cell>
          <cell r="E229">
            <v>477</v>
          </cell>
          <cell r="F229">
            <v>272.02999999999997</v>
          </cell>
          <cell r="G229">
            <v>178.64</v>
          </cell>
          <cell r="H229">
            <v>1121.0999999999999</v>
          </cell>
          <cell r="I229">
            <v>5761.34</v>
          </cell>
          <cell r="J229">
            <v>90468</v>
          </cell>
          <cell r="K229" t="str">
            <v>MP</v>
          </cell>
        </row>
        <row r="230">
          <cell r="A230" t="str">
            <v>994898-SLR</v>
          </cell>
          <cell r="B230">
            <v>13512</v>
          </cell>
          <cell r="C230">
            <v>326.67</v>
          </cell>
          <cell r="D230">
            <v>23.76</v>
          </cell>
          <cell r="E230">
            <v>477</v>
          </cell>
          <cell r="F230">
            <v>531.29</v>
          </cell>
          <cell r="G230">
            <v>2201.92</v>
          </cell>
          <cell r="H230">
            <v>3560.6400000000003</v>
          </cell>
          <cell r="I230">
            <v>11882.43</v>
          </cell>
          <cell r="J230">
            <v>92255</v>
          </cell>
          <cell r="K230" t="str">
            <v>MP</v>
          </cell>
        </row>
        <row r="231">
          <cell r="A231" t="str">
            <v>994899-SLR</v>
          </cell>
          <cell r="B231">
            <v>13242</v>
          </cell>
          <cell r="C231">
            <v>181.55</v>
          </cell>
          <cell r="D231">
            <v>23.52</v>
          </cell>
          <cell r="E231">
            <v>477</v>
          </cell>
          <cell r="F231">
            <v>521.1</v>
          </cell>
          <cell r="G231">
            <v>1649.19</v>
          </cell>
          <cell r="H231">
            <v>2852.36</v>
          </cell>
          <cell r="I231">
            <v>11574.81</v>
          </cell>
          <cell r="J231">
            <v>90097</v>
          </cell>
          <cell r="K231" t="str">
            <v>MP</v>
          </cell>
        </row>
        <row r="232">
          <cell r="A232" t="str">
            <v>994900-SLR</v>
          </cell>
          <cell r="B232">
            <v>13204</v>
          </cell>
          <cell r="C232">
            <v>12481.54</v>
          </cell>
          <cell r="D232">
            <v>125.75</v>
          </cell>
          <cell r="E232">
            <v>477</v>
          </cell>
          <cell r="F232">
            <v>1954.38</v>
          </cell>
          <cell r="G232">
            <v>9057.74</v>
          </cell>
          <cell r="H232">
            <v>24096.410000000003</v>
          </cell>
          <cell r="I232">
            <v>62873.91</v>
          </cell>
          <cell r="J232">
            <v>92282</v>
          </cell>
          <cell r="K232" t="str">
            <v>MP</v>
          </cell>
        </row>
        <row r="233">
          <cell r="A233" t="str">
            <v>994901-SLR</v>
          </cell>
          <cell r="B233">
            <v>13265</v>
          </cell>
          <cell r="C233">
            <v>204.27</v>
          </cell>
          <cell r="D233">
            <v>26.65</v>
          </cell>
          <cell r="E233">
            <v>477</v>
          </cell>
          <cell r="F233">
            <v>556.42999999999995</v>
          </cell>
          <cell r="G233">
            <v>667.51</v>
          </cell>
          <cell r="H233">
            <v>1931.86</v>
          </cell>
          <cell r="I233">
            <v>13119.43</v>
          </cell>
          <cell r="J233">
            <v>90402</v>
          </cell>
          <cell r="K233" t="str">
            <v>MP</v>
          </cell>
        </row>
        <row r="234">
          <cell r="A234" t="str">
            <v>994902-SLR</v>
          </cell>
          <cell r="B234">
            <v>13205</v>
          </cell>
          <cell r="C234">
            <v>201.4</v>
          </cell>
          <cell r="D234">
            <v>2.5099999999999998</v>
          </cell>
          <cell r="E234">
            <v>477</v>
          </cell>
          <cell r="F234">
            <v>160.24</v>
          </cell>
          <cell r="G234">
            <v>263.14999999999998</v>
          </cell>
          <cell r="H234">
            <v>1104.3</v>
          </cell>
          <cell r="I234">
            <v>1049.1600000000001</v>
          </cell>
          <cell r="J234">
            <v>91681</v>
          </cell>
          <cell r="K234" t="str">
            <v>MP</v>
          </cell>
        </row>
        <row r="235">
          <cell r="A235" t="str">
            <v>994903-SLR</v>
          </cell>
          <cell r="B235">
            <v>12828</v>
          </cell>
          <cell r="C235">
            <v>132.47</v>
          </cell>
          <cell r="D235">
            <v>0</v>
          </cell>
          <cell r="E235">
            <v>19.11</v>
          </cell>
          <cell r="F235">
            <v>0</v>
          </cell>
          <cell r="G235">
            <v>121.89</v>
          </cell>
          <cell r="H235">
            <v>273.46999999999997</v>
          </cell>
          <cell r="I235">
            <v>70.680000000000007</v>
          </cell>
          <cell r="J235">
            <v>92202</v>
          </cell>
          <cell r="K235" t="str">
            <v>MP</v>
          </cell>
        </row>
        <row r="236">
          <cell r="A236" t="str">
            <v>994905-SLR</v>
          </cell>
          <cell r="B236">
            <v>12829</v>
          </cell>
          <cell r="C236">
            <v>0</v>
          </cell>
          <cell r="D236">
            <v>0</v>
          </cell>
          <cell r="E236">
            <v>19.32</v>
          </cell>
          <cell r="F236">
            <v>0</v>
          </cell>
          <cell r="G236">
            <v>374.25</v>
          </cell>
          <cell r="H236">
            <v>393.57</v>
          </cell>
          <cell r="I236">
            <v>623.75</v>
          </cell>
          <cell r="J236">
            <v>93050</v>
          </cell>
          <cell r="K236" t="str">
            <v>MP</v>
          </cell>
        </row>
        <row r="237">
          <cell r="A237" t="str">
            <v>994906-SLR</v>
          </cell>
          <cell r="B237">
            <v>13262</v>
          </cell>
          <cell r="C237">
            <v>0</v>
          </cell>
          <cell r="D237">
            <v>0</v>
          </cell>
          <cell r="E237">
            <v>19.32</v>
          </cell>
          <cell r="F237">
            <v>0</v>
          </cell>
          <cell r="G237">
            <v>379.58</v>
          </cell>
          <cell r="H237">
            <v>398.9</v>
          </cell>
          <cell r="I237">
            <v>632.63</v>
          </cell>
          <cell r="J237">
            <v>93050</v>
          </cell>
          <cell r="K237" t="str">
            <v>MP</v>
          </cell>
        </row>
        <row r="238">
          <cell r="A238" t="str">
            <v>994907-SLR</v>
          </cell>
          <cell r="B238">
            <v>12799</v>
          </cell>
          <cell r="C238">
            <v>0</v>
          </cell>
          <cell r="D238">
            <v>0</v>
          </cell>
          <cell r="E238">
            <v>19.11</v>
          </cell>
          <cell r="F238">
            <v>0</v>
          </cell>
          <cell r="G238">
            <v>112.97</v>
          </cell>
          <cell r="H238">
            <v>132.07999999999998</v>
          </cell>
          <cell r="I238">
            <v>188.28</v>
          </cell>
          <cell r="J238">
            <v>93050</v>
          </cell>
          <cell r="K238" t="str">
            <v>MP</v>
          </cell>
        </row>
        <row r="239">
          <cell r="A239" t="str">
            <v>994908-SLR</v>
          </cell>
          <cell r="B239">
            <v>12797</v>
          </cell>
          <cell r="C239">
            <v>0</v>
          </cell>
          <cell r="D239">
            <v>0</v>
          </cell>
          <cell r="E239">
            <v>19.11</v>
          </cell>
          <cell r="F239">
            <v>0</v>
          </cell>
          <cell r="G239">
            <v>1107.67</v>
          </cell>
          <cell r="H239">
            <v>1126.78</v>
          </cell>
          <cell r="I239">
            <v>1846.13</v>
          </cell>
          <cell r="J239">
            <v>93050</v>
          </cell>
          <cell r="K239" t="str">
            <v>MP</v>
          </cell>
        </row>
        <row r="240">
          <cell r="A240" t="str">
            <v>994909-SLR</v>
          </cell>
          <cell r="B240">
            <v>12798</v>
          </cell>
          <cell r="C240">
            <v>0</v>
          </cell>
          <cell r="D240">
            <v>0</v>
          </cell>
          <cell r="E240">
            <v>19.11</v>
          </cell>
          <cell r="F240">
            <v>0</v>
          </cell>
          <cell r="G240">
            <v>573.54</v>
          </cell>
          <cell r="H240">
            <v>592.65</v>
          </cell>
          <cell r="I240">
            <v>955.89</v>
          </cell>
          <cell r="J240">
            <v>96013</v>
          </cell>
          <cell r="K240" t="str">
            <v>MP</v>
          </cell>
        </row>
        <row r="241">
          <cell r="A241" t="str">
            <v>994910-SLR</v>
          </cell>
          <cell r="B241">
            <v>12830</v>
          </cell>
          <cell r="C241">
            <v>156.63</v>
          </cell>
          <cell r="D241">
            <v>0</v>
          </cell>
          <cell r="E241">
            <v>19.32</v>
          </cell>
          <cell r="F241">
            <v>0</v>
          </cell>
          <cell r="G241">
            <v>189.61</v>
          </cell>
          <cell r="H241">
            <v>365.56</v>
          </cell>
          <cell r="I241">
            <v>159.37</v>
          </cell>
          <cell r="J241">
            <v>90257</v>
          </cell>
          <cell r="K241" t="str">
            <v>MP</v>
          </cell>
        </row>
        <row r="242">
          <cell r="A242" t="str">
            <v>994914-SLR</v>
          </cell>
          <cell r="B242">
            <v>13152</v>
          </cell>
          <cell r="C242">
            <v>303.73</v>
          </cell>
          <cell r="D242">
            <v>6</v>
          </cell>
          <cell r="E242">
            <v>477</v>
          </cell>
          <cell r="F242">
            <v>199.72</v>
          </cell>
          <cell r="G242">
            <v>631.59</v>
          </cell>
          <cell r="H242">
            <v>1618.04</v>
          </cell>
          <cell r="I242">
            <v>2697.86</v>
          </cell>
          <cell r="J242">
            <v>90506</v>
          </cell>
          <cell r="K242" t="str">
            <v>MP</v>
          </cell>
        </row>
        <row r="243">
          <cell r="A243" t="str">
            <v>994918-SLR</v>
          </cell>
          <cell r="B243">
            <v>13259</v>
          </cell>
          <cell r="C243">
            <v>1093.23</v>
          </cell>
          <cell r="D243">
            <v>46.61</v>
          </cell>
          <cell r="E243">
            <v>477</v>
          </cell>
          <cell r="F243">
            <v>196.31</v>
          </cell>
          <cell r="G243">
            <v>514.09</v>
          </cell>
          <cell r="H243">
            <v>2327.2399999999998</v>
          </cell>
          <cell r="I243">
            <v>1757.14</v>
          </cell>
          <cell r="J243">
            <v>93021</v>
          </cell>
          <cell r="K243" t="str">
            <v>MP</v>
          </cell>
        </row>
        <row r="244">
          <cell r="A244" t="str">
            <v>994919-SLR</v>
          </cell>
          <cell r="B244">
            <v>13206</v>
          </cell>
          <cell r="C244">
            <v>654.29</v>
          </cell>
          <cell r="D244">
            <v>26.49</v>
          </cell>
          <cell r="E244">
            <v>477</v>
          </cell>
          <cell r="F244">
            <v>553.42999999999995</v>
          </cell>
          <cell r="G244">
            <v>2511.1799999999998</v>
          </cell>
          <cell r="H244">
            <v>4222.3899999999994</v>
          </cell>
          <cell r="I244">
            <v>0</v>
          </cell>
          <cell r="J244">
            <v>93021</v>
          </cell>
          <cell r="K244" t="str">
            <v>MP</v>
          </cell>
        </row>
        <row r="245">
          <cell r="A245" t="str">
            <v>994920-SLR</v>
          </cell>
          <cell r="B245">
            <v>13710</v>
          </cell>
          <cell r="C245">
            <v>147.47</v>
          </cell>
          <cell r="D245">
            <v>3.02</v>
          </cell>
          <cell r="E245">
            <v>429</v>
          </cell>
          <cell r="F245">
            <v>169.47</v>
          </cell>
          <cell r="G245">
            <v>315.95999999999998</v>
          </cell>
          <cell r="H245">
            <v>1064.92</v>
          </cell>
          <cell r="I245">
            <v>1512.48</v>
          </cell>
          <cell r="J245">
            <v>93492</v>
          </cell>
          <cell r="K245" t="str">
            <v>MP</v>
          </cell>
        </row>
        <row r="246">
          <cell r="A246" t="str">
            <v>994921-SLR</v>
          </cell>
          <cell r="B246">
            <v>13058</v>
          </cell>
          <cell r="C246">
            <v>2453.2399999999998</v>
          </cell>
          <cell r="D246">
            <v>10.220000000000001</v>
          </cell>
          <cell r="E246">
            <v>0</v>
          </cell>
          <cell r="F246">
            <v>0</v>
          </cell>
          <cell r="G246">
            <v>614.13</v>
          </cell>
          <cell r="H246">
            <v>3077.5899999999997</v>
          </cell>
          <cell r="I246">
            <v>2654.25</v>
          </cell>
          <cell r="J246">
            <v>93086</v>
          </cell>
          <cell r="K246" t="str">
            <v>MP</v>
          </cell>
        </row>
        <row r="247">
          <cell r="A247" t="str">
            <v>994922-SLR</v>
          </cell>
          <cell r="B247">
            <v>13165</v>
          </cell>
          <cell r="C247">
            <v>5728.5</v>
          </cell>
          <cell r="D247">
            <v>91.84</v>
          </cell>
          <cell r="E247">
            <v>477</v>
          </cell>
          <cell r="F247">
            <v>1291.3900000000001</v>
          </cell>
          <cell r="G247">
            <v>5521.79</v>
          </cell>
          <cell r="H247">
            <v>13110.52</v>
          </cell>
          <cell r="I247">
            <v>40194.6</v>
          </cell>
          <cell r="J247">
            <v>93203</v>
          </cell>
          <cell r="K247" t="str">
            <v>MP</v>
          </cell>
        </row>
        <row r="248">
          <cell r="A248" t="str">
            <v>994923-SLR</v>
          </cell>
          <cell r="B248">
            <v>13117</v>
          </cell>
          <cell r="C248">
            <v>509.12</v>
          </cell>
          <cell r="D248">
            <v>41.8</v>
          </cell>
          <cell r="E248">
            <v>477</v>
          </cell>
          <cell r="F248">
            <v>727.19</v>
          </cell>
          <cell r="G248">
            <v>3978.53</v>
          </cell>
          <cell r="H248">
            <v>5733.64</v>
          </cell>
          <cell r="I248">
            <v>20388.689999999999</v>
          </cell>
          <cell r="J248">
            <v>90402</v>
          </cell>
          <cell r="K248" t="str">
            <v>MP</v>
          </cell>
        </row>
        <row r="249">
          <cell r="A249" t="str">
            <v>994924-SLR</v>
          </cell>
          <cell r="B249">
            <v>13266</v>
          </cell>
          <cell r="C249">
            <v>311.89999999999998</v>
          </cell>
          <cell r="D249">
            <v>12.38</v>
          </cell>
          <cell r="E249">
            <v>477</v>
          </cell>
          <cell r="F249">
            <v>283.29000000000002</v>
          </cell>
          <cell r="G249">
            <v>1303.5899999999999</v>
          </cell>
          <cell r="H249">
            <v>2388.16</v>
          </cell>
          <cell r="I249">
            <v>5883.3</v>
          </cell>
          <cell r="J249">
            <v>90506</v>
          </cell>
          <cell r="K249" t="str">
            <v>MP</v>
          </cell>
        </row>
        <row r="250">
          <cell r="A250" t="str">
            <v>994925-SLR</v>
          </cell>
          <cell r="B250">
            <v>13003</v>
          </cell>
          <cell r="C250">
            <v>319.24</v>
          </cell>
          <cell r="D250">
            <v>6.44</v>
          </cell>
          <cell r="E250">
            <v>477</v>
          </cell>
          <cell r="F250">
            <v>204.67</v>
          </cell>
          <cell r="G250">
            <v>451.84</v>
          </cell>
          <cell r="H250">
            <v>1459.19</v>
          </cell>
          <cell r="I250">
            <v>2901.73</v>
          </cell>
          <cell r="J250">
            <v>93302</v>
          </cell>
          <cell r="K250" t="str">
            <v>MP</v>
          </cell>
        </row>
        <row r="251">
          <cell r="A251" t="str">
            <v>994926-SLR</v>
          </cell>
          <cell r="B251">
            <v>13330</v>
          </cell>
          <cell r="C251">
            <v>184.5</v>
          </cell>
          <cell r="D251">
            <v>13.4</v>
          </cell>
          <cell r="E251">
            <v>477</v>
          </cell>
          <cell r="F251">
            <v>305.02</v>
          </cell>
          <cell r="G251">
            <v>937.44</v>
          </cell>
          <cell r="H251">
            <v>1917.3600000000001</v>
          </cell>
          <cell r="I251">
            <v>6498.16</v>
          </cell>
          <cell r="J251">
            <v>90349</v>
          </cell>
          <cell r="K251" t="str">
            <v>MP</v>
          </cell>
        </row>
        <row r="252">
          <cell r="A252" t="str">
            <v>994927-SLR</v>
          </cell>
          <cell r="B252">
            <v>13513</v>
          </cell>
          <cell r="C252">
            <v>198.04</v>
          </cell>
          <cell r="D252">
            <v>4.24</v>
          </cell>
          <cell r="E252">
            <v>477</v>
          </cell>
          <cell r="F252">
            <v>179.89</v>
          </cell>
          <cell r="G252">
            <v>297.64999999999998</v>
          </cell>
          <cell r="H252">
            <v>1156.82</v>
          </cell>
          <cell r="I252">
            <v>1923.82</v>
          </cell>
          <cell r="J252">
            <v>92166</v>
          </cell>
          <cell r="K252" t="str">
            <v>MP</v>
          </cell>
        </row>
        <row r="253">
          <cell r="A253" t="str">
            <v>994928-SLR</v>
          </cell>
          <cell r="B253">
            <v>13394</v>
          </cell>
          <cell r="C253">
            <v>460.09</v>
          </cell>
          <cell r="D253">
            <v>9.4600000000000009</v>
          </cell>
          <cell r="E253">
            <v>477</v>
          </cell>
          <cell r="F253">
            <v>249.09</v>
          </cell>
          <cell r="G253">
            <v>1508.54</v>
          </cell>
          <cell r="H253">
            <v>2704.18</v>
          </cell>
          <cell r="I253">
            <v>4732.3100000000004</v>
          </cell>
          <cell r="J253">
            <v>92260</v>
          </cell>
          <cell r="K253" t="str">
            <v>MP</v>
          </cell>
        </row>
        <row r="254">
          <cell r="A254" t="str">
            <v>994929-SLR</v>
          </cell>
          <cell r="B254">
            <v>13008</v>
          </cell>
          <cell r="C254">
            <v>335.44</v>
          </cell>
          <cell r="D254">
            <v>61.67</v>
          </cell>
          <cell r="E254">
            <v>477</v>
          </cell>
          <cell r="F254">
            <v>951.32</v>
          </cell>
          <cell r="G254">
            <v>5871.2</v>
          </cell>
          <cell r="H254">
            <v>7696.63</v>
          </cell>
          <cell r="I254">
            <v>30503.93</v>
          </cell>
          <cell r="J254">
            <v>96013</v>
          </cell>
          <cell r="K254" t="str">
            <v>MP</v>
          </cell>
        </row>
        <row r="255">
          <cell r="A255" t="str">
            <v>994930-SLR</v>
          </cell>
          <cell r="B255">
            <v>13207</v>
          </cell>
          <cell r="C255">
            <v>215.45</v>
          </cell>
          <cell r="D255">
            <v>14.22</v>
          </cell>
          <cell r="E255">
            <v>477</v>
          </cell>
          <cell r="F255">
            <v>324.07</v>
          </cell>
          <cell r="G255">
            <v>997.38</v>
          </cell>
          <cell r="H255">
            <v>2028.12</v>
          </cell>
          <cell r="I255">
            <v>6894.48</v>
          </cell>
          <cell r="J255">
            <v>90061</v>
          </cell>
          <cell r="K255" t="str">
            <v>MP</v>
          </cell>
        </row>
        <row r="256">
          <cell r="A256" t="str">
            <v>994931-SLR</v>
          </cell>
          <cell r="B256">
            <v>12990</v>
          </cell>
          <cell r="C256">
            <v>182.56</v>
          </cell>
          <cell r="D256">
            <v>4.9800000000000004</v>
          </cell>
          <cell r="E256">
            <v>477</v>
          </cell>
          <cell r="F256">
            <v>188.16</v>
          </cell>
          <cell r="G256">
            <v>349.1</v>
          </cell>
          <cell r="H256">
            <v>1201.8</v>
          </cell>
          <cell r="I256">
            <v>2306.04</v>
          </cell>
          <cell r="J256">
            <v>90097</v>
          </cell>
          <cell r="K256" t="str">
            <v>MP</v>
          </cell>
        </row>
        <row r="257">
          <cell r="A257" t="str">
            <v>994932-SLR</v>
          </cell>
          <cell r="B257">
            <v>13060</v>
          </cell>
          <cell r="C257">
            <v>323.68</v>
          </cell>
          <cell r="D257">
            <v>2.34</v>
          </cell>
          <cell r="E257">
            <v>477</v>
          </cell>
          <cell r="F257">
            <v>158.47999999999999</v>
          </cell>
          <cell r="G257">
            <v>199.7</v>
          </cell>
          <cell r="H257">
            <v>1161.2</v>
          </cell>
          <cell r="I257">
            <v>848.69</v>
          </cell>
          <cell r="J257">
            <v>93212</v>
          </cell>
          <cell r="K257" t="str">
            <v>MP</v>
          </cell>
        </row>
        <row r="258">
          <cell r="A258" t="str">
            <v>994933-SLR</v>
          </cell>
          <cell r="B258">
            <v>13061</v>
          </cell>
          <cell r="C258">
            <v>238</v>
          </cell>
          <cell r="D258">
            <v>2.42</v>
          </cell>
          <cell r="E258">
            <v>477</v>
          </cell>
          <cell r="F258">
            <v>159.22999999999999</v>
          </cell>
          <cell r="G258">
            <v>205.4</v>
          </cell>
          <cell r="H258">
            <v>1082.05</v>
          </cell>
          <cell r="I258">
            <v>967.8</v>
          </cell>
          <cell r="J258">
            <v>93218</v>
          </cell>
          <cell r="K258" t="str">
            <v>MP</v>
          </cell>
        </row>
        <row r="259">
          <cell r="A259" t="str">
            <v>994934-SLR</v>
          </cell>
          <cell r="B259">
            <v>12967</v>
          </cell>
          <cell r="C259">
            <v>1615.65</v>
          </cell>
          <cell r="D259">
            <v>7.73</v>
          </cell>
          <cell r="E259">
            <v>477</v>
          </cell>
          <cell r="F259">
            <v>219.19</v>
          </cell>
          <cell r="G259">
            <v>652.86</v>
          </cell>
          <cell r="H259">
            <v>2972.4300000000003</v>
          </cell>
          <cell r="I259">
            <v>2249.6799999999998</v>
          </cell>
          <cell r="J259">
            <v>93407</v>
          </cell>
          <cell r="K259" t="str">
            <v>MP</v>
          </cell>
        </row>
        <row r="260">
          <cell r="A260" t="str">
            <v>994935-SLR</v>
          </cell>
          <cell r="B260">
            <v>13062</v>
          </cell>
          <cell r="C260">
            <v>224.67</v>
          </cell>
          <cell r="D260">
            <v>40.17</v>
          </cell>
          <cell r="E260">
            <v>477</v>
          </cell>
          <cell r="F260">
            <v>708.89</v>
          </cell>
          <cell r="G260">
            <v>2817.7</v>
          </cell>
          <cell r="H260">
            <v>4268.43</v>
          </cell>
          <cell r="I260">
            <v>19861.580000000002</v>
          </cell>
          <cell r="J260">
            <v>90097</v>
          </cell>
          <cell r="K260" t="str">
            <v>MP</v>
          </cell>
        </row>
        <row r="261">
          <cell r="A261" t="str">
            <v>994936-SLR</v>
          </cell>
          <cell r="B261">
            <v>12968</v>
          </cell>
          <cell r="C261">
            <v>1319.25</v>
          </cell>
          <cell r="D261">
            <v>2.25</v>
          </cell>
          <cell r="E261">
            <v>477</v>
          </cell>
          <cell r="F261">
            <v>187.21</v>
          </cell>
          <cell r="G261">
            <v>294.20999999999998</v>
          </cell>
          <cell r="H261">
            <v>2279.92</v>
          </cell>
          <cell r="I261">
            <v>1130.29</v>
          </cell>
          <cell r="J261">
            <v>92287</v>
          </cell>
          <cell r="K261" t="str">
            <v>MP</v>
          </cell>
        </row>
        <row r="262">
          <cell r="A262" t="str">
            <v>994937-SLR</v>
          </cell>
          <cell r="B262">
            <v>12991</v>
          </cell>
          <cell r="C262">
            <v>1343.46</v>
          </cell>
          <cell r="D262">
            <v>2.38</v>
          </cell>
          <cell r="E262">
            <v>477</v>
          </cell>
          <cell r="F262">
            <v>189.08</v>
          </cell>
          <cell r="G262">
            <v>304.17</v>
          </cell>
          <cell r="H262">
            <v>2316.09</v>
          </cell>
          <cell r="I262">
            <v>1188.8800000000001</v>
          </cell>
          <cell r="J262">
            <v>92287</v>
          </cell>
          <cell r="K262" t="str">
            <v>MP</v>
          </cell>
        </row>
        <row r="263">
          <cell r="A263" t="str">
            <v>994938-SLR</v>
          </cell>
          <cell r="B263">
            <v>12992</v>
          </cell>
          <cell r="C263">
            <v>612.92999999999995</v>
          </cell>
          <cell r="D263">
            <v>12.07</v>
          </cell>
          <cell r="E263">
            <v>477</v>
          </cell>
          <cell r="F263">
            <v>276.14999999999998</v>
          </cell>
          <cell r="G263">
            <v>725.65</v>
          </cell>
          <cell r="H263">
            <v>2103.8000000000002</v>
          </cell>
          <cell r="I263">
            <v>5422.08</v>
          </cell>
          <cell r="J263">
            <v>92253</v>
          </cell>
          <cell r="K263" t="str">
            <v>MP</v>
          </cell>
        </row>
        <row r="264">
          <cell r="A264" t="str">
            <v>994939-SLR</v>
          </cell>
          <cell r="B264">
            <v>13120</v>
          </cell>
          <cell r="C264">
            <v>6593.82</v>
          </cell>
          <cell r="D264">
            <v>40016.160000000003</v>
          </cell>
          <cell r="E264">
            <v>477</v>
          </cell>
          <cell r="F264">
            <v>4466.3599999999997</v>
          </cell>
          <cell r="G264">
            <v>35553.730000000003</v>
          </cell>
          <cell r="H264">
            <v>87107.07</v>
          </cell>
          <cell r="I264">
            <v>180170.76</v>
          </cell>
          <cell r="J264">
            <v>90442</v>
          </cell>
          <cell r="K264" t="str">
            <v>MP</v>
          </cell>
        </row>
        <row r="265">
          <cell r="A265" t="str">
            <v>994940-SLR</v>
          </cell>
          <cell r="B265">
            <v>12993</v>
          </cell>
          <cell r="C265">
            <v>187.37</v>
          </cell>
          <cell r="D265">
            <v>19.41</v>
          </cell>
          <cell r="E265">
            <v>477</v>
          </cell>
          <cell r="F265">
            <v>439.55</v>
          </cell>
          <cell r="G265">
            <v>1360.69</v>
          </cell>
          <cell r="H265">
            <v>2484.02</v>
          </cell>
          <cell r="I265">
            <v>9512.42</v>
          </cell>
          <cell r="J265">
            <v>92167</v>
          </cell>
          <cell r="K265" t="str">
            <v>MP</v>
          </cell>
        </row>
        <row r="266">
          <cell r="A266" t="str">
            <v>994941*SLR</v>
          </cell>
          <cell r="B266">
            <v>12994</v>
          </cell>
          <cell r="C266">
            <v>187.37</v>
          </cell>
          <cell r="D266">
            <v>0.67</v>
          </cell>
          <cell r="E266">
            <v>477</v>
          </cell>
          <cell r="F266">
            <v>139.65</v>
          </cell>
          <cell r="G266">
            <v>37.17</v>
          </cell>
          <cell r="H266">
            <v>841.8599999999999</v>
          </cell>
          <cell r="I266">
            <v>149.88999999999999</v>
          </cell>
          <cell r="J266">
            <v>92255</v>
          </cell>
          <cell r="K266" t="str">
            <v>MP</v>
          </cell>
        </row>
        <row r="267">
          <cell r="A267" t="str">
            <v>994942-SLR</v>
          </cell>
          <cell r="B267">
            <v>13515</v>
          </cell>
          <cell r="C267">
            <v>219.24</v>
          </cell>
          <cell r="D267">
            <v>46.4</v>
          </cell>
          <cell r="E267">
            <v>477</v>
          </cell>
          <cell r="F267">
            <v>784.01</v>
          </cell>
          <cell r="G267">
            <v>703.94</v>
          </cell>
          <cell r="H267">
            <v>2230.59</v>
          </cell>
          <cell r="I267">
            <v>23199.03</v>
          </cell>
          <cell r="J267">
            <v>92240</v>
          </cell>
          <cell r="K267" t="str">
            <v>MP</v>
          </cell>
        </row>
        <row r="268">
          <cell r="A268" t="str">
            <v>994943-SLR</v>
          </cell>
          <cell r="B268">
            <v>13059</v>
          </cell>
          <cell r="C268">
            <v>255.65</v>
          </cell>
          <cell r="D268">
            <v>1.94</v>
          </cell>
          <cell r="E268">
            <v>477</v>
          </cell>
          <cell r="F268">
            <v>247.2</v>
          </cell>
          <cell r="G268">
            <v>185.47</v>
          </cell>
          <cell r="H268">
            <v>1167.26</v>
          </cell>
          <cell r="I268">
            <v>718.56</v>
          </cell>
          <cell r="J268">
            <v>93191</v>
          </cell>
          <cell r="K268" t="str">
            <v>MP</v>
          </cell>
        </row>
        <row r="269">
          <cell r="A269" t="str">
            <v>994944*SLR</v>
          </cell>
          <cell r="B269">
            <v>12995</v>
          </cell>
          <cell r="C269">
            <v>273.76</v>
          </cell>
          <cell r="D269">
            <v>9.76</v>
          </cell>
          <cell r="E269">
            <v>477</v>
          </cell>
          <cell r="F269">
            <v>242.2</v>
          </cell>
          <cell r="G269">
            <v>832.25</v>
          </cell>
          <cell r="H269">
            <v>1834.97</v>
          </cell>
          <cell r="I269">
            <v>4612.08</v>
          </cell>
          <cell r="J269">
            <v>93191</v>
          </cell>
          <cell r="K269" t="str">
            <v>MP</v>
          </cell>
        </row>
        <row r="270">
          <cell r="A270" t="str">
            <v>994946-SLR</v>
          </cell>
          <cell r="B270">
            <v>13006</v>
          </cell>
          <cell r="C270">
            <v>4535.47</v>
          </cell>
          <cell r="D270">
            <v>35.07</v>
          </cell>
          <cell r="E270">
            <v>477</v>
          </cell>
          <cell r="F270">
            <v>651.37</v>
          </cell>
          <cell r="G270">
            <v>3689.64</v>
          </cell>
          <cell r="H270">
            <v>9388.5499999999993</v>
          </cell>
          <cell r="I270">
            <v>12999.19</v>
          </cell>
          <cell r="J270">
            <v>93131</v>
          </cell>
          <cell r="K270" t="str">
            <v>MP</v>
          </cell>
        </row>
        <row r="271">
          <cell r="A271" t="str">
            <v>994947-SLR</v>
          </cell>
          <cell r="B271">
            <v>13063</v>
          </cell>
          <cell r="C271">
            <v>6394.29</v>
          </cell>
          <cell r="D271">
            <v>38.19</v>
          </cell>
          <cell r="E271">
            <v>477</v>
          </cell>
          <cell r="F271">
            <v>686.62</v>
          </cell>
          <cell r="G271">
            <v>2296.36</v>
          </cell>
          <cell r="H271">
            <v>9892.4599999999991</v>
          </cell>
          <cell r="I271">
            <v>12703.91</v>
          </cell>
          <cell r="J271">
            <v>93114</v>
          </cell>
          <cell r="K271" t="str">
            <v>MP</v>
          </cell>
        </row>
        <row r="272">
          <cell r="A272" t="str">
            <v>994948-SLR</v>
          </cell>
          <cell r="B272">
            <v>13153</v>
          </cell>
          <cell r="C272">
            <v>4005.41</v>
          </cell>
          <cell r="D272">
            <v>350.46</v>
          </cell>
          <cell r="E272">
            <v>477</v>
          </cell>
          <cell r="F272">
            <v>4206.7299999999996</v>
          </cell>
          <cell r="G272">
            <v>21070.27</v>
          </cell>
          <cell r="H272">
            <v>30109.87</v>
          </cell>
          <cell r="I272">
            <v>171229.7</v>
          </cell>
          <cell r="J272">
            <v>93141</v>
          </cell>
          <cell r="K272" t="str">
            <v>MP</v>
          </cell>
        </row>
        <row r="273">
          <cell r="A273" t="str">
            <v>994949-SLR</v>
          </cell>
          <cell r="B273">
            <v>12969</v>
          </cell>
          <cell r="C273">
            <v>237.16</v>
          </cell>
          <cell r="D273">
            <v>2.86</v>
          </cell>
          <cell r="E273">
            <v>477</v>
          </cell>
          <cell r="F273">
            <v>164.26</v>
          </cell>
          <cell r="G273">
            <v>271.98</v>
          </cell>
          <cell r="H273">
            <v>1153.26</v>
          </cell>
          <cell r="I273">
            <v>1191.45</v>
          </cell>
          <cell r="J273">
            <v>93050</v>
          </cell>
          <cell r="K273" t="str">
            <v>MP</v>
          </cell>
        </row>
        <row r="274">
          <cell r="A274" t="str">
            <v>994950-SLR</v>
          </cell>
          <cell r="B274">
            <v>12996</v>
          </cell>
          <cell r="C274">
            <v>1587.46</v>
          </cell>
          <cell r="D274">
            <v>23.5</v>
          </cell>
          <cell r="E274">
            <v>477</v>
          </cell>
          <cell r="F274">
            <v>520.98</v>
          </cell>
          <cell r="G274">
            <v>1412.98</v>
          </cell>
          <cell r="H274">
            <v>4021.92</v>
          </cell>
          <cell r="I274">
            <v>10163.870000000001</v>
          </cell>
          <cell r="J274">
            <v>92315</v>
          </cell>
          <cell r="K274" t="str">
            <v>MP</v>
          </cell>
        </row>
        <row r="275">
          <cell r="A275" t="str">
            <v>994951-SLR</v>
          </cell>
          <cell r="B275">
            <v>13516</v>
          </cell>
          <cell r="C275">
            <v>141.46</v>
          </cell>
          <cell r="D275">
            <v>69.599999999999994</v>
          </cell>
          <cell r="E275">
            <v>477</v>
          </cell>
          <cell r="F275">
            <v>1043.77</v>
          </cell>
          <cell r="G275">
            <v>1050.29</v>
          </cell>
          <cell r="H275">
            <v>2782.12</v>
          </cell>
          <cell r="I275">
            <v>34798.550000000003</v>
          </cell>
          <cell r="J275">
            <v>92240</v>
          </cell>
          <cell r="K275" t="str">
            <v>MP</v>
          </cell>
        </row>
        <row r="276">
          <cell r="A276" t="str">
            <v>994952-SLR</v>
          </cell>
          <cell r="B276">
            <v>12997</v>
          </cell>
          <cell r="C276">
            <v>5825.73</v>
          </cell>
          <cell r="D276">
            <v>42.45</v>
          </cell>
          <cell r="E276">
            <v>477</v>
          </cell>
          <cell r="F276">
            <v>734.66</v>
          </cell>
          <cell r="G276">
            <v>2552.5700000000002</v>
          </cell>
          <cell r="H276">
            <v>9632.41</v>
          </cell>
          <cell r="I276">
            <v>15403.19</v>
          </cell>
          <cell r="J276">
            <v>93384</v>
          </cell>
          <cell r="K276" t="str">
            <v>MP</v>
          </cell>
        </row>
        <row r="277">
          <cell r="A277" t="str">
            <v>994953-SLR</v>
          </cell>
          <cell r="B277">
            <v>12970</v>
          </cell>
          <cell r="C277">
            <v>153.74</v>
          </cell>
          <cell r="D277">
            <v>14.72</v>
          </cell>
          <cell r="E277">
            <v>477</v>
          </cell>
          <cell r="F277">
            <v>335.23</v>
          </cell>
          <cell r="G277">
            <v>1032.48</v>
          </cell>
          <cell r="H277">
            <v>2013.17</v>
          </cell>
          <cell r="I277">
            <v>7206.38</v>
          </cell>
          <cell r="J277">
            <v>91979</v>
          </cell>
          <cell r="K277" t="str">
            <v>MP</v>
          </cell>
        </row>
        <row r="278">
          <cell r="A278" t="str">
            <v>994954-SLR</v>
          </cell>
          <cell r="B278">
            <v>12971</v>
          </cell>
          <cell r="C278">
            <v>172.63</v>
          </cell>
          <cell r="D278">
            <v>5.21</v>
          </cell>
          <cell r="E278">
            <v>477</v>
          </cell>
          <cell r="F278">
            <v>190.75</v>
          </cell>
          <cell r="G278">
            <v>78.260000000000005</v>
          </cell>
          <cell r="H278">
            <v>923.85</v>
          </cell>
          <cell r="I278">
            <v>2430.9499999999998</v>
          </cell>
          <cell r="J278">
            <v>92259</v>
          </cell>
          <cell r="K278" t="str">
            <v>MP</v>
          </cell>
        </row>
        <row r="279">
          <cell r="A279" t="str">
            <v>994955-SLR</v>
          </cell>
          <cell r="B279">
            <v>13208</v>
          </cell>
          <cell r="C279">
            <v>5226.84</v>
          </cell>
          <cell r="D279">
            <v>82.88</v>
          </cell>
          <cell r="E279">
            <v>477</v>
          </cell>
          <cell r="F279">
            <v>343.3</v>
          </cell>
          <cell r="G279">
            <v>5388.32</v>
          </cell>
          <cell r="H279">
            <v>11518.34</v>
          </cell>
          <cell r="I279">
            <v>36212.51</v>
          </cell>
          <cell r="J279">
            <v>92280</v>
          </cell>
          <cell r="K279" t="str">
            <v>MP</v>
          </cell>
        </row>
        <row r="280">
          <cell r="A280" t="str">
            <v>994956-SLR</v>
          </cell>
          <cell r="B280">
            <v>13121</v>
          </cell>
          <cell r="C280">
            <v>345.17</v>
          </cell>
          <cell r="D280">
            <v>2.4700000000000002</v>
          </cell>
          <cell r="E280">
            <v>477</v>
          </cell>
          <cell r="F280">
            <v>159.86000000000001</v>
          </cell>
          <cell r="G280">
            <v>173.05</v>
          </cell>
          <cell r="H280">
            <v>1157.5500000000002</v>
          </cell>
          <cell r="I280">
            <v>888.4</v>
          </cell>
          <cell r="J280">
            <v>93285</v>
          </cell>
          <cell r="K280" t="str">
            <v>MP</v>
          </cell>
        </row>
        <row r="281">
          <cell r="A281" t="str">
            <v>994958-SLR</v>
          </cell>
          <cell r="B281">
            <v>12972</v>
          </cell>
          <cell r="C281">
            <v>338.34</v>
          </cell>
          <cell r="D281">
            <v>3.44</v>
          </cell>
          <cell r="E281">
            <v>477</v>
          </cell>
          <cell r="F281">
            <v>170.87</v>
          </cell>
          <cell r="G281">
            <v>327.83</v>
          </cell>
          <cell r="H281">
            <v>1317.48</v>
          </cell>
          <cell r="I281">
            <v>1383.62</v>
          </cell>
          <cell r="J281">
            <v>90721</v>
          </cell>
          <cell r="K281" t="str">
            <v>MP</v>
          </cell>
        </row>
        <row r="282">
          <cell r="A282" t="str">
            <v>994959-SLR</v>
          </cell>
          <cell r="B282">
            <v>13268</v>
          </cell>
          <cell r="C282">
            <v>1617.27</v>
          </cell>
          <cell r="D282">
            <v>15.03</v>
          </cell>
          <cell r="E282">
            <v>477</v>
          </cell>
          <cell r="F282">
            <v>341.97</v>
          </cell>
          <cell r="G282">
            <v>978.41</v>
          </cell>
          <cell r="H282">
            <v>3429.6800000000003</v>
          </cell>
          <cell r="I282">
            <v>5893.92</v>
          </cell>
          <cell r="J282">
            <v>93305</v>
          </cell>
          <cell r="K282" t="str">
            <v>MP</v>
          </cell>
        </row>
        <row r="283">
          <cell r="A283" t="str">
            <v>994960-SLR</v>
          </cell>
          <cell r="B283">
            <v>12973</v>
          </cell>
          <cell r="C283">
            <v>211.39</v>
          </cell>
          <cell r="D283">
            <v>1.42</v>
          </cell>
          <cell r="E283">
            <v>477</v>
          </cell>
          <cell r="F283">
            <v>148.13999999999999</v>
          </cell>
          <cell r="G283">
            <v>136.28</v>
          </cell>
          <cell r="H283">
            <v>974.2299999999999</v>
          </cell>
          <cell r="I283">
            <v>504.45</v>
          </cell>
          <cell r="J283">
            <v>91591</v>
          </cell>
          <cell r="K283" t="str">
            <v>MP</v>
          </cell>
        </row>
        <row r="284">
          <cell r="A284" t="str">
            <v>994961-SLR</v>
          </cell>
          <cell r="B284">
            <v>13122</v>
          </cell>
          <cell r="C284">
            <v>248.35</v>
          </cell>
          <cell r="D284">
            <v>9.5299999999999994</v>
          </cell>
          <cell r="E284">
            <v>477</v>
          </cell>
          <cell r="F284">
            <v>239.51</v>
          </cell>
          <cell r="G284">
            <v>1002.92</v>
          </cell>
          <cell r="H284">
            <v>1977.31</v>
          </cell>
          <cell r="I284">
            <v>4517.95</v>
          </cell>
          <cell r="J284">
            <v>93427</v>
          </cell>
          <cell r="K284" t="str">
            <v>MP</v>
          </cell>
        </row>
        <row r="285">
          <cell r="A285" t="str">
            <v>994962-SLR</v>
          </cell>
          <cell r="B285">
            <v>13166</v>
          </cell>
          <cell r="C285">
            <v>562.70000000000005</v>
          </cell>
          <cell r="D285">
            <v>15.43</v>
          </cell>
          <cell r="E285">
            <v>477</v>
          </cell>
          <cell r="F285">
            <v>239.09</v>
          </cell>
          <cell r="G285">
            <v>903.96</v>
          </cell>
          <cell r="H285">
            <v>2198.1800000000003</v>
          </cell>
          <cell r="I285">
            <v>4186.6099999999997</v>
          </cell>
          <cell r="J285">
            <v>90257</v>
          </cell>
          <cell r="K285" t="str">
            <v>MP</v>
          </cell>
        </row>
        <row r="286">
          <cell r="A286" t="str">
            <v>994963-SLR</v>
          </cell>
          <cell r="B286">
            <v>13123</v>
          </cell>
          <cell r="C286">
            <v>428.93</v>
          </cell>
          <cell r="D286">
            <v>110.1</v>
          </cell>
          <cell r="E286">
            <v>477</v>
          </cell>
          <cell r="F286">
            <v>1497.21</v>
          </cell>
          <cell r="G286">
            <v>2758.13</v>
          </cell>
          <cell r="H286">
            <v>5271.37</v>
          </cell>
          <cell r="I286">
            <v>54623.58</v>
          </cell>
          <cell r="J286">
            <v>91578</v>
          </cell>
          <cell r="K286" t="str">
            <v>MP</v>
          </cell>
        </row>
        <row r="287">
          <cell r="A287" t="str">
            <v>994964-SLR</v>
          </cell>
          <cell r="B287">
            <v>13332</v>
          </cell>
          <cell r="C287">
            <v>32306.35</v>
          </cell>
          <cell r="D287">
            <v>309.75</v>
          </cell>
          <cell r="E287">
            <v>477</v>
          </cell>
          <cell r="F287">
            <v>3250.17</v>
          </cell>
          <cell r="G287">
            <v>15968.64</v>
          </cell>
          <cell r="H287">
            <v>52311.909999999996</v>
          </cell>
          <cell r="I287">
            <v>100455.92</v>
          </cell>
          <cell r="J287">
            <v>93175</v>
          </cell>
          <cell r="K287" t="str">
            <v>MP</v>
          </cell>
        </row>
        <row r="288">
          <cell r="A288" t="str">
            <v>994965-SLR</v>
          </cell>
          <cell r="B288">
            <v>13100</v>
          </cell>
          <cell r="C288">
            <v>21137.64</v>
          </cell>
          <cell r="D288">
            <v>161.30000000000001</v>
          </cell>
          <cell r="E288">
            <v>477</v>
          </cell>
          <cell r="F288">
            <v>2074.39</v>
          </cell>
          <cell r="G288">
            <v>9697.84</v>
          </cell>
          <cell r="H288">
            <v>33548.17</v>
          </cell>
          <cell r="I288">
            <v>59516.42</v>
          </cell>
          <cell r="J288">
            <v>93175</v>
          </cell>
          <cell r="K288" t="str">
            <v>MP</v>
          </cell>
        </row>
        <row r="289">
          <cell r="A289" t="str">
            <v>994966-SLR</v>
          </cell>
          <cell r="B289">
            <v>13099</v>
          </cell>
          <cell r="C289">
            <v>204.88</v>
          </cell>
          <cell r="D289">
            <v>35.130000000000003</v>
          </cell>
          <cell r="E289">
            <v>477</v>
          </cell>
          <cell r="F289">
            <v>652.11</v>
          </cell>
          <cell r="G289">
            <v>880.14</v>
          </cell>
          <cell r="H289">
            <v>2249.2599999999998</v>
          </cell>
          <cell r="I289">
            <v>17362.73</v>
          </cell>
          <cell r="J289">
            <v>93335</v>
          </cell>
          <cell r="K289" t="str">
            <v>MP</v>
          </cell>
        </row>
        <row r="290">
          <cell r="A290" t="str">
            <v>994967-SLR</v>
          </cell>
          <cell r="B290">
            <v>13212</v>
          </cell>
          <cell r="C290">
            <v>7430.15</v>
          </cell>
          <cell r="D290">
            <v>92.98</v>
          </cell>
          <cell r="E290">
            <v>477</v>
          </cell>
          <cell r="F290">
            <v>1304.28</v>
          </cell>
          <cell r="G290">
            <v>5590.54</v>
          </cell>
          <cell r="H290">
            <v>14894.95</v>
          </cell>
          <cell r="I290">
            <v>39064.720000000001</v>
          </cell>
          <cell r="J290">
            <v>93136</v>
          </cell>
          <cell r="K290" t="str">
            <v>MP</v>
          </cell>
        </row>
        <row r="291">
          <cell r="A291" t="str">
            <v>994968-SLR</v>
          </cell>
          <cell r="B291">
            <v>13154</v>
          </cell>
          <cell r="C291">
            <v>2026.81</v>
          </cell>
          <cell r="D291">
            <v>25.59</v>
          </cell>
          <cell r="E291">
            <v>477</v>
          </cell>
          <cell r="F291">
            <v>544.59</v>
          </cell>
          <cell r="G291">
            <v>2436.5500000000002</v>
          </cell>
          <cell r="H291">
            <v>5510.5400000000009</v>
          </cell>
          <cell r="I291">
            <v>10771.56</v>
          </cell>
          <cell r="J291">
            <v>92303</v>
          </cell>
          <cell r="K291" t="str">
            <v>MP</v>
          </cell>
        </row>
        <row r="292">
          <cell r="A292" t="str">
            <v>994969-SLR</v>
          </cell>
          <cell r="B292">
            <v>12974</v>
          </cell>
          <cell r="C292">
            <v>516.59</v>
          </cell>
          <cell r="D292">
            <v>9.4</v>
          </cell>
          <cell r="E292">
            <v>477</v>
          </cell>
          <cell r="F292">
            <v>241.85</v>
          </cell>
          <cell r="G292">
            <v>927.18</v>
          </cell>
          <cell r="H292">
            <v>2172.02</v>
          </cell>
          <cell r="I292">
            <v>4353.8999999999996</v>
          </cell>
          <cell r="J292">
            <v>92303</v>
          </cell>
          <cell r="K292" t="str">
            <v>MP</v>
          </cell>
        </row>
        <row r="293">
          <cell r="A293" t="str">
            <v>994970-SLR</v>
          </cell>
          <cell r="B293">
            <v>12975</v>
          </cell>
          <cell r="C293">
            <v>253.86</v>
          </cell>
          <cell r="D293">
            <v>10.95</v>
          </cell>
          <cell r="E293">
            <v>477</v>
          </cell>
          <cell r="F293">
            <v>255.5</v>
          </cell>
          <cell r="G293">
            <v>1152.19</v>
          </cell>
          <cell r="H293">
            <v>2149.5</v>
          </cell>
          <cell r="I293">
            <v>5221.8</v>
          </cell>
          <cell r="J293">
            <v>93130</v>
          </cell>
          <cell r="K293" t="str">
            <v>MP</v>
          </cell>
        </row>
        <row r="294">
          <cell r="A294" t="str">
            <v>994971-SLR</v>
          </cell>
          <cell r="B294">
            <v>13854</v>
          </cell>
          <cell r="C294">
            <v>3129.96</v>
          </cell>
          <cell r="D294">
            <v>29.45</v>
          </cell>
          <cell r="E294">
            <v>429</v>
          </cell>
          <cell r="F294">
            <v>588.05999999999995</v>
          </cell>
          <cell r="G294">
            <v>2803.61</v>
          </cell>
          <cell r="H294">
            <v>6980.08</v>
          </cell>
          <cell r="I294">
            <v>11596.44</v>
          </cell>
          <cell r="J294">
            <v>91144</v>
          </cell>
          <cell r="K294" t="str">
            <v>MP</v>
          </cell>
        </row>
        <row r="295">
          <cell r="A295" t="str">
            <v>994973-SLR</v>
          </cell>
          <cell r="B295">
            <v>12976</v>
          </cell>
          <cell r="C295">
            <v>4443.3500000000004</v>
          </cell>
          <cell r="D295">
            <v>33.479999999999997</v>
          </cell>
          <cell r="E295">
            <v>477</v>
          </cell>
          <cell r="F295">
            <v>634.24</v>
          </cell>
          <cell r="G295">
            <v>2017.01</v>
          </cell>
          <cell r="H295">
            <v>7605.08</v>
          </cell>
          <cell r="I295">
            <v>12331.55</v>
          </cell>
          <cell r="J295">
            <v>92000</v>
          </cell>
          <cell r="K295" t="str">
            <v>MP</v>
          </cell>
        </row>
        <row r="296">
          <cell r="A296" t="str">
            <v>994974-SLR</v>
          </cell>
          <cell r="B296">
            <v>13273</v>
          </cell>
          <cell r="C296">
            <v>475.65</v>
          </cell>
          <cell r="D296">
            <v>56.55</v>
          </cell>
          <cell r="E296">
            <v>477</v>
          </cell>
          <cell r="F296">
            <v>594.66</v>
          </cell>
          <cell r="G296">
            <v>1818.62</v>
          </cell>
          <cell r="H296">
            <v>3422.4799999999996</v>
          </cell>
          <cell r="I296">
            <v>14543.95</v>
          </cell>
          <cell r="J296">
            <v>93030</v>
          </cell>
          <cell r="K296" t="str">
            <v>MP</v>
          </cell>
        </row>
        <row r="297">
          <cell r="A297" t="str">
            <v>994975-SLR</v>
          </cell>
          <cell r="B297">
            <v>12977</v>
          </cell>
          <cell r="C297">
            <v>644.25</v>
          </cell>
          <cell r="D297">
            <v>6.65</v>
          </cell>
          <cell r="E297">
            <v>477</v>
          </cell>
          <cell r="F297">
            <v>221.48</v>
          </cell>
          <cell r="G297">
            <v>755.17</v>
          </cell>
          <cell r="H297">
            <v>2104.5500000000002</v>
          </cell>
          <cell r="I297">
            <v>3323.7</v>
          </cell>
          <cell r="J297">
            <v>92252</v>
          </cell>
          <cell r="K297" t="str">
            <v>MP</v>
          </cell>
        </row>
        <row r="298">
          <cell r="A298" t="str">
            <v>994976-SLR</v>
          </cell>
          <cell r="B298">
            <v>12998</v>
          </cell>
          <cell r="C298">
            <v>115.3</v>
          </cell>
          <cell r="D298">
            <v>5.28</v>
          </cell>
          <cell r="E298">
            <v>477</v>
          </cell>
          <cell r="F298">
            <v>166.93</v>
          </cell>
          <cell r="G298">
            <v>294.52999999999997</v>
          </cell>
          <cell r="H298">
            <v>1059.04</v>
          </cell>
          <cell r="I298">
            <v>1431.98</v>
          </cell>
          <cell r="J298">
            <v>90161</v>
          </cell>
          <cell r="K298" t="str">
            <v>MP</v>
          </cell>
        </row>
        <row r="299">
          <cell r="A299" t="str">
            <v>994977-SLR</v>
          </cell>
          <cell r="B299">
            <v>13064</v>
          </cell>
          <cell r="C299">
            <v>224.67</v>
          </cell>
          <cell r="D299">
            <v>43.85</v>
          </cell>
          <cell r="E299">
            <v>477</v>
          </cell>
          <cell r="F299">
            <v>750.33</v>
          </cell>
          <cell r="G299">
            <v>3075.51</v>
          </cell>
          <cell r="H299">
            <v>4571.3600000000006</v>
          </cell>
          <cell r="I299">
            <v>21699.41</v>
          </cell>
          <cell r="J299">
            <v>91750</v>
          </cell>
          <cell r="K299" t="str">
            <v>MP</v>
          </cell>
        </row>
        <row r="300">
          <cell r="A300" t="str">
            <v>994978-SLR</v>
          </cell>
          <cell r="B300">
            <v>13517</v>
          </cell>
          <cell r="C300">
            <v>3583.59</v>
          </cell>
          <cell r="D300">
            <v>197.29</v>
          </cell>
          <cell r="E300">
            <v>477</v>
          </cell>
          <cell r="F300">
            <v>2479.96</v>
          </cell>
          <cell r="G300">
            <v>11860.84</v>
          </cell>
          <cell r="H300">
            <v>18598.68</v>
          </cell>
          <cell r="I300">
            <v>95059.44</v>
          </cell>
          <cell r="J300">
            <v>93249</v>
          </cell>
          <cell r="K300" t="str">
            <v>MP</v>
          </cell>
        </row>
        <row r="301">
          <cell r="A301" t="str">
            <v>994979-SLR</v>
          </cell>
          <cell r="B301">
            <v>13597</v>
          </cell>
          <cell r="C301">
            <v>193.33</v>
          </cell>
          <cell r="D301">
            <v>0.62</v>
          </cell>
          <cell r="E301">
            <v>477</v>
          </cell>
          <cell r="F301">
            <v>143.41999999999999</v>
          </cell>
          <cell r="G301">
            <v>85.88</v>
          </cell>
          <cell r="H301">
            <v>900.25</v>
          </cell>
          <cell r="I301">
            <v>311.20999999999998</v>
          </cell>
          <cell r="J301">
            <v>96035</v>
          </cell>
          <cell r="K301" t="str">
            <v>MP</v>
          </cell>
        </row>
        <row r="302">
          <cell r="A302" t="str">
            <v>994980-SLR</v>
          </cell>
          <cell r="B302">
            <v>13124</v>
          </cell>
          <cell r="C302">
            <v>299.81</v>
          </cell>
          <cell r="D302">
            <v>35.729999999999997</v>
          </cell>
          <cell r="E302">
            <v>477</v>
          </cell>
          <cell r="F302">
            <v>181.51</v>
          </cell>
          <cell r="G302">
            <v>393.11</v>
          </cell>
          <cell r="H302">
            <v>1387.1599999999999</v>
          </cell>
          <cell r="I302">
            <v>1894.24</v>
          </cell>
          <cell r="J302">
            <v>92336</v>
          </cell>
          <cell r="K302" t="str">
            <v>MP</v>
          </cell>
        </row>
        <row r="303">
          <cell r="A303" t="str">
            <v>994982-SLR</v>
          </cell>
          <cell r="B303">
            <v>13239</v>
          </cell>
          <cell r="C303">
            <v>313.64</v>
          </cell>
          <cell r="D303">
            <v>0</v>
          </cell>
          <cell r="E303">
            <v>19.23</v>
          </cell>
          <cell r="F303">
            <v>0</v>
          </cell>
          <cell r="G303">
            <v>730.45</v>
          </cell>
          <cell r="H303">
            <v>1063.3200000000002</v>
          </cell>
          <cell r="I303">
            <v>903.77</v>
          </cell>
          <cell r="J303">
            <v>90002</v>
          </cell>
          <cell r="K303" t="str">
            <v>MP</v>
          </cell>
        </row>
        <row r="304">
          <cell r="A304" t="str">
            <v>994983-SLR</v>
          </cell>
          <cell r="B304">
            <v>13387</v>
          </cell>
          <cell r="C304">
            <v>0</v>
          </cell>
          <cell r="D304">
            <v>0</v>
          </cell>
          <cell r="E304">
            <v>19.23</v>
          </cell>
          <cell r="F304">
            <v>0</v>
          </cell>
          <cell r="G304">
            <v>2648.34</v>
          </cell>
          <cell r="H304">
            <v>2667.57</v>
          </cell>
          <cell r="I304">
            <v>4413.8999999999996</v>
          </cell>
          <cell r="J304">
            <v>92243</v>
          </cell>
          <cell r="K304" t="str">
            <v>MP</v>
          </cell>
        </row>
        <row r="305">
          <cell r="A305" t="str">
            <v>994984-SLR</v>
          </cell>
          <cell r="B305">
            <v>13067</v>
          </cell>
          <cell r="C305">
            <v>228.48</v>
          </cell>
          <cell r="D305">
            <v>6.63</v>
          </cell>
          <cell r="E305">
            <v>477</v>
          </cell>
          <cell r="F305">
            <v>211.98</v>
          </cell>
          <cell r="G305">
            <v>675</v>
          </cell>
          <cell r="H305">
            <v>1599.0900000000001</v>
          </cell>
          <cell r="I305">
            <v>3317.53</v>
          </cell>
          <cell r="J305">
            <v>92172</v>
          </cell>
          <cell r="K305" t="str">
            <v>MP</v>
          </cell>
        </row>
        <row r="306">
          <cell r="A306" t="str">
            <v>994985-SLR</v>
          </cell>
          <cell r="B306">
            <v>13243</v>
          </cell>
          <cell r="C306">
            <v>309.67</v>
          </cell>
          <cell r="D306">
            <v>310.75</v>
          </cell>
          <cell r="E306">
            <v>477</v>
          </cell>
          <cell r="F306">
            <v>3765.83</v>
          </cell>
          <cell r="G306">
            <v>21838.67</v>
          </cell>
          <cell r="H306">
            <v>26701.919999999998</v>
          </cell>
          <cell r="I306">
            <v>155369.43</v>
          </cell>
          <cell r="J306">
            <v>90097</v>
          </cell>
          <cell r="K306" t="str">
            <v>MP</v>
          </cell>
        </row>
        <row r="307">
          <cell r="A307" t="str">
            <v>994986-SLR</v>
          </cell>
          <cell r="B307">
            <v>13125</v>
          </cell>
          <cell r="C307">
            <v>445.72</v>
          </cell>
          <cell r="D307">
            <v>151.44999999999999</v>
          </cell>
          <cell r="E307">
            <v>477</v>
          </cell>
          <cell r="F307">
            <v>1963.13</v>
          </cell>
          <cell r="G307">
            <v>2670.89</v>
          </cell>
          <cell r="H307">
            <v>5708.1900000000005</v>
          </cell>
          <cell r="I307">
            <v>75272.91</v>
          </cell>
          <cell r="J307">
            <v>91471</v>
          </cell>
          <cell r="K307" t="str">
            <v>MP</v>
          </cell>
        </row>
        <row r="308">
          <cell r="A308" t="str">
            <v>994987-SLR</v>
          </cell>
          <cell r="B308">
            <v>13168</v>
          </cell>
          <cell r="C308">
            <v>208.81</v>
          </cell>
          <cell r="D308">
            <v>15.91</v>
          </cell>
          <cell r="E308">
            <v>477</v>
          </cell>
          <cell r="F308">
            <v>361.7</v>
          </cell>
          <cell r="G308">
            <v>1514.26</v>
          </cell>
          <cell r="H308">
            <v>2577.6800000000003</v>
          </cell>
          <cell r="I308">
            <v>7745.06</v>
          </cell>
          <cell r="J308">
            <v>91978</v>
          </cell>
          <cell r="K308" t="str">
            <v>MP</v>
          </cell>
        </row>
        <row r="309">
          <cell r="A309" t="str">
            <v>994988-SLR</v>
          </cell>
          <cell r="B309">
            <v>13275</v>
          </cell>
          <cell r="C309">
            <v>245.05</v>
          </cell>
          <cell r="D309">
            <v>3.11</v>
          </cell>
          <cell r="E309">
            <v>477</v>
          </cell>
          <cell r="F309">
            <v>172.72</v>
          </cell>
          <cell r="G309">
            <v>234.99</v>
          </cell>
          <cell r="H309">
            <v>1132.8700000000001</v>
          </cell>
          <cell r="I309">
            <v>1559.47</v>
          </cell>
          <cell r="J309">
            <v>93425</v>
          </cell>
          <cell r="K309" t="str">
            <v>MP</v>
          </cell>
        </row>
        <row r="310">
          <cell r="A310" t="str">
            <v>994989-SLR</v>
          </cell>
          <cell r="B310">
            <v>13478</v>
          </cell>
          <cell r="C310">
            <v>150.35</v>
          </cell>
          <cell r="D310">
            <v>62.7</v>
          </cell>
          <cell r="E310">
            <v>477</v>
          </cell>
          <cell r="F310">
            <v>966.18</v>
          </cell>
          <cell r="G310">
            <v>5681.06</v>
          </cell>
          <cell r="H310">
            <v>7337.2900000000009</v>
          </cell>
          <cell r="I310">
            <v>31348.39</v>
          </cell>
          <cell r="J310">
            <v>92015</v>
          </cell>
          <cell r="K310" t="str">
            <v>MP</v>
          </cell>
        </row>
        <row r="311">
          <cell r="A311" t="str">
            <v>994990-SLR</v>
          </cell>
          <cell r="B311">
            <v>13213</v>
          </cell>
          <cell r="C311">
            <v>206.09</v>
          </cell>
          <cell r="D311">
            <v>4.55</v>
          </cell>
          <cell r="E311">
            <v>477</v>
          </cell>
          <cell r="F311">
            <v>183.37</v>
          </cell>
          <cell r="G311">
            <v>319.32</v>
          </cell>
          <cell r="H311">
            <v>1190.33</v>
          </cell>
          <cell r="I311">
            <v>2070.2199999999998</v>
          </cell>
          <cell r="J311">
            <v>93285</v>
          </cell>
          <cell r="K311" t="str">
            <v>MP</v>
          </cell>
        </row>
        <row r="312">
          <cell r="A312" t="str">
            <v>994991-SLR</v>
          </cell>
          <cell r="B312">
            <v>13333</v>
          </cell>
          <cell r="C312">
            <v>207.59</v>
          </cell>
          <cell r="D312">
            <v>18.190000000000001</v>
          </cell>
          <cell r="E312">
            <v>477</v>
          </cell>
          <cell r="F312">
            <v>412.62</v>
          </cell>
          <cell r="G312">
            <v>1731.64</v>
          </cell>
          <cell r="H312">
            <v>2847.04</v>
          </cell>
          <cell r="I312">
            <v>8888.1299999999992</v>
          </cell>
          <cell r="J312">
            <v>90402</v>
          </cell>
          <cell r="K312" t="str">
            <v>MP</v>
          </cell>
        </row>
        <row r="313">
          <cell r="A313" t="str">
            <v>994992-SLR</v>
          </cell>
          <cell r="B313">
            <v>13466</v>
          </cell>
          <cell r="C313">
            <v>513.4</v>
          </cell>
          <cell r="D313">
            <v>1426.2</v>
          </cell>
          <cell r="E313">
            <v>477</v>
          </cell>
          <cell r="F313">
            <v>2221.94</v>
          </cell>
          <cell r="G313">
            <v>12692.94</v>
          </cell>
          <cell r="H313">
            <v>17331.48</v>
          </cell>
          <cell r="I313">
            <v>86685.65</v>
          </cell>
          <cell r="J313">
            <v>93022</v>
          </cell>
          <cell r="K313" t="str">
            <v>MP</v>
          </cell>
        </row>
        <row r="314">
          <cell r="A314" t="str">
            <v>994993-SLR</v>
          </cell>
          <cell r="B314">
            <v>13236</v>
          </cell>
          <cell r="C314">
            <v>217.42</v>
          </cell>
          <cell r="D314">
            <v>0.52</v>
          </cell>
          <cell r="E314">
            <v>477</v>
          </cell>
          <cell r="F314">
            <v>137.86000000000001</v>
          </cell>
          <cell r="G314">
            <v>49.1</v>
          </cell>
          <cell r="H314">
            <v>881.90000000000009</v>
          </cell>
          <cell r="I314">
            <v>40.47</v>
          </cell>
          <cell r="J314">
            <v>91792</v>
          </cell>
          <cell r="K314" t="str">
            <v>MP</v>
          </cell>
        </row>
        <row r="315">
          <cell r="A315" t="str">
            <v>994994-SLR</v>
          </cell>
          <cell r="B315">
            <v>13155</v>
          </cell>
          <cell r="C315">
            <v>787.83</v>
          </cell>
          <cell r="D315">
            <v>20.010000000000002</v>
          </cell>
          <cell r="E315">
            <v>477</v>
          </cell>
          <cell r="F315">
            <v>452.96</v>
          </cell>
          <cell r="G315">
            <v>1903.9</v>
          </cell>
          <cell r="H315">
            <v>3641.7000000000003</v>
          </cell>
          <cell r="I315">
            <v>9212.68</v>
          </cell>
          <cell r="J315">
            <v>90013</v>
          </cell>
          <cell r="K315" t="str">
            <v>MP</v>
          </cell>
        </row>
        <row r="316">
          <cell r="A316" t="str">
            <v>994995-SLR</v>
          </cell>
          <cell r="B316">
            <v>13471</v>
          </cell>
          <cell r="C316">
            <v>30668.11</v>
          </cell>
          <cell r="D316">
            <v>780.4</v>
          </cell>
          <cell r="E316">
            <v>477</v>
          </cell>
          <cell r="F316">
            <v>10389.959999999999</v>
          </cell>
          <cell r="G316">
            <v>94583.22</v>
          </cell>
          <cell r="H316">
            <v>136898.69</v>
          </cell>
          <cell r="I316">
            <v>418890.38</v>
          </cell>
          <cell r="J316">
            <v>91375</v>
          </cell>
          <cell r="K316" t="str">
            <v>MP</v>
          </cell>
        </row>
        <row r="317">
          <cell r="A317" t="str">
            <v>994996-SLR</v>
          </cell>
          <cell r="B317">
            <v>13068</v>
          </cell>
          <cell r="C317">
            <v>190.4</v>
          </cell>
          <cell r="D317">
            <v>4.2699999999999996</v>
          </cell>
          <cell r="E317">
            <v>477</v>
          </cell>
          <cell r="F317">
            <v>180.17</v>
          </cell>
          <cell r="G317">
            <v>256.64</v>
          </cell>
          <cell r="H317">
            <v>1108.48</v>
          </cell>
          <cell r="I317">
            <v>1944.02</v>
          </cell>
          <cell r="J317">
            <v>92315</v>
          </cell>
          <cell r="K317" t="str">
            <v>MP</v>
          </cell>
        </row>
        <row r="318">
          <cell r="A318" t="str">
            <v>994997-SLR</v>
          </cell>
          <cell r="B318">
            <v>13127</v>
          </cell>
          <cell r="C318">
            <v>223.05</v>
          </cell>
          <cell r="D318">
            <v>3.38</v>
          </cell>
          <cell r="E318">
            <v>477</v>
          </cell>
          <cell r="F318">
            <v>175.15</v>
          </cell>
          <cell r="G318">
            <v>402.3</v>
          </cell>
          <cell r="H318">
            <v>1280.8800000000001</v>
          </cell>
          <cell r="I318">
            <v>1689.3</v>
          </cell>
          <cell r="J318">
            <v>90506</v>
          </cell>
          <cell r="K318" t="str">
            <v>MP</v>
          </cell>
        </row>
        <row r="319">
          <cell r="A319" t="str">
            <v>994998-SLR</v>
          </cell>
          <cell r="B319">
            <v>13292</v>
          </cell>
          <cell r="C319">
            <v>251.07</v>
          </cell>
          <cell r="D319">
            <v>15.7</v>
          </cell>
          <cell r="E319">
            <v>477</v>
          </cell>
          <cell r="F319">
            <v>226.02</v>
          </cell>
          <cell r="G319">
            <v>793.51</v>
          </cell>
          <cell r="H319">
            <v>1763.3</v>
          </cell>
          <cell r="I319">
            <v>3916.96</v>
          </cell>
          <cell r="J319">
            <v>93413</v>
          </cell>
          <cell r="K319" t="str">
            <v>MP</v>
          </cell>
        </row>
        <row r="320">
          <cell r="A320" t="str">
            <v>994999-SLR</v>
          </cell>
          <cell r="B320">
            <v>13156</v>
          </cell>
          <cell r="C320">
            <v>1570.58</v>
          </cell>
          <cell r="D320">
            <v>15.64</v>
          </cell>
          <cell r="E320">
            <v>477</v>
          </cell>
          <cell r="F320">
            <v>355.89</v>
          </cell>
          <cell r="G320">
            <v>940.71</v>
          </cell>
          <cell r="H320">
            <v>3359.82</v>
          </cell>
          <cell r="I320">
            <v>6253</v>
          </cell>
          <cell r="J320">
            <v>92315</v>
          </cell>
          <cell r="K320" t="str">
            <v>MP</v>
          </cell>
        </row>
        <row r="321">
          <cell r="A321" t="str">
            <v>995000-SLR</v>
          </cell>
          <cell r="B321">
            <v>13214</v>
          </cell>
          <cell r="C321">
            <v>231.55</v>
          </cell>
          <cell r="D321">
            <v>3.8</v>
          </cell>
          <cell r="E321">
            <v>477</v>
          </cell>
          <cell r="F321">
            <v>175.89</v>
          </cell>
          <cell r="G321">
            <v>370.19</v>
          </cell>
          <cell r="H321">
            <v>1258.43</v>
          </cell>
          <cell r="I321">
            <v>1713</v>
          </cell>
          <cell r="J321">
            <v>92303</v>
          </cell>
          <cell r="K321" t="str">
            <v>MP</v>
          </cell>
        </row>
        <row r="322">
          <cell r="A322" t="str">
            <v>995001-SLR</v>
          </cell>
          <cell r="B322">
            <v>13598</v>
          </cell>
          <cell r="C322">
            <v>1944.98</v>
          </cell>
          <cell r="D322">
            <v>64.11</v>
          </cell>
          <cell r="E322">
            <v>477</v>
          </cell>
          <cell r="F322">
            <v>978.61</v>
          </cell>
          <cell r="G322">
            <v>3853.63</v>
          </cell>
          <cell r="H322">
            <v>7318.33</v>
          </cell>
          <cell r="I322">
            <v>30104.47</v>
          </cell>
          <cell r="J322">
            <v>92299</v>
          </cell>
          <cell r="K322" t="str">
            <v>MP</v>
          </cell>
        </row>
        <row r="323">
          <cell r="A323" t="str">
            <v>995002-SLR</v>
          </cell>
          <cell r="B323">
            <v>13002</v>
          </cell>
          <cell r="C323">
            <v>200.12</v>
          </cell>
          <cell r="D323">
            <v>4.25</v>
          </cell>
          <cell r="E323">
            <v>477</v>
          </cell>
          <cell r="F323">
            <v>179.91</v>
          </cell>
          <cell r="G323">
            <v>297.77</v>
          </cell>
          <cell r="H323">
            <v>1159.05</v>
          </cell>
          <cell r="I323">
            <v>1922.58</v>
          </cell>
          <cell r="J323">
            <v>91750</v>
          </cell>
          <cell r="K323" t="str">
            <v>MP</v>
          </cell>
        </row>
        <row r="324">
          <cell r="A324" t="str">
            <v>995003-SLR</v>
          </cell>
          <cell r="B324">
            <v>13215</v>
          </cell>
          <cell r="C324">
            <v>182.67</v>
          </cell>
          <cell r="D324">
            <v>1.48</v>
          </cell>
          <cell r="E324">
            <v>477</v>
          </cell>
          <cell r="F324">
            <v>148.84</v>
          </cell>
          <cell r="G324">
            <v>134.32</v>
          </cell>
          <cell r="H324">
            <v>944.31</v>
          </cell>
          <cell r="I324">
            <v>562.04999999999995</v>
          </cell>
          <cell r="J324">
            <v>92255</v>
          </cell>
          <cell r="K324" t="str">
            <v>MP</v>
          </cell>
        </row>
        <row r="325">
          <cell r="A325" t="str">
            <v>995004-SLR</v>
          </cell>
          <cell r="B325">
            <v>13276</v>
          </cell>
          <cell r="C325">
            <v>3094.98</v>
          </cell>
          <cell r="D325">
            <v>13.2</v>
          </cell>
          <cell r="E325">
            <v>477</v>
          </cell>
          <cell r="F325">
            <v>301.27999999999997</v>
          </cell>
          <cell r="G325">
            <v>1256.26</v>
          </cell>
          <cell r="H325">
            <v>5142.72</v>
          </cell>
          <cell r="I325">
            <v>3503.73</v>
          </cell>
          <cell r="J325">
            <v>93049</v>
          </cell>
          <cell r="K325" t="str">
            <v>MP</v>
          </cell>
        </row>
        <row r="326">
          <cell r="A326" t="str">
            <v>995006-SLR</v>
          </cell>
          <cell r="B326">
            <v>13334</v>
          </cell>
          <cell r="C326">
            <v>894.23</v>
          </cell>
          <cell r="D326">
            <v>52.1</v>
          </cell>
          <cell r="E326">
            <v>477</v>
          </cell>
          <cell r="F326">
            <v>843.24</v>
          </cell>
          <cell r="G326">
            <v>3131.67</v>
          </cell>
          <cell r="H326">
            <v>5398.24</v>
          </cell>
          <cell r="I326">
            <v>25150.94</v>
          </cell>
          <cell r="J326">
            <v>92001</v>
          </cell>
          <cell r="K326" t="str">
            <v>MP</v>
          </cell>
        </row>
        <row r="327">
          <cell r="A327" t="str">
            <v>995007-SLR</v>
          </cell>
          <cell r="B327">
            <v>13477</v>
          </cell>
          <cell r="C327">
            <v>1334.14</v>
          </cell>
          <cell r="D327">
            <v>7.94</v>
          </cell>
          <cell r="E327">
            <v>477</v>
          </cell>
          <cell r="F327">
            <v>221.54</v>
          </cell>
          <cell r="G327">
            <v>755.66</v>
          </cell>
          <cell r="H327">
            <v>2796.28</v>
          </cell>
          <cell r="I327">
            <v>2635.08</v>
          </cell>
          <cell r="J327">
            <v>93429</v>
          </cell>
          <cell r="K327" t="str">
            <v>MP</v>
          </cell>
        </row>
        <row r="328">
          <cell r="A328" t="str">
            <v>995008-SLR</v>
          </cell>
          <cell r="B328">
            <v>0</v>
          </cell>
          <cell r="C328">
            <v>679.52</v>
          </cell>
          <cell r="D328">
            <v>4.54</v>
          </cell>
          <cell r="E328">
            <v>477</v>
          </cell>
          <cell r="F328">
            <v>183.26</v>
          </cell>
          <cell r="G328">
            <v>432.47</v>
          </cell>
          <cell r="H328">
            <v>1776.79</v>
          </cell>
          <cell r="I328">
            <v>1592.1</v>
          </cell>
          <cell r="J328">
            <v>92046</v>
          </cell>
          <cell r="K328" t="str">
            <v>MP</v>
          </cell>
        </row>
        <row r="329">
          <cell r="A329" t="str">
            <v>995009-SLR</v>
          </cell>
          <cell r="B329">
            <v>13101</v>
          </cell>
          <cell r="C329">
            <v>317.14</v>
          </cell>
          <cell r="D329">
            <v>32.880000000000003</v>
          </cell>
          <cell r="E329">
            <v>477</v>
          </cell>
          <cell r="F329">
            <v>626.70000000000005</v>
          </cell>
          <cell r="G329">
            <v>3129.98</v>
          </cell>
          <cell r="H329">
            <v>4583.7</v>
          </cell>
          <cell r="I329">
            <v>16123.53</v>
          </cell>
          <cell r="J329">
            <v>90402</v>
          </cell>
          <cell r="K329" t="str">
            <v>MP</v>
          </cell>
        </row>
        <row r="330">
          <cell r="A330" t="str">
            <v>995010-SLR</v>
          </cell>
          <cell r="B330">
            <v>13472</v>
          </cell>
          <cell r="C330">
            <v>9431.26</v>
          </cell>
          <cell r="D330">
            <v>107.68</v>
          </cell>
          <cell r="E330">
            <v>477</v>
          </cell>
          <cell r="F330">
            <v>1682.06</v>
          </cell>
          <cell r="G330">
            <v>7605.4</v>
          </cell>
          <cell r="H330">
            <v>19303.400000000001</v>
          </cell>
          <cell r="I330">
            <v>53839.39</v>
          </cell>
          <cell r="J330">
            <v>92315</v>
          </cell>
          <cell r="K330" t="str">
            <v>MP</v>
          </cell>
        </row>
        <row r="331">
          <cell r="A331" t="str">
            <v>995011-SLR</v>
          </cell>
          <cell r="B331">
            <v>13335</v>
          </cell>
          <cell r="C331">
            <v>2683.24</v>
          </cell>
          <cell r="D331">
            <v>176.31</v>
          </cell>
          <cell r="E331">
            <v>477</v>
          </cell>
          <cell r="F331">
            <v>534.66</v>
          </cell>
          <cell r="G331">
            <v>2352.7199999999998</v>
          </cell>
          <cell r="H331">
            <v>6223.9299999999994</v>
          </cell>
          <cell r="I331">
            <v>9674.89</v>
          </cell>
          <cell r="J331">
            <v>92418</v>
          </cell>
          <cell r="K331" t="str">
            <v>MP</v>
          </cell>
        </row>
        <row r="332">
          <cell r="A332" t="str">
            <v>995012-SLR</v>
          </cell>
          <cell r="B332">
            <v>13336</v>
          </cell>
          <cell r="C332">
            <v>224.46</v>
          </cell>
          <cell r="D332">
            <v>51.47</v>
          </cell>
          <cell r="E332">
            <v>477</v>
          </cell>
          <cell r="F332">
            <v>223.81</v>
          </cell>
          <cell r="G332">
            <v>774.87</v>
          </cell>
          <cell r="H332">
            <v>1751.6100000000001</v>
          </cell>
          <cell r="I332">
            <v>3845.67</v>
          </cell>
          <cell r="J332">
            <v>92174</v>
          </cell>
          <cell r="K332" t="str">
            <v>MP</v>
          </cell>
        </row>
        <row r="333">
          <cell r="A333" t="str">
            <v>995013-SLR</v>
          </cell>
          <cell r="B333">
            <v>13337</v>
          </cell>
          <cell r="C333">
            <v>281.5</v>
          </cell>
          <cell r="D333">
            <v>10.58</v>
          </cell>
          <cell r="E333">
            <v>477</v>
          </cell>
          <cell r="F333">
            <v>257.62</v>
          </cell>
          <cell r="G333">
            <v>790.96</v>
          </cell>
          <cell r="H333">
            <v>1817.6599999999999</v>
          </cell>
          <cell r="I333">
            <v>5289.04</v>
          </cell>
          <cell r="J333">
            <v>91972</v>
          </cell>
          <cell r="K333" t="str">
            <v>MP</v>
          </cell>
        </row>
        <row r="334">
          <cell r="A334" t="str">
            <v>995014-SLR</v>
          </cell>
          <cell r="B334">
            <v>13340</v>
          </cell>
          <cell r="C334">
            <v>1026.3</v>
          </cell>
          <cell r="D334">
            <v>23.81</v>
          </cell>
          <cell r="E334">
            <v>477</v>
          </cell>
          <cell r="F334">
            <v>524.79</v>
          </cell>
          <cell r="G334">
            <v>2269.38</v>
          </cell>
          <cell r="H334">
            <v>4321.28</v>
          </cell>
          <cell r="I334">
            <v>10893.97</v>
          </cell>
          <cell r="J334">
            <v>91975</v>
          </cell>
          <cell r="K334" t="str">
            <v>MP</v>
          </cell>
        </row>
        <row r="335">
          <cell r="A335" t="str">
            <v>995015-SLR</v>
          </cell>
          <cell r="B335">
            <v>13216</v>
          </cell>
          <cell r="C335">
            <v>3278.99</v>
          </cell>
          <cell r="D335">
            <v>82.68</v>
          </cell>
          <cell r="E335">
            <v>477</v>
          </cell>
          <cell r="F335">
            <v>1781.91</v>
          </cell>
          <cell r="G335">
            <v>12885.1</v>
          </cell>
          <cell r="H335">
            <v>18505.68</v>
          </cell>
          <cell r="I335">
            <v>64401.97</v>
          </cell>
          <cell r="J335">
            <v>90338</v>
          </cell>
          <cell r="K335" t="str">
            <v>MP</v>
          </cell>
        </row>
        <row r="336">
          <cell r="A336" t="str">
            <v>995016-SLR</v>
          </cell>
          <cell r="B336">
            <v>13078</v>
          </cell>
          <cell r="C336">
            <v>0</v>
          </cell>
          <cell r="D336">
            <v>0</v>
          </cell>
          <cell r="E336">
            <v>19.21</v>
          </cell>
          <cell r="F336">
            <v>0</v>
          </cell>
          <cell r="G336">
            <v>677.08</v>
          </cell>
          <cell r="H336">
            <v>696.29000000000008</v>
          </cell>
          <cell r="I336">
            <v>1128.47</v>
          </cell>
          <cell r="J336">
            <v>93050</v>
          </cell>
          <cell r="K336" t="str">
            <v>MP</v>
          </cell>
        </row>
        <row r="337">
          <cell r="A337" t="str">
            <v>995017-SLR</v>
          </cell>
          <cell r="B337">
            <v>13069</v>
          </cell>
          <cell r="C337">
            <v>8267.02</v>
          </cell>
          <cell r="D337">
            <v>34.6</v>
          </cell>
          <cell r="E337">
            <v>477</v>
          </cell>
          <cell r="F337">
            <v>645.96</v>
          </cell>
          <cell r="G337">
            <v>2079.5</v>
          </cell>
          <cell r="H337">
            <v>11504.080000000002</v>
          </cell>
          <cell r="I337">
            <v>9027.51</v>
          </cell>
          <cell r="J337">
            <v>92315</v>
          </cell>
          <cell r="K337" t="str">
            <v>MP</v>
          </cell>
        </row>
        <row r="338">
          <cell r="A338" t="str">
            <v>995018-SLR</v>
          </cell>
          <cell r="B338">
            <v>13217</v>
          </cell>
          <cell r="C338">
            <v>398.26</v>
          </cell>
          <cell r="D338">
            <v>8.24</v>
          </cell>
          <cell r="E338">
            <v>477</v>
          </cell>
          <cell r="F338">
            <v>224.15</v>
          </cell>
          <cell r="G338">
            <v>777.77</v>
          </cell>
          <cell r="H338">
            <v>1885.42</v>
          </cell>
          <cell r="I338">
            <v>3687.05</v>
          </cell>
          <cell r="J338">
            <v>90721</v>
          </cell>
          <cell r="K338" t="str">
            <v>MP</v>
          </cell>
        </row>
        <row r="339">
          <cell r="A339" t="str">
            <v>995019-SLR</v>
          </cell>
          <cell r="B339">
            <v>13218</v>
          </cell>
          <cell r="C339">
            <v>362.9</v>
          </cell>
          <cell r="D339">
            <v>67.349999999999994</v>
          </cell>
          <cell r="E339">
            <v>477</v>
          </cell>
          <cell r="F339">
            <v>1015.32</v>
          </cell>
          <cell r="G339">
            <v>3593.34</v>
          </cell>
          <cell r="H339">
            <v>5515.91</v>
          </cell>
          <cell r="I339">
            <v>33315.33</v>
          </cell>
          <cell r="J339">
            <v>90402</v>
          </cell>
          <cell r="K339" t="str">
            <v>MP</v>
          </cell>
        </row>
        <row r="340">
          <cell r="A340" t="str">
            <v>995020-SLR</v>
          </cell>
          <cell r="B340">
            <v>13395</v>
          </cell>
          <cell r="C340">
            <v>1305.93</v>
          </cell>
          <cell r="D340">
            <v>45.95</v>
          </cell>
          <cell r="E340">
            <v>477</v>
          </cell>
          <cell r="F340">
            <v>349</v>
          </cell>
          <cell r="G340">
            <v>3162.64</v>
          </cell>
          <cell r="H340">
            <v>5340.52</v>
          </cell>
          <cell r="I340">
            <v>22976.11</v>
          </cell>
          <cell r="J340">
            <v>92107</v>
          </cell>
          <cell r="K340" t="str">
            <v>MP</v>
          </cell>
        </row>
        <row r="341">
          <cell r="A341" t="str">
            <v>995021-SLR</v>
          </cell>
          <cell r="B341">
            <v>13341</v>
          </cell>
          <cell r="C341">
            <v>292.77</v>
          </cell>
          <cell r="D341">
            <v>21.48</v>
          </cell>
          <cell r="E341">
            <v>477</v>
          </cell>
          <cell r="F341">
            <v>485.85</v>
          </cell>
          <cell r="G341">
            <v>1506.36</v>
          </cell>
          <cell r="H341">
            <v>2783.46</v>
          </cell>
          <cell r="I341">
            <v>10445.5</v>
          </cell>
          <cell r="J341">
            <v>91250</v>
          </cell>
          <cell r="K341" t="str">
            <v>MP</v>
          </cell>
        </row>
        <row r="342">
          <cell r="A342" t="str">
            <v>995022-SLR</v>
          </cell>
          <cell r="B342">
            <v>13396</v>
          </cell>
          <cell r="C342">
            <v>295.22000000000003</v>
          </cell>
          <cell r="D342">
            <v>77.010000000000005</v>
          </cell>
          <cell r="E342">
            <v>477</v>
          </cell>
          <cell r="F342">
            <v>236.78</v>
          </cell>
          <cell r="G342">
            <v>884.37</v>
          </cell>
          <cell r="H342">
            <v>1970.38</v>
          </cell>
          <cell r="I342">
            <v>4350.07</v>
          </cell>
          <cell r="J342">
            <v>90814</v>
          </cell>
          <cell r="K342" t="str">
            <v>MP</v>
          </cell>
        </row>
        <row r="343">
          <cell r="A343" t="str">
            <v>995023-SLR</v>
          </cell>
          <cell r="B343">
            <v>13397</v>
          </cell>
          <cell r="C343">
            <v>507.73</v>
          </cell>
          <cell r="D343">
            <v>23.34</v>
          </cell>
          <cell r="E343">
            <v>477</v>
          </cell>
          <cell r="F343">
            <v>518.94000000000005</v>
          </cell>
          <cell r="G343">
            <v>2252.33</v>
          </cell>
          <cell r="H343">
            <v>3779.34</v>
          </cell>
          <cell r="I343">
            <v>11152.85</v>
          </cell>
          <cell r="J343">
            <v>93018</v>
          </cell>
          <cell r="K343" t="str">
            <v>MP</v>
          </cell>
        </row>
        <row r="344">
          <cell r="A344" t="str">
            <v>995024-SLR</v>
          </cell>
          <cell r="B344">
            <v>13518</v>
          </cell>
          <cell r="C344">
            <v>293.29000000000002</v>
          </cell>
          <cell r="D344">
            <v>108.13</v>
          </cell>
          <cell r="E344">
            <v>477</v>
          </cell>
          <cell r="F344">
            <v>150.02000000000001</v>
          </cell>
          <cell r="G344">
            <v>151.79</v>
          </cell>
          <cell r="H344">
            <v>1180.23</v>
          </cell>
          <cell r="I344">
            <v>504.58</v>
          </cell>
          <cell r="J344">
            <v>90662</v>
          </cell>
          <cell r="K344" t="str">
            <v>MP</v>
          </cell>
        </row>
        <row r="345">
          <cell r="A345" t="str">
            <v>995025-SLR</v>
          </cell>
          <cell r="B345">
            <v>13550</v>
          </cell>
          <cell r="C345">
            <v>379.5</v>
          </cell>
          <cell r="D345">
            <v>31.23</v>
          </cell>
          <cell r="E345">
            <v>477</v>
          </cell>
          <cell r="F345">
            <v>616.66999999999996</v>
          </cell>
          <cell r="G345">
            <v>2243.87</v>
          </cell>
          <cell r="H345">
            <v>3748.27</v>
          </cell>
          <cell r="I345">
            <v>15616.91</v>
          </cell>
          <cell r="J345">
            <v>91250</v>
          </cell>
          <cell r="K345" t="str">
            <v>MP</v>
          </cell>
        </row>
        <row r="346">
          <cell r="A346" t="str">
            <v>995026-SLR</v>
          </cell>
          <cell r="B346">
            <v>13342</v>
          </cell>
          <cell r="C346">
            <v>1992.73</v>
          </cell>
          <cell r="D346">
            <v>227</v>
          </cell>
          <cell r="E346">
            <v>477</v>
          </cell>
          <cell r="F346">
            <v>2813.98</v>
          </cell>
          <cell r="G346">
            <v>14779.14</v>
          </cell>
          <cell r="H346">
            <v>20289.849999999999</v>
          </cell>
          <cell r="I346">
            <v>111465.93</v>
          </cell>
          <cell r="J346">
            <v>92107</v>
          </cell>
          <cell r="K346" t="str">
            <v>MP</v>
          </cell>
        </row>
        <row r="347">
          <cell r="A347" t="str">
            <v>995027-SLR</v>
          </cell>
          <cell r="B347">
            <v>13399</v>
          </cell>
          <cell r="C347">
            <v>365.4</v>
          </cell>
          <cell r="D347">
            <v>37.840000000000003</v>
          </cell>
          <cell r="E347">
            <v>477</v>
          </cell>
          <cell r="F347">
            <v>349</v>
          </cell>
          <cell r="G347">
            <v>947.84</v>
          </cell>
          <cell r="H347">
            <v>2177.08</v>
          </cell>
          <cell r="I347">
            <v>18553.650000000001</v>
          </cell>
          <cell r="J347">
            <v>91578</v>
          </cell>
          <cell r="K347" t="str">
            <v>MP</v>
          </cell>
        </row>
        <row r="348">
          <cell r="A348" t="str">
            <v>995028-SLR</v>
          </cell>
          <cell r="B348">
            <v>13277</v>
          </cell>
          <cell r="C348">
            <v>390.54</v>
          </cell>
          <cell r="D348">
            <v>10.17</v>
          </cell>
          <cell r="E348">
            <v>477</v>
          </cell>
          <cell r="F348">
            <v>246.65</v>
          </cell>
          <cell r="G348">
            <v>967.71</v>
          </cell>
          <cell r="H348">
            <v>2092.0700000000002</v>
          </cell>
          <cell r="I348">
            <v>4692.49</v>
          </cell>
          <cell r="J348">
            <v>93126</v>
          </cell>
          <cell r="K348" t="str">
            <v>MP</v>
          </cell>
        </row>
        <row r="349">
          <cell r="A349" t="str">
            <v>995029-SLR</v>
          </cell>
          <cell r="B349">
            <v>13128</v>
          </cell>
          <cell r="C349">
            <v>3844.32</v>
          </cell>
          <cell r="D349">
            <v>32.25</v>
          </cell>
          <cell r="E349">
            <v>477</v>
          </cell>
          <cell r="F349">
            <v>619.53</v>
          </cell>
          <cell r="G349">
            <v>1938.57</v>
          </cell>
          <cell r="H349">
            <v>6911.6699999999992</v>
          </cell>
          <cell r="I349">
            <v>12278.2</v>
          </cell>
          <cell r="J349">
            <v>93384</v>
          </cell>
          <cell r="K349" t="str">
            <v>MP</v>
          </cell>
        </row>
        <row r="350">
          <cell r="A350" t="str">
            <v>995030-SLR</v>
          </cell>
          <cell r="B350">
            <v>13129</v>
          </cell>
          <cell r="C350">
            <v>1117.45</v>
          </cell>
          <cell r="D350">
            <v>18.38</v>
          </cell>
          <cell r="E350">
            <v>477</v>
          </cell>
          <cell r="F350">
            <v>416.61</v>
          </cell>
          <cell r="G350">
            <v>1104.43</v>
          </cell>
          <cell r="H350">
            <v>3133.87</v>
          </cell>
          <cell r="I350">
            <v>8067.78</v>
          </cell>
          <cell r="J350">
            <v>93140</v>
          </cell>
          <cell r="K350" t="str">
            <v>MP</v>
          </cell>
        </row>
        <row r="351">
          <cell r="A351" t="str">
            <v>995031-SLR</v>
          </cell>
          <cell r="B351">
            <v>13278</v>
          </cell>
          <cell r="C351">
            <v>5082.6000000000004</v>
          </cell>
          <cell r="D351">
            <v>40.200000000000003</v>
          </cell>
          <cell r="E351">
            <v>477</v>
          </cell>
          <cell r="F351">
            <v>823.58</v>
          </cell>
          <cell r="G351">
            <v>3026.8</v>
          </cell>
          <cell r="H351">
            <v>9450.18</v>
          </cell>
          <cell r="I351">
            <v>20100.55</v>
          </cell>
          <cell r="J351">
            <v>92316</v>
          </cell>
          <cell r="K351" t="str">
            <v>MP</v>
          </cell>
        </row>
        <row r="352">
          <cell r="A352" t="str">
            <v>995032-SLR</v>
          </cell>
          <cell r="B352">
            <v>13130</v>
          </cell>
          <cell r="C352">
            <v>4748.26</v>
          </cell>
          <cell r="D352">
            <v>24.28</v>
          </cell>
          <cell r="E352">
            <v>477</v>
          </cell>
          <cell r="F352">
            <v>529.64</v>
          </cell>
          <cell r="G352">
            <v>2188.69</v>
          </cell>
          <cell r="H352">
            <v>7967.8700000000008</v>
          </cell>
          <cell r="I352">
            <v>7386.85</v>
          </cell>
          <cell r="J352">
            <v>92304</v>
          </cell>
          <cell r="K352" t="str">
            <v>MP</v>
          </cell>
        </row>
        <row r="353">
          <cell r="A353" t="str">
            <v>995033-SLR</v>
          </cell>
          <cell r="B353">
            <v>13070</v>
          </cell>
          <cell r="C353">
            <v>3923.1</v>
          </cell>
          <cell r="D353">
            <v>22.55</v>
          </cell>
          <cell r="E353">
            <v>477</v>
          </cell>
          <cell r="F353">
            <v>509.88</v>
          </cell>
          <cell r="G353">
            <v>2033.96</v>
          </cell>
          <cell r="H353">
            <v>6966.49</v>
          </cell>
          <cell r="I353">
            <v>7354.11</v>
          </cell>
          <cell r="J353">
            <v>92304</v>
          </cell>
          <cell r="K353" t="str">
            <v>MP</v>
          </cell>
        </row>
        <row r="354">
          <cell r="A354" t="str">
            <v>995034-SLR</v>
          </cell>
          <cell r="B354">
            <v>13279</v>
          </cell>
          <cell r="C354">
            <v>4570.45</v>
          </cell>
          <cell r="D354">
            <v>45.92</v>
          </cell>
          <cell r="E354">
            <v>477</v>
          </cell>
          <cell r="F354">
            <v>876.55</v>
          </cell>
          <cell r="G354">
            <v>4509.95</v>
          </cell>
          <cell r="H354">
            <v>10479.869999999999</v>
          </cell>
          <cell r="I354">
            <v>22961.56</v>
          </cell>
          <cell r="J354">
            <v>92316</v>
          </cell>
          <cell r="K354" t="str">
            <v>MP</v>
          </cell>
        </row>
        <row r="355">
          <cell r="A355" t="str">
            <v>995035-SLR</v>
          </cell>
          <cell r="B355">
            <v>13245</v>
          </cell>
          <cell r="C355">
            <v>4206.93</v>
          </cell>
          <cell r="D355">
            <v>28.27</v>
          </cell>
          <cell r="E355">
            <v>477</v>
          </cell>
          <cell r="F355">
            <v>745.66</v>
          </cell>
          <cell r="G355">
            <v>3845.01</v>
          </cell>
          <cell r="H355">
            <v>9302.8700000000008</v>
          </cell>
          <cell r="I355">
            <v>17518.75</v>
          </cell>
          <cell r="J355">
            <v>93407</v>
          </cell>
          <cell r="K355" t="str">
            <v>MP</v>
          </cell>
        </row>
        <row r="356">
          <cell r="A356" t="str">
            <v>995036-SLR</v>
          </cell>
          <cell r="B356">
            <v>13071</v>
          </cell>
          <cell r="C356">
            <v>624.07000000000005</v>
          </cell>
          <cell r="D356">
            <v>9.0500000000000007</v>
          </cell>
          <cell r="E356">
            <v>477</v>
          </cell>
          <cell r="F356">
            <v>234.1</v>
          </cell>
          <cell r="G356">
            <v>861.74</v>
          </cell>
          <cell r="H356">
            <v>2205.96</v>
          </cell>
          <cell r="I356">
            <v>3902.33</v>
          </cell>
          <cell r="J356">
            <v>91178</v>
          </cell>
          <cell r="K356" t="str">
            <v>MP</v>
          </cell>
        </row>
        <row r="357">
          <cell r="A357" t="str">
            <v>995037-SLR</v>
          </cell>
          <cell r="B357">
            <v>13103</v>
          </cell>
          <cell r="C357">
            <v>6674.14</v>
          </cell>
          <cell r="D357">
            <v>28.8</v>
          </cell>
          <cell r="E357">
            <v>477</v>
          </cell>
          <cell r="F357">
            <v>580.69000000000005</v>
          </cell>
          <cell r="G357">
            <v>1731.43</v>
          </cell>
          <cell r="H357">
            <v>9492.0600000000013</v>
          </cell>
          <cell r="I357">
            <v>7725.6</v>
          </cell>
          <cell r="J357">
            <v>92287</v>
          </cell>
          <cell r="K357" t="str">
            <v>MP</v>
          </cell>
        </row>
        <row r="358">
          <cell r="A358" t="str">
            <v>995038-SLR</v>
          </cell>
          <cell r="B358">
            <v>13169</v>
          </cell>
          <cell r="C358">
            <v>199.32</v>
          </cell>
          <cell r="D358">
            <v>15.49</v>
          </cell>
          <cell r="E358">
            <v>477</v>
          </cell>
          <cell r="F358">
            <v>352.49</v>
          </cell>
          <cell r="G358">
            <v>1086.78</v>
          </cell>
          <cell r="H358">
            <v>2131.08</v>
          </cell>
          <cell r="I358">
            <v>7547.89</v>
          </cell>
          <cell r="J358">
            <v>91750</v>
          </cell>
          <cell r="K358" t="str">
            <v>MP</v>
          </cell>
        </row>
        <row r="359">
          <cell r="A359" t="str">
            <v>995039-SLR</v>
          </cell>
          <cell r="B359">
            <v>13104</v>
          </cell>
          <cell r="C359">
            <v>1350.46</v>
          </cell>
          <cell r="D359">
            <v>11.61</v>
          </cell>
          <cell r="E359">
            <v>477</v>
          </cell>
          <cell r="F359">
            <v>265.68</v>
          </cell>
          <cell r="G359">
            <v>1104.27</v>
          </cell>
          <cell r="H359">
            <v>3209.02</v>
          </cell>
          <cell r="I359">
            <v>4449.8999999999996</v>
          </cell>
          <cell r="J359">
            <v>92303</v>
          </cell>
          <cell r="K359" t="str">
            <v>MP</v>
          </cell>
        </row>
        <row r="360">
          <cell r="A360" t="str">
            <v>995040-SLR</v>
          </cell>
          <cell r="B360">
            <v>13281</v>
          </cell>
          <cell r="C360">
            <v>4491.79</v>
          </cell>
          <cell r="D360">
            <v>33.799999999999997</v>
          </cell>
          <cell r="E360">
            <v>477</v>
          </cell>
          <cell r="F360">
            <v>637.08000000000004</v>
          </cell>
          <cell r="G360">
            <v>2201.5</v>
          </cell>
          <cell r="H360">
            <v>7841.17</v>
          </cell>
          <cell r="I360">
            <v>12408.92</v>
          </cell>
          <cell r="J360">
            <v>90219</v>
          </cell>
          <cell r="K360" t="str">
            <v>MP</v>
          </cell>
        </row>
        <row r="361">
          <cell r="A361" t="str">
            <v>995041-SLR</v>
          </cell>
          <cell r="B361">
            <v>13220</v>
          </cell>
          <cell r="C361">
            <v>206.09</v>
          </cell>
          <cell r="D361">
            <v>6.52</v>
          </cell>
          <cell r="E361">
            <v>477</v>
          </cell>
          <cell r="F361">
            <v>210.18</v>
          </cell>
          <cell r="G361">
            <v>659.78</v>
          </cell>
          <cell r="H361">
            <v>1559.57</v>
          </cell>
          <cell r="I361">
            <v>3259.89</v>
          </cell>
          <cell r="J361">
            <v>91978</v>
          </cell>
          <cell r="K361" t="str">
            <v>MP</v>
          </cell>
        </row>
        <row r="362">
          <cell r="A362" t="str">
            <v>995042-SLR</v>
          </cell>
          <cell r="B362">
            <v>13343</v>
          </cell>
          <cell r="C362">
            <v>14981.34</v>
          </cell>
          <cell r="D362">
            <v>193.64</v>
          </cell>
          <cell r="E362">
            <v>477</v>
          </cell>
          <cell r="F362">
            <v>2436.8000000000002</v>
          </cell>
          <cell r="G362">
            <v>19384.47</v>
          </cell>
          <cell r="H362">
            <v>37473.25</v>
          </cell>
          <cell r="I362">
            <v>81747.360000000001</v>
          </cell>
          <cell r="J362">
            <v>92056</v>
          </cell>
          <cell r="K362" t="str">
            <v>MP</v>
          </cell>
        </row>
        <row r="363">
          <cell r="A363" t="str">
            <v>995043-SLR</v>
          </cell>
          <cell r="B363">
            <v>13344</v>
          </cell>
          <cell r="C363">
            <v>323.17</v>
          </cell>
          <cell r="D363">
            <v>7.46</v>
          </cell>
          <cell r="E363">
            <v>477</v>
          </cell>
          <cell r="F363">
            <v>2223.7199999999998</v>
          </cell>
          <cell r="G363">
            <v>411.04</v>
          </cell>
          <cell r="H363">
            <v>3442.39</v>
          </cell>
          <cell r="I363">
            <v>3406.14</v>
          </cell>
          <cell r="J363">
            <v>93252</v>
          </cell>
          <cell r="K363" t="str">
            <v>MP</v>
          </cell>
        </row>
        <row r="364">
          <cell r="A364" t="str">
            <v>995045-SLR</v>
          </cell>
          <cell r="B364">
            <v>13400</v>
          </cell>
          <cell r="C364">
            <v>903.74</v>
          </cell>
          <cell r="D364">
            <v>92.39</v>
          </cell>
          <cell r="E364">
            <v>477</v>
          </cell>
          <cell r="F364">
            <v>1297.51</v>
          </cell>
          <cell r="G364">
            <v>6480.22</v>
          </cell>
          <cell r="H364">
            <v>9250.86</v>
          </cell>
          <cell r="I364">
            <v>45291.19</v>
          </cell>
          <cell r="J364">
            <v>93302</v>
          </cell>
          <cell r="K364" t="str">
            <v>MP</v>
          </cell>
        </row>
        <row r="365">
          <cell r="A365" t="str">
            <v>995046-SLR</v>
          </cell>
          <cell r="B365">
            <v>13345</v>
          </cell>
          <cell r="C365">
            <v>993.95</v>
          </cell>
          <cell r="D365">
            <v>12.21</v>
          </cell>
          <cell r="E365">
            <v>477</v>
          </cell>
          <cell r="F365">
            <v>279.19</v>
          </cell>
          <cell r="G365">
            <v>733.84</v>
          </cell>
          <cell r="H365">
            <v>2496.19</v>
          </cell>
          <cell r="I365">
            <v>5109.21</v>
          </cell>
          <cell r="J365">
            <v>92315</v>
          </cell>
          <cell r="K365" t="str">
            <v>MP</v>
          </cell>
        </row>
        <row r="366">
          <cell r="A366" t="str">
            <v>995047-SLR</v>
          </cell>
          <cell r="B366">
            <v>13221</v>
          </cell>
          <cell r="C366">
            <v>182.67</v>
          </cell>
          <cell r="D366">
            <v>3.18</v>
          </cell>
          <cell r="E366">
            <v>477</v>
          </cell>
          <cell r="F366">
            <v>172.13</v>
          </cell>
          <cell r="G366">
            <v>195.93</v>
          </cell>
          <cell r="H366">
            <v>1030.9100000000001</v>
          </cell>
          <cell r="I366">
            <v>1595.29</v>
          </cell>
          <cell r="J366">
            <v>92255</v>
          </cell>
          <cell r="K366" t="str">
            <v>MP</v>
          </cell>
        </row>
        <row r="367">
          <cell r="A367" t="str">
            <v>995048-SLR</v>
          </cell>
          <cell r="B367">
            <v>13479</v>
          </cell>
          <cell r="C367">
            <v>7471.93</v>
          </cell>
          <cell r="D367">
            <v>38</v>
          </cell>
          <cell r="E367">
            <v>477</v>
          </cell>
          <cell r="F367">
            <v>684.51</v>
          </cell>
          <cell r="G367">
            <v>2673.89</v>
          </cell>
          <cell r="H367">
            <v>11345.33</v>
          </cell>
          <cell r="I367">
            <v>11532.66</v>
          </cell>
          <cell r="J367">
            <v>93182</v>
          </cell>
          <cell r="K367" t="str">
            <v>MP</v>
          </cell>
        </row>
        <row r="368">
          <cell r="A368" t="str">
            <v>995049-SLR</v>
          </cell>
          <cell r="B368">
            <v>13402</v>
          </cell>
          <cell r="C368">
            <v>183.1</v>
          </cell>
          <cell r="D368">
            <v>9.9499999999999993</v>
          </cell>
          <cell r="E368">
            <v>477</v>
          </cell>
          <cell r="F368">
            <v>244.14</v>
          </cell>
          <cell r="G368">
            <v>697.44</v>
          </cell>
          <cell r="H368">
            <v>1611.63</v>
          </cell>
          <cell r="I368">
            <v>4788.6499999999996</v>
          </cell>
          <cell r="J368">
            <v>90097</v>
          </cell>
          <cell r="K368" t="str">
            <v>MP</v>
          </cell>
        </row>
        <row r="369">
          <cell r="A369" t="str">
            <v>995050-SLR</v>
          </cell>
          <cell r="B369">
            <v>13282</v>
          </cell>
          <cell r="C369">
            <v>529.77</v>
          </cell>
          <cell r="D369">
            <v>17.71</v>
          </cell>
          <cell r="E369">
            <v>477</v>
          </cell>
          <cell r="F369">
            <v>401.98</v>
          </cell>
          <cell r="G369">
            <v>1863.71</v>
          </cell>
          <cell r="H369">
            <v>3290.17</v>
          </cell>
          <cell r="I369">
            <v>8327.31</v>
          </cell>
          <cell r="J369">
            <v>90506</v>
          </cell>
          <cell r="K369" t="str">
            <v>MP</v>
          </cell>
        </row>
        <row r="370">
          <cell r="A370" t="str">
            <v>995051-SLR</v>
          </cell>
          <cell r="B370">
            <v>13222</v>
          </cell>
          <cell r="C370">
            <v>234.19</v>
          </cell>
          <cell r="D370">
            <v>12.65</v>
          </cell>
          <cell r="E370">
            <v>477</v>
          </cell>
          <cell r="F370">
            <v>288.99</v>
          </cell>
          <cell r="G370">
            <v>887</v>
          </cell>
          <cell r="H370">
            <v>1899.83</v>
          </cell>
          <cell r="I370">
            <v>6088.88</v>
          </cell>
          <cell r="J370">
            <v>93176</v>
          </cell>
          <cell r="K370" t="str">
            <v>MP</v>
          </cell>
        </row>
        <row r="371">
          <cell r="A371" t="str">
            <v>995052-SLR</v>
          </cell>
          <cell r="B371">
            <v>13283</v>
          </cell>
          <cell r="C371">
            <v>195.52</v>
          </cell>
          <cell r="D371">
            <v>1.86</v>
          </cell>
          <cell r="E371">
            <v>477</v>
          </cell>
          <cell r="F371">
            <v>152.96</v>
          </cell>
          <cell r="G371">
            <v>130.09</v>
          </cell>
          <cell r="H371">
            <v>957.43000000000006</v>
          </cell>
          <cell r="I371">
            <v>731.81</v>
          </cell>
          <cell r="J371">
            <v>92166</v>
          </cell>
          <cell r="K371" t="str">
            <v>MP</v>
          </cell>
        </row>
        <row r="372">
          <cell r="A372" t="str">
            <v>995053-SLR</v>
          </cell>
          <cell r="B372">
            <v>13223</v>
          </cell>
          <cell r="C372">
            <v>196.72</v>
          </cell>
          <cell r="D372">
            <v>36.96</v>
          </cell>
          <cell r="E372">
            <v>477</v>
          </cell>
          <cell r="F372">
            <v>672.73</v>
          </cell>
          <cell r="G372">
            <v>2592.67</v>
          </cell>
          <cell r="H372">
            <v>3976.08</v>
          </cell>
          <cell r="I372">
            <v>18285.36</v>
          </cell>
          <cell r="J372">
            <v>90349</v>
          </cell>
          <cell r="K372" t="str">
            <v>MP</v>
          </cell>
        </row>
        <row r="373">
          <cell r="A373" t="str">
            <v>995054-SLR</v>
          </cell>
          <cell r="B373">
            <v>13346</v>
          </cell>
          <cell r="C373">
            <v>16248.99</v>
          </cell>
          <cell r="D373">
            <v>235.91</v>
          </cell>
          <cell r="E373">
            <v>477</v>
          </cell>
          <cell r="F373">
            <v>2915.46</v>
          </cell>
          <cell r="G373">
            <v>15365.48</v>
          </cell>
          <cell r="H373">
            <v>35242.839999999997</v>
          </cell>
          <cell r="I373">
            <v>101711.13</v>
          </cell>
          <cell r="J373">
            <v>92056</v>
          </cell>
          <cell r="K373" t="str">
            <v>MP</v>
          </cell>
        </row>
        <row r="374">
          <cell r="A374" t="str">
            <v>995055-SLR</v>
          </cell>
          <cell r="B374">
            <v>13224</v>
          </cell>
          <cell r="C374">
            <v>727.67</v>
          </cell>
          <cell r="D374">
            <v>8.9700000000000006</v>
          </cell>
          <cell r="E374">
            <v>477</v>
          </cell>
          <cell r="F374">
            <v>233.18</v>
          </cell>
          <cell r="G374">
            <v>584.33000000000004</v>
          </cell>
          <cell r="H374">
            <v>2031.15</v>
          </cell>
          <cell r="I374">
            <v>3758.24</v>
          </cell>
          <cell r="J374">
            <v>91722</v>
          </cell>
          <cell r="K374" t="str">
            <v>MP</v>
          </cell>
        </row>
        <row r="375">
          <cell r="A375" t="str">
            <v>995056-SLR</v>
          </cell>
          <cell r="B375">
            <v>13403</v>
          </cell>
          <cell r="C375">
            <v>3161.4</v>
          </cell>
          <cell r="D375">
            <v>19.809999999999999</v>
          </cell>
          <cell r="E375">
            <v>477</v>
          </cell>
          <cell r="F375">
            <v>550.52</v>
          </cell>
          <cell r="G375">
            <v>1701.39</v>
          </cell>
          <cell r="H375">
            <v>5910.12</v>
          </cell>
          <cell r="I375">
            <v>9906.3700000000008</v>
          </cell>
          <cell r="J375">
            <v>93455</v>
          </cell>
          <cell r="K375" t="str">
            <v>MP</v>
          </cell>
        </row>
        <row r="376">
          <cell r="A376" t="str">
            <v>995058-SLR</v>
          </cell>
          <cell r="B376">
            <v>13347</v>
          </cell>
          <cell r="C376">
            <v>1617.77</v>
          </cell>
          <cell r="D376">
            <v>73.099999999999994</v>
          </cell>
          <cell r="E376">
            <v>477</v>
          </cell>
          <cell r="F376">
            <v>1116.51</v>
          </cell>
          <cell r="G376">
            <v>4971.53</v>
          </cell>
          <cell r="H376">
            <v>8255.91</v>
          </cell>
          <cell r="I376">
            <v>36551.67</v>
          </cell>
          <cell r="J376">
            <v>92107</v>
          </cell>
          <cell r="K376" t="str">
            <v>MP</v>
          </cell>
        </row>
        <row r="377">
          <cell r="A377" t="str">
            <v>995059-SLR</v>
          </cell>
          <cell r="B377">
            <v>13348</v>
          </cell>
          <cell r="C377">
            <v>8907.31</v>
          </cell>
          <cell r="D377">
            <v>4241.6099999999997</v>
          </cell>
          <cell r="E377">
            <v>477</v>
          </cell>
          <cell r="F377">
            <v>6208.92</v>
          </cell>
          <cell r="G377">
            <v>50268.69</v>
          </cell>
          <cell r="H377">
            <v>70103.53</v>
          </cell>
          <cell r="I377">
            <v>255154.45</v>
          </cell>
          <cell r="J377">
            <v>91437</v>
          </cell>
          <cell r="K377" t="str">
            <v>MP</v>
          </cell>
        </row>
        <row r="378">
          <cell r="A378" t="str">
            <v>995060-SLR</v>
          </cell>
          <cell r="B378">
            <v>13349</v>
          </cell>
          <cell r="C378">
            <v>1777.37</v>
          </cell>
          <cell r="D378">
            <v>3722</v>
          </cell>
          <cell r="E378">
            <v>477</v>
          </cell>
          <cell r="F378">
            <v>5303.8</v>
          </cell>
          <cell r="G378">
            <v>30667.1</v>
          </cell>
          <cell r="H378">
            <v>41947.27</v>
          </cell>
          <cell r="I378">
            <v>222119.54</v>
          </cell>
          <cell r="J378">
            <v>90570</v>
          </cell>
          <cell r="K378" t="str">
            <v>MP</v>
          </cell>
        </row>
        <row r="379">
          <cell r="A379" t="str">
            <v>995061-SLR</v>
          </cell>
          <cell r="B379">
            <v>13404</v>
          </cell>
          <cell r="C379">
            <v>201.14</v>
          </cell>
          <cell r="D379">
            <v>70.25</v>
          </cell>
          <cell r="E379">
            <v>477</v>
          </cell>
          <cell r="F379">
            <v>782.49</v>
          </cell>
          <cell r="G379">
            <v>2687.11</v>
          </cell>
          <cell r="H379">
            <v>4217.99</v>
          </cell>
          <cell r="I379">
            <v>18714.349999999999</v>
          </cell>
          <cell r="J379">
            <v>93419</v>
          </cell>
          <cell r="K379" t="str">
            <v>MP</v>
          </cell>
        </row>
        <row r="380">
          <cell r="A380" t="str">
            <v>995062-SLR</v>
          </cell>
          <cell r="B380">
            <v>13407</v>
          </cell>
          <cell r="C380">
            <v>204.24</v>
          </cell>
          <cell r="D380">
            <v>9.01</v>
          </cell>
          <cell r="E380">
            <v>477</v>
          </cell>
          <cell r="F380">
            <v>250</v>
          </cell>
          <cell r="G380">
            <v>660.83</v>
          </cell>
          <cell r="H380">
            <v>1601.08</v>
          </cell>
          <cell r="I380">
            <v>4506.96</v>
          </cell>
          <cell r="J380">
            <v>93284</v>
          </cell>
          <cell r="K380" t="str">
            <v>MP</v>
          </cell>
        </row>
        <row r="381">
          <cell r="A381" t="str">
            <v>995064-SLR</v>
          </cell>
          <cell r="B381">
            <v>13711</v>
          </cell>
          <cell r="C381">
            <v>10926.55</v>
          </cell>
          <cell r="D381">
            <v>151.25</v>
          </cell>
          <cell r="E381">
            <v>429</v>
          </cell>
          <cell r="F381">
            <v>2206.84</v>
          </cell>
          <cell r="G381">
            <v>11271.23</v>
          </cell>
          <cell r="H381">
            <v>24984.87</v>
          </cell>
          <cell r="I381">
            <v>75624</v>
          </cell>
          <cell r="J381">
            <v>92016</v>
          </cell>
          <cell r="K381" t="str">
            <v>MP</v>
          </cell>
        </row>
        <row r="382">
          <cell r="A382" t="str">
            <v>995065-SLR</v>
          </cell>
          <cell r="B382">
            <v>13306</v>
          </cell>
          <cell r="C382">
            <v>360.44</v>
          </cell>
          <cell r="D382">
            <v>24.43</v>
          </cell>
          <cell r="E382">
            <v>477</v>
          </cell>
          <cell r="F382">
            <v>531.47</v>
          </cell>
          <cell r="G382">
            <v>1713.72</v>
          </cell>
          <cell r="H382">
            <v>3107.0600000000004</v>
          </cell>
          <cell r="I382">
            <v>11855.98</v>
          </cell>
          <cell r="J382">
            <v>90503</v>
          </cell>
          <cell r="K382" t="str">
            <v>MP</v>
          </cell>
        </row>
        <row r="383">
          <cell r="A383" t="str">
            <v>995066-SLR</v>
          </cell>
          <cell r="B383">
            <v>13225</v>
          </cell>
          <cell r="C383">
            <v>393.92</v>
          </cell>
          <cell r="D383">
            <v>25.1</v>
          </cell>
          <cell r="E383">
            <v>477</v>
          </cell>
          <cell r="F383">
            <v>539.11</v>
          </cell>
          <cell r="G383">
            <v>629.02</v>
          </cell>
          <cell r="H383">
            <v>2064.15</v>
          </cell>
          <cell r="I383">
            <v>12161.36</v>
          </cell>
          <cell r="J383">
            <v>91814</v>
          </cell>
          <cell r="K383" t="str">
            <v>MP</v>
          </cell>
        </row>
        <row r="384">
          <cell r="A384" t="str">
            <v>995067-SLR</v>
          </cell>
          <cell r="B384">
            <v>13284</v>
          </cell>
          <cell r="C384">
            <v>460.05</v>
          </cell>
          <cell r="D384">
            <v>34.86</v>
          </cell>
          <cell r="E384">
            <v>477</v>
          </cell>
          <cell r="F384">
            <v>659.34</v>
          </cell>
          <cell r="G384">
            <v>3764.08</v>
          </cell>
          <cell r="H384">
            <v>5395.33</v>
          </cell>
          <cell r="I384">
            <v>17429.259999999998</v>
          </cell>
          <cell r="J384">
            <v>91681</v>
          </cell>
          <cell r="K384" t="str">
            <v>MP</v>
          </cell>
        </row>
        <row r="385">
          <cell r="A385" t="str">
            <v>995068-SLR</v>
          </cell>
          <cell r="B385">
            <v>13506</v>
          </cell>
          <cell r="C385">
            <v>217.93</v>
          </cell>
          <cell r="D385">
            <v>9.0500000000000007</v>
          </cell>
          <cell r="E385">
            <v>477</v>
          </cell>
          <cell r="F385">
            <v>238.99</v>
          </cell>
          <cell r="G385">
            <v>903.02</v>
          </cell>
          <cell r="H385">
            <v>1845.99</v>
          </cell>
          <cell r="I385">
            <v>4525.74</v>
          </cell>
          <cell r="J385">
            <v>90379</v>
          </cell>
          <cell r="K385" t="str">
            <v>MP</v>
          </cell>
        </row>
        <row r="386">
          <cell r="A386" t="str">
            <v>995069-SLR</v>
          </cell>
          <cell r="B386">
            <v>13599</v>
          </cell>
          <cell r="C386">
            <v>1997.9</v>
          </cell>
          <cell r="D386">
            <v>56.91</v>
          </cell>
          <cell r="E386">
            <v>477</v>
          </cell>
          <cell r="F386">
            <v>942.42</v>
          </cell>
          <cell r="G386">
            <v>5796.04</v>
          </cell>
          <cell r="H386">
            <v>9270.27</v>
          </cell>
          <cell r="I386">
            <v>28450.67</v>
          </cell>
          <cell r="J386">
            <v>90013</v>
          </cell>
          <cell r="K386" t="str">
            <v>MP</v>
          </cell>
        </row>
        <row r="387">
          <cell r="A387" t="str">
            <v>995070-SLR</v>
          </cell>
          <cell r="B387">
            <v>13519</v>
          </cell>
          <cell r="C387">
            <v>1050.75</v>
          </cell>
          <cell r="D387">
            <v>155.81</v>
          </cell>
          <cell r="E387">
            <v>477</v>
          </cell>
          <cell r="F387">
            <v>2036.6</v>
          </cell>
          <cell r="G387">
            <v>11075.8</v>
          </cell>
          <cell r="H387">
            <v>14795.96</v>
          </cell>
          <cell r="I387">
            <v>77906.3</v>
          </cell>
          <cell r="J387">
            <v>90061</v>
          </cell>
          <cell r="K387" t="str">
            <v>MP</v>
          </cell>
        </row>
        <row r="388">
          <cell r="A388" t="str">
            <v>995071-SLR</v>
          </cell>
          <cell r="B388">
            <v>13408</v>
          </cell>
          <cell r="C388">
            <v>183.1</v>
          </cell>
          <cell r="D388">
            <v>7.02</v>
          </cell>
          <cell r="E388">
            <v>477</v>
          </cell>
          <cell r="F388">
            <v>215.23</v>
          </cell>
          <cell r="G388">
            <v>517.59</v>
          </cell>
          <cell r="H388">
            <v>1399.94</v>
          </cell>
          <cell r="I388">
            <v>3506.98</v>
          </cell>
          <cell r="J388">
            <v>90097</v>
          </cell>
          <cell r="K388" t="str">
            <v>MP</v>
          </cell>
        </row>
        <row r="389">
          <cell r="A389" t="str">
            <v>995072-SLR</v>
          </cell>
          <cell r="B389">
            <v>13409</v>
          </cell>
          <cell r="C389">
            <v>183.1</v>
          </cell>
          <cell r="D389">
            <v>7.91</v>
          </cell>
          <cell r="E389">
            <v>477</v>
          </cell>
          <cell r="F389">
            <v>221.08</v>
          </cell>
          <cell r="G389">
            <v>553.99</v>
          </cell>
          <cell r="H389">
            <v>1443.08</v>
          </cell>
          <cell r="I389">
            <v>3766.09</v>
          </cell>
          <cell r="J389">
            <v>90097</v>
          </cell>
          <cell r="K389" t="str">
            <v>MP</v>
          </cell>
        </row>
        <row r="390">
          <cell r="A390" t="str">
            <v>995073-SLR</v>
          </cell>
          <cell r="B390">
            <v>13551</v>
          </cell>
          <cell r="C390">
            <v>1117.74</v>
          </cell>
          <cell r="D390">
            <v>14.13</v>
          </cell>
          <cell r="E390">
            <v>477</v>
          </cell>
          <cell r="F390">
            <v>321.8</v>
          </cell>
          <cell r="G390">
            <v>1343.89</v>
          </cell>
          <cell r="H390">
            <v>3274.5600000000004</v>
          </cell>
          <cell r="I390">
            <v>5941.22</v>
          </cell>
          <cell r="J390">
            <v>93429</v>
          </cell>
          <cell r="K390" t="str">
            <v>MP</v>
          </cell>
        </row>
        <row r="391">
          <cell r="A391" t="str">
            <v>995075-SLR</v>
          </cell>
          <cell r="B391">
            <v>13481</v>
          </cell>
          <cell r="C391">
            <v>4069.24</v>
          </cell>
          <cell r="D391">
            <v>35.26</v>
          </cell>
          <cell r="E391">
            <v>477</v>
          </cell>
          <cell r="F391">
            <v>653.39</v>
          </cell>
          <cell r="G391">
            <v>3002.11</v>
          </cell>
          <cell r="H391">
            <v>8237</v>
          </cell>
          <cell r="I391">
            <v>13554.98</v>
          </cell>
          <cell r="J391">
            <v>92371</v>
          </cell>
          <cell r="K391" t="str">
            <v>MP</v>
          </cell>
        </row>
        <row r="392">
          <cell r="A392" t="str">
            <v>995076-SLR</v>
          </cell>
          <cell r="B392">
            <v>13712</v>
          </cell>
          <cell r="C392">
            <v>184.33</v>
          </cell>
          <cell r="D392">
            <v>0.15</v>
          </cell>
          <cell r="E392">
            <v>429</v>
          </cell>
          <cell r="F392">
            <v>137.9</v>
          </cell>
          <cell r="G392">
            <v>49.42</v>
          </cell>
          <cell r="H392">
            <v>800.8</v>
          </cell>
          <cell r="I392">
            <v>75.62</v>
          </cell>
          <cell r="J392">
            <v>91532</v>
          </cell>
          <cell r="K392" t="str">
            <v>MP</v>
          </cell>
        </row>
        <row r="393">
          <cell r="A393" t="str">
            <v>995077-SLR</v>
          </cell>
          <cell r="B393">
            <v>13226</v>
          </cell>
          <cell r="C393">
            <v>182.67</v>
          </cell>
          <cell r="D393">
            <v>4.95</v>
          </cell>
          <cell r="E393">
            <v>477</v>
          </cell>
          <cell r="F393">
            <v>191.91</v>
          </cell>
          <cell r="G393">
            <v>372.49</v>
          </cell>
          <cell r="H393">
            <v>1229.02</v>
          </cell>
          <cell r="I393">
            <v>2473.02</v>
          </cell>
          <cell r="J393">
            <v>93426</v>
          </cell>
          <cell r="K393" t="str">
            <v>MP</v>
          </cell>
        </row>
        <row r="394">
          <cell r="A394" t="str">
            <v>995078-SLR</v>
          </cell>
          <cell r="B394">
            <v>13227</v>
          </cell>
          <cell r="C394">
            <v>182.67</v>
          </cell>
          <cell r="D394">
            <v>3</v>
          </cell>
          <cell r="E394">
            <v>477</v>
          </cell>
          <cell r="F394">
            <v>169.95</v>
          </cell>
          <cell r="G394">
            <v>235.83</v>
          </cell>
          <cell r="H394">
            <v>1068.4499999999998</v>
          </cell>
          <cell r="I394">
            <v>1498.8</v>
          </cell>
          <cell r="J394">
            <v>93428</v>
          </cell>
          <cell r="K394" t="str">
            <v>MP</v>
          </cell>
        </row>
        <row r="395">
          <cell r="A395" t="str">
            <v>995079-SLR</v>
          </cell>
          <cell r="B395">
            <v>13248</v>
          </cell>
          <cell r="C395">
            <v>181.55</v>
          </cell>
          <cell r="D395">
            <v>6.03</v>
          </cell>
          <cell r="E395">
            <v>477</v>
          </cell>
          <cell r="F395">
            <v>204.14</v>
          </cell>
          <cell r="G395">
            <v>448.59</v>
          </cell>
          <cell r="H395">
            <v>1317.31</v>
          </cell>
          <cell r="I395">
            <v>3016.6</v>
          </cell>
          <cell r="J395">
            <v>93023</v>
          </cell>
          <cell r="K395" t="str">
            <v>MP</v>
          </cell>
        </row>
        <row r="396">
          <cell r="A396" t="str">
            <v>995080-SLR</v>
          </cell>
          <cell r="B396">
            <v>13308</v>
          </cell>
          <cell r="C396">
            <v>145.87</v>
          </cell>
          <cell r="D396">
            <v>95.16</v>
          </cell>
          <cell r="E396">
            <v>477</v>
          </cell>
          <cell r="F396">
            <v>1328.68</v>
          </cell>
          <cell r="G396">
            <v>6674.15</v>
          </cell>
          <cell r="H396">
            <v>8720.86</v>
          </cell>
          <cell r="I396">
            <v>47431.44</v>
          </cell>
          <cell r="J396">
            <v>92018</v>
          </cell>
          <cell r="K396" t="str">
            <v>MP</v>
          </cell>
        </row>
        <row r="397">
          <cell r="A397" t="str">
            <v>995081-SLR</v>
          </cell>
          <cell r="B397">
            <v>13249</v>
          </cell>
          <cell r="C397">
            <v>181.55</v>
          </cell>
          <cell r="D397">
            <v>6.03</v>
          </cell>
          <cell r="E397">
            <v>477</v>
          </cell>
          <cell r="F397">
            <v>204.14</v>
          </cell>
          <cell r="G397">
            <v>448.59</v>
          </cell>
          <cell r="H397">
            <v>1317.31</v>
          </cell>
          <cell r="I397">
            <v>3016.6</v>
          </cell>
          <cell r="J397">
            <v>93023</v>
          </cell>
          <cell r="K397" t="str">
            <v>MP</v>
          </cell>
        </row>
        <row r="398">
          <cell r="A398" t="str">
            <v>995082-SLR</v>
          </cell>
          <cell r="B398">
            <v>13228</v>
          </cell>
          <cell r="C398">
            <v>182.67</v>
          </cell>
          <cell r="D398">
            <v>6.65</v>
          </cell>
          <cell r="E398">
            <v>477</v>
          </cell>
          <cell r="F398">
            <v>206.92</v>
          </cell>
          <cell r="G398">
            <v>465.84</v>
          </cell>
          <cell r="H398">
            <v>1339.08</v>
          </cell>
          <cell r="I398">
            <v>3138.11</v>
          </cell>
          <cell r="J398">
            <v>90697</v>
          </cell>
          <cell r="K398" t="str">
            <v>MP</v>
          </cell>
        </row>
        <row r="399">
          <cell r="A399" t="str">
            <v>995083-SLR</v>
          </cell>
          <cell r="B399">
            <v>13285</v>
          </cell>
          <cell r="C399">
            <v>167.59</v>
          </cell>
          <cell r="D399">
            <v>141.52000000000001</v>
          </cell>
          <cell r="E399">
            <v>477</v>
          </cell>
          <cell r="F399">
            <v>1855.1</v>
          </cell>
          <cell r="G399">
            <v>9949.65</v>
          </cell>
          <cell r="H399">
            <v>12590.86</v>
          </cell>
          <cell r="I399">
            <v>70759.8</v>
          </cell>
          <cell r="J399">
            <v>93432</v>
          </cell>
          <cell r="K399" t="str">
            <v>MP</v>
          </cell>
        </row>
        <row r="400">
          <cell r="A400" t="str">
            <v>995084-SLR</v>
          </cell>
          <cell r="B400">
            <v>13703</v>
          </cell>
          <cell r="C400">
            <v>861</v>
          </cell>
          <cell r="D400">
            <v>313.23</v>
          </cell>
          <cell r="E400">
            <v>429</v>
          </cell>
          <cell r="F400">
            <v>3723.07</v>
          </cell>
          <cell r="G400">
            <v>16339.27</v>
          </cell>
          <cell r="H400">
            <v>21665.57</v>
          </cell>
          <cell r="I400">
            <v>152915.82</v>
          </cell>
          <cell r="J400">
            <v>90062</v>
          </cell>
          <cell r="K400" t="str">
            <v>MP</v>
          </cell>
        </row>
        <row r="401">
          <cell r="A401" t="str">
            <v>995086-SLR</v>
          </cell>
          <cell r="B401">
            <v>13286</v>
          </cell>
          <cell r="C401">
            <v>181.55</v>
          </cell>
          <cell r="D401">
            <v>4.0599999999999996</v>
          </cell>
          <cell r="E401">
            <v>477</v>
          </cell>
          <cell r="F401">
            <v>177.7</v>
          </cell>
          <cell r="G401">
            <v>284.07</v>
          </cell>
          <cell r="H401">
            <v>1124.3799999999999</v>
          </cell>
          <cell r="I401">
            <v>1843.48</v>
          </cell>
          <cell r="J401">
            <v>93426</v>
          </cell>
          <cell r="K401" t="str">
            <v>MP</v>
          </cell>
        </row>
        <row r="402">
          <cell r="A402" t="str">
            <v>995087-SLR</v>
          </cell>
          <cell r="B402">
            <v>13600</v>
          </cell>
          <cell r="C402">
            <v>210.55</v>
          </cell>
          <cell r="D402">
            <v>30.78</v>
          </cell>
          <cell r="E402">
            <v>477</v>
          </cell>
          <cell r="F402">
            <v>607.77</v>
          </cell>
          <cell r="G402">
            <v>2188.4699999999998</v>
          </cell>
          <cell r="H402">
            <v>3514.5699999999997</v>
          </cell>
          <cell r="I402">
            <v>15390.58</v>
          </cell>
          <cell r="J402">
            <v>93535</v>
          </cell>
          <cell r="K402" t="str">
            <v>MP</v>
          </cell>
        </row>
        <row r="403">
          <cell r="A403" t="str">
            <v>995088-SLR</v>
          </cell>
          <cell r="B403">
            <v>13503</v>
          </cell>
          <cell r="C403">
            <v>2595.77</v>
          </cell>
          <cell r="D403">
            <v>94.51</v>
          </cell>
          <cell r="E403">
            <v>477</v>
          </cell>
          <cell r="F403">
            <v>1379.87</v>
          </cell>
          <cell r="G403">
            <v>9490.01</v>
          </cell>
          <cell r="H403">
            <v>14037.16</v>
          </cell>
          <cell r="I403">
            <v>47257.13</v>
          </cell>
          <cell r="J403">
            <v>91975</v>
          </cell>
          <cell r="K403" t="str">
            <v>MP</v>
          </cell>
        </row>
        <row r="404">
          <cell r="A404" t="str">
            <v>995089-SLR</v>
          </cell>
          <cell r="B404">
            <v>13411</v>
          </cell>
          <cell r="C404">
            <v>2238.02</v>
          </cell>
          <cell r="D404">
            <v>45.14</v>
          </cell>
          <cell r="E404">
            <v>477</v>
          </cell>
          <cell r="F404">
            <v>815.23</v>
          </cell>
          <cell r="G404">
            <v>4721.9799999999996</v>
          </cell>
          <cell r="H404">
            <v>8297.369999999999</v>
          </cell>
          <cell r="I404">
            <v>22569.39</v>
          </cell>
          <cell r="J404">
            <v>91975</v>
          </cell>
          <cell r="K404" t="str">
            <v>MP</v>
          </cell>
        </row>
        <row r="405">
          <cell r="A405" t="str">
            <v>995090-SLR</v>
          </cell>
          <cell r="B405">
            <v>13309</v>
          </cell>
          <cell r="C405">
            <v>150.58000000000001</v>
          </cell>
          <cell r="D405">
            <v>2.11</v>
          </cell>
          <cell r="E405">
            <v>477</v>
          </cell>
          <cell r="F405">
            <v>155.75</v>
          </cell>
          <cell r="G405">
            <v>200.16</v>
          </cell>
          <cell r="H405">
            <v>985.6</v>
          </cell>
          <cell r="I405">
            <v>900.78</v>
          </cell>
          <cell r="J405">
            <v>90466</v>
          </cell>
          <cell r="K405" t="str">
            <v>MP</v>
          </cell>
        </row>
        <row r="406">
          <cell r="A406" t="str">
            <v>995091-SLR</v>
          </cell>
          <cell r="B406">
            <v>13105</v>
          </cell>
          <cell r="C406">
            <v>243.97</v>
          </cell>
          <cell r="D406">
            <v>11.87</v>
          </cell>
          <cell r="E406">
            <v>477</v>
          </cell>
          <cell r="F406">
            <v>271.74</v>
          </cell>
          <cell r="G406">
            <v>832.72</v>
          </cell>
          <cell r="H406">
            <v>1837.3000000000002</v>
          </cell>
          <cell r="I406">
            <v>5692.16</v>
          </cell>
          <cell r="J406">
            <v>91814</v>
          </cell>
          <cell r="K406" t="str">
            <v>MP</v>
          </cell>
        </row>
        <row r="407">
          <cell r="A407" t="str">
            <v>995092-SLR</v>
          </cell>
          <cell r="B407">
            <v>13473</v>
          </cell>
          <cell r="C407">
            <v>1851.72</v>
          </cell>
          <cell r="D407">
            <v>181.59</v>
          </cell>
          <cell r="E407">
            <v>477</v>
          </cell>
          <cell r="F407">
            <v>495.48</v>
          </cell>
          <cell r="G407">
            <v>1865.95</v>
          </cell>
          <cell r="H407">
            <v>4871.74</v>
          </cell>
          <cell r="I407">
            <v>9102.52</v>
          </cell>
          <cell r="J407">
            <v>91553</v>
          </cell>
          <cell r="K407" t="str">
            <v>MP</v>
          </cell>
        </row>
        <row r="408">
          <cell r="A408" t="str">
            <v>995094-SLR</v>
          </cell>
          <cell r="B408">
            <v>13520</v>
          </cell>
          <cell r="C408">
            <v>566.74</v>
          </cell>
          <cell r="D408">
            <v>242.27</v>
          </cell>
          <cell r="E408">
            <v>477</v>
          </cell>
          <cell r="F408">
            <v>599.02</v>
          </cell>
          <cell r="G408">
            <v>2743.76</v>
          </cell>
          <cell r="H408">
            <v>4628.79</v>
          </cell>
          <cell r="I408">
            <v>14647.08</v>
          </cell>
          <cell r="J408">
            <v>92088</v>
          </cell>
          <cell r="K408" t="str">
            <v>MP</v>
          </cell>
        </row>
        <row r="409">
          <cell r="A409" t="str">
            <v>995095-SLR</v>
          </cell>
          <cell r="B409">
            <v>13521</v>
          </cell>
          <cell r="C409">
            <v>206.91</v>
          </cell>
          <cell r="D409">
            <v>14.49</v>
          </cell>
          <cell r="E409">
            <v>477</v>
          </cell>
          <cell r="F409">
            <v>339.28</v>
          </cell>
          <cell r="G409">
            <v>1418.52</v>
          </cell>
          <cell r="H409">
            <v>2456.1999999999998</v>
          </cell>
          <cell r="I409">
            <v>7244.51</v>
          </cell>
          <cell r="J409">
            <v>90402</v>
          </cell>
          <cell r="K409" t="str">
            <v>MP</v>
          </cell>
        </row>
        <row r="410">
          <cell r="A410" t="str">
            <v>995096-SLR</v>
          </cell>
          <cell r="B410">
            <v>13107</v>
          </cell>
          <cell r="C410">
            <v>33684.42</v>
          </cell>
          <cell r="D410">
            <v>139.91</v>
          </cell>
          <cell r="E410">
            <v>477</v>
          </cell>
          <cell r="F410">
            <v>1833.26</v>
          </cell>
          <cell r="G410">
            <v>8411.7999999999993</v>
          </cell>
          <cell r="H410">
            <v>44546.39</v>
          </cell>
          <cell r="I410">
            <v>36274.04</v>
          </cell>
          <cell r="J410">
            <v>93182</v>
          </cell>
          <cell r="K410" t="str">
            <v>MP</v>
          </cell>
        </row>
        <row r="411">
          <cell r="A411" t="str">
            <v>995097-SLR</v>
          </cell>
          <cell r="B411">
            <v>13353</v>
          </cell>
          <cell r="C411">
            <v>13275.77</v>
          </cell>
          <cell r="D411">
            <v>113.31</v>
          </cell>
          <cell r="E411">
            <v>477</v>
          </cell>
          <cell r="F411">
            <v>1533.32</v>
          </cell>
          <cell r="G411">
            <v>7279.74</v>
          </cell>
          <cell r="H411">
            <v>22679.14</v>
          </cell>
          <cell r="I411">
            <v>43378.48</v>
          </cell>
          <cell r="J411">
            <v>93001</v>
          </cell>
          <cell r="K411" t="str">
            <v>MP</v>
          </cell>
        </row>
        <row r="412">
          <cell r="A412" t="str">
            <v>995098-SLR</v>
          </cell>
          <cell r="B412">
            <v>13229</v>
          </cell>
          <cell r="C412">
            <v>12804.85</v>
          </cell>
          <cell r="D412">
            <v>45.73</v>
          </cell>
          <cell r="E412">
            <v>477</v>
          </cell>
          <cell r="F412">
            <v>771.5</v>
          </cell>
          <cell r="G412">
            <v>2749.04</v>
          </cell>
          <cell r="H412">
            <v>16848.12</v>
          </cell>
          <cell r="I412">
            <v>10058.09</v>
          </cell>
          <cell r="J412">
            <v>93086</v>
          </cell>
          <cell r="K412" t="str">
            <v>MP</v>
          </cell>
        </row>
        <row r="413">
          <cell r="A413" t="str">
            <v>995099-SLR</v>
          </cell>
          <cell r="B413">
            <v>13287</v>
          </cell>
          <cell r="C413">
            <v>3131.49</v>
          </cell>
          <cell r="D413">
            <v>17.579999999999998</v>
          </cell>
          <cell r="E413">
            <v>477</v>
          </cell>
          <cell r="F413">
            <v>398.83</v>
          </cell>
          <cell r="G413">
            <v>1367.6</v>
          </cell>
          <cell r="H413">
            <v>5392.5</v>
          </cell>
          <cell r="I413">
            <v>5655.12</v>
          </cell>
          <cell r="J413">
            <v>93049</v>
          </cell>
          <cell r="K413" t="str">
            <v>MP</v>
          </cell>
        </row>
        <row r="414">
          <cell r="A414" t="str">
            <v>995100-SLR</v>
          </cell>
          <cell r="B414">
            <v>13250</v>
          </cell>
          <cell r="C414">
            <v>272.43</v>
          </cell>
          <cell r="D414">
            <v>66.61</v>
          </cell>
          <cell r="E414">
            <v>477</v>
          </cell>
          <cell r="F414">
            <v>1013.07</v>
          </cell>
          <cell r="G414">
            <v>6392.64</v>
          </cell>
          <cell r="H414">
            <v>8221.75</v>
          </cell>
          <cell r="I414">
            <v>33306.449999999997</v>
          </cell>
          <cell r="J414">
            <v>90402</v>
          </cell>
          <cell r="K414" t="str">
            <v>MP</v>
          </cell>
        </row>
        <row r="415">
          <cell r="A415" t="str">
            <v>995101-SLR</v>
          </cell>
          <cell r="B415">
            <v>13412</v>
          </cell>
          <cell r="C415">
            <v>17191.05</v>
          </cell>
          <cell r="D415">
            <v>72.22</v>
          </cell>
          <cell r="E415">
            <v>477</v>
          </cell>
          <cell r="F415">
            <v>1070.19</v>
          </cell>
          <cell r="G415">
            <v>4342.09</v>
          </cell>
          <cell r="H415">
            <v>23152.55</v>
          </cell>
          <cell r="I415">
            <v>18920.82</v>
          </cell>
          <cell r="J415">
            <v>91997</v>
          </cell>
          <cell r="K415" t="str">
            <v>MP</v>
          </cell>
        </row>
        <row r="416">
          <cell r="A416" t="str">
            <v>995103-SLR</v>
          </cell>
          <cell r="B416">
            <v>13413</v>
          </cell>
          <cell r="C416">
            <v>215.96</v>
          </cell>
          <cell r="D416">
            <v>5.69</v>
          </cell>
          <cell r="E416">
            <v>477</v>
          </cell>
          <cell r="F416">
            <v>201.05</v>
          </cell>
          <cell r="G416">
            <v>582.66999999999996</v>
          </cell>
          <cell r="H416">
            <v>1482.37</v>
          </cell>
          <cell r="I416">
            <v>2845.02</v>
          </cell>
          <cell r="J416">
            <v>92381</v>
          </cell>
          <cell r="K416" t="str">
            <v>MP</v>
          </cell>
        </row>
        <row r="417">
          <cell r="A417" t="str">
            <v>995104-SLR</v>
          </cell>
          <cell r="B417">
            <v>13552</v>
          </cell>
          <cell r="C417">
            <v>155.11000000000001</v>
          </cell>
          <cell r="D417">
            <v>2.73</v>
          </cell>
          <cell r="E417">
            <v>477</v>
          </cell>
          <cell r="F417">
            <v>162.86000000000001</v>
          </cell>
          <cell r="G417">
            <v>177.99</v>
          </cell>
          <cell r="H417">
            <v>975.69</v>
          </cell>
          <cell r="I417">
            <v>1211.31</v>
          </cell>
          <cell r="J417">
            <v>90219</v>
          </cell>
          <cell r="K417" t="str">
            <v>MP</v>
          </cell>
        </row>
        <row r="418">
          <cell r="A418" t="str">
            <v>995105-SLR</v>
          </cell>
          <cell r="B418">
            <v>13414</v>
          </cell>
          <cell r="C418">
            <v>260.45999999999998</v>
          </cell>
          <cell r="D418">
            <v>10.99</v>
          </cell>
          <cell r="E418">
            <v>477</v>
          </cell>
          <cell r="F418">
            <v>263.56</v>
          </cell>
          <cell r="G418">
            <v>634.07000000000005</v>
          </cell>
          <cell r="H418">
            <v>1646.08</v>
          </cell>
          <cell r="I418">
            <v>5492.86</v>
          </cell>
          <cell r="J418">
            <v>92255</v>
          </cell>
          <cell r="K418" t="str">
            <v>MP</v>
          </cell>
        </row>
        <row r="419">
          <cell r="A419" t="str">
            <v>995106-SLR</v>
          </cell>
          <cell r="B419">
            <v>13108</v>
          </cell>
          <cell r="C419">
            <v>0</v>
          </cell>
          <cell r="D419">
            <v>0</v>
          </cell>
          <cell r="E419">
            <v>19.04</v>
          </cell>
          <cell r="F419">
            <v>0</v>
          </cell>
          <cell r="G419">
            <v>166.03</v>
          </cell>
          <cell r="H419">
            <v>185.07</v>
          </cell>
          <cell r="I419">
            <v>276.72000000000003</v>
          </cell>
          <cell r="J419">
            <v>93050</v>
          </cell>
          <cell r="K419" t="str">
            <v>MP</v>
          </cell>
        </row>
        <row r="420">
          <cell r="A420" t="str">
            <v>995107-SLR</v>
          </cell>
          <cell r="B420">
            <v>13109</v>
          </cell>
          <cell r="C420">
            <v>113</v>
          </cell>
          <cell r="D420">
            <v>0</v>
          </cell>
          <cell r="E420">
            <v>19.04</v>
          </cell>
          <cell r="F420">
            <v>0</v>
          </cell>
          <cell r="G420">
            <v>94.9</v>
          </cell>
          <cell r="H420">
            <v>226.94</v>
          </cell>
          <cell r="I420">
            <v>45.16</v>
          </cell>
          <cell r="J420">
            <v>92202</v>
          </cell>
          <cell r="K420" t="str">
            <v>MP</v>
          </cell>
        </row>
        <row r="421">
          <cell r="A421" t="str">
            <v>995108-SLR</v>
          </cell>
          <cell r="B421">
            <v>13111</v>
          </cell>
          <cell r="C421">
            <v>0</v>
          </cell>
          <cell r="D421">
            <v>0</v>
          </cell>
          <cell r="E421">
            <v>19.04</v>
          </cell>
          <cell r="F421">
            <v>0</v>
          </cell>
          <cell r="G421">
            <v>166.03</v>
          </cell>
          <cell r="H421">
            <v>185.07</v>
          </cell>
          <cell r="I421">
            <v>276.72000000000003</v>
          </cell>
          <cell r="J421">
            <v>93050</v>
          </cell>
          <cell r="K421" t="str">
            <v>MP</v>
          </cell>
        </row>
        <row r="422">
          <cell r="A422" t="str">
            <v>995109-SLR</v>
          </cell>
          <cell r="B422">
            <v>13112</v>
          </cell>
          <cell r="C422">
            <v>131.83000000000001</v>
          </cell>
          <cell r="D422">
            <v>0</v>
          </cell>
          <cell r="E422">
            <v>19.04</v>
          </cell>
          <cell r="F422">
            <v>0</v>
          </cell>
          <cell r="G422">
            <v>655.61</v>
          </cell>
          <cell r="H422">
            <v>806.48</v>
          </cell>
          <cell r="I422">
            <v>960.85</v>
          </cell>
          <cell r="J422">
            <v>91814</v>
          </cell>
          <cell r="K422" t="str">
            <v>MP</v>
          </cell>
        </row>
        <row r="423">
          <cell r="A423" t="str">
            <v>995111-SLR</v>
          </cell>
          <cell r="B423">
            <v>13482</v>
          </cell>
          <cell r="C423">
            <v>206.73</v>
          </cell>
          <cell r="D423">
            <v>4.3600000000000003</v>
          </cell>
          <cell r="E423">
            <v>477</v>
          </cell>
          <cell r="F423">
            <v>181.2</v>
          </cell>
          <cell r="G423">
            <v>305.82</v>
          </cell>
          <cell r="H423">
            <v>1175.1099999999999</v>
          </cell>
          <cell r="I423">
            <v>1973.37</v>
          </cell>
          <cell r="J423">
            <v>90463</v>
          </cell>
          <cell r="K423" t="str">
            <v>MP</v>
          </cell>
        </row>
        <row r="424">
          <cell r="A424" t="str">
            <v>995112-SLR</v>
          </cell>
          <cell r="B424">
            <v>13319</v>
          </cell>
          <cell r="C424">
            <v>745.38</v>
          </cell>
          <cell r="D424">
            <v>242.5</v>
          </cell>
          <cell r="E424">
            <v>477</v>
          </cell>
          <cell r="F424">
            <v>2989.52</v>
          </cell>
          <cell r="G424">
            <v>15050.29</v>
          </cell>
          <cell r="H424">
            <v>19504.690000000002</v>
          </cell>
          <cell r="I424">
            <v>120499.77</v>
          </cell>
          <cell r="J424">
            <v>90402</v>
          </cell>
          <cell r="K424" t="str">
            <v>MP</v>
          </cell>
        </row>
        <row r="425">
          <cell r="A425" t="str">
            <v>995113-SLR</v>
          </cell>
          <cell r="B425">
            <v>13415</v>
          </cell>
          <cell r="C425">
            <v>182.72</v>
          </cell>
          <cell r="D425">
            <v>16.07</v>
          </cell>
          <cell r="E425">
            <v>477</v>
          </cell>
          <cell r="F425">
            <v>365.41</v>
          </cell>
          <cell r="G425">
            <v>1127.44</v>
          </cell>
          <cell r="H425">
            <v>2168.6400000000003</v>
          </cell>
          <cell r="I425">
            <v>7854.32</v>
          </cell>
          <cell r="J425">
            <v>90097</v>
          </cell>
          <cell r="K425" t="str">
            <v>MP</v>
          </cell>
        </row>
        <row r="426">
          <cell r="A426" t="str">
            <v>995114-SLR</v>
          </cell>
          <cell r="B426">
            <v>13160</v>
          </cell>
          <cell r="C426">
            <v>242.7</v>
          </cell>
          <cell r="D426">
            <v>5.13</v>
          </cell>
          <cell r="E426">
            <v>477</v>
          </cell>
          <cell r="F426">
            <v>195.3</v>
          </cell>
          <cell r="G426">
            <v>590.30999999999995</v>
          </cell>
          <cell r="H426">
            <v>1510.4399999999998</v>
          </cell>
          <cell r="I426">
            <v>2562.71</v>
          </cell>
          <cell r="J426">
            <v>93431</v>
          </cell>
          <cell r="K426" t="str">
            <v>MP</v>
          </cell>
        </row>
        <row r="427">
          <cell r="A427" t="str">
            <v>995115-SLR</v>
          </cell>
          <cell r="B427">
            <v>13417</v>
          </cell>
          <cell r="C427">
            <v>3492.44</v>
          </cell>
          <cell r="D427">
            <v>29.88</v>
          </cell>
          <cell r="E427">
            <v>477</v>
          </cell>
          <cell r="F427">
            <v>671.47</v>
          </cell>
          <cell r="G427">
            <v>3507.95</v>
          </cell>
          <cell r="H427">
            <v>8178.74</v>
          </cell>
          <cell r="I427">
            <v>14940.57</v>
          </cell>
          <cell r="J427">
            <v>92007</v>
          </cell>
          <cell r="K427" t="str">
            <v>MP</v>
          </cell>
        </row>
        <row r="428">
          <cell r="A428" t="str">
            <v>995116-SLR</v>
          </cell>
          <cell r="B428">
            <v>13355</v>
          </cell>
          <cell r="C428">
            <v>7098.85</v>
          </cell>
          <cell r="D428">
            <v>9.84</v>
          </cell>
          <cell r="E428">
            <v>477</v>
          </cell>
          <cell r="F428">
            <v>526.70000000000005</v>
          </cell>
          <cell r="G428">
            <v>2285.4499999999998</v>
          </cell>
          <cell r="H428">
            <v>10397.84</v>
          </cell>
          <cell r="I428">
            <v>4919.9799999999996</v>
          </cell>
          <cell r="J428">
            <v>93193</v>
          </cell>
          <cell r="K428" t="str">
            <v>MP</v>
          </cell>
        </row>
        <row r="429">
          <cell r="A429" t="str">
            <v>995117-SLR</v>
          </cell>
          <cell r="B429">
            <v>13418</v>
          </cell>
          <cell r="C429">
            <v>178.4</v>
          </cell>
          <cell r="D429">
            <v>1.99</v>
          </cell>
          <cell r="E429">
            <v>477</v>
          </cell>
          <cell r="F429">
            <v>158.41999999999999</v>
          </cell>
          <cell r="G429">
            <v>164.07</v>
          </cell>
          <cell r="H429">
            <v>979.87999999999988</v>
          </cell>
          <cell r="I429">
            <v>991.53</v>
          </cell>
          <cell r="J429">
            <v>91337</v>
          </cell>
          <cell r="K429" t="str">
            <v>MP</v>
          </cell>
        </row>
        <row r="430">
          <cell r="A430" t="str">
            <v>995118-SLR</v>
          </cell>
          <cell r="B430">
            <v>13230</v>
          </cell>
          <cell r="C430">
            <v>4360.57</v>
          </cell>
          <cell r="D430">
            <v>106.04</v>
          </cell>
          <cell r="E430">
            <v>477</v>
          </cell>
          <cell r="F430">
            <v>349</v>
          </cell>
          <cell r="G430">
            <v>10094.49</v>
          </cell>
          <cell r="H430">
            <v>15387.099999999999</v>
          </cell>
          <cell r="I430">
            <v>48662.29</v>
          </cell>
          <cell r="J430">
            <v>91178</v>
          </cell>
          <cell r="K430" t="str">
            <v>MP</v>
          </cell>
        </row>
        <row r="431">
          <cell r="A431" t="str">
            <v>995119-SLR</v>
          </cell>
          <cell r="B431">
            <v>13296</v>
          </cell>
          <cell r="C431">
            <v>0</v>
          </cell>
          <cell r="D431">
            <v>0</v>
          </cell>
          <cell r="E431">
            <v>0</v>
          </cell>
          <cell r="F431">
            <v>0</v>
          </cell>
          <cell r="G431">
            <v>332.54</v>
          </cell>
          <cell r="H431">
            <v>332.54</v>
          </cell>
          <cell r="I431">
            <v>502.14</v>
          </cell>
          <cell r="J431">
            <v>92376</v>
          </cell>
          <cell r="K431" t="str">
            <v>MP</v>
          </cell>
        </row>
        <row r="432">
          <cell r="A432" t="str">
            <v>995120-SLR</v>
          </cell>
          <cell r="B432">
            <v>13661</v>
          </cell>
          <cell r="C432">
            <v>6013.12</v>
          </cell>
          <cell r="D432">
            <v>483</v>
          </cell>
          <cell r="E432">
            <v>429</v>
          </cell>
          <cell r="F432">
            <v>5836.01</v>
          </cell>
          <cell r="G432">
            <v>52079.59</v>
          </cell>
          <cell r="H432">
            <v>64840.72</v>
          </cell>
          <cell r="I432">
            <v>241501.93</v>
          </cell>
          <cell r="J432">
            <v>93434</v>
          </cell>
          <cell r="K432" t="str">
            <v>MP</v>
          </cell>
        </row>
        <row r="433">
          <cell r="A433" t="str">
            <v>995121-SLR</v>
          </cell>
          <cell r="B433">
            <v>13593</v>
          </cell>
          <cell r="C433">
            <v>21643</v>
          </cell>
          <cell r="D433">
            <v>430.2</v>
          </cell>
          <cell r="E433">
            <v>477</v>
          </cell>
          <cell r="F433">
            <v>1043.77</v>
          </cell>
          <cell r="G433">
            <v>25105.360000000001</v>
          </cell>
          <cell r="H433">
            <v>48699.33</v>
          </cell>
          <cell r="I433">
            <v>215031.15</v>
          </cell>
          <cell r="J433">
            <v>93182</v>
          </cell>
          <cell r="K433" t="str">
            <v>MP</v>
          </cell>
        </row>
        <row r="434">
          <cell r="A434" t="str">
            <v>995122-SLR</v>
          </cell>
          <cell r="B434">
            <v>13553</v>
          </cell>
          <cell r="C434">
            <v>167.66</v>
          </cell>
          <cell r="D434">
            <v>11.54</v>
          </cell>
          <cell r="E434">
            <v>477</v>
          </cell>
          <cell r="F434">
            <v>271.85000000000002</v>
          </cell>
          <cell r="G434">
            <v>1130.6300000000001</v>
          </cell>
          <cell r="H434">
            <v>2058.6800000000003</v>
          </cell>
          <cell r="I434">
            <v>5888.36</v>
          </cell>
          <cell r="J434">
            <v>93458</v>
          </cell>
          <cell r="K434" t="str">
            <v>MP</v>
          </cell>
        </row>
        <row r="435">
          <cell r="A435" t="str">
            <v>995123-SLR</v>
          </cell>
          <cell r="B435">
            <v>13289</v>
          </cell>
          <cell r="C435">
            <v>3799.39</v>
          </cell>
          <cell r="D435">
            <v>32.770000000000003</v>
          </cell>
          <cell r="E435">
            <v>477</v>
          </cell>
          <cell r="F435">
            <v>625.51</v>
          </cell>
          <cell r="G435">
            <v>1970.44</v>
          </cell>
          <cell r="H435">
            <v>6905.1100000000006</v>
          </cell>
          <cell r="I435">
            <v>12588.17</v>
          </cell>
          <cell r="J435">
            <v>92315</v>
          </cell>
          <cell r="K435" t="str">
            <v>MP</v>
          </cell>
        </row>
        <row r="436">
          <cell r="A436" t="str">
            <v>995124-SLR</v>
          </cell>
          <cell r="B436">
            <v>13231</v>
          </cell>
          <cell r="C436">
            <v>1313.39</v>
          </cell>
          <cell r="D436">
            <v>7.81</v>
          </cell>
          <cell r="E436">
            <v>477</v>
          </cell>
          <cell r="F436">
            <v>249.62</v>
          </cell>
          <cell r="G436">
            <v>966.17</v>
          </cell>
          <cell r="H436">
            <v>3013.9900000000002</v>
          </cell>
          <cell r="I436">
            <v>3904.37</v>
          </cell>
          <cell r="J436">
            <v>93018</v>
          </cell>
          <cell r="K436" t="str">
            <v>MP</v>
          </cell>
        </row>
        <row r="437">
          <cell r="A437" t="str">
            <v>995125-SLR</v>
          </cell>
          <cell r="B437">
            <v>13157</v>
          </cell>
          <cell r="C437">
            <v>299.81</v>
          </cell>
          <cell r="D437">
            <v>1.03</v>
          </cell>
          <cell r="E437">
            <v>477</v>
          </cell>
          <cell r="F437">
            <v>140.22</v>
          </cell>
          <cell r="G437">
            <v>65.37</v>
          </cell>
          <cell r="H437">
            <v>983.43</v>
          </cell>
          <cell r="I437">
            <v>63.23</v>
          </cell>
          <cell r="J437">
            <v>91553</v>
          </cell>
          <cell r="K437" t="str">
            <v>MP</v>
          </cell>
        </row>
        <row r="438">
          <cell r="A438" t="str">
            <v>995126-SLR</v>
          </cell>
          <cell r="B438">
            <v>13419</v>
          </cell>
          <cell r="C438">
            <v>179.47</v>
          </cell>
          <cell r="D438">
            <v>52.58</v>
          </cell>
          <cell r="E438">
            <v>477</v>
          </cell>
          <cell r="F438">
            <v>137.71</v>
          </cell>
          <cell r="G438">
            <v>47.83</v>
          </cell>
          <cell r="H438">
            <v>894.59</v>
          </cell>
          <cell r="I438">
            <v>71.790000000000006</v>
          </cell>
          <cell r="J438">
            <v>91177</v>
          </cell>
          <cell r="K438" t="str">
            <v>MP</v>
          </cell>
        </row>
        <row r="439">
          <cell r="A439" t="str">
            <v>995127-SLR</v>
          </cell>
          <cell r="B439">
            <v>13356</v>
          </cell>
          <cell r="C439">
            <v>368.24</v>
          </cell>
          <cell r="D439">
            <v>27.27</v>
          </cell>
          <cell r="E439">
            <v>477</v>
          </cell>
          <cell r="F439">
            <v>563.42999999999995</v>
          </cell>
          <cell r="G439">
            <v>2595.64</v>
          </cell>
          <cell r="H439">
            <v>4031.58</v>
          </cell>
          <cell r="I439">
            <v>13265.78</v>
          </cell>
          <cell r="J439">
            <v>90402</v>
          </cell>
          <cell r="K439" t="str">
            <v>MP</v>
          </cell>
        </row>
        <row r="440">
          <cell r="A440" t="str">
            <v>995128-SLR</v>
          </cell>
          <cell r="B440">
            <v>13079</v>
          </cell>
          <cell r="C440">
            <v>0</v>
          </cell>
          <cell r="D440">
            <v>0</v>
          </cell>
          <cell r="E440">
            <v>19.07</v>
          </cell>
          <cell r="F440">
            <v>0</v>
          </cell>
          <cell r="G440">
            <v>378.36</v>
          </cell>
          <cell r="H440">
            <v>397.43</v>
          </cell>
          <cell r="I440">
            <v>630.6</v>
          </cell>
          <cell r="J440">
            <v>93050</v>
          </cell>
          <cell r="K440" t="str">
            <v>MP</v>
          </cell>
        </row>
        <row r="441">
          <cell r="A441" t="str">
            <v>995129-SLR</v>
          </cell>
          <cell r="B441">
            <v>13080</v>
          </cell>
          <cell r="C441">
            <v>0</v>
          </cell>
          <cell r="D441">
            <v>0</v>
          </cell>
          <cell r="E441">
            <v>19.07</v>
          </cell>
          <cell r="F441">
            <v>0</v>
          </cell>
          <cell r="G441">
            <v>164.51</v>
          </cell>
          <cell r="H441">
            <v>183.57999999999998</v>
          </cell>
          <cell r="I441">
            <v>274.18</v>
          </cell>
          <cell r="J441">
            <v>93050</v>
          </cell>
          <cell r="K441" t="str">
            <v>MP</v>
          </cell>
        </row>
        <row r="442">
          <cell r="A442" t="str">
            <v>995131-SLR</v>
          </cell>
          <cell r="B442">
            <v>13110</v>
          </cell>
          <cell r="C442">
            <v>0</v>
          </cell>
          <cell r="D442">
            <v>0</v>
          </cell>
          <cell r="E442">
            <v>19.07</v>
          </cell>
          <cell r="F442">
            <v>0</v>
          </cell>
          <cell r="G442">
            <v>114.24</v>
          </cell>
          <cell r="H442">
            <v>133.31</v>
          </cell>
          <cell r="I442">
            <v>190.4</v>
          </cell>
          <cell r="J442">
            <v>93050</v>
          </cell>
          <cell r="K442" t="str">
            <v>MP</v>
          </cell>
        </row>
        <row r="443">
          <cell r="A443" t="str">
            <v>995132-SLR</v>
          </cell>
          <cell r="B443">
            <v>13601</v>
          </cell>
          <cell r="C443">
            <v>812.78</v>
          </cell>
          <cell r="D443">
            <v>43.94</v>
          </cell>
          <cell r="E443">
            <v>477</v>
          </cell>
          <cell r="F443">
            <v>769.63</v>
          </cell>
          <cell r="G443">
            <v>2144.38</v>
          </cell>
          <cell r="H443">
            <v>4247.7299999999996</v>
          </cell>
          <cell r="I443">
            <v>21969.14</v>
          </cell>
          <cell r="J443">
            <v>90463</v>
          </cell>
          <cell r="K443" t="str">
            <v>MP</v>
          </cell>
        </row>
        <row r="444">
          <cell r="A444" t="str">
            <v>995133-SLR</v>
          </cell>
          <cell r="B444">
            <v>13254</v>
          </cell>
          <cell r="C444">
            <v>214.14</v>
          </cell>
          <cell r="D444">
            <v>18.21</v>
          </cell>
          <cell r="E444">
            <v>477</v>
          </cell>
          <cell r="F444">
            <v>413.07</v>
          </cell>
          <cell r="G444">
            <v>1277.3399999999999</v>
          </cell>
          <cell r="H444">
            <v>2399.7600000000002</v>
          </cell>
          <cell r="I444">
            <v>8891.5300000000007</v>
          </cell>
          <cell r="J444">
            <v>90349</v>
          </cell>
          <cell r="K444" t="str">
            <v>MP</v>
          </cell>
        </row>
        <row r="445">
          <cell r="A445" t="str">
            <v>995134-SLR</v>
          </cell>
          <cell r="B445">
            <v>13602</v>
          </cell>
          <cell r="C445">
            <v>609.37</v>
          </cell>
          <cell r="D445">
            <v>242.05</v>
          </cell>
          <cell r="E445">
            <v>477</v>
          </cell>
          <cell r="F445">
            <v>2984.61</v>
          </cell>
          <cell r="G445">
            <v>6063.47</v>
          </cell>
          <cell r="H445">
            <v>10376.5</v>
          </cell>
          <cell r="I445">
            <v>120417.88</v>
          </cell>
          <cell r="J445">
            <v>91578</v>
          </cell>
          <cell r="K445" t="str">
            <v>MP</v>
          </cell>
        </row>
        <row r="446">
          <cell r="A446" t="str">
            <v>995135-SLR</v>
          </cell>
          <cell r="B446">
            <v>13554</v>
          </cell>
          <cell r="C446">
            <v>308.22000000000003</v>
          </cell>
          <cell r="D446">
            <v>178.07</v>
          </cell>
          <cell r="E446">
            <v>0</v>
          </cell>
          <cell r="F446">
            <v>0</v>
          </cell>
          <cell r="G446">
            <v>12489.79</v>
          </cell>
          <cell r="H446">
            <v>12976.080000000002</v>
          </cell>
          <cell r="I446">
            <v>88726.47</v>
          </cell>
          <cell r="J446">
            <v>90097</v>
          </cell>
          <cell r="K446" t="str">
            <v>MP</v>
          </cell>
        </row>
        <row r="447">
          <cell r="A447" t="str">
            <v>995136-SLR</v>
          </cell>
          <cell r="B447">
            <v>13523</v>
          </cell>
          <cell r="C447">
            <v>757.08</v>
          </cell>
          <cell r="D447">
            <v>7.77</v>
          </cell>
          <cell r="E447">
            <v>477</v>
          </cell>
          <cell r="F447">
            <v>236.68</v>
          </cell>
          <cell r="G447">
            <v>604.53</v>
          </cell>
          <cell r="H447">
            <v>2083.06</v>
          </cell>
          <cell r="I447">
            <v>3885.37</v>
          </cell>
          <cell r="J447">
            <v>92056</v>
          </cell>
          <cell r="K447" t="str">
            <v>MP</v>
          </cell>
        </row>
        <row r="448">
          <cell r="A448" t="str">
            <v>995138-SLR</v>
          </cell>
          <cell r="B448">
            <v>13359</v>
          </cell>
          <cell r="C448">
            <v>208.01</v>
          </cell>
          <cell r="D448">
            <v>4.54</v>
          </cell>
          <cell r="E448">
            <v>477</v>
          </cell>
          <cell r="F448">
            <v>183.37</v>
          </cell>
          <cell r="G448">
            <v>319.32</v>
          </cell>
          <cell r="H448">
            <v>1192.24</v>
          </cell>
          <cell r="I448">
            <v>2068.2800000000002</v>
          </cell>
          <cell r="J448">
            <v>90503</v>
          </cell>
          <cell r="K448" t="str">
            <v>MP</v>
          </cell>
        </row>
        <row r="449">
          <cell r="A449" t="str">
            <v>995139-SLR</v>
          </cell>
          <cell r="B449">
            <v>13556</v>
          </cell>
          <cell r="C449">
            <v>284.14</v>
          </cell>
          <cell r="D449">
            <v>27.27</v>
          </cell>
          <cell r="E449">
            <v>477</v>
          </cell>
          <cell r="F449">
            <v>563.51</v>
          </cell>
          <cell r="G449">
            <v>2869.65</v>
          </cell>
          <cell r="H449">
            <v>4221.57</v>
          </cell>
          <cell r="I449">
            <v>13353.59</v>
          </cell>
          <cell r="J449">
            <v>92278</v>
          </cell>
          <cell r="K449" t="str">
            <v>MP</v>
          </cell>
        </row>
        <row r="450">
          <cell r="A450" t="str">
            <v>995142=SLR</v>
          </cell>
          <cell r="B450">
            <v>13505</v>
          </cell>
          <cell r="C450">
            <v>24548.94</v>
          </cell>
          <cell r="D450">
            <v>127.66</v>
          </cell>
          <cell r="E450">
            <v>477</v>
          </cell>
          <cell r="F450">
            <v>1876.04</v>
          </cell>
          <cell r="G450">
            <v>8639.9500000000007</v>
          </cell>
          <cell r="H450">
            <v>35669.589999999997</v>
          </cell>
          <cell r="I450">
            <v>47323.08</v>
          </cell>
          <cell r="J450">
            <v>93249</v>
          </cell>
          <cell r="K450" t="str">
            <v>MP</v>
          </cell>
        </row>
        <row r="451">
          <cell r="A451" t="str">
            <v>995143-SLR</v>
          </cell>
          <cell r="B451">
            <v>13524</v>
          </cell>
          <cell r="C451">
            <v>183.42</v>
          </cell>
          <cell r="D451">
            <v>11.01</v>
          </cell>
          <cell r="E451">
            <v>477</v>
          </cell>
          <cell r="F451">
            <v>256.16000000000003</v>
          </cell>
          <cell r="G451">
            <v>772.25</v>
          </cell>
          <cell r="H451">
            <v>1699.84</v>
          </cell>
          <cell r="I451">
            <v>5321.63</v>
          </cell>
          <cell r="J451">
            <v>90485</v>
          </cell>
          <cell r="K451" t="str">
            <v>MP</v>
          </cell>
        </row>
        <row r="452">
          <cell r="A452" t="str">
            <v>995144-SLR</v>
          </cell>
          <cell r="B452">
            <v>13361</v>
          </cell>
          <cell r="C452">
            <v>301.99</v>
          </cell>
          <cell r="D452">
            <v>14.23</v>
          </cell>
          <cell r="E452">
            <v>477</v>
          </cell>
          <cell r="F452">
            <v>324.27</v>
          </cell>
          <cell r="G452">
            <v>997.99</v>
          </cell>
          <cell r="H452">
            <v>2115.48</v>
          </cell>
          <cell r="I452">
            <v>6812.28</v>
          </cell>
          <cell r="J452">
            <v>93163</v>
          </cell>
          <cell r="K452" t="str">
            <v>MP</v>
          </cell>
        </row>
        <row r="453">
          <cell r="A453" t="str">
            <v>995145-SLR</v>
          </cell>
          <cell r="B453">
            <v>13290</v>
          </cell>
          <cell r="C453">
            <v>262.11</v>
          </cell>
          <cell r="D453">
            <v>3.58</v>
          </cell>
          <cell r="E453">
            <v>477</v>
          </cell>
          <cell r="F453">
            <v>178.25</v>
          </cell>
          <cell r="G453">
            <v>349.06</v>
          </cell>
          <cell r="H453">
            <v>1270</v>
          </cell>
          <cell r="I453">
            <v>1787.62</v>
          </cell>
          <cell r="J453">
            <v>93433</v>
          </cell>
          <cell r="K453" t="str">
            <v>MP</v>
          </cell>
        </row>
        <row r="454">
          <cell r="A454" t="str">
            <v>995146-SLR</v>
          </cell>
          <cell r="B454">
            <v>13362</v>
          </cell>
          <cell r="C454">
            <v>4894.0600000000004</v>
          </cell>
          <cell r="D454">
            <v>48.05</v>
          </cell>
          <cell r="E454">
            <v>477</v>
          </cell>
          <cell r="F454">
            <v>797.72</v>
          </cell>
          <cell r="G454">
            <v>2888.93</v>
          </cell>
          <cell r="H454">
            <v>9105.76</v>
          </cell>
          <cell r="I454">
            <v>19132.29</v>
          </cell>
          <cell r="J454">
            <v>92315</v>
          </cell>
          <cell r="K454" t="str">
            <v>MP</v>
          </cell>
        </row>
        <row r="455">
          <cell r="A455" t="str">
            <v>995149-SLR</v>
          </cell>
          <cell r="B455">
            <v>13291</v>
          </cell>
          <cell r="C455">
            <v>148.97</v>
          </cell>
          <cell r="D455">
            <v>84.46</v>
          </cell>
          <cell r="E455">
            <v>477</v>
          </cell>
          <cell r="F455">
            <v>1211.53</v>
          </cell>
          <cell r="G455">
            <v>5945.22</v>
          </cell>
          <cell r="H455">
            <v>7867.18</v>
          </cell>
          <cell r="I455">
            <v>42232.43</v>
          </cell>
          <cell r="J455">
            <v>92018</v>
          </cell>
          <cell r="K455" t="str">
            <v>MP</v>
          </cell>
        </row>
        <row r="456">
          <cell r="A456" t="str">
            <v>995150-SLR</v>
          </cell>
          <cell r="B456">
            <v>13232</v>
          </cell>
          <cell r="C456">
            <v>0</v>
          </cell>
          <cell r="D456">
            <v>0</v>
          </cell>
          <cell r="E456">
            <v>19.23</v>
          </cell>
          <cell r="F456">
            <v>0</v>
          </cell>
          <cell r="G456">
            <v>436.59</v>
          </cell>
          <cell r="H456">
            <v>455.82</v>
          </cell>
          <cell r="I456">
            <v>727.68</v>
          </cell>
          <cell r="J456">
            <v>93050</v>
          </cell>
          <cell r="K456" t="str">
            <v>MP</v>
          </cell>
        </row>
        <row r="457">
          <cell r="A457" t="str">
            <v>995153-SLR</v>
          </cell>
          <cell r="B457">
            <v>13364</v>
          </cell>
          <cell r="C457">
            <v>3379.25</v>
          </cell>
          <cell r="D457">
            <v>14.29</v>
          </cell>
          <cell r="E457">
            <v>477</v>
          </cell>
          <cell r="F457">
            <v>325.67</v>
          </cell>
          <cell r="G457">
            <v>1360.37</v>
          </cell>
          <cell r="H457">
            <v>5556.58</v>
          </cell>
          <cell r="I457">
            <v>3766.28</v>
          </cell>
          <cell r="J457">
            <v>93429</v>
          </cell>
          <cell r="K457" t="str">
            <v>MP</v>
          </cell>
        </row>
        <row r="458">
          <cell r="A458" t="str">
            <v>995154-SLR</v>
          </cell>
          <cell r="B458">
            <v>13310</v>
          </cell>
          <cell r="C458">
            <v>197.63</v>
          </cell>
          <cell r="D458">
            <v>9.15</v>
          </cell>
          <cell r="E458">
            <v>477</v>
          </cell>
          <cell r="F458">
            <v>235.16</v>
          </cell>
          <cell r="G458">
            <v>641.61</v>
          </cell>
          <cell r="H458">
            <v>1560.55</v>
          </cell>
          <cell r="I458">
            <v>4376.12</v>
          </cell>
          <cell r="J458">
            <v>91750</v>
          </cell>
          <cell r="K458" t="str">
            <v>MP</v>
          </cell>
        </row>
        <row r="459">
          <cell r="A459" t="str">
            <v>995155-SLR</v>
          </cell>
          <cell r="B459">
            <v>13255</v>
          </cell>
          <cell r="C459">
            <v>195.52</v>
          </cell>
          <cell r="D459">
            <v>7.82</v>
          </cell>
          <cell r="E459">
            <v>477</v>
          </cell>
          <cell r="F459">
            <v>224.61</v>
          </cell>
          <cell r="G459">
            <v>575.92999999999995</v>
          </cell>
          <cell r="H459">
            <v>1480.88</v>
          </cell>
          <cell r="I459">
            <v>3910.41</v>
          </cell>
          <cell r="J459">
            <v>91750</v>
          </cell>
          <cell r="K459" t="str">
            <v>MP</v>
          </cell>
        </row>
        <row r="460">
          <cell r="A460" t="str">
            <v>995156-SLR</v>
          </cell>
          <cell r="B460">
            <v>13363</v>
          </cell>
          <cell r="C460">
            <v>193.96</v>
          </cell>
          <cell r="D460">
            <v>10.82</v>
          </cell>
          <cell r="E460">
            <v>477</v>
          </cell>
          <cell r="F460">
            <v>254.16</v>
          </cell>
          <cell r="G460">
            <v>705.5</v>
          </cell>
          <cell r="H460">
            <v>1641.44</v>
          </cell>
          <cell r="I460">
            <v>5222.1400000000003</v>
          </cell>
          <cell r="J460">
            <v>93103</v>
          </cell>
          <cell r="K460" t="str">
            <v>MP</v>
          </cell>
        </row>
        <row r="461">
          <cell r="A461" t="str">
            <v>995157-SLR</v>
          </cell>
          <cell r="B461">
            <v>13420</v>
          </cell>
          <cell r="C461">
            <v>2281.8200000000002</v>
          </cell>
          <cell r="D461">
            <v>10.1</v>
          </cell>
          <cell r="E461">
            <v>477</v>
          </cell>
          <cell r="F461">
            <v>297.19</v>
          </cell>
          <cell r="G461">
            <v>880.77</v>
          </cell>
          <cell r="H461">
            <v>3946.88</v>
          </cell>
          <cell r="I461">
            <v>5047.8</v>
          </cell>
          <cell r="J461">
            <v>92304</v>
          </cell>
          <cell r="K461" t="str">
            <v>MP</v>
          </cell>
        </row>
        <row r="462">
          <cell r="A462" t="str">
            <v>995158-SLR</v>
          </cell>
          <cell r="B462">
            <v>13256</v>
          </cell>
          <cell r="C462">
            <v>190.87</v>
          </cell>
          <cell r="D462">
            <v>1.71</v>
          </cell>
          <cell r="E462">
            <v>477</v>
          </cell>
          <cell r="F462">
            <v>151.33000000000001</v>
          </cell>
          <cell r="G462">
            <v>77.14</v>
          </cell>
          <cell r="H462">
            <v>898.05000000000007</v>
          </cell>
          <cell r="I462">
            <v>664.49</v>
          </cell>
          <cell r="J462">
            <v>90793</v>
          </cell>
          <cell r="K462" t="str">
            <v>MP</v>
          </cell>
        </row>
        <row r="463">
          <cell r="A463" t="str">
            <v>995159-SLR</v>
          </cell>
          <cell r="B463">
            <v>13257</v>
          </cell>
          <cell r="C463">
            <v>148.97</v>
          </cell>
          <cell r="D463">
            <v>26.37</v>
          </cell>
          <cell r="E463">
            <v>477</v>
          </cell>
          <cell r="F463">
            <v>556.63</v>
          </cell>
          <cell r="G463">
            <v>2271.0300000000002</v>
          </cell>
          <cell r="H463">
            <v>3480</v>
          </cell>
          <cell r="I463">
            <v>13183.67</v>
          </cell>
          <cell r="J463">
            <v>92278</v>
          </cell>
          <cell r="K463" t="str">
            <v>MP</v>
          </cell>
        </row>
        <row r="464">
          <cell r="A464" t="str">
            <v>995160-SLR</v>
          </cell>
          <cell r="B464">
            <v>13234</v>
          </cell>
          <cell r="C464">
            <v>1109.1500000000001</v>
          </cell>
          <cell r="D464">
            <v>7.08</v>
          </cell>
          <cell r="E464">
            <v>477</v>
          </cell>
          <cell r="F464">
            <v>211.97</v>
          </cell>
          <cell r="G464">
            <v>674.84</v>
          </cell>
          <cell r="H464">
            <v>2480.04</v>
          </cell>
          <cell r="I464">
            <v>2435.5500000000002</v>
          </cell>
          <cell r="J464">
            <v>93050</v>
          </cell>
          <cell r="K464" t="str">
            <v>MP</v>
          </cell>
        </row>
        <row r="465">
          <cell r="A465" t="str">
            <v>995161-SLR</v>
          </cell>
          <cell r="B465">
            <v>13365</v>
          </cell>
          <cell r="C465">
            <v>219.89</v>
          </cell>
          <cell r="D465">
            <v>28.38</v>
          </cell>
          <cell r="E465">
            <v>477</v>
          </cell>
          <cell r="F465">
            <v>580.96</v>
          </cell>
          <cell r="G465">
            <v>2743.7</v>
          </cell>
          <cell r="H465">
            <v>4049.93</v>
          </cell>
          <cell r="I465">
            <v>14192.25</v>
          </cell>
          <cell r="J465">
            <v>96013</v>
          </cell>
          <cell r="K465" t="str">
            <v>MP</v>
          </cell>
        </row>
        <row r="466">
          <cell r="A466" t="str">
            <v>995162-SLR</v>
          </cell>
          <cell r="B466">
            <v>13525</v>
          </cell>
          <cell r="C466">
            <v>171.19</v>
          </cell>
          <cell r="D466">
            <v>1.92</v>
          </cell>
          <cell r="E466">
            <v>477</v>
          </cell>
          <cell r="F466">
            <v>143.62</v>
          </cell>
          <cell r="G466">
            <v>97.75</v>
          </cell>
          <cell r="H466">
            <v>891.48</v>
          </cell>
          <cell r="I466">
            <v>342.26</v>
          </cell>
          <cell r="J466">
            <v>93013</v>
          </cell>
          <cell r="K466" t="str">
            <v>MP</v>
          </cell>
        </row>
        <row r="467">
          <cell r="A467" t="str">
            <v>995163-SLR</v>
          </cell>
          <cell r="B467">
            <v>13526</v>
          </cell>
          <cell r="C467">
            <v>171.19</v>
          </cell>
          <cell r="D467">
            <v>0.7</v>
          </cell>
          <cell r="E467">
            <v>477</v>
          </cell>
          <cell r="F467">
            <v>136.21</v>
          </cell>
          <cell r="G467">
            <v>35.18</v>
          </cell>
          <cell r="H467">
            <v>820.28</v>
          </cell>
          <cell r="I467">
            <v>13.59</v>
          </cell>
          <cell r="J467">
            <v>93030</v>
          </cell>
          <cell r="K467" t="str">
            <v>MP</v>
          </cell>
        </row>
        <row r="468">
          <cell r="A468" t="str">
            <v>995165-SLR</v>
          </cell>
          <cell r="B468">
            <v>13603</v>
          </cell>
          <cell r="C468">
            <v>255.4</v>
          </cell>
          <cell r="D468">
            <v>5.75</v>
          </cell>
          <cell r="E468">
            <v>477</v>
          </cell>
          <cell r="F468">
            <v>196.97</v>
          </cell>
          <cell r="G468">
            <v>403.96</v>
          </cell>
          <cell r="H468">
            <v>1339.08</v>
          </cell>
          <cell r="I468">
            <v>2624.3</v>
          </cell>
          <cell r="J468">
            <v>93302</v>
          </cell>
          <cell r="K468" t="str">
            <v>MP</v>
          </cell>
        </row>
        <row r="469">
          <cell r="A469" t="str">
            <v>995166-SLR</v>
          </cell>
          <cell r="B469">
            <v>13751</v>
          </cell>
          <cell r="C469">
            <v>466.42</v>
          </cell>
          <cell r="D469">
            <v>49.03</v>
          </cell>
          <cell r="E469">
            <v>429</v>
          </cell>
          <cell r="F469">
            <v>819.12</v>
          </cell>
          <cell r="G469">
            <v>3503.55</v>
          </cell>
          <cell r="H469">
            <v>5267.1200000000008</v>
          </cell>
          <cell r="I469">
            <v>24509.9</v>
          </cell>
          <cell r="J469">
            <v>90083</v>
          </cell>
          <cell r="K469" t="str">
            <v>MP</v>
          </cell>
        </row>
        <row r="470">
          <cell r="A470" t="str">
            <v>995167-SLR</v>
          </cell>
          <cell r="B470">
            <v>13421</v>
          </cell>
          <cell r="C470">
            <v>13312.57</v>
          </cell>
          <cell r="D470">
            <v>129.58000000000001</v>
          </cell>
          <cell r="E470">
            <v>477</v>
          </cell>
          <cell r="F470">
            <v>731.8</v>
          </cell>
          <cell r="G470">
            <v>4440.3900000000003</v>
          </cell>
          <cell r="H470">
            <v>19091.34</v>
          </cell>
          <cell r="I470">
            <v>7816.53</v>
          </cell>
          <cell r="J470">
            <v>91064</v>
          </cell>
          <cell r="K470" t="str">
            <v>MP</v>
          </cell>
        </row>
        <row r="471">
          <cell r="A471" t="str">
            <v>995168-SLR</v>
          </cell>
          <cell r="B471">
            <v>13557</v>
          </cell>
          <cell r="C471">
            <v>638.36</v>
          </cell>
          <cell r="D471">
            <v>65.260000000000005</v>
          </cell>
          <cell r="E471">
            <v>477</v>
          </cell>
          <cell r="F471">
            <v>235.36</v>
          </cell>
          <cell r="G471">
            <v>780.6</v>
          </cell>
          <cell r="H471">
            <v>2196.58</v>
          </cell>
          <cell r="I471">
            <v>3945.54</v>
          </cell>
          <cell r="J471">
            <v>91868</v>
          </cell>
          <cell r="K471" t="str">
            <v>MP</v>
          </cell>
        </row>
        <row r="472">
          <cell r="A472" t="str">
            <v>995169-SLR</v>
          </cell>
          <cell r="B472">
            <v>13423</v>
          </cell>
          <cell r="C472">
            <v>1820.68</v>
          </cell>
          <cell r="D472">
            <v>128.32</v>
          </cell>
          <cell r="E472">
            <v>477</v>
          </cell>
          <cell r="F472">
            <v>433.2</v>
          </cell>
          <cell r="G472">
            <v>1757.89</v>
          </cell>
          <cell r="H472">
            <v>4617.09</v>
          </cell>
          <cell r="I472">
            <v>7740.92</v>
          </cell>
          <cell r="J472">
            <v>93022</v>
          </cell>
          <cell r="K472" t="str">
            <v>MP</v>
          </cell>
        </row>
        <row r="473">
          <cell r="A473" t="str">
            <v>995170-SLR</v>
          </cell>
          <cell r="B473">
            <v>13558</v>
          </cell>
          <cell r="C473">
            <v>511.1</v>
          </cell>
          <cell r="D473">
            <v>35.08</v>
          </cell>
          <cell r="E473">
            <v>477</v>
          </cell>
          <cell r="F473">
            <v>191.37</v>
          </cell>
          <cell r="G473">
            <v>500.91</v>
          </cell>
          <cell r="H473">
            <v>1715.4600000000003</v>
          </cell>
          <cell r="I473">
            <v>2121.0100000000002</v>
          </cell>
          <cell r="J473">
            <v>91163</v>
          </cell>
          <cell r="K473" t="str">
            <v>MP</v>
          </cell>
        </row>
        <row r="474">
          <cell r="A474" t="str">
            <v>995171-SLR</v>
          </cell>
          <cell r="B474">
            <v>13559</v>
          </cell>
          <cell r="C474">
            <v>511.1</v>
          </cell>
          <cell r="D474">
            <v>217.71</v>
          </cell>
          <cell r="E474">
            <v>477</v>
          </cell>
          <cell r="F474">
            <v>284.3</v>
          </cell>
          <cell r="G474">
            <v>2603.0500000000002</v>
          </cell>
          <cell r="H474">
            <v>4093.16</v>
          </cell>
          <cell r="I474">
            <v>13162.83</v>
          </cell>
          <cell r="J474">
            <v>91304</v>
          </cell>
          <cell r="K474" t="str">
            <v>MP</v>
          </cell>
        </row>
        <row r="475">
          <cell r="A475" t="str">
            <v>995173-SLR</v>
          </cell>
          <cell r="B475">
            <v>13527</v>
          </cell>
          <cell r="C475">
            <v>301.77999999999997</v>
          </cell>
          <cell r="D475">
            <v>9.0299999999999994</v>
          </cell>
          <cell r="E475">
            <v>477</v>
          </cell>
          <cell r="F475">
            <v>125</v>
          </cell>
          <cell r="G475">
            <v>516.87</v>
          </cell>
          <cell r="H475">
            <v>1429.6799999999998</v>
          </cell>
          <cell r="I475">
            <v>2413.7600000000002</v>
          </cell>
          <cell r="J475">
            <v>90424</v>
          </cell>
          <cell r="K475" t="str">
            <v>MP</v>
          </cell>
        </row>
        <row r="476">
          <cell r="A476" t="str">
            <v>995174-SLR</v>
          </cell>
          <cell r="B476">
            <v>13430</v>
          </cell>
          <cell r="C476">
            <v>300.45999999999998</v>
          </cell>
          <cell r="D476">
            <v>17.010000000000002</v>
          </cell>
          <cell r="E476">
            <v>477</v>
          </cell>
          <cell r="F476">
            <v>234.24</v>
          </cell>
          <cell r="G476">
            <v>862.91</v>
          </cell>
          <cell r="H476">
            <v>1891.62</v>
          </cell>
          <cell r="I476">
            <v>4232.12</v>
          </cell>
          <cell r="J476">
            <v>90424</v>
          </cell>
          <cell r="K476" t="str">
            <v>MP</v>
          </cell>
        </row>
        <row r="477">
          <cell r="A477" t="str">
            <v>995175-SLR</v>
          </cell>
          <cell r="B477">
            <v>13560</v>
          </cell>
          <cell r="C477">
            <v>293.29000000000002</v>
          </cell>
          <cell r="D477">
            <v>10.41</v>
          </cell>
          <cell r="E477">
            <v>477</v>
          </cell>
          <cell r="F477">
            <v>256.01</v>
          </cell>
          <cell r="G477">
            <v>771.31</v>
          </cell>
          <cell r="H477">
            <v>1808.02</v>
          </cell>
          <cell r="I477">
            <v>5205.6400000000003</v>
          </cell>
          <cell r="J477">
            <v>91250</v>
          </cell>
          <cell r="K477" t="str">
            <v>MP</v>
          </cell>
        </row>
        <row r="478">
          <cell r="A478" t="str">
            <v>995176-SLR</v>
          </cell>
          <cell r="B478">
            <v>13604</v>
          </cell>
          <cell r="C478">
            <v>19425.62</v>
          </cell>
          <cell r="D478">
            <v>100.89</v>
          </cell>
          <cell r="E478">
            <v>477</v>
          </cell>
          <cell r="F478">
            <v>1545.67</v>
          </cell>
          <cell r="G478">
            <v>6877.97</v>
          </cell>
          <cell r="H478">
            <v>28427.15</v>
          </cell>
          <cell r="I478">
            <v>37789.919999999998</v>
          </cell>
          <cell r="J478">
            <v>93249</v>
          </cell>
          <cell r="K478" t="str">
            <v>MP</v>
          </cell>
        </row>
        <row r="479">
          <cell r="A479" t="str">
            <v>995177-SLR</v>
          </cell>
          <cell r="B479">
            <v>13162</v>
          </cell>
          <cell r="C479">
            <v>130.74</v>
          </cell>
          <cell r="D479">
            <v>0</v>
          </cell>
          <cell r="E479">
            <v>0</v>
          </cell>
          <cell r="F479">
            <v>0</v>
          </cell>
          <cell r="G479">
            <v>650.21</v>
          </cell>
          <cell r="H479">
            <v>780.95</v>
          </cell>
          <cell r="I479">
            <v>952.95</v>
          </cell>
          <cell r="J479">
            <v>91814</v>
          </cell>
          <cell r="K479" t="str">
            <v>MP</v>
          </cell>
        </row>
        <row r="480">
          <cell r="A480" t="str">
            <v>995178-SLR</v>
          </cell>
          <cell r="B480">
            <v>13235</v>
          </cell>
          <cell r="C480">
            <v>0</v>
          </cell>
          <cell r="D480">
            <v>0</v>
          </cell>
          <cell r="E480">
            <v>19</v>
          </cell>
          <cell r="F480">
            <v>0</v>
          </cell>
          <cell r="G480">
            <v>486.61</v>
          </cell>
          <cell r="H480">
            <v>505.61</v>
          </cell>
          <cell r="I480">
            <v>811.02</v>
          </cell>
          <cell r="J480">
            <v>93050</v>
          </cell>
          <cell r="K480" t="str">
            <v>MP</v>
          </cell>
        </row>
        <row r="481">
          <cell r="A481" t="str">
            <v>995179-SLR</v>
          </cell>
          <cell r="B481">
            <v>13161</v>
          </cell>
          <cell r="C481">
            <v>154.38</v>
          </cell>
          <cell r="D481">
            <v>0</v>
          </cell>
          <cell r="E481">
            <v>0</v>
          </cell>
          <cell r="F481">
            <v>0</v>
          </cell>
          <cell r="G481">
            <v>394.52</v>
          </cell>
          <cell r="H481">
            <v>548.9</v>
          </cell>
          <cell r="I481">
            <v>503.16</v>
          </cell>
          <cell r="J481">
            <v>92210</v>
          </cell>
          <cell r="K481" t="str">
            <v>MP</v>
          </cell>
        </row>
        <row r="482">
          <cell r="A482" t="str">
            <v>995180-SLR</v>
          </cell>
          <cell r="B482">
            <v>13311</v>
          </cell>
          <cell r="C482">
            <v>234.52</v>
          </cell>
          <cell r="D482">
            <v>36.25</v>
          </cell>
          <cell r="E482">
            <v>477</v>
          </cell>
          <cell r="F482">
            <v>664.63</v>
          </cell>
          <cell r="G482">
            <v>2542.29</v>
          </cell>
          <cell r="H482">
            <v>3954.69</v>
          </cell>
          <cell r="I482">
            <v>17888.43</v>
          </cell>
          <cell r="J482">
            <v>93227</v>
          </cell>
          <cell r="K482" t="str">
            <v>MP</v>
          </cell>
        </row>
        <row r="483">
          <cell r="A483" t="str">
            <v>995181-SLR</v>
          </cell>
          <cell r="B483">
            <v>13561</v>
          </cell>
          <cell r="C483">
            <v>201.66</v>
          </cell>
          <cell r="D483">
            <v>2.34</v>
          </cell>
          <cell r="E483">
            <v>477</v>
          </cell>
          <cell r="F483">
            <v>162.88</v>
          </cell>
          <cell r="G483">
            <v>178.11</v>
          </cell>
          <cell r="H483">
            <v>1021.99</v>
          </cell>
          <cell r="I483">
            <v>1166.04</v>
          </cell>
          <cell r="J483">
            <v>90219</v>
          </cell>
          <cell r="K483" t="str">
            <v>MP</v>
          </cell>
        </row>
        <row r="484">
          <cell r="A484" t="str">
            <v>995182-SLR</v>
          </cell>
          <cell r="B484">
            <v>13485</v>
          </cell>
          <cell r="C484">
            <v>446.36</v>
          </cell>
          <cell r="D484">
            <v>20.41</v>
          </cell>
          <cell r="E484">
            <v>477</v>
          </cell>
          <cell r="F484">
            <v>481.99</v>
          </cell>
          <cell r="G484">
            <v>2071.61</v>
          </cell>
          <cell r="H484">
            <v>3497.37</v>
          </cell>
          <cell r="I484">
            <v>10206.27</v>
          </cell>
          <cell r="J484">
            <v>90390</v>
          </cell>
          <cell r="K484" t="str">
            <v>MP</v>
          </cell>
        </row>
        <row r="485">
          <cell r="A485" t="str">
            <v>995183-SLR</v>
          </cell>
          <cell r="B485">
            <v>13431</v>
          </cell>
          <cell r="C485">
            <v>197.18</v>
          </cell>
          <cell r="D485">
            <v>9.41</v>
          </cell>
          <cell r="E485">
            <v>477</v>
          </cell>
          <cell r="F485">
            <v>238.1</v>
          </cell>
          <cell r="G485">
            <v>895.58</v>
          </cell>
          <cell r="H485">
            <v>1817.27</v>
          </cell>
          <cell r="I485">
            <v>4506.96</v>
          </cell>
          <cell r="J485">
            <v>91468</v>
          </cell>
          <cell r="K485" t="str">
            <v>MP</v>
          </cell>
        </row>
        <row r="486">
          <cell r="A486" t="str">
            <v>995184-SLR</v>
          </cell>
          <cell r="B486">
            <v>13432</v>
          </cell>
          <cell r="C486">
            <v>230.04</v>
          </cell>
          <cell r="D486">
            <v>35.869999999999997</v>
          </cell>
          <cell r="E486">
            <v>477</v>
          </cell>
          <cell r="F486">
            <v>665.63</v>
          </cell>
          <cell r="G486">
            <v>2548.5100000000002</v>
          </cell>
          <cell r="H486">
            <v>3957.05</v>
          </cell>
          <cell r="I486">
            <v>17937.7</v>
          </cell>
          <cell r="J486">
            <v>90512</v>
          </cell>
          <cell r="K486" t="str">
            <v>MP</v>
          </cell>
        </row>
        <row r="487">
          <cell r="A487" t="str">
            <v>995186-SLR</v>
          </cell>
          <cell r="B487">
            <v>13714</v>
          </cell>
          <cell r="C487">
            <v>10166.700000000001</v>
          </cell>
          <cell r="D487">
            <v>19.91</v>
          </cell>
          <cell r="E487">
            <v>429</v>
          </cell>
          <cell r="F487">
            <v>709.21</v>
          </cell>
          <cell r="G487">
            <v>2618.27</v>
          </cell>
          <cell r="H487">
            <v>13943.09</v>
          </cell>
          <cell r="I487">
            <v>9953.93</v>
          </cell>
          <cell r="J487">
            <v>93049</v>
          </cell>
          <cell r="K487" t="str">
            <v>MP</v>
          </cell>
        </row>
        <row r="488">
          <cell r="A488" t="str">
            <v>995189-SLR</v>
          </cell>
          <cell r="B488">
            <v>13715</v>
          </cell>
          <cell r="C488">
            <v>239.8</v>
          </cell>
          <cell r="D488">
            <v>3.5</v>
          </cell>
          <cell r="E488">
            <v>429</v>
          </cell>
          <cell r="F488">
            <v>171.56</v>
          </cell>
          <cell r="G488">
            <v>245.81</v>
          </cell>
          <cell r="H488">
            <v>1089.6699999999998</v>
          </cell>
          <cell r="I488">
            <v>1512.48</v>
          </cell>
          <cell r="J488">
            <v>93284</v>
          </cell>
          <cell r="K488" t="str">
            <v>MP</v>
          </cell>
        </row>
        <row r="489">
          <cell r="A489" t="str">
            <v>995190-SLR</v>
          </cell>
          <cell r="B489">
            <v>13483</v>
          </cell>
          <cell r="C489">
            <v>579.33000000000004</v>
          </cell>
          <cell r="D489">
            <v>48.81</v>
          </cell>
          <cell r="E489">
            <v>477</v>
          </cell>
          <cell r="F489">
            <v>819.27</v>
          </cell>
          <cell r="G489">
            <v>3504.5</v>
          </cell>
          <cell r="H489">
            <v>5428.91</v>
          </cell>
          <cell r="I489">
            <v>24404.01</v>
          </cell>
          <cell r="J489">
            <v>93302</v>
          </cell>
          <cell r="K489" t="str">
            <v>MP</v>
          </cell>
        </row>
        <row r="490">
          <cell r="A490" t="str">
            <v>995191-SLR</v>
          </cell>
          <cell r="B490">
            <v>13562</v>
          </cell>
          <cell r="C490">
            <v>591.29</v>
          </cell>
          <cell r="D490">
            <v>618.19000000000005</v>
          </cell>
          <cell r="E490">
            <v>477</v>
          </cell>
          <cell r="F490">
            <v>7237.88</v>
          </cell>
          <cell r="G490">
            <v>43442.5</v>
          </cell>
          <cell r="H490">
            <v>52366.86</v>
          </cell>
          <cell r="I490">
            <v>309094.07</v>
          </cell>
          <cell r="J490">
            <v>90097</v>
          </cell>
          <cell r="K490" t="str">
            <v>MP</v>
          </cell>
        </row>
        <row r="491">
          <cell r="A491" t="str">
            <v>995192-SLR</v>
          </cell>
          <cell r="B491">
            <v>13433</v>
          </cell>
          <cell r="C491">
            <v>206.01</v>
          </cell>
          <cell r="D491">
            <v>1.92</v>
          </cell>
          <cell r="E491">
            <v>477</v>
          </cell>
          <cell r="F491">
            <v>153.59</v>
          </cell>
          <cell r="G491">
            <v>181.87</v>
          </cell>
          <cell r="H491">
            <v>1020.39</v>
          </cell>
          <cell r="I491">
            <v>749.28</v>
          </cell>
          <cell r="J491">
            <v>90402</v>
          </cell>
          <cell r="K491" t="str">
            <v>MP</v>
          </cell>
        </row>
        <row r="492">
          <cell r="A492" t="str">
            <v>995193-SLR</v>
          </cell>
          <cell r="B492">
            <v>13434</v>
          </cell>
          <cell r="C492">
            <v>396.16</v>
          </cell>
          <cell r="D492">
            <v>8.36</v>
          </cell>
          <cell r="E492">
            <v>477</v>
          </cell>
          <cell r="F492">
            <v>235.16</v>
          </cell>
          <cell r="G492">
            <v>641.6</v>
          </cell>
          <cell r="H492">
            <v>1758.2800000000002</v>
          </cell>
          <cell r="I492">
            <v>4178.33</v>
          </cell>
          <cell r="J492">
            <v>92243</v>
          </cell>
          <cell r="K492" t="str">
            <v>MP</v>
          </cell>
        </row>
        <row r="493">
          <cell r="A493" t="str">
            <v>995194-SLR</v>
          </cell>
          <cell r="B493">
            <v>13486</v>
          </cell>
          <cell r="C493">
            <v>635.65</v>
          </cell>
          <cell r="D493">
            <v>4.51</v>
          </cell>
          <cell r="E493">
            <v>477</v>
          </cell>
          <cell r="F493">
            <v>182.93</v>
          </cell>
          <cell r="G493">
            <v>271.33999999999997</v>
          </cell>
          <cell r="H493">
            <v>1571.4299999999998</v>
          </cell>
          <cell r="I493">
            <v>1620.98</v>
          </cell>
          <cell r="J493">
            <v>93182</v>
          </cell>
          <cell r="K493" t="str">
            <v>MP</v>
          </cell>
        </row>
        <row r="494">
          <cell r="A494" t="str">
            <v>995195-SLR</v>
          </cell>
          <cell r="B494">
            <v>13528</v>
          </cell>
          <cell r="C494">
            <v>216.9</v>
          </cell>
          <cell r="D494">
            <v>0.04</v>
          </cell>
          <cell r="E494">
            <v>477</v>
          </cell>
          <cell r="F494">
            <v>137.34</v>
          </cell>
          <cell r="G494">
            <v>7.05</v>
          </cell>
          <cell r="H494">
            <v>838.33</v>
          </cell>
          <cell r="I494">
            <v>18.22</v>
          </cell>
          <cell r="J494">
            <v>93316</v>
          </cell>
          <cell r="K494" t="str">
            <v>MP</v>
          </cell>
        </row>
        <row r="495">
          <cell r="A495" t="str">
            <v>995196-SLR</v>
          </cell>
          <cell r="B495">
            <v>13716</v>
          </cell>
          <cell r="C495">
            <v>246.24</v>
          </cell>
          <cell r="D495">
            <v>4.04</v>
          </cell>
          <cell r="E495">
            <v>477</v>
          </cell>
          <cell r="F495">
            <v>183.12</v>
          </cell>
          <cell r="G495">
            <v>431.28</v>
          </cell>
          <cell r="H495">
            <v>1341.6799999999998</v>
          </cell>
          <cell r="I495">
            <v>2019.6</v>
          </cell>
          <cell r="J495">
            <v>93457</v>
          </cell>
          <cell r="K495" t="str">
            <v>MP</v>
          </cell>
        </row>
        <row r="496">
          <cell r="A496" t="str">
            <v>995197-SLR</v>
          </cell>
          <cell r="B496">
            <v>13529</v>
          </cell>
          <cell r="C496">
            <v>150.88999999999999</v>
          </cell>
          <cell r="D496">
            <v>0.34</v>
          </cell>
          <cell r="E496">
            <v>477</v>
          </cell>
          <cell r="F496">
            <v>139.36000000000001</v>
          </cell>
          <cell r="G496">
            <v>12.99</v>
          </cell>
          <cell r="H496">
            <v>780.58</v>
          </cell>
          <cell r="I496">
            <v>173.52</v>
          </cell>
          <cell r="J496">
            <v>93308</v>
          </cell>
          <cell r="K496" t="str">
            <v>MP</v>
          </cell>
        </row>
        <row r="497">
          <cell r="A497" t="str">
            <v>995198-SLR</v>
          </cell>
          <cell r="B497">
            <v>13530</v>
          </cell>
          <cell r="C497">
            <v>150.88999999999999</v>
          </cell>
          <cell r="D497">
            <v>21.14</v>
          </cell>
          <cell r="E497">
            <v>477</v>
          </cell>
          <cell r="F497">
            <v>485.14</v>
          </cell>
          <cell r="G497">
            <v>2041.29</v>
          </cell>
          <cell r="H497">
            <v>3175.46</v>
          </cell>
          <cell r="I497">
            <v>10571.59</v>
          </cell>
          <cell r="J497">
            <v>90953</v>
          </cell>
          <cell r="K497" t="str">
            <v>MP</v>
          </cell>
        </row>
        <row r="498">
          <cell r="A498" t="str">
            <v>995199-SLR</v>
          </cell>
          <cell r="B498">
            <v>13366</v>
          </cell>
          <cell r="C498">
            <v>604.4</v>
          </cell>
          <cell r="D498">
            <v>11.35</v>
          </cell>
          <cell r="E498">
            <v>477</v>
          </cell>
          <cell r="F498">
            <v>260.07</v>
          </cell>
          <cell r="G498">
            <v>1080.32</v>
          </cell>
          <cell r="H498">
            <v>2433.14</v>
          </cell>
          <cell r="I498">
            <v>5070.13</v>
          </cell>
          <cell r="J498">
            <v>91591</v>
          </cell>
          <cell r="K498" t="str">
            <v>MP</v>
          </cell>
        </row>
        <row r="499">
          <cell r="A499" t="str">
            <v>995200-SLR</v>
          </cell>
          <cell r="B499">
            <v>13564</v>
          </cell>
          <cell r="C499">
            <v>188.61</v>
          </cell>
          <cell r="D499">
            <v>29.88</v>
          </cell>
          <cell r="E499">
            <v>477</v>
          </cell>
          <cell r="F499">
            <v>597.07000000000005</v>
          </cell>
          <cell r="G499">
            <v>2879.72</v>
          </cell>
          <cell r="H499">
            <v>4172.28</v>
          </cell>
          <cell r="I499">
            <v>14937.91</v>
          </cell>
          <cell r="J499">
            <v>90468</v>
          </cell>
          <cell r="K499" t="str">
            <v>MP</v>
          </cell>
        </row>
        <row r="500">
          <cell r="A500" t="str">
            <v>995201-SLR</v>
          </cell>
          <cell r="B500">
            <v>13565</v>
          </cell>
          <cell r="C500">
            <v>183.89</v>
          </cell>
          <cell r="D500">
            <v>12.22</v>
          </cell>
          <cell r="E500">
            <v>477</v>
          </cell>
          <cell r="F500">
            <v>287.72000000000003</v>
          </cell>
          <cell r="G500">
            <v>882.99</v>
          </cell>
          <cell r="H500">
            <v>1843.8200000000002</v>
          </cell>
          <cell r="I500">
            <v>6110.96</v>
          </cell>
          <cell r="J500">
            <v>93023</v>
          </cell>
          <cell r="K500" t="str">
            <v>MP</v>
          </cell>
        </row>
        <row r="501">
          <cell r="A501" t="str">
            <v>995202-SLR</v>
          </cell>
          <cell r="B501">
            <v>13531</v>
          </cell>
          <cell r="C501">
            <v>245.19</v>
          </cell>
          <cell r="D501">
            <v>116.94</v>
          </cell>
          <cell r="E501">
            <v>477</v>
          </cell>
          <cell r="F501">
            <v>1574.23</v>
          </cell>
          <cell r="G501">
            <v>8202.0499999999993</v>
          </cell>
          <cell r="H501">
            <v>10615.41</v>
          </cell>
          <cell r="I501">
            <v>58223.91</v>
          </cell>
          <cell r="J501">
            <v>90062</v>
          </cell>
          <cell r="K501" t="str">
            <v>MP</v>
          </cell>
        </row>
        <row r="502">
          <cell r="A502" t="str">
            <v>995203-SLR</v>
          </cell>
          <cell r="B502">
            <v>13534</v>
          </cell>
          <cell r="C502">
            <v>363.07</v>
          </cell>
          <cell r="D502">
            <v>3.75</v>
          </cell>
          <cell r="E502">
            <v>477</v>
          </cell>
          <cell r="F502">
            <v>174.25</v>
          </cell>
          <cell r="G502">
            <v>56.27</v>
          </cell>
          <cell r="H502">
            <v>1074.3399999999999</v>
          </cell>
          <cell r="I502">
            <v>1508.88</v>
          </cell>
          <cell r="J502">
            <v>90236</v>
          </cell>
          <cell r="K502" t="str">
            <v>MP</v>
          </cell>
        </row>
        <row r="503">
          <cell r="A503" t="str">
            <v>995204-SLR</v>
          </cell>
          <cell r="B503">
            <v>13535</v>
          </cell>
          <cell r="C503">
            <v>183.89</v>
          </cell>
          <cell r="D503">
            <v>0.83</v>
          </cell>
          <cell r="E503">
            <v>477</v>
          </cell>
          <cell r="F503">
            <v>145.53</v>
          </cell>
          <cell r="G503">
            <v>83.9</v>
          </cell>
          <cell r="H503">
            <v>891.15</v>
          </cell>
          <cell r="I503">
            <v>414.56</v>
          </cell>
          <cell r="J503">
            <v>93437</v>
          </cell>
          <cell r="K503" t="str">
            <v>MP</v>
          </cell>
        </row>
        <row r="504">
          <cell r="A504" t="str">
            <v>995205-SLR</v>
          </cell>
          <cell r="B504">
            <v>13435</v>
          </cell>
          <cell r="C504">
            <v>1989.07</v>
          </cell>
          <cell r="D504">
            <v>18.850000000000001</v>
          </cell>
          <cell r="E504">
            <v>477</v>
          </cell>
          <cell r="F504">
            <v>427.33</v>
          </cell>
          <cell r="G504">
            <v>1794.44</v>
          </cell>
          <cell r="H504">
            <v>4706.6900000000005</v>
          </cell>
          <cell r="I504">
            <v>7436.48</v>
          </cell>
          <cell r="J504">
            <v>92285</v>
          </cell>
          <cell r="K504" t="str">
            <v>MP</v>
          </cell>
        </row>
        <row r="505">
          <cell r="A505" t="str">
            <v>995206-SLR</v>
          </cell>
          <cell r="B505">
            <v>13536</v>
          </cell>
          <cell r="C505">
            <v>183.89</v>
          </cell>
          <cell r="D505">
            <v>5.13</v>
          </cell>
          <cell r="E505">
            <v>477</v>
          </cell>
          <cell r="F505">
            <v>189.77</v>
          </cell>
          <cell r="G505">
            <v>359.17</v>
          </cell>
          <cell r="H505">
            <v>1214.96</v>
          </cell>
          <cell r="I505">
            <v>2376.4899999999998</v>
          </cell>
          <cell r="J505">
            <v>91682</v>
          </cell>
          <cell r="K505" t="str">
            <v>MP</v>
          </cell>
        </row>
        <row r="506">
          <cell r="A506" t="str">
            <v>995208-SLR</v>
          </cell>
          <cell r="B506">
            <v>13537</v>
          </cell>
          <cell r="C506">
            <v>210.55</v>
          </cell>
          <cell r="D506">
            <v>35.04</v>
          </cell>
          <cell r="E506">
            <v>477</v>
          </cell>
          <cell r="F506">
            <v>651.15</v>
          </cell>
          <cell r="G506">
            <v>2458.4</v>
          </cell>
          <cell r="H506">
            <v>3832.1400000000003</v>
          </cell>
          <cell r="I506">
            <v>17314.400000000001</v>
          </cell>
          <cell r="J506">
            <v>91923</v>
          </cell>
          <cell r="K506" t="str">
            <v>MP</v>
          </cell>
        </row>
        <row r="507">
          <cell r="A507" t="str">
            <v>995209-SLR</v>
          </cell>
          <cell r="B507">
            <v>13538</v>
          </cell>
          <cell r="C507">
            <v>216.9</v>
          </cell>
          <cell r="D507">
            <v>27.59</v>
          </cell>
          <cell r="E507">
            <v>477</v>
          </cell>
          <cell r="F507">
            <v>567.1</v>
          </cell>
          <cell r="G507">
            <v>1935.42</v>
          </cell>
          <cell r="H507">
            <v>3224.01</v>
          </cell>
          <cell r="I507">
            <v>13579.92</v>
          </cell>
          <cell r="J507">
            <v>90121</v>
          </cell>
          <cell r="K507" t="str">
            <v>MP</v>
          </cell>
        </row>
        <row r="508">
          <cell r="A508" t="str">
            <v>995210-SLR</v>
          </cell>
          <cell r="B508">
            <v>13605</v>
          </cell>
          <cell r="C508">
            <v>183.89</v>
          </cell>
          <cell r="D508">
            <v>3.32</v>
          </cell>
          <cell r="E508">
            <v>477</v>
          </cell>
          <cell r="F508">
            <v>169.41</v>
          </cell>
          <cell r="G508">
            <v>232.44</v>
          </cell>
          <cell r="H508">
            <v>1066.06</v>
          </cell>
          <cell r="I508">
            <v>1473.04</v>
          </cell>
          <cell r="J508">
            <v>91919</v>
          </cell>
          <cell r="K508" t="str">
            <v>MP</v>
          </cell>
        </row>
        <row r="509">
          <cell r="A509" t="str">
            <v>995211-SLR</v>
          </cell>
          <cell r="B509">
            <v>13474</v>
          </cell>
          <cell r="C509">
            <v>225.56</v>
          </cell>
          <cell r="D509">
            <v>3.08</v>
          </cell>
          <cell r="E509">
            <v>477</v>
          </cell>
          <cell r="F509">
            <v>155.6</v>
          </cell>
          <cell r="G509">
            <v>198.86</v>
          </cell>
          <cell r="H509">
            <v>1060.0999999999999</v>
          </cell>
          <cell r="I509">
            <v>819.41</v>
          </cell>
          <cell r="J509">
            <v>93454</v>
          </cell>
          <cell r="K509" t="str">
            <v>MP</v>
          </cell>
        </row>
        <row r="510">
          <cell r="A510" t="str">
            <v>995212-SLR</v>
          </cell>
          <cell r="B510">
            <v>13370</v>
          </cell>
          <cell r="C510">
            <v>203.42</v>
          </cell>
          <cell r="D510">
            <v>18.170000000000002</v>
          </cell>
          <cell r="E510">
            <v>477</v>
          </cell>
          <cell r="F510">
            <v>411.84</v>
          </cell>
          <cell r="G510">
            <v>1910.26</v>
          </cell>
          <cell r="H510">
            <v>3020.6899999999996</v>
          </cell>
          <cell r="I510">
            <v>8874.89</v>
          </cell>
          <cell r="J510">
            <v>91681</v>
          </cell>
          <cell r="K510" t="str">
            <v>MP</v>
          </cell>
        </row>
        <row r="511">
          <cell r="A511" t="str">
            <v>995213-SLR</v>
          </cell>
          <cell r="B511">
            <v>13371</v>
          </cell>
          <cell r="C511">
            <v>615</v>
          </cell>
          <cell r="D511">
            <v>2.23</v>
          </cell>
          <cell r="E511">
            <v>477</v>
          </cell>
          <cell r="F511">
            <v>157.18</v>
          </cell>
          <cell r="G511">
            <v>189.86</v>
          </cell>
          <cell r="H511">
            <v>1441.27</v>
          </cell>
          <cell r="I511">
            <v>499.57</v>
          </cell>
          <cell r="J511">
            <v>92309</v>
          </cell>
          <cell r="K511" t="str">
            <v>MP</v>
          </cell>
        </row>
        <row r="512">
          <cell r="A512" t="str">
            <v>995214-SLR</v>
          </cell>
          <cell r="B512">
            <v>13372</v>
          </cell>
          <cell r="C512">
            <v>208.15</v>
          </cell>
          <cell r="D512">
            <v>3.86</v>
          </cell>
          <cell r="E512">
            <v>477</v>
          </cell>
          <cell r="F512">
            <v>175.59</v>
          </cell>
          <cell r="G512">
            <v>367.64</v>
          </cell>
          <cell r="H512">
            <v>1232.24</v>
          </cell>
          <cell r="I512">
            <v>1722.94</v>
          </cell>
          <cell r="J512">
            <v>91591</v>
          </cell>
          <cell r="K512" t="str">
            <v>MP</v>
          </cell>
        </row>
        <row r="513">
          <cell r="A513" t="str">
            <v>995216-SLR</v>
          </cell>
          <cell r="B513">
            <v>13873</v>
          </cell>
          <cell r="C513">
            <v>1289.98</v>
          </cell>
          <cell r="D513">
            <v>911.72</v>
          </cell>
          <cell r="E513">
            <v>429</v>
          </cell>
          <cell r="F513">
            <v>1504.32</v>
          </cell>
          <cell r="G513">
            <v>7212.23</v>
          </cell>
          <cell r="H513">
            <v>11347.25</v>
          </cell>
          <cell r="I513">
            <v>54078</v>
          </cell>
          <cell r="J513">
            <v>91384</v>
          </cell>
          <cell r="K513" t="str">
            <v>MP</v>
          </cell>
        </row>
        <row r="514">
          <cell r="A514" t="str">
            <v>995217-SLR</v>
          </cell>
          <cell r="B514">
            <v>13436</v>
          </cell>
          <cell r="C514">
            <v>580.79999999999995</v>
          </cell>
          <cell r="D514">
            <v>13.71</v>
          </cell>
          <cell r="E514">
            <v>477</v>
          </cell>
          <cell r="F514">
            <v>251.02</v>
          </cell>
          <cell r="G514">
            <v>1304.28</v>
          </cell>
          <cell r="H514">
            <v>2626.81</v>
          </cell>
          <cell r="I514">
            <v>6270.12</v>
          </cell>
          <cell r="J514">
            <v>93050</v>
          </cell>
          <cell r="K514" t="str">
            <v>MP</v>
          </cell>
        </row>
        <row r="515">
          <cell r="A515" t="str">
            <v>995218-SLR</v>
          </cell>
          <cell r="B515">
            <v>13373</v>
          </cell>
          <cell r="C515">
            <v>703.56</v>
          </cell>
          <cell r="D515">
            <v>11.33</v>
          </cell>
          <cell r="E515">
            <v>477</v>
          </cell>
          <cell r="F515">
            <v>199.86</v>
          </cell>
          <cell r="G515">
            <v>572.66</v>
          </cell>
          <cell r="H515">
            <v>1964.4099999999999</v>
          </cell>
          <cell r="I515">
            <v>2304.39</v>
          </cell>
          <cell r="J515">
            <v>90257</v>
          </cell>
          <cell r="K515" t="str">
            <v>MP</v>
          </cell>
        </row>
        <row r="516">
          <cell r="A516" t="str">
            <v>995220-SLR</v>
          </cell>
          <cell r="B516">
            <v>13566</v>
          </cell>
          <cell r="C516">
            <v>1531.93</v>
          </cell>
          <cell r="D516">
            <v>34.5</v>
          </cell>
          <cell r="E516">
            <v>477</v>
          </cell>
          <cell r="F516">
            <v>644.97</v>
          </cell>
          <cell r="G516">
            <v>2199.27</v>
          </cell>
          <cell r="H516">
            <v>4887.67</v>
          </cell>
          <cell r="I516">
            <v>15718.76</v>
          </cell>
          <cell r="J516">
            <v>92282</v>
          </cell>
          <cell r="K516" t="str">
            <v>MP</v>
          </cell>
        </row>
        <row r="517">
          <cell r="A517" t="str">
            <v>995221-SLR</v>
          </cell>
          <cell r="B517">
            <v>13375</v>
          </cell>
          <cell r="C517">
            <v>170.63</v>
          </cell>
          <cell r="D517">
            <v>7.53</v>
          </cell>
          <cell r="E517">
            <v>477</v>
          </cell>
          <cell r="F517">
            <v>177.08</v>
          </cell>
          <cell r="G517">
            <v>280.19</v>
          </cell>
          <cell r="H517">
            <v>1112.43</v>
          </cell>
          <cell r="I517">
            <v>1826.77</v>
          </cell>
          <cell r="J517">
            <v>93081</v>
          </cell>
          <cell r="K517" t="str">
            <v>MP</v>
          </cell>
        </row>
        <row r="518">
          <cell r="A518" t="str">
            <v>995222-SLR</v>
          </cell>
          <cell r="B518">
            <v>13376</v>
          </cell>
          <cell r="C518">
            <v>170.63</v>
          </cell>
          <cell r="D518">
            <v>1.36</v>
          </cell>
          <cell r="E518">
            <v>477</v>
          </cell>
          <cell r="F518">
            <v>140.21</v>
          </cell>
          <cell r="G518">
            <v>68.95</v>
          </cell>
          <cell r="H518">
            <v>858.15000000000009</v>
          </cell>
          <cell r="I518">
            <v>191.55</v>
          </cell>
          <cell r="J518">
            <v>93013</v>
          </cell>
          <cell r="K518" t="str">
            <v>MP</v>
          </cell>
        </row>
        <row r="519">
          <cell r="A519" t="str">
            <v>995223-SLR</v>
          </cell>
          <cell r="B519">
            <v>13438</v>
          </cell>
          <cell r="C519">
            <v>349.47</v>
          </cell>
          <cell r="D519">
            <v>2.08</v>
          </cell>
          <cell r="E519">
            <v>477</v>
          </cell>
          <cell r="F519">
            <v>170.03</v>
          </cell>
          <cell r="G519">
            <v>286.99</v>
          </cell>
          <cell r="H519">
            <v>1285.57</v>
          </cell>
          <cell r="I519">
            <v>1335.35</v>
          </cell>
          <cell r="J519">
            <v>90600</v>
          </cell>
          <cell r="K519" t="str">
            <v>MP</v>
          </cell>
        </row>
        <row r="520">
          <cell r="A520" t="str">
            <v>995224-SLR</v>
          </cell>
          <cell r="B520">
            <v>0</v>
          </cell>
          <cell r="C520">
            <v>555.74</v>
          </cell>
          <cell r="D520">
            <v>68.790000000000006</v>
          </cell>
          <cell r="E520">
            <v>477</v>
          </cell>
          <cell r="F520">
            <v>349</v>
          </cell>
          <cell r="G520">
            <v>6676.67</v>
          </cell>
          <cell r="H520">
            <v>8127.2</v>
          </cell>
          <cell r="I520">
            <v>34515.629999999997</v>
          </cell>
          <cell r="J520">
            <v>96034</v>
          </cell>
          <cell r="K520" t="str">
            <v>MP</v>
          </cell>
        </row>
        <row r="521">
          <cell r="A521" t="str">
            <v>995225-SLR</v>
          </cell>
          <cell r="B521">
            <v>13312</v>
          </cell>
          <cell r="C521">
            <v>216.45</v>
          </cell>
          <cell r="D521">
            <v>81.459999999999994</v>
          </cell>
          <cell r="E521">
            <v>477</v>
          </cell>
          <cell r="F521">
            <v>1174.3800000000001</v>
          </cell>
          <cell r="G521">
            <v>1483.54</v>
          </cell>
          <cell r="H521">
            <v>3432.83</v>
          </cell>
          <cell r="I521">
            <v>40516.99</v>
          </cell>
          <cell r="J521">
            <v>91471</v>
          </cell>
          <cell r="K521" t="str">
            <v>MP</v>
          </cell>
        </row>
        <row r="522">
          <cell r="A522" t="str">
            <v>995226-SLR</v>
          </cell>
          <cell r="B522">
            <v>13377</v>
          </cell>
          <cell r="C522">
            <v>1402.57</v>
          </cell>
          <cell r="D522">
            <v>15.21</v>
          </cell>
          <cell r="E522">
            <v>477</v>
          </cell>
          <cell r="F522">
            <v>346.37</v>
          </cell>
          <cell r="G522">
            <v>1372.52</v>
          </cell>
          <cell r="H522">
            <v>3613.67</v>
          </cell>
          <cell r="I522">
            <v>6207.35</v>
          </cell>
          <cell r="J522">
            <v>92243</v>
          </cell>
          <cell r="K522" t="str">
            <v>MP</v>
          </cell>
        </row>
        <row r="523">
          <cell r="A523" t="str">
            <v>995227-SLR</v>
          </cell>
          <cell r="B523">
            <v>13251</v>
          </cell>
          <cell r="C523">
            <v>0</v>
          </cell>
          <cell r="D523">
            <v>0</v>
          </cell>
          <cell r="E523">
            <v>10</v>
          </cell>
          <cell r="F523">
            <v>0</v>
          </cell>
          <cell r="G523">
            <v>460.1</v>
          </cell>
          <cell r="H523">
            <v>470.1</v>
          </cell>
          <cell r="I523">
            <v>766.84</v>
          </cell>
          <cell r="J523">
            <v>93193</v>
          </cell>
          <cell r="K523" t="str">
            <v>MP</v>
          </cell>
        </row>
        <row r="524">
          <cell r="A524" t="str">
            <v>995228-SLR</v>
          </cell>
          <cell r="B524">
            <v>13568</v>
          </cell>
          <cell r="C524">
            <v>630.37</v>
          </cell>
          <cell r="D524">
            <v>54.87</v>
          </cell>
          <cell r="E524">
            <v>477</v>
          </cell>
          <cell r="F524">
            <v>221.01</v>
          </cell>
          <cell r="G524">
            <v>672.18</v>
          </cell>
          <cell r="H524">
            <v>2055.4299999999998</v>
          </cell>
          <cell r="I524">
            <v>3316.99</v>
          </cell>
          <cell r="J524">
            <v>91553</v>
          </cell>
          <cell r="K524" t="str">
            <v>MP</v>
          </cell>
        </row>
        <row r="525">
          <cell r="A525" t="str">
            <v>995230-SLR</v>
          </cell>
          <cell r="B525">
            <v>13439</v>
          </cell>
          <cell r="C525">
            <v>776.44</v>
          </cell>
          <cell r="D525">
            <v>18.850000000000001</v>
          </cell>
          <cell r="E525">
            <v>477</v>
          </cell>
          <cell r="F525">
            <v>461.88</v>
          </cell>
          <cell r="G525">
            <v>1851.96</v>
          </cell>
          <cell r="H525">
            <v>3586.13</v>
          </cell>
          <cell r="I525">
            <v>9426.11</v>
          </cell>
          <cell r="J525">
            <v>93022</v>
          </cell>
          <cell r="K525" t="str">
            <v>MP</v>
          </cell>
        </row>
        <row r="526">
          <cell r="A526" t="str">
            <v>995231-SLR</v>
          </cell>
          <cell r="B526">
            <v>13663</v>
          </cell>
          <cell r="C526">
            <v>294.07</v>
          </cell>
          <cell r="D526">
            <v>15.73</v>
          </cell>
          <cell r="E526">
            <v>429</v>
          </cell>
          <cell r="F526">
            <v>357.83</v>
          </cell>
          <cell r="G526">
            <v>1118.45</v>
          </cell>
          <cell r="H526">
            <v>2215.08</v>
          </cell>
          <cell r="I526">
            <v>7572.77</v>
          </cell>
          <cell r="J526">
            <v>91395</v>
          </cell>
          <cell r="K526" t="str">
            <v>MP</v>
          </cell>
        </row>
        <row r="527">
          <cell r="A527" t="str">
            <v>995233-SLR</v>
          </cell>
          <cell r="B527">
            <v>13314</v>
          </cell>
          <cell r="C527">
            <v>150.58000000000001</v>
          </cell>
          <cell r="D527">
            <v>19.57</v>
          </cell>
          <cell r="E527">
            <v>477</v>
          </cell>
          <cell r="F527">
            <v>450.17</v>
          </cell>
          <cell r="G527">
            <v>1394.06</v>
          </cell>
          <cell r="H527">
            <v>2491.38</v>
          </cell>
          <cell r="I527">
            <v>9787.44</v>
          </cell>
          <cell r="J527">
            <v>93043</v>
          </cell>
          <cell r="K527" t="str">
            <v>MP</v>
          </cell>
        </row>
        <row r="528">
          <cell r="A528" t="str">
            <v>995234-SLR</v>
          </cell>
          <cell r="B528">
            <v>13378</v>
          </cell>
          <cell r="C528">
            <v>217.61</v>
          </cell>
          <cell r="D528">
            <v>17.03</v>
          </cell>
          <cell r="E528">
            <v>477</v>
          </cell>
          <cell r="F528">
            <v>396.42</v>
          </cell>
          <cell r="G528">
            <v>1225</v>
          </cell>
          <cell r="H528">
            <v>2333.06</v>
          </cell>
          <cell r="I528">
            <v>8515.35</v>
          </cell>
          <cell r="J528">
            <v>93043</v>
          </cell>
          <cell r="K528" t="str">
            <v>MP</v>
          </cell>
        </row>
        <row r="529">
          <cell r="A529" t="str">
            <v>995235-SLR</v>
          </cell>
          <cell r="B529">
            <v>13443</v>
          </cell>
          <cell r="C529">
            <v>201.87</v>
          </cell>
          <cell r="D529">
            <v>2.1</v>
          </cell>
          <cell r="E529">
            <v>477</v>
          </cell>
          <cell r="F529">
            <v>160.30000000000001</v>
          </cell>
          <cell r="G529">
            <v>263.68</v>
          </cell>
          <cell r="H529">
            <v>1104.95</v>
          </cell>
          <cell r="I529">
            <v>1051.6199999999999</v>
          </cell>
          <cell r="J529">
            <v>91681</v>
          </cell>
          <cell r="K529" t="str">
            <v>MP</v>
          </cell>
        </row>
        <row r="530">
          <cell r="A530" t="str">
            <v>995236-SLR</v>
          </cell>
          <cell r="B530">
            <v>13444</v>
          </cell>
          <cell r="C530">
            <v>201.87</v>
          </cell>
          <cell r="D530">
            <v>0.94</v>
          </cell>
          <cell r="E530">
            <v>477</v>
          </cell>
          <cell r="F530">
            <v>135.25</v>
          </cell>
          <cell r="G530">
            <v>97.8</v>
          </cell>
          <cell r="H530">
            <v>912.8599999999999</v>
          </cell>
          <cell r="I530">
            <v>262.91000000000003</v>
          </cell>
          <cell r="J530">
            <v>91681</v>
          </cell>
          <cell r="K530" t="str">
            <v>MP</v>
          </cell>
        </row>
        <row r="531">
          <cell r="A531" t="str">
            <v>995237-SLR</v>
          </cell>
          <cell r="B531">
            <v>13445</v>
          </cell>
          <cell r="C531">
            <v>183.1</v>
          </cell>
          <cell r="D531">
            <v>8.06</v>
          </cell>
          <cell r="E531">
            <v>477</v>
          </cell>
          <cell r="F531">
            <v>226.98</v>
          </cell>
          <cell r="G531">
            <v>464.12</v>
          </cell>
          <cell r="H531">
            <v>1359.26</v>
          </cell>
          <cell r="I531">
            <v>4028.1</v>
          </cell>
          <cell r="J531">
            <v>92255</v>
          </cell>
          <cell r="K531" t="str">
            <v>MP</v>
          </cell>
        </row>
        <row r="532">
          <cell r="A532" t="str">
            <v>995238-SLR</v>
          </cell>
          <cell r="B532">
            <v>13446</v>
          </cell>
          <cell r="C532">
            <v>225.35</v>
          </cell>
          <cell r="D532">
            <v>5.45</v>
          </cell>
          <cell r="E532">
            <v>477</v>
          </cell>
          <cell r="F532">
            <v>198.56</v>
          </cell>
          <cell r="G532">
            <v>88.68</v>
          </cell>
          <cell r="H532">
            <v>995.04</v>
          </cell>
          <cell r="I532">
            <v>2725.3</v>
          </cell>
          <cell r="J532">
            <v>90061</v>
          </cell>
          <cell r="K532" t="str">
            <v>MP</v>
          </cell>
        </row>
        <row r="533">
          <cell r="A533" t="str">
            <v>995239-SLR</v>
          </cell>
          <cell r="B533">
            <v>13315</v>
          </cell>
          <cell r="C533">
            <v>244.69</v>
          </cell>
          <cell r="D533">
            <v>16.489999999999998</v>
          </cell>
          <cell r="E533">
            <v>477</v>
          </cell>
          <cell r="F533">
            <v>385.56</v>
          </cell>
          <cell r="G533">
            <v>255.17</v>
          </cell>
          <cell r="H533">
            <v>1378.91</v>
          </cell>
          <cell r="I533">
            <v>8244.6</v>
          </cell>
          <cell r="J533">
            <v>90061</v>
          </cell>
          <cell r="K533" t="str">
            <v>MP</v>
          </cell>
        </row>
        <row r="534">
          <cell r="A534" t="str">
            <v>995240-SLR</v>
          </cell>
          <cell r="B534">
            <v>13487</v>
          </cell>
          <cell r="C534">
            <v>378.51</v>
          </cell>
          <cell r="D534">
            <v>27.78</v>
          </cell>
          <cell r="E534">
            <v>477</v>
          </cell>
          <cell r="F534">
            <v>564.99</v>
          </cell>
          <cell r="G534">
            <v>1583.65</v>
          </cell>
          <cell r="H534">
            <v>3031.9300000000003</v>
          </cell>
          <cell r="I534">
            <v>13324.48</v>
          </cell>
          <cell r="J534">
            <v>90083</v>
          </cell>
          <cell r="K534" t="str">
            <v>MP</v>
          </cell>
        </row>
        <row r="535">
          <cell r="A535" t="str">
            <v>995241-SLR</v>
          </cell>
          <cell r="B535">
            <v>13569</v>
          </cell>
          <cell r="C535">
            <v>218.88</v>
          </cell>
          <cell r="D535">
            <v>38.19</v>
          </cell>
          <cell r="E535">
            <v>477</v>
          </cell>
          <cell r="F535">
            <v>686.68</v>
          </cell>
          <cell r="G535">
            <v>4000.77</v>
          </cell>
          <cell r="H535">
            <v>5421.52</v>
          </cell>
          <cell r="I535">
            <v>18882.12</v>
          </cell>
          <cell r="J535">
            <v>90379</v>
          </cell>
          <cell r="K535" t="str">
            <v>MP</v>
          </cell>
        </row>
        <row r="536">
          <cell r="A536" t="str">
            <v>995242-SLR</v>
          </cell>
          <cell r="B536">
            <v>13379</v>
          </cell>
          <cell r="C536">
            <v>220.83</v>
          </cell>
          <cell r="D536">
            <v>11.79</v>
          </cell>
          <cell r="E536">
            <v>477</v>
          </cell>
          <cell r="F536">
            <v>270.02</v>
          </cell>
          <cell r="G536">
            <v>1004.62</v>
          </cell>
          <cell r="H536">
            <v>1984.26</v>
          </cell>
          <cell r="I536">
            <v>5676.9</v>
          </cell>
          <cell r="J536">
            <v>93189</v>
          </cell>
          <cell r="K536" t="str">
            <v>MP</v>
          </cell>
        </row>
        <row r="537">
          <cell r="A537" t="str">
            <v>995243-SLR</v>
          </cell>
          <cell r="B537">
            <v>13318</v>
          </cell>
          <cell r="C537">
            <v>192.93</v>
          </cell>
          <cell r="D537">
            <v>30.32</v>
          </cell>
          <cell r="E537">
            <v>477</v>
          </cell>
          <cell r="F537">
            <v>597.75</v>
          </cell>
          <cell r="G537">
            <v>2885.48</v>
          </cell>
          <cell r="H537">
            <v>4183.4799999999996</v>
          </cell>
          <cell r="I537">
            <v>14963.49</v>
          </cell>
          <cell r="J537">
            <v>90685</v>
          </cell>
          <cell r="K537" t="str">
            <v>MP</v>
          </cell>
        </row>
        <row r="538">
          <cell r="A538" t="str">
            <v>995244-SLR</v>
          </cell>
          <cell r="B538">
            <v>13316</v>
          </cell>
          <cell r="C538">
            <v>183.51</v>
          </cell>
          <cell r="D538">
            <v>1.0900000000000001</v>
          </cell>
          <cell r="E538">
            <v>477</v>
          </cell>
          <cell r="F538">
            <v>144.25</v>
          </cell>
          <cell r="G538">
            <v>103.02</v>
          </cell>
          <cell r="H538">
            <v>908.87</v>
          </cell>
          <cell r="I538">
            <v>357.62</v>
          </cell>
          <cell r="J538">
            <v>92254</v>
          </cell>
          <cell r="K538" t="str">
            <v>MP</v>
          </cell>
        </row>
        <row r="539">
          <cell r="A539" t="str">
            <v>995245-SLR</v>
          </cell>
          <cell r="B539">
            <v>13317</v>
          </cell>
          <cell r="C539">
            <v>277.8</v>
          </cell>
          <cell r="D539">
            <v>11.5</v>
          </cell>
          <cell r="E539">
            <v>477</v>
          </cell>
          <cell r="F539">
            <v>262.82</v>
          </cell>
          <cell r="G539">
            <v>804.68</v>
          </cell>
          <cell r="H539">
            <v>1833.7999999999997</v>
          </cell>
          <cell r="I539">
            <v>5458.38</v>
          </cell>
          <cell r="J539">
            <v>93326</v>
          </cell>
          <cell r="K539" t="str">
            <v>MP</v>
          </cell>
        </row>
        <row r="540">
          <cell r="A540" t="str">
            <v>995246-SLR</v>
          </cell>
          <cell r="B540">
            <v>13380</v>
          </cell>
          <cell r="C540">
            <v>331.27</v>
          </cell>
          <cell r="D540">
            <v>54.1</v>
          </cell>
          <cell r="E540">
            <v>477</v>
          </cell>
          <cell r="F540">
            <v>649.95000000000005</v>
          </cell>
          <cell r="G540">
            <v>3676.38</v>
          </cell>
          <cell r="H540">
            <v>5188.7000000000007</v>
          </cell>
          <cell r="I540">
            <v>17140.349999999999</v>
          </cell>
          <cell r="J540">
            <v>90818</v>
          </cell>
          <cell r="K540" t="str">
            <v>MP</v>
          </cell>
        </row>
        <row r="541">
          <cell r="A541" t="str">
            <v>995249-SLR</v>
          </cell>
          <cell r="B541">
            <v>13489</v>
          </cell>
          <cell r="C541">
            <v>473.57</v>
          </cell>
          <cell r="D541">
            <v>26.74</v>
          </cell>
          <cell r="E541">
            <v>477</v>
          </cell>
          <cell r="F541">
            <v>568.23</v>
          </cell>
          <cell r="G541">
            <v>2002.66</v>
          </cell>
          <cell r="H541">
            <v>3548.2</v>
          </cell>
          <cell r="I541">
            <v>13374.67</v>
          </cell>
          <cell r="J541">
            <v>92243</v>
          </cell>
          <cell r="K541" t="str">
            <v>MP</v>
          </cell>
        </row>
        <row r="542">
          <cell r="A542" t="str">
            <v>995251-SLR</v>
          </cell>
          <cell r="B542">
            <v>13754</v>
          </cell>
          <cell r="C542">
            <v>463.39</v>
          </cell>
          <cell r="D542">
            <v>10.46</v>
          </cell>
          <cell r="E542">
            <v>429</v>
          </cell>
          <cell r="F542">
            <v>249.95</v>
          </cell>
          <cell r="G542">
            <v>1519.65</v>
          </cell>
          <cell r="H542">
            <v>2672.45</v>
          </cell>
          <cell r="I542">
            <v>4766.33</v>
          </cell>
          <cell r="J542">
            <v>92260</v>
          </cell>
          <cell r="K542" t="str">
            <v>MP</v>
          </cell>
        </row>
        <row r="543">
          <cell r="A543" t="str">
            <v>995252-SLR</v>
          </cell>
          <cell r="B543">
            <v>13606</v>
          </cell>
          <cell r="C543">
            <v>182.76</v>
          </cell>
          <cell r="D543">
            <v>9.48</v>
          </cell>
          <cell r="E543">
            <v>477</v>
          </cell>
          <cell r="F543">
            <v>243.02</v>
          </cell>
          <cell r="G543">
            <v>542.51</v>
          </cell>
          <cell r="H543">
            <v>1454.77</v>
          </cell>
          <cell r="I543">
            <v>4739.67</v>
          </cell>
          <cell r="J543">
            <v>92255</v>
          </cell>
          <cell r="K543" t="str">
            <v>MP</v>
          </cell>
        </row>
        <row r="544">
          <cell r="A544" t="str">
            <v>995254-SLR</v>
          </cell>
          <cell r="B544">
            <v>13664</v>
          </cell>
          <cell r="C544">
            <v>300.66000000000003</v>
          </cell>
          <cell r="D544">
            <v>13.57</v>
          </cell>
          <cell r="E544">
            <v>429</v>
          </cell>
          <cell r="F544">
            <v>306.82</v>
          </cell>
          <cell r="G544">
            <v>336.82</v>
          </cell>
          <cell r="H544">
            <v>1386.87</v>
          </cell>
          <cell r="I544">
            <v>6422.14</v>
          </cell>
          <cell r="J544">
            <v>90424</v>
          </cell>
          <cell r="K544" t="str">
            <v>MP</v>
          </cell>
        </row>
        <row r="545">
          <cell r="A545" t="str">
            <v>995255-SLR</v>
          </cell>
          <cell r="B545">
            <v>13539</v>
          </cell>
          <cell r="C545">
            <v>200.87</v>
          </cell>
          <cell r="D545">
            <v>0.72</v>
          </cell>
          <cell r="E545">
            <v>477</v>
          </cell>
          <cell r="F545">
            <v>144.72</v>
          </cell>
          <cell r="G545">
            <v>106.96</v>
          </cell>
          <cell r="H545">
            <v>930.2700000000001</v>
          </cell>
          <cell r="I545">
            <v>361.34</v>
          </cell>
          <cell r="J545">
            <v>90219</v>
          </cell>
          <cell r="K545" t="str">
            <v>MP</v>
          </cell>
        </row>
        <row r="546">
          <cell r="A546" t="str">
            <v>995256-SLR</v>
          </cell>
          <cell r="B546">
            <v>13607</v>
          </cell>
          <cell r="C546">
            <v>834.94</v>
          </cell>
          <cell r="D546">
            <v>19.57</v>
          </cell>
          <cell r="E546">
            <v>477</v>
          </cell>
          <cell r="F546">
            <v>480.3</v>
          </cell>
          <cell r="G546">
            <v>1660.74</v>
          </cell>
          <cell r="H546">
            <v>3472.55</v>
          </cell>
          <cell r="I546">
            <v>9780.4699999999993</v>
          </cell>
          <cell r="J546">
            <v>90013</v>
          </cell>
          <cell r="K546" t="str">
            <v>MP</v>
          </cell>
        </row>
        <row r="547">
          <cell r="A547" t="str">
            <v>995257-SLR</v>
          </cell>
          <cell r="B547">
            <v>13381</v>
          </cell>
          <cell r="C547">
            <v>279.87</v>
          </cell>
          <cell r="D547">
            <v>24.33</v>
          </cell>
          <cell r="E547">
            <v>477</v>
          </cell>
          <cell r="F547">
            <v>530.38</v>
          </cell>
          <cell r="G547">
            <v>609.63</v>
          </cell>
          <cell r="H547">
            <v>1921.21</v>
          </cell>
          <cell r="I547">
            <v>11888.37</v>
          </cell>
          <cell r="J547">
            <v>90097</v>
          </cell>
          <cell r="K547" t="str">
            <v>MP</v>
          </cell>
        </row>
        <row r="548">
          <cell r="A548" t="str">
            <v>995258-SLR</v>
          </cell>
          <cell r="B548">
            <v>13609</v>
          </cell>
          <cell r="C548">
            <v>213.75</v>
          </cell>
          <cell r="D548">
            <v>37.15</v>
          </cell>
          <cell r="E548">
            <v>477</v>
          </cell>
          <cell r="F548">
            <v>446.4</v>
          </cell>
          <cell r="G548">
            <v>1875.89</v>
          </cell>
          <cell r="H548">
            <v>3050.19</v>
          </cell>
          <cell r="I548">
            <v>9639.64</v>
          </cell>
          <cell r="J548">
            <v>92109</v>
          </cell>
          <cell r="K548" t="str">
            <v>MP</v>
          </cell>
        </row>
        <row r="549">
          <cell r="A549" t="str">
            <v>995259-SLR</v>
          </cell>
          <cell r="B549">
            <v>13447</v>
          </cell>
          <cell r="C549">
            <v>10498.63</v>
          </cell>
          <cell r="D549">
            <v>158.27000000000001</v>
          </cell>
          <cell r="E549">
            <v>477</v>
          </cell>
          <cell r="F549">
            <v>2040.17</v>
          </cell>
          <cell r="G549">
            <v>10308.24</v>
          </cell>
          <cell r="H549">
            <v>23482.309999999998</v>
          </cell>
          <cell r="I549">
            <v>68637.25</v>
          </cell>
          <cell r="J549">
            <v>92056</v>
          </cell>
          <cell r="K549" t="str">
            <v>MP</v>
          </cell>
        </row>
        <row r="550">
          <cell r="A550" t="str">
            <v>995260-SLR</v>
          </cell>
          <cell r="B550">
            <v>13448</v>
          </cell>
          <cell r="C550">
            <v>1350.11</v>
          </cell>
          <cell r="D550">
            <v>33.840000000000003</v>
          </cell>
          <cell r="E550">
            <v>477</v>
          </cell>
          <cell r="F550">
            <v>640.07000000000005</v>
          </cell>
          <cell r="G550">
            <v>3242.88</v>
          </cell>
          <cell r="H550">
            <v>5743.9</v>
          </cell>
          <cell r="I550">
            <v>15683.85</v>
          </cell>
          <cell r="J550">
            <v>91975</v>
          </cell>
          <cell r="K550" t="str">
            <v>MP</v>
          </cell>
        </row>
        <row r="551">
          <cell r="A551" t="str">
            <v>995261-SLR</v>
          </cell>
          <cell r="B551">
            <v>13382</v>
          </cell>
          <cell r="C551">
            <v>184.5</v>
          </cell>
          <cell r="D551">
            <v>4.41</v>
          </cell>
          <cell r="E551">
            <v>477</v>
          </cell>
          <cell r="F551">
            <v>181.64</v>
          </cell>
          <cell r="G551">
            <v>462.88</v>
          </cell>
          <cell r="H551">
            <v>1310.4299999999998</v>
          </cell>
          <cell r="I551">
            <v>2015.3</v>
          </cell>
          <cell r="J551">
            <v>92225</v>
          </cell>
          <cell r="K551" t="str">
            <v>MP</v>
          </cell>
        </row>
        <row r="552">
          <cell r="A552" t="str">
            <v>995262-SLR</v>
          </cell>
          <cell r="B552">
            <v>13383</v>
          </cell>
          <cell r="C552">
            <v>170.63</v>
          </cell>
          <cell r="D552">
            <v>1.49</v>
          </cell>
          <cell r="E552">
            <v>477</v>
          </cell>
          <cell r="F552">
            <v>141.04</v>
          </cell>
          <cell r="G552">
            <v>75.959999999999994</v>
          </cell>
          <cell r="H552">
            <v>866.12</v>
          </cell>
          <cell r="I552">
            <v>228.35</v>
          </cell>
          <cell r="J552">
            <v>93030</v>
          </cell>
          <cell r="K552" t="str">
            <v>MP</v>
          </cell>
        </row>
        <row r="553">
          <cell r="A553" t="str">
            <v>995263-SLR</v>
          </cell>
          <cell r="B553">
            <v>13801</v>
          </cell>
          <cell r="C553">
            <v>0</v>
          </cell>
          <cell r="D553">
            <v>0</v>
          </cell>
          <cell r="E553">
            <v>0</v>
          </cell>
          <cell r="F553">
            <v>0</v>
          </cell>
          <cell r="G553">
            <v>2475.6999999999998</v>
          </cell>
          <cell r="H553">
            <v>2475.6999999999998</v>
          </cell>
          <cell r="I553">
            <v>4126.16</v>
          </cell>
          <cell r="J553">
            <v>92243</v>
          </cell>
          <cell r="K553" t="str">
            <v>MP</v>
          </cell>
        </row>
        <row r="554">
          <cell r="A554" t="str">
            <v>995264-SLR</v>
          </cell>
          <cell r="B554">
            <v>13293</v>
          </cell>
          <cell r="C554">
            <v>0</v>
          </cell>
          <cell r="D554">
            <v>0</v>
          </cell>
          <cell r="E554">
            <v>18.71</v>
          </cell>
          <cell r="F554">
            <v>0</v>
          </cell>
          <cell r="G554">
            <v>351.95</v>
          </cell>
          <cell r="H554">
            <v>370.65999999999997</v>
          </cell>
          <cell r="I554">
            <v>586.57000000000005</v>
          </cell>
          <cell r="J554">
            <v>93050</v>
          </cell>
          <cell r="K554" t="str">
            <v>MP</v>
          </cell>
        </row>
        <row r="555">
          <cell r="A555" t="str">
            <v>995265-SLR</v>
          </cell>
          <cell r="B555">
            <v>13294</v>
          </cell>
          <cell r="C555">
            <v>0</v>
          </cell>
          <cell r="D555">
            <v>0</v>
          </cell>
          <cell r="E555">
            <v>18.78</v>
          </cell>
          <cell r="F555">
            <v>0</v>
          </cell>
          <cell r="G555">
            <v>17.079999999999998</v>
          </cell>
          <cell r="H555">
            <v>35.86</v>
          </cell>
          <cell r="I555">
            <v>28.47</v>
          </cell>
          <cell r="J555">
            <v>93050</v>
          </cell>
          <cell r="K555" t="str">
            <v>MP</v>
          </cell>
        </row>
        <row r="556">
          <cell r="A556" t="str">
            <v>995266-SLR</v>
          </cell>
          <cell r="B556">
            <v>13384</v>
          </cell>
          <cell r="C556">
            <v>0</v>
          </cell>
          <cell r="D556">
            <v>0</v>
          </cell>
          <cell r="E556">
            <v>0</v>
          </cell>
          <cell r="F556">
            <v>0</v>
          </cell>
          <cell r="G556">
            <v>155.81</v>
          </cell>
          <cell r="H556">
            <v>155.81</v>
          </cell>
          <cell r="I556">
            <v>259.69</v>
          </cell>
          <cell r="J556">
            <v>93050</v>
          </cell>
          <cell r="K556" t="str">
            <v>MP</v>
          </cell>
        </row>
        <row r="557">
          <cell r="A557" t="str">
            <v>995267-SLR</v>
          </cell>
          <cell r="B557">
            <v>13385</v>
          </cell>
          <cell r="C557">
            <v>0</v>
          </cell>
          <cell r="D557">
            <v>0</v>
          </cell>
          <cell r="E557">
            <v>0</v>
          </cell>
          <cell r="F557">
            <v>0</v>
          </cell>
          <cell r="G557">
            <v>229.62</v>
          </cell>
          <cell r="H557">
            <v>229.62</v>
          </cell>
          <cell r="I557">
            <v>382.7</v>
          </cell>
          <cell r="J557">
            <v>93050</v>
          </cell>
          <cell r="K557" t="str">
            <v>MP</v>
          </cell>
        </row>
        <row r="558">
          <cell r="A558" t="str">
            <v>995270-SLR</v>
          </cell>
          <cell r="B558">
            <v>13295</v>
          </cell>
          <cell r="C558">
            <v>0</v>
          </cell>
          <cell r="D558">
            <v>0</v>
          </cell>
          <cell r="E558">
            <v>0</v>
          </cell>
          <cell r="F558">
            <v>0</v>
          </cell>
          <cell r="G558">
            <v>0</v>
          </cell>
          <cell r="H558">
            <v>0</v>
          </cell>
          <cell r="I558">
            <v>14.24</v>
          </cell>
          <cell r="J558">
            <v>93050</v>
          </cell>
          <cell r="K558" t="str">
            <v>MP</v>
          </cell>
        </row>
        <row r="559">
          <cell r="A559" t="str">
            <v>995274-SLR</v>
          </cell>
          <cell r="B559">
            <v>13802</v>
          </cell>
          <cell r="C559">
            <v>842.34</v>
          </cell>
          <cell r="D559">
            <v>627.62</v>
          </cell>
          <cell r="E559">
            <v>429</v>
          </cell>
          <cell r="F559">
            <v>7349.88</v>
          </cell>
          <cell r="G559">
            <v>44139.38</v>
          </cell>
          <cell r="H559">
            <v>53388.22</v>
          </cell>
          <cell r="I559">
            <v>313811.32</v>
          </cell>
          <cell r="J559">
            <v>90097</v>
          </cell>
          <cell r="K559" t="str">
            <v>MP</v>
          </cell>
        </row>
        <row r="560">
          <cell r="A560" t="str">
            <v>995275-SLR</v>
          </cell>
          <cell r="B560">
            <v>13665</v>
          </cell>
          <cell r="C560">
            <v>183.21</v>
          </cell>
          <cell r="D560">
            <v>29.88</v>
          </cell>
          <cell r="E560">
            <v>429</v>
          </cell>
          <cell r="F560">
            <v>592.88</v>
          </cell>
          <cell r="G560">
            <v>2095.81</v>
          </cell>
          <cell r="H560">
            <v>3330.7799999999997</v>
          </cell>
          <cell r="I560">
            <v>14756.95</v>
          </cell>
          <cell r="J560">
            <v>90097</v>
          </cell>
          <cell r="K560" t="str">
            <v>MP</v>
          </cell>
        </row>
        <row r="561">
          <cell r="A561" t="str">
            <v>995276-SLR</v>
          </cell>
          <cell r="B561">
            <v>13449</v>
          </cell>
          <cell r="C561">
            <v>249.76</v>
          </cell>
          <cell r="D561">
            <v>42.87</v>
          </cell>
          <cell r="E561">
            <v>477</v>
          </cell>
          <cell r="F561">
            <v>744.95</v>
          </cell>
          <cell r="G561">
            <v>3042.04</v>
          </cell>
          <cell r="H561">
            <v>4556.62</v>
          </cell>
          <cell r="I561">
            <v>21436.23</v>
          </cell>
          <cell r="J561">
            <v>91750</v>
          </cell>
          <cell r="K561" t="str">
            <v>MP</v>
          </cell>
        </row>
        <row r="562">
          <cell r="A562" t="str">
            <v>995277-SLR</v>
          </cell>
          <cell r="B562">
            <v>13610</v>
          </cell>
          <cell r="C562">
            <v>215.57</v>
          </cell>
          <cell r="D562">
            <v>12.24</v>
          </cell>
          <cell r="E562">
            <v>477</v>
          </cell>
          <cell r="F562">
            <v>279.94</v>
          </cell>
          <cell r="G562">
            <v>858.55</v>
          </cell>
          <cell r="H562">
            <v>1843.3</v>
          </cell>
          <cell r="I562">
            <v>5904.68</v>
          </cell>
          <cell r="J562">
            <v>90121</v>
          </cell>
          <cell r="K562" t="str">
            <v>MP</v>
          </cell>
        </row>
        <row r="563">
          <cell r="A563" t="str">
            <v>995280-SLR</v>
          </cell>
          <cell r="B563">
            <v>13666</v>
          </cell>
          <cell r="C563">
            <v>183.21</v>
          </cell>
          <cell r="D563">
            <v>15.16</v>
          </cell>
          <cell r="E563">
            <v>429</v>
          </cell>
          <cell r="F563">
            <v>345.34</v>
          </cell>
          <cell r="G563">
            <v>1064.28</v>
          </cell>
          <cell r="H563">
            <v>2036.99</v>
          </cell>
          <cell r="I563">
            <v>7403.65</v>
          </cell>
          <cell r="J563">
            <v>91682</v>
          </cell>
          <cell r="K563" t="str">
            <v>MP</v>
          </cell>
        </row>
        <row r="564">
          <cell r="A564" t="str">
            <v>995281-SLR</v>
          </cell>
          <cell r="B564">
            <v>13667</v>
          </cell>
          <cell r="C564">
            <v>183.21</v>
          </cell>
          <cell r="D564">
            <v>54.49</v>
          </cell>
          <cell r="E564">
            <v>429</v>
          </cell>
          <cell r="F564">
            <v>870.23</v>
          </cell>
          <cell r="G564">
            <v>3821.54</v>
          </cell>
          <cell r="H564">
            <v>5358.47</v>
          </cell>
          <cell r="I564">
            <v>27059.040000000001</v>
          </cell>
          <cell r="J564">
            <v>92018</v>
          </cell>
          <cell r="K564" t="str">
            <v>MP</v>
          </cell>
        </row>
        <row r="565">
          <cell r="A565" t="str">
            <v>995282-SLR</v>
          </cell>
          <cell r="B565">
            <v>13476</v>
          </cell>
          <cell r="C565">
            <v>12675.71</v>
          </cell>
          <cell r="D565">
            <v>61.24</v>
          </cell>
          <cell r="E565">
            <v>477</v>
          </cell>
          <cell r="F565">
            <v>946.36</v>
          </cell>
          <cell r="G565">
            <v>3988.44</v>
          </cell>
          <cell r="H565">
            <v>18148.75</v>
          </cell>
          <cell r="I565">
            <v>17943.330000000002</v>
          </cell>
          <cell r="J565">
            <v>93038</v>
          </cell>
          <cell r="K565" t="str">
            <v>MP</v>
          </cell>
        </row>
        <row r="566">
          <cell r="A566" t="str">
            <v>995283-SLR</v>
          </cell>
          <cell r="B566">
            <v>13668</v>
          </cell>
          <cell r="C566">
            <v>209.29</v>
          </cell>
          <cell r="D566">
            <v>11.05</v>
          </cell>
          <cell r="E566">
            <v>429</v>
          </cell>
          <cell r="F566">
            <v>256.66000000000003</v>
          </cell>
          <cell r="G566">
            <v>775.35</v>
          </cell>
          <cell r="H566">
            <v>1681.35</v>
          </cell>
          <cell r="I566">
            <v>5317.85</v>
          </cell>
          <cell r="J566">
            <v>90503</v>
          </cell>
          <cell r="K566" t="str">
            <v>MP</v>
          </cell>
        </row>
        <row r="567">
          <cell r="A567" t="str">
            <v>995284-SLR</v>
          </cell>
          <cell r="B567">
            <v>13584</v>
          </cell>
          <cell r="C567">
            <v>314.63</v>
          </cell>
          <cell r="D567">
            <v>7.82</v>
          </cell>
          <cell r="E567">
            <v>477</v>
          </cell>
          <cell r="F567">
            <v>227.26</v>
          </cell>
          <cell r="G567">
            <v>592.41999999999996</v>
          </cell>
          <cell r="H567">
            <v>1619.13</v>
          </cell>
          <cell r="I567">
            <v>3909.15</v>
          </cell>
          <cell r="J567">
            <v>92403</v>
          </cell>
          <cell r="K567" t="str">
            <v>MP</v>
          </cell>
        </row>
        <row r="568">
          <cell r="A568" t="str">
            <v>995285-SLR</v>
          </cell>
          <cell r="B568">
            <v>13611</v>
          </cell>
          <cell r="C568">
            <v>519.12</v>
          </cell>
          <cell r="D568">
            <v>9.0399999999999991</v>
          </cell>
          <cell r="E568">
            <v>477</v>
          </cell>
          <cell r="F568">
            <v>233.89</v>
          </cell>
          <cell r="G568">
            <v>950.48</v>
          </cell>
          <cell r="H568">
            <v>2189.5299999999997</v>
          </cell>
          <cell r="I568">
            <v>3997.93</v>
          </cell>
          <cell r="J568">
            <v>93424</v>
          </cell>
          <cell r="K568" t="str">
            <v>MP</v>
          </cell>
        </row>
        <row r="569">
          <cell r="A569" t="str">
            <v>995286-SLR</v>
          </cell>
          <cell r="B569">
            <v>13717</v>
          </cell>
          <cell r="C569">
            <v>184.33</v>
          </cell>
          <cell r="D569">
            <v>3.91</v>
          </cell>
          <cell r="E569">
            <v>429</v>
          </cell>
          <cell r="F569">
            <v>176.24</v>
          </cell>
          <cell r="G569">
            <v>58.92</v>
          </cell>
          <cell r="H569">
            <v>852.4</v>
          </cell>
          <cell r="I569">
            <v>1775.65</v>
          </cell>
          <cell r="J569">
            <v>90468</v>
          </cell>
          <cell r="K569" t="str">
            <v>MP</v>
          </cell>
        </row>
        <row r="570">
          <cell r="A570" t="str">
            <v>995287-SLR</v>
          </cell>
          <cell r="B570">
            <v>13669</v>
          </cell>
          <cell r="C570">
            <v>1262.26</v>
          </cell>
          <cell r="D570">
            <v>17.23</v>
          </cell>
          <cell r="E570">
            <v>429</v>
          </cell>
          <cell r="F570">
            <v>391.69</v>
          </cell>
          <cell r="G570">
            <v>1642.26</v>
          </cell>
          <cell r="H570">
            <v>3742.4399999999996</v>
          </cell>
          <cell r="I570">
            <v>7363.99</v>
          </cell>
          <cell r="J570">
            <v>91975</v>
          </cell>
          <cell r="K570" t="str">
            <v>MP</v>
          </cell>
        </row>
        <row r="571">
          <cell r="A571" t="str">
            <v>995288-SLR</v>
          </cell>
          <cell r="B571">
            <v>13612</v>
          </cell>
          <cell r="C571">
            <v>2019.8</v>
          </cell>
          <cell r="D571">
            <v>257.64999999999998</v>
          </cell>
          <cell r="E571">
            <v>477</v>
          </cell>
          <cell r="F571">
            <v>3205.77</v>
          </cell>
          <cell r="G571">
            <v>17042.830000000002</v>
          </cell>
          <cell r="H571">
            <v>23003.050000000003</v>
          </cell>
          <cell r="I571">
            <v>128821.26</v>
          </cell>
          <cell r="J571">
            <v>92107</v>
          </cell>
          <cell r="K571" t="str">
            <v>MP</v>
          </cell>
        </row>
        <row r="572">
          <cell r="A572" t="str">
            <v>995289-SLR</v>
          </cell>
          <cell r="B572">
            <v>13757</v>
          </cell>
          <cell r="C572">
            <v>442.08</v>
          </cell>
          <cell r="D572">
            <v>2.42</v>
          </cell>
          <cell r="E572">
            <v>429</v>
          </cell>
          <cell r="F572">
            <v>159.41</v>
          </cell>
          <cell r="G572">
            <v>145.94</v>
          </cell>
          <cell r="H572">
            <v>1178.8500000000001</v>
          </cell>
          <cell r="I572">
            <v>771.69</v>
          </cell>
          <cell r="J572">
            <v>93256</v>
          </cell>
          <cell r="K572" t="str">
            <v>MP</v>
          </cell>
        </row>
        <row r="573">
          <cell r="A573" t="str">
            <v>995290-SLR</v>
          </cell>
          <cell r="B573">
            <v>0</v>
          </cell>
          <cell r="C573">
            <v>2645.37</v>
          </cell>
          <cell r="D573">
            <v>32.29</v>
          </cell>
          <cell r="E573">
            <v>429</v>
          </cell>
          <cell r="F573">
            <v>679.56</v>
          </cell>
          <cell r="G573">
            <v>3576.3</v>
          </cell>
          <cell r="H573">
            <v>7362.52</v>
          </cell>
          <cell r="I573">
            <v>16144.99</v>
          </cell>
          <cell r="J573">
            <v>92294</v>
          </cell>
          <cell r="K573" t="str">
            <v>MP</v>
          </cell>
        </row>
        <row r="574">
          <cell r="A574" t="str">
            <v>995291-SLR</v>
          </cell>
          <cell r="B574">
            <v>13451</v>
          </cell>
          <cell r="C574">
            <v>849.64</v>
          </cell>
          <cell r="D574">
            <v>66.48</v>
          </cell>
          <cell r="E574">
            <v>477</v>
          </cell>
          <cell r="F574">
            <v>1024.54</v>
          </cell>
          <cell r="G574">
            <v>4440.1400000000003</v>
          </cell>
          <cell r="H574">
            <v>6857.8</v>
          </cell>
          <cell r="I574">
            <v>33238.83</v>
          </cell>
          <cell r="J574">
            <v>93435</v>
          </cell>
          <cell r="K574" t="str">
            <v>MP</v>
          </cell>
        </row>
        <row r="575">
          <cell r="A575" t="str">
            <v>995292-SLR</v>
          </cell>
          <cell r="B575">
            <v>13613</v>
          </cell>
          <cell r="C575">
            <v>206.2</v>
          </cell>
          <cell r="D575">
            <v>0.64</v>
          </cell>
          <cell r="E575">
            <v>477</v>
          </cell>
          <cell r="F575">
            <v>143.81</v>
          </cell>
          <cell r="G575">
            <v>99.31</v>
          </cell>
          <cell r="H575">
            <v>926.95999999999981</v>
          </cell>
          <cell r="I575">
            <v>315.85000000000002</v>
          </cell>
          <cell r="J575">
            <v>91591</v>
          </cell>
          <cell r="K575" t="str">
            <v>MP</v>
          </cell>
        </row>
        <row r="576">
          <cell r="A576" t="str">
            <v>995293-SLR</v>
          </cell>
          <cell r="B576">
            <v>13759</v>
          </cell>
          <cell r="C576">
            <v>898.42</v>
          </cell>
          <cell r="D576">
            <v>39.93</v>
          </cell>
          <cell r="E576">
            <v>429</v>
          </cell>
          <cell r="F576">
            <v>706.13</v>
          </cell>
          <cell r="G576">
            <v>3800.7</v>
          </cell>
          <cell r="H576">
            <v>5874.18</v>
          </cell>
          <cell r="I576">
            <v>19065.310000000001</v>
          </cell>
          <cell r="J576">
            <v>92323</v>
          </cell>
          <cell r="K576" t="str">
            <v>MP</v>
          </cell>
        </row>
        <row r="577">
          <cell r="A577" t="str">
            <v>995294-SLR</v>
          </cell>
          <cell r="B577">
            <v>13718</v>
          </cell>
          <cell r="C577">
            <v>1510.42</v>
          </cell>
          <cell r="D577">
            <v>50.29</v>
          </cell>
          <cell r="E577">
            <v>429</v>
          </cell>
          <cell r="F577">
            <v>823.01</v>
          </cell>
          <cell r="G577">
            <v>2454.1</v>
          </cell>
          <cell r="H577">
            <v>5266.82</v>
          </cell>
          <cell r="I577">
            <v>23637.91</v>
          </cell>
          <cell r="J577">
            <v>91750</v>
          </cell>
          <cell r="K577" t="str">
            <v>MP</v>
          </cell>
        </row>
        <row r="578">
          <cell r="A578" t="str">
            <v>995295-SLR</v>
          </cell>
          <cell r="B578">
            <v>13614</v>
          </cell>
          <cell r="C578">
            <v>594.1</v>
          </cell>
          <cell r="D578">
            <v>72.489999999999995</v>
          </cell>
          <cell r="E578">
            <v>477</v>
          </cell>
          <cell r="F578">
            <v>1073.24</v>
          </cell>
          <cell r="G578">
            <v>2649.67</v>
          </cell>
          <cell r="H578">
            <v>4866.5</v>
          </cell>
          <cell r="I578">
            <v>35652.99</v>
          </cell>
          <cell r="J578">
            <v>91750</v>
          </cell>
          <cell r="K578" t="str">
            <v>MP</v>
          </cell>
        </row>
        <row r="579">
          <cell r="A579" t="str">
            <v>995296-SLR</v>
          </cell>
          <cell r="B579">
            <v>13571</v>
          </cell>
          <cell r="C579">
            <v>413.04</v>
          </cell>
          <cell r="D579">
            <v>23.24</v>
          </cell>
          <cell r="E579">
            <v>477</v>
          </cell>
          <cell r="F579">
            <v>527.17999999999995</v>
          </cell>
          <cell r="G579">
            <v>1687.65</v>
          </cell>
          <cell r="H579">
            <v>3128.11</v>
          </cell>
          <cell r="I579">
            <v>11618.38</v>
          </cell>
          <cell r="J579">
            <v>91750</v>
          </cell>
          <cell r="K579" t="str">
            <v>MP</v>
          </cell>
        </row>
        <row r="580">
          <cell r="A580" t="str">
            <v>995297-SLR</v>
          </cell>
          <cell r="B580">
            <v>13650</v>
          </cell>
          <cell r="C580">
            <v>301</v>
          </cell>
          <cell r="D580">
            <v>9.66</v>
          </cell>
          <cell r="E580">
            <v>477</v>
          </cell>
          <cell r="F580">
            <v>240.89</v>
          </cell>
          <cell r="G580">
            <v>677.22</v>
          </cell>
          <cell r="H580">
            <v>1705.7700000000002</v>
          </cell>
          <cell r="I580">
            <v>4526.6400000000003</v>
          </cell>
          <cell r="J580">
            <v>93163</v>
          </cell>
          <cell r="K580" t="str">
            <v>MP</v>
          </cell>
        </row>
        <row r="581">
          <cell r="A581" t="str">
            <v>995298-SLR</v>
          </cell>
          <cell r="B581">
            <v>13804</v>
          </cell>
          <cell r="C581">
            <v>305.52</v>
          </cell>
          <cell r="D581">
            <v>9.0399999999999991</v>
          </cell>
          <cell r="E581">
            <v>429</v>
          </cell>
          <cell r="F581">
            <v>233.89</v>
          </cell>
          <cell r="G581">
            <v>633.66999999999996</v>
          </cell>
          <cell r="H581">
            <v>1611.12</v>
          </cell>
          <cell r="I581">
            <v>4211.68</v>
          </cell>
          <cell r="J581">
            <v>93163</v>
          </cell>
          <cell r="K581" t="str">
            <v>MP</v>
          </cell>
        </row>
        <row r="582">
          <cell r="A582" t="str">
            <v>995299-SLR</v>
          </cell>
          <cell r="B582">
            <v>13494</v>
          </cell>
          <cell r="C582">
            <v>140.96</v>
          </cell>
          <cell r="D582">
            <v>5.69</v>
          </cell>
          <cell r="E582">
            <v>477</v>
          </cell>
          <cell r="F582">
            <v>196.21</v>
          </cell>
          <cell r="G582">
            <v>484.77</v>
          </cell>
          <cell r="H582">
            <v>1304.6300000000001</v>
          </cell>
          <cell r="I582">
            <v>2704.93</v>
          </cell>
          <cell r="J582">
            <v>93261</v>
          </cell>
          <cell r="K582" t="str">
            <v>MP</v>
          </cell>
        </row>
        <row r="583">
          <cell r="A583" t="str">
            <v>995300-SLR</v>
          </cell>
          <cell r="B583">
            <v>13504</v>
          </cell>
          <cell r="C583">
            <v>140.96</v>
          </cell>
          <cell r="D583">
            <v>6.54</v>
          </cell>
          <cell r="E583">
            <v>477</v>
          </cell>
          <cell r="F583">
            <v>205.74</v>
          </cell>
          <cell r="G583">
            <v>556.78</v>
          </cell>
          <cell r="H583">
            <v>1387.02</v>
          </cell>
          <cell r="I583">
            <v>3127.68</v>
          </cell>
          <cell r="J583">
            <v>93261</v>
          </cell>
          <cell r="K583" t="str">
            <v>MP</v>
          </cell>
        </row>
        <row r="584">
          <cell r="A584" t="str">
            <v>995301-SLR</v>
          </cell>
          <cell r="B584">
            <v>13540</v>
          </cell>
          <cell r="C584">
            <v>140.4</v>
          </cell>
          <cell r="D584">
            <v>1.3</v>
          </cell>
          <cell r="E584">
            <v>477</v>
          </cell>
          <cell r="F584">
            <v>139.85</v>
          </cell>
          <cell r="G584">
            <v>65.84</v>
          </cell>
          <cell r="H584">
            <v>824.3900000000001</v>
          </cell>
          <cell r="I584">
            <v>205.43</v>
          </cell>
          <cell r="J584">
            <v>93013</v>
          </cell>
          <cell r="K584" t="str">
            <v>MP</v>
          </cell>
        </row>
        <row r="585">
          <cell r="A585" t="str">
            <v>995302-SLR</v>
          </cell>
          <cell r="B585">
            <v>13452</v>
          </cell>
          <cell r="C585">
            <v>960.64</v>
          </cell>
          <cell r="D585">
            <v>3.06</v>
          </cell>
          <cell r="E585">
            <v>477</v>
          </cell>
          <cell r="F585">
            <v>188.24</v>
          </cell>
          <cell r="G585">
            <v>524.47</v>
          </cell>
          <cell r="H585">
            <v>2153.41</v>
          </cell>
          <cell r="I585">
            <v>1533.77</v>
          </cell>
          <cell r="J585">
            <v>93054</v>
          </cell>
          <cell r="K585" t="str">
            <v>MP</v>
          </cell>
        </row>
        <row r="586">
          <cell r="A586" t="str">
            <v>995304-SLR</v>
          </cell>
          <cell r="B586">
            <v>13541</v>
          </cell>
          <cell r="C586">
            <v>225.67</v>
          </cell>
          <cell r="D586">
            <v>8.98</v>
          </cell>
          <cell r="E586">
            <v>477</v>
          </cell>
          <cell r="F586">
            <v>238.33</v>
          </cell>
          <cell r="G586">
            <v>991.95</v>
          </cell>
          <cell r="H586">
            <v>1941.93</v>
          </cell>
          <cell r="I586">
            <v>4488.92</v>
          </cell>
          <cell r="J586">
            <v>92278</v>
          </cell>
          <cell r="K586" t="str">
            <v>MP</v>
          </cell>
        </row>
        <row r="587">
          <cell r="A587" t="str">
            <v>995305-SLR</v>
          </cell>
          <cell r="B587">
            <v>13572</v>
          </cell>
          <cell r="C587">
            <v>105.62</v>
          </cell>
          <cell r="D587">
            <v>6.45</v>
          </cell>
          <cell r="E587">
            <v>477</v>
          </cell>
          <cell r="F587">
            <v>207.14</v>
          </cell>
          <cell r="G587">
            <v>700.83</v>
          </cell>
          <cell r="H587">
            <v>1497.04</v>
          </cell>
          <cell r="I587">
            <v>3225.23</v>
          </cell>
          <cell r="J587">
            <v>92278</v>
          </cell>
          <cell r="K587" t="str">
            <v>MP</v>
          </cell>
        </row>
        <row r="588">
          <cell r="A588" t="str">
            <v>995306-SLR</v>
          </cell>
          <cell r="B588">
            <v>13542</v>
          </cell>
          <cell r="C588">
            <v>235.76</v>
          </cell>
          <cell r="D588">
            <v>5.83</v>
          </cell>
          <cell r="E588">
            <v>477</v>
          </cell>
          <cell r="F588">
            <v>202.96</v>
          </cell>
          <cell r="G588">
            <v>378.18</v>
          </cell>
          <cell r="H588">
            <v>1299.73</v>
          </cell>
          <cell r="I588">
            <v>2909.88</v>
          </cell>
          <cell r="J588">
            <v>92287</v>
          </cell>
          <cell r="K588" t="str">
            <v>MP</v>
          </cell>
        </row>
        <row r="589">
          <cell r="A589" t="str">
            <v>995307-SLR</v>
          </cell>
          <cell r="B589">
            <v>13573</v>
          </cell>
          <cell r="C589">
            <v>202.76</v>
          </cell>
          <cell r="D589">
            <v>1.58</v>
          </cell>
          <cell r="E589">
            <v>477</v>
          </cell>
          <cell r="F589">
            <v>154.47</v>
          </cell>
          <cell r="G589">
            <v>209.27</v>
          </cell>
          <cell r="H589">
            <v>1045.0800000000002</v>
          </cell>
          <cell r="I589">
            <v>792.16</v>
          </cell>
          <cell r="J589">
            <v>91681</v>
          </cell>
          <cell r="K589" t="str">
            <v>MP</v>
          </cell>
        </row>
        <row r="590">
          <cell r="A590" t="str">
            <v>995308-SLR</v>
          </cell>
          <cell r="B590">
            <v>13453</v>
          </cell>
          <cell r="C590">
            <v>352.39</v>
          </cell>
          <cell r="D590">
            <v>29.18</v>
          </cell>
          <cell r="E590">
            <v>477</v>
          </cell>
          <cell r="F590">
            <v>593</v>
          </cell>
          <cell r="G590">
            <v>449.27</v>
          </cell>
          <cell r="H590">
            <v>1900.84</v>
          </cell>
          <cell r="I590">
            <v>14594.1</v>
          </cell>
          <cell r="J590">
            <v>90061</v>
          </cell>
          <cell r="K590" t="str">
            <v>MP</v>
          </cell>
        </row>
        <row r="591">
          <cell r="A591" t="str">
            <v>995309-SLR</v>
          </cell>
          <cell r="B591">
            <v>13574</v>
          </cell>
          <cell r="C591">
            <v>4314.17</v>
          </cell>
          <cell r="D591">
            <v>34.479999999999997</v>
          </cell>
          <cell r="E591">
            <v>477</v>
          </cell>
          <cell r="F591">
            <v>644.61</v>
          </cell>
          <cell r="G591">
            <v>2072.3200000000002</v>
          </cell>
          <cell r="H591">
            <v>7542.58</v>
          </cell>
          <cell r="I591">
            <v>12920.69</v>
          </cell>
          <cell r="J591">
            <v>92253</v>
          </cell>
          <cell r="K591" t="str">
            <v>MP</v>
          </cell>
        </row>
        <row r="592">
          <cell r="A592" t="str">
            <v>995310-SLR</v>
          </cell>
          <cell r="B592">
            <v>13543</v>
          </cell>
          <cell r="C592">
            <v>647.59</v>
          </cell>
          <cell r="D592">
            <v>7.75</v>
          </cell>
          <cell r="E592">
            <v>477</v>
          </cell>
          <cell r="F592">
            <v>234</v>
          </cell>
          <cell r="G592">
            <v>498.44</v>
          </cell>
          <cell r="H592">
            <v>1864.7800000000002</v>
          </cell>
          <cell r="I592">
            <v>3875.94</v>
          </cell>
          <cell r="J592">
            <v>93247</v>
          </cell>
          <cell r="K592" t="str">
            <v>MP</v>
          </cell>
        </row>
        <row r="593">
          <cell r="A593" t="str">
            <v>995311-SLR</v>
          </cell>
          <cell r="B593">
            <v>13616</v>
          </cell>
          <cell r="C593">
            <v>1938.96</v>
          </cell>
          <cell r="D593">
            <v>5.74</v>
          </cell>
          <cell r="E593">
            <v>477</v>
          </cell>
          <cell r="F593">
            <v>240.28</v>
          </cell>
          <cell r="G593">
            <v>913.98</v>
          </cell>
          <cell r="H593">
            <v>3575.96</v>
          </cell>
          <cell r="I593">
            <v>2865.74</v>
          </cell>
          <cell r="J593">
            <v>93429</v>
          </cell>
          <cell r="K593" t="str">
            <v>MP</v>
          </cell>
        </row>
        <row r="594">
          <cell r="A594" t="str">
            <v>995312-SLR</v>
          </cell>
          <cell r="B594">
            <v>13575</v>
          </cell>
          <cell r="C594">
            <v>282.41000000000003</v>
          </cell>
          <cell r="D594">
            <v>172.01</v>
          </cell>
          <cell r="E594">
            <v>477</v>
          </cell>
          <cell r="F594">
            <v>571.07000000000005</v>
          </cell>
          <cell r="G594">
            <v>2660.22</v>
          </cell>
          <cell r="H594">
            <v>4162.71</v>
          </cell>
          <cell r="I594">
            <v>13691.35</v>
          </cell>
          <cell r="J594">
            <v>92174</v>
          </cell>
          <cell r="K594" t="str">
            <v>MP</v>
          </cell>
        </row>
        <row r="595">
          <cell r="A595" t="str">
            <v>995313-SLR</v>
          </cell>
          <cell r="B595">
            <v>13576</v>
          </cell>
          <cell r="C595">
            <v>503.27</v>
          </cell>
          <cell r="D595">
            <v>7.9</v>
          </cell>
          <cell r="E595">
            <v>477</v>
          </cell>
          <cell r="F595">
            <v>221.08</v>
          </cell>
          <cell r="G595">
            <v>751.84</v>
          </cell>
          <cell r="H595">
            <v>1961.0900000000001</v>
          </cell>
          <cell r="I595">
            <v>3445.9</v>
          </cell>
          <cell r="J595">
            <v>93035</v>
          </cell>
          <cell r="K595" t="str">
            <v>MP</v>
          </cell>
        </row>
        <row r="596">
          <cell r="A596" t="str">
            <v>995314-SLR</v>
          </cell>
          <cell r="B596">
            <v>13670</v>
          </cell>
          <cell r="C596">
            <v>938.49</v>
          </cell>
          <cell r="D596">
            <v>372.31</v>
          </cell>
          <cell r="E596">
            <v>429</v>
          </cell>
          <cell r="F596">
            <v>4453.04</v>
          </cell>
          <cell r="G596">
            <v>9326.64</v>
          </cell>
          <cell r="H596">
            <v>15519.48</v>
          </cell>
          <cell r="I596">
            <v>185221.95</v>
          </cell>
          <cell r="J596">
            <v>91578</v>
          </cell>
          <cell r="K596" t="str">
            <v>MP</v>
          </cell>
        </row>
        <row r="597">
          <cell r="A597" t="str">
            <v>995315-SLR</v>
          </cell>
          <cell r="B597">
            <v>13495</v>
          </cell>
          <cell r="C597">
            <v>695.5</v>
          </cell>
          <cell r="D597">
            <v>62.36</v>
          </cell>
          <cell r="E597">
            <v>477</v>
          </cell>
          <cell r="F597">
            <v>645.51</v>
          </cell>
          <cell r="G597">
            <v>3288.81</v>
          </cell>
          <cell r="H597">
            <v>5169.18</v>
          </cell>
          <cell r="I597">
            <v>16580.849999999999</v>
          </cell>
          <cell r="J597">
            <v>93013</v>
          </cell>
          <cell r="K597" t="str">
            <v>MP</v>
          </cell>
        </row>
        <row r="598">
          <cell r="A598" t="str">
            <v>995316-SLR</v>
          </cell>
          <cell r="B598">
            <v>13671</v>
          </cell>
          <cell r="C598">
            <v>417.54</v>
          </cell>
          <cell r="D598">
            <v>34.71</v>
          </cell>
          <cell r="E598">
            <v>429</v>
          </cell>
          <cell r="F598">
            <v>647.27</v>
          </cell>
          <cell r="G598">
            <v>3303.62</v>
          </cell>
          <cell r="H598">
            <v>4832.1399999999994</v>
          </cell>
          <cell r="I598">
            <v>16935.2</v>
          </cell>
          <cell r="J598">
            <v>90402</v>
          </cell>
          <cell r="K598" t="str">
            <v>MP</v>
          </cell>
        </row>
        <row r="599">
          <cell r="A599" t="str">
            <v>995317-SLR</v>
          </cell>
          <cell r="B599">
            <v>13617</v>
          </cell>
          <cell r="C599">
            <v>992.5</v>
          </cell>
          <cell r="D599">
            <v>13.22</v>
          </cell>
          <cell r="E599">
            <v>477</v>
          </cell>
          <cell r="F599">
            <v>301.72000000000003</v>
          </cell>
          <cell r="G599">
            <v>860.82</v>
          </cell>
          <cell r="H599">
            <v>2645.26</v>
          </cell>
          <cell r="I599">
            <v>5616</v>
          </cell>
          <cell r="J599">
            <v>92107</v>
          </cell>
          <cell r="K599" t="str">
            <v>MP</v>
          </cell>
        </row>
        <row r="600">
          <cell r="A600" t="str">
            <v>995318-SLR</v>
          </cell>
          <cell r="B600">
            <v>13618</v>
          </cell>
          <cell r="C600">
            <v>290.67</v>
          </cell>
          <cell r="D600">
            <v>15.11</v>
          </cell>
          <cell r="E600">
            <v>477</v>
          </cell>
          <cell r="F600">
            <v>159.12</v>
          </cell>
          <cell r="G600">
            <v>228.62</v>
          </cell>
          <cell r="H600">
            <v>1170.52</v>
          </cell>
          <cell r="I600">
            <v>910.79</v>
          </cell>
          <cell r="J600">
            <v>91868</v>
          </cell>
          <cell r="K600" t="str">
            <v>MP</v>
          </cell>
        </row>
        <row r="601">
          <cell r="A601" t="str">
            <v>995319-SLR</v>
          </cell>
          <cell r="B601">
            <v>13619</v>
          </cell>
          <cell r="C601">
            <v>782.52</v>
          </cell>
          <cell r="D601">
            <v>58.18</v>
          </cell>
          <cell r="E601">
            <v>477</v>
          </cell>
          <cell r="F601">
            <v>228.74</v>
          </cell>
          <cell r="G601">
            <v>816.53</v>
          </cell>
          <cell r="H601">
            <v>2362.9699999999998</v>
          </cell>
          <cell r="I601">
            <v>3507.99</v>
          </cell>
          <cell r="J601">
            <v>91163</v>
          </cell>
          <cell r="K601" t="str">
            <v>MP</v>
          </cell>
        </row>
        <row r="602">
          <cell r="A602" t="str">
            <v>995320-SLR</v>
          </cell>
          <cell r="B602">
            <v>13620</v>
          </cell>
          <cell r="C602">
            <v>290.67</v>
          </cell>
          <cell r="D602">
            <v>1.35</v>
          </cell>
          <cell r="E602">
            <v>477</v>
          </cell>
          <cell r="F602">
            <v>250</v>
          </cell>
          <cell r="G602">
            <v>174.03</v>
          </cell>
          <cell r="H602">
            <v>1193.05</v>
          </cell>
          <cell r="I602">
            <v>674.82</v>
          </cell>
          <cell r="J602">
            <v>93045</v>
          </cell>
          <cell r="K602" t="str">
            <v>MP</v>
          </cell>
        </row>
        <row r="603">
          <cell r="A603" t="str">
            <v>995321-SLR</v>
          </cell>
          <cell r="B603">
            <v>13672</v>
          </cell>
          <cell r="C603">
            <v>294.07</v>
          </cell>
          <cell r="D603">
            <v>10.96</v>
          </cell>
          <cell r="E603">
            <v>429</v>
          </cell>
          <cell r="F603">
            <v>255.6</v>
          </cell>
          <cell r="G603">
            <v>768.79</v>
          </cell>
          <cell r="H603">
            <v>1758.42</v>
          </cell>
          <cell r="I603">
            <v>5186.32</v>
          </cell>
          <cell r="J603">
            <v>91250</v>
          </cell>
          <cell r="K603" t="str">
            <v>MP</v>
          </cell>
        </row>
        <row r="604">
          <cell r="A604" t="str">
            <v>995322-SLR</v>
          </cell>
          <cell r="B604">
            <v>13855</v>
          </cell>
          <cell r="C604">
            <v>298.04000000000002</v>
          </cell>
          <cell r="D604">
            <v>14.76</v>
          </cell>
          <cell r="E604">
            <v>429</v>
          </cell>
          <cell r="F604">
            <v>532.86</v>
          </cell>
          <cell r="G604">
            <v>1722.39</v>
          </cell>
          <cell r="H604">
            <v>2997.05</v>
          </cell>
          <cell r="I604">
            <v>11978.98</v>
          </cell>
          <cell r="J604">
            <v>93106</v>
          </cell>
          <cell r="K604" t="str">
            <v>MP</v>
          </cell>
        </row>
        <row r="605">
          <cell r="A605" t="str">
            <v>995323-SLR</v>
          </cell>
          <cell r="B605">
            <v>13621</v>
          </cell>
          <cell r="C605">
            <v>290.67</v>
          </cell>
          <cell r="D605">
            <v>7.39</v>
          </cell>
          <cell r="E605">
            <v>477</v>
          </cell>
          <cell r="F605">
            <v>221.79</v>
          </cell>
          <cell r="G605">
            <v>757.81</v>
          </cell>
          <cell r="H605">
            <v>1754.6599999999999</v>
          </cell>
          <cell r="I605">
            <v>3690.42</v>
          </cell>
          <cell r="J605">
            <v>93039</v>
          </cell>
          <cell r="K605" t="str">
            <v>MP</v>
          </cell>
        </row>
        <row r="606">
          <cell r="A606" t="str">
            <v>995324-SLR</v>
          </cell>
          <cell r="B606">
            <v>13585</v>
          </cell>
          <cell r="C606">
            <v>2975.68</v>
          </cell>
          <cell r="D606">
            <v>18.34</v>
          </cell>
          <cell r="E606">
            <v>477</v>
          </cell>
          <cell r="F606">
            <v>349</v>
          </cell>
          <cell r="G606">
            <v>2311.69</v>
          </cell>
          <cell r="H606">
            <v>6131.71</v>
          </cell>
          <cell r="I606">
            <v>9172.7900000000009</v>
          </cell>
          <cell r="J606">
            <v>93072</v>
          </cell>
          <cell r="K606" t="str">
            <v>MP</v>
          </cell>
        </row>
        <row r="607">
          <cell r="A607" t="str">
            <v>995325-SLR</v>
          </cell>
          <cell r="B607">
            <v>13622</v>
          </cell>
          <cell r="C607">
            <v>238.44</v>
          </cell>
          <cell r="D607">
            <v>18.22</v>
          </cell>
          <cell r="E607">
            <v>477</v>
          </cell>
          <cell r="F607">
            <v>413.06</v>
          </cell>
          <cell r="G607">
            <v>1094.8599999999999</v>
          </cell>
          <cell r="H607">
            <v>2241.58</v>
          </cell>
          <cell r="I607">
            <v>8867.1299999999992</v>
          </cell>
          <cell r="J607">
            <v>92282</v>
          </cell>
          <cell r="K607" t="str">
            <v>MP</v>
          </cell>
        </row>
        <row r="608">
          <cell r="A608" t="str">
            <v>995326-SLR</v>
          </cell>
          <cell r="B608">
            <v>13623</v>
          </cell>
          <cell r="C608">
            <v>182.76</v>
          </cell>
          <cell r="D608">
            <v>18.329999999999998</v>
          </cell>
          <cell r="E608">
            <v>477</v>
          </cell>
          <cell r="F608">
            <v>415.68</v>
          </cell>
          <cell r="G608">
            <v>1285.5899999999999</v>
          </cell>
          <cell r="H608">
            <v>2379.3599999999997</v>
          </cell>
          <cell r="I608">
            <v>8981.67</v>
          </cell>
          <cell r="J608">
            <v>91147</v>
          </cell>
          <cell r="K608" t="str">
            <v>MP</v>
          </cell>
        </row>
        <row r="609">
          <cell r="A609" t="str">
            <v>995328-SLR</v>
          </cell>
          <cell r="B609">
            <v>13673</v>
          </cell>
          <cell r="C609">
            <v>163.47999999999999</v>
          </cell>
          <cell r="D609">
            <v>26.63</v>
          </cell>
          <cell r="E609">
            <v>429</v>
          </cell>
          <cell r="F609">
            <v>556.29</v>
          </cell>
          <cell r="G609">
            <v>2802.2</v>
          </cell>
          <cell r="H609">
            <v>3977.6</v>
          </cell>
          <cell r="I609">
            <v>13153.7</v>
          </cell>
          <cell r="J609">
            <v>91681</v>
          </cell>
          <cell r="K609" t="str">
            <v>MP</v>
          </cell>
        </row>
        <row r="610">
          <cell r="A610" t="str">
            <v>995329-SLR</v>
          </cell>
          <cell r="B610">
            <v>13674</v>
          </cell>
          <cell r="C610">
            <v>257.91000000000003</v>
          </cell>
          <cell r="D610">
            <v>11.07</v>
          </cell>
          <cell r="E610">
            <v>429</v>
          </cell>
          <cell r="F610">
            <v>256.91000000000003</v>
          </cell>
          <cell r="G610">
            <v>1165.3399999999999</v>
          </cell>
          <cell r="H610">
            <v>2120.23</v>
          </cell>
          <cell r="I610">
            <v>5280.27</v>
          </cell>
          <cell r="J610">
            <v>91681</v>
          </cell>
          <cell r="K610" t="str">
            <v>MP</v>
          </cell>
        </row>
        <row r="611">
          <cell r="A611" t="str">
            <v>995332-SLR</v>
          </cell>
          <cell r="B611">
            <v>13507</v>
          </cell>
          <cell r="C611">
            <v>0</v>
          </cell>
          <cell r="D611">
            <v>0</v>
          </cell>
          <cell r="E611">
            <v>0</v>
          </cell>
          <cell r="F611">
            <v>0</v>
          </cell>
          <cell r="G611">
            <v>321.77</v>
          </cell>
          <cell r="H611">
            <v>321.77</v>
          </cell>
          <cell r="I611">
            <v>536.28</v>
          </cell>
          <cell r="J611">
            <v>93050</v>
          </cell>
          <cell r="K611" t="str">
            <v>MP</v>
          </cell>
        </row>
        <row r="612">
          <cell r="A612" t="str">
            <v>995333-SLR</v>
          </cell>
          <cell r="B612">
            <v>13508</v>
          </cell>
          <cell r="C612">
            <v>0</v>
          </cell>
          <cell r="D612">
            <v>0</v>
          </cell>
          <cell r="E612">
            <v>18.55</v>
          </cell>
          <cell r="F612">
            <v>0</v>
          </cell>
          <cell r="G612">
            <v>415.62</v>
          </cell>
          <cell r="H612">
            <v>434.17</v>
          </cell>
          <cell r="I612">
            <v>692.7</v>
          </cell>
          <cell r="J612">
            <v>93050</v>
          </cell>
          <cell r="K612" t="str">
            <v>MP</v>
          </cell>
        </row>
        <row r="613">
          <cell r="A613" t="str">
            <v>995334-SLR</v>
          </cell>
          <cell r="B613">
            <v>13388</v>
          </cell>
          <cell r="C613">
            <v>0</v>
          </cell>
          <cell r="D613">
            <v>0</v>
          </cell>
          <cell r="E613">
            <v>18.850000000000001</v>
          </cell>
          <cell r="F613">
            <v>0</v>
          </cell>
          <cell r="G613">
            <v>2078.11</v>
          </cell>
          <cell r="H613">
            <v>2096.96</v>
          </cell>
          <cell r="I613">
            <v>3463.51</v>
          </cell>
          <cell r="J613">
            <v>93050</v>
          </cell>
          <cell r="K613" t="str">
            <v>MP</v>
          </cell>
        </row>
        <row r="614">
          <cell r="A614" t="str">
            <v>995335-SLR</v>
          </cell>
          <cell r="B614">
            <v>13389</v>
          </cell>
          <cell r="C614">
            <v>0</v>
          </cell>
          <cell r="D614">
            <v>0</v>
          </cell>
          <cell r="E614">
            <v>0</v>
          </cell>
          <cell r="F614">
            <v>0</v>
          </cell>
          <cell r="G614">
            <v>977.6</v>
          </cell>
          <cell r="H614">
            <v>977.6</v>
          </cell>
          <cell r="I614">
            <v>1629.34</v>
          </cell>
          <cell r="J614">
            <v>93115</v>
          </cell>
          <cell r="K614" t="str">
            <v>MP</v>
          </cell>
        </row>
        <row r="615">
          <cell r="A615" t="str">
            <v>995337-SLR</v>
          </cell>
          <cell r="B615">
            <v>13588</v>
          </cell>
          <cell r="C615">
            <v>0</v>
          </cell>
          <cell r="D615">
            <v>0</v>
          </cell>
          <cell r="E615">
            <v>0</v>
          </cell>
          <cell r="F615">
            <v>0</v>
          </cell>
          <cell r="G615">
            <v>0</v>
          </cell>
          <cell r="H615">
            <v>0</v>
          </cell>
          <cell r="I615">
            <v>0.89</v>
          </cell>
          <cell r="J615">
            <v>92243</v>
          </cell>
          <cell r="K615" t="str">
            <v>MP</v>
          </cell>
        </row>
        <row r="616">
          <cell r="A616" t="str">
            <v>995339-SLR</v>
          </cell>
          <cell r="B616">
            <v>13675</v>
          </cell>
          <cell r="C616">
            <v>206.14</v>
          </cell>
          <cell r="D616">
            <v>14.9</v>
          </cell>
          <cell r="E616">
            <v>429</v>
          </cell>
          <cell r="F616">
            <v>339.32</v>
          </cell>
          <cell r="G616">
            <v>1418.7</v>
          </cell>
          <cell r="H616">
            <v>2408.06</v>
          </cell>
          <cell r="I616">
            <v>7245.81</v>
          </cell>
          <cell r="J616">
            <v>90402</v>
          </cell>
          <cell r="K616" t="str">
            <v>MP</v>
          </cell>
        </row>
        <row r="617">
          <cell r="A617" t="str">
            <v>995340-SLR</v>
          </cell>
          <cell r="B617">
            <v>13805</v>
          </cell>
          <cell r="C617">
            <v>406.43</v>
          </cell>
          <cell r="D617">
            <v>128.76</v>
          </cell>
          <cell r="E617">
            <v>429</v>
          </cell>
          <cell r="F617">
            <v>1707.62</v>
          </cell>
          <cell r="G617">
            <v>9032.02</v>
          </cell>
          <cell r="H617">
            <v>11703.83</v>
          </cell>
          <cell r="I617">
            <v>63979.25</v>
          </cell>
          <cell r="J617">
            <v>90097</v>
          </cell>
          <cell r="K617" t="str">
            <v>MP</v>
          </cell>
        </row>
        <row r="618">
          <cell r="A618" t="str">
            <v>995341-SLR</v>
          </cell>
          <cell r="B618">
            <v>13721</v>
          </cell>
          <cell r="C618">
            <v>233.96</v>
          </cell>
          <cell r="D618">
            <v>12.74</v>
          </cell>
          <cell r="E618">
            <v>429</v>
          </cell>
          <cell r="F618">
            <v>291.2</v>
          </cell>
          <cell r="G618">
            <v>1340.96</v>
          </cell>
          <cell r="H618">
            <v>2307.86</v>
          </cell>
          <cell r="I618">
            <v>6138.82</v>
          </cell>
          <cell r="J618">
            <v>92254</v>
          </cell>
          <cell r="K618" t="str">
            <v>MP</v>
          </cell>
        </row>
        <row r="619">
          <cell r="A619" t="str">
            <v>995342-SLR</v>
          </cell>
          <cell r="B619">
            <v>13677</v>
          </cell>
          <cell r="C619">
            <v>197.31</v>
          </cell>
          <cell r="D619">
            <v>0.6</v>
          </cell>
          <cell r="E619">
            <v>429</v>
          </cell>
          <cell r="F619">
            <v>143.19999999999999</v>
          </cell>
          <cell r="G619">
            <v>94.16</v>
          </cell>
          <cell r="H619">
            <v>864.26999999999987</v>
          </cell>
          <cell r="I619">
            <v>297.64999999999998</v>
          </cell>
          <cell r="J619">
            <v>93489</v>
          </cell>
          <cell r="K619" t="str">
            <v>MP</v>
          </cell>
        </row>
        <row r="620">
          <cell r="A620" t="str">
            <v>995343-SLR</v>
          </cell>
          <cell r="B620">
            <v>13806</v>
          </cell>
          <cell r="C620">
            <v>1267.18</v>
          </cell>
          <cell r="D620">
            <v>16.18</v>
          </cell>
          <cell r="E620">
            <v>429</v>
          </cell>
          <cell r="F620">
            <v>424.01</v>
          </cell>
          <cell r="G620">
            <v>1780.26</v>
          </cell>
          <cell r="H620">
            <v>3916.63</v>
          </cell>
          <cell r="I620">
            <v>8086.43</v>
          </cell>
          <cell r="J620">
            <v>91678</v>
          </cell>
          <cell r="K620" t="str">
            <v>MP</v>
          </cell>
        </row>
        <row r="621">
          <cell r="A621" t="str">
            <v>995344-SLR</v>
          </cell>
          <cell r="B621">
            <v>13624</v>
          </cell>
          <cell r="C621">
            <v>248.37</v>
          </cell>
          <cell r="D621">
            <v>4.3899999999999997</v>
          </cell>
          <cell r="E621">
            <v>477</v>
          </cell>
          <cell r="F621">
            <v>187.08</v>
          </cell>
          <cell r="G621">
            <v>464.73</v>
          </cell>
          <cell r="H621">
            <v>1381.5700000000002</v>
          </cell>
          <cell r="I621">
            <v>2193.17</v>
          </cell>
          <cell r="J621">
            <v>91178</v>
          </cell>
          <cell r="K621" t="str">
            <v>MP</v>
          </cell>
        </row>
        <row r="622">
          <cell r="A622" t="str">
            <v>995345-SLR</v>
          </cell>
          <cell r="B622">
            <v>13577</v>
          </cell>
          <cell r="C622">
            <v>12951.85</v>
          </cell>
          <cell r="D622">
            <v>61.39</v>
          </cell>
          <cell r="E622">
            <v>477</v>
          </cell>
          <cell r="F622">
            <v>948.17</v>
          </cell>
          <cell r="G622">
            <v>3691.32</v>
          </cell>
          <cell r="H622">
            <v>18129.73</v>
          </cell>
          <cell r="I622">
            <v>17747.71</v>
          </cell>
          <cell r="J622">
            <v>92315</v>
          </cell>
          <cell r="K622" t="str">
            <v>MP</v>
          </cell>
        </row>
        <row r="623">
          <cell r="A623" t="str">
            <v>995346-SLR</v>
          </cell>
          <cell r="B623">
            <v>13625</v>
          </cell>
          <cell r="C623">
            <v>13280.83</v>
          </cell>
          <cell r="D623">
            <v>177.2</v>
          </cell>
          <cell r="E623">
            <v>477</v>
          </cell>
          <cell r="F623">
            <v>2552.21</v>
          </cell>
          <cell r="G623">
            <v>15315.61</v>
          </cell>
          <cell r="H623">
            <v>31802.850000000002</v>
          </cell>
          <cell r="I623">
            <v>88593.74</v>
          </cell>
          <cell r="J623">
            <v>93384</v>
          </cell>
          <cell r="K623" t="str">
            <v>MP</v>
          </cell>
        </row>
        <row r="624">
          <cell r="A624" t="str">
            <v>995347-SLR</v>
          </cell>
          <cell r="B624">
            <v>13722</v>
          </cell>
          <cell r="C624">
            <v>17176.099999999999</v>
          </cell>
          <cell r="D624">
            <v>116.33</v>
          </cell>
          <cell r="E624">
            <v>429</v>
          </cell>
          <cell r="F624">
            <v>1953.79</v>
          </cell>
          <cell r="G624">
            <v>9054.6200000000008</v>
          </cell>
          <cell r="H624">
            <v>28729.840000000004</v>
          </cell>
          <cell r="I624">
            <v>58162.720000000001</v>
          </cell>
          <cell r="J624">
            <v>93114</v>
          </cell>
          <cell r="K624" t="str">
            <v>MP</v>
          </cell>
        </row>
        <row r="625">
          <cell r="A625" t="str">
            <v>995348-SLR</v>
          </cell>
          <cell r="B625">
            <v>13807</v>
          </cell>
          <cell r="C625">
            <v>2949.73</v>
          </cell>
          <cell r="D625">
            <v>20.89</v>
          </cell>
          <cell r="E625">
            <v>429</v>
          </cell>
          <cell r="F625">
            <v>472.62</v>
          </cell>
          <cell r="G625">
            <v>1255.3499999999999</v>
          </cell>
          <cell r="H625">
            <v>5127.59</v>
          </cell>
          <cell r="I625">
            <v>7490.65</v>
          </cell>
          <cell r="J625">
            <v>91997</v>
          </cell>
          <cell r="K625" t="str">
            <v>MP</v>
          </cell>
        </row>
        <row r="626">
          <cell r="A626" t="str">
            <v>995349-SLR</v>
          </cell>
          <cell r="B626">
            <v>13808</v>
          </cell>
          <cell r="C626">
            <v>3108.87</v>
          </cell>
          <cell r="D626">
            <v>145</v>
          </cell>
          <cell r="E626">
            <v>429</v>
          </cell>
          <cell r="F626">
            <v>1742.3</v>
          </cell>
          <cell r="G626">
            <v>11633.39</v>
          </cell>
          <cell r="H626">
            <v>17058.559999999998</v>
          </cell>
          <cell r="I626">
            <v>62801.89</v>
          </cell>
          <cell r="J626">
            <v>92251</v>
          </cell>
          <cell r="K626" t="str">
            <v>MP</v>
          </cell>
        </row>
        <row r="627">
          <cell r="A627" t="str">
            <v>995351-SLR</v>
          </cell>
          <cell r="B627">
            <v>13723</v>
          </cell>
          <cell r="C627">
            <v>391.39</v>
          </cell>
          <cell r="D627">
            <v>5.71</v>
          </cell>
          <cell r="E627">
            <v>429</v>
          </cell>
          <cell r="F627">
            <v>196.31</v>
          </cell>
          <cell r="G627">
            <v>371.31</v>
          </cell>
          <cell r="H627">
            <v>1393.7199999999998</v>
          </cell>
          <cell r="I627">
            <v>2459.1</v>
          </cell>
          <cell r="J627">
            <v>90219</v>
          </cell>
          <cell r="K627" t="str">
            <v>MP</v>
          </cell>
        </row>
        <row r="628">
          <cell r="A628" t="str">
            <v>995352-SLR</v>
          </cell>
          <cell r="B628">
            <v>13578</v>
          </cell>
          <cell r="C628">
            <v>1585.57</v>
          </cell>
          <cell r="D628">
            <v>8.9600000000000009</v>
          </cell>
          <cell r="E628">
            <v>477</v>
          </cell>
          <cell r="F628">
            <v>233.01</v>
          </cell>
          <cell r="G628">
            <v>807.67</v>
          </cell>
          <cell r="H628">
            <v>3112.21</v>
          </cell>
          <cell r="I628">
            <v>2892.52</v>
          </cell>
          <cell r="J628">
            <v>92316</v>
          </cell>
          <cell r="K628" t="str">
            <v>MP</v>
          </cell>
        </row>
        <row r="629">
          <cell r="A629" t="str">
            <v>995354-SLR</v>
          </cell>
          <cell r="B629">
            <v>13579</v>
          </cell>
          <cell r="C629">
            <v>462.09</v>
          </cell>
          <cell r="D629">
            <v>4.83</v>
          </cell>
          <cell r="E629">
            <v>477</v>
          </cell>
          <cell r="F629">
            <v>196.88</v>
          </cell>
          <cell r="G629">
            <v>547.41999999999996</v>
          </cell>
          <cell r="H629">
            <v>1688.2199999999998</v>
          </cell>
          <cell r="I629">
            <v>2414.21</v>
          </cell>
          <cell r="J629">
            <v>92306</v>
          </cell>
          <cell r="K629" t="str">
            <v>MP</v>
          </cell>
        </row>
        <row r="630">
          <cell r="A630" t="str">
            <v>995355-SLR</v>
          </cell>
          <cell r="B630">
            <v>13760</v>
          </cell>
          <cell r="C630">
            <v>3130.49</v>
          </cell>
          <cell r="D630">
            <v>103.4</v>
          </cell>
          <cell r="E630">
            <v>429</v>
          </cell>
          <cell r="F630">
            <v>1492.18</v>
          </cell>
          <cell r="G630">
            <v>10199.61</v>
          </cell>
          <cell r="H630">
            <v>15354.68</v>
          </cell>
          <cell r="I630">
            <v>51705.39</v>
          </cell>
          <cell r="J630">
            <v>90013</v>
          </cell>
          <cell r="K630" t="str">
            <v>MP</v>
          </cell>
        </row>
        <row r="631">
          <cell r="A631" t="str">
            <v>995356-SLR</v>
          </cell>
          <cell r="B631">
            <v>13763</v>
          </cell>
          <cell r="C631">
            <v>2019.6</v>
          </cell>
          <cell r="D631">
            <v>28.67</v>
          </cell>
          <cell r="E631">
            <v>429</v>
          </cell>
          <cell r="F631">
            <v>579.17999999999995</v>
          </cell>
          <cell r="G631">
            <v>2728.64</v>
          </cell>
          <cell r="H631">
            <v>5785.09</v>
          </cell>
          <cell r="I631">
            <v>12313.01</v>
          </cell>
          <cell r="J631">
            <v>92049</v>
          </cell>
          <cell r="K631" t="str">
            <v>MP</v>
          </cell>
        </row>
        <row r="632">
          <cell r="A632" t="str">
            <v>995357-SLR</v>
          </cell>
          <cell r="B632">
            <v>13764</v>
          </cell>
          <cell r="C632">
            <v>2019.6</v>
          </cell>
          <cell r="D632">
            <v>28.67</v>
          </cell>
          <cell r="E632">
            <v>429</v>
          </cell>
          <cell r="F632">
            <v>579.17999999999995</v>
          </cell>
          <cell r="G632">
            <v>2728.64</v>
          </cell>
          <cell r="H632">
            <v>5785.09</v>
          </cell>
          <cell r="I632">
            <v>12313.01</v>
          </cell>
          <cell r="J632">
            <v>92049</v>
          </cell>
          <cell r="K632" t="str">
            <v>MP</v>
          </cell>
        </row>
        <row r="633">
          <cell r="A633" t="str">
            <v>995359-SLR</v>
          </cell>
          <cell r="B633">
            <v>13678</v>
          </cell>
          <cell r="C633">
            <v>183.21</v>
          </cell>
          <cell r="D633">
            <v>6.95</v>
          </cell>
          <cell r="E633">
            <v>429</v>
          </cell>
          <cell r="F633">
            <v>214.55</v>
          </cell>
          <cell r="G633">
            <v>513.30999999999995</v>
          </cell>
          <cell r="H633">
            <v>1347.02</v>
          </cell>
          <cell r="I633">
            <v>3476.34</v>
          </cell>
          <cell r="J633">
            <v>90097</v>
          </cell>
          <cell r="K633" t="str">
            <v>MP</v>
          </cell>
        </row>
        <row r="634">
          <cell r="A634" t="str">
            <v>995360-SLR</v>
          </cell>
          <cell r="B634">
            <v>13544</v>
          </cell>
          <cell r="C634">
            <v>262.17</v>
          </cell>
          <cell r="D634">
            <v>2.89</v>
          </cell>
          <cell r="E634">
            <v>477</v>
          </cell>
          <cell r="F634">
            <v>164.51</v>
          </cell>
          <cell r="G634">
            <v>274.11</v>
          </cell>
          <cell r="H634">
            <v>1180.6799999999998</v>
          </cell>
          <cell r="I634">
            <v>1177.6099999999999</v>
          </cell>
          <cell r="J634">
            <v>93212</v>
          </cell>
          <cell r="K634" t="str">
            <v>MP</v>
          </cell>
        </row>
        <row r="635">
          <cell r="A635" t="str">
            <v>995361-SLR</v>
          </cell>
          <cell r="B635">
            <v>13499</v>
          </cell>
          <cell r="C635">
            <v>330.85</v>
          </cell>
          <cell r="D635">
            <v>19.940000000000001</v>
          </cell>
          <cell r="E635">
            <v>477</v>
          </cell>
          <cell r="F635">
            <v>451.7</v>
          </cell>
          <cell r="G635">
            <v>2098.34</v>
          </cell>
          <cell r="H635">
            <v>3377.83</v>
          </cell>
          <cell r="I635">
            <v>9641.32</v>
          </cell>
          <cell r="J635">
            <v>92278</v>
          </cell>
          <cell r="K635" t="str">
            <v>MP</v>
          </cell>
        </row>
        <row r="636">
          <cell r="A636" t="str">
            <v>995362-SLR</v>
          </cell>
          <cell r="B636">
            <v>13454</v>
          </cell>
          <cell r="C636">
            <v>1509.7</v>
          </cell>
          <cell r="D636">
            <v>22.22</v>
          </cell>
          <cell r="E636">
            <v>477</v>
          </cell>
          <cell r="F636">
            <v>344.9</v>
          </cell>
          <cell r="G636">
            <v>2003.71</v>
          </cell>
          <cell r="H636">
            <v>4357.5300000000007</v>
          </cell>
          <cell r="I636">
            <v>9599.82</v>
          </cell>
          <cell r="J636">
            <v>92316</v>
          </cell>
          <cell r="K636" t="str">
            <v>MP</v>
          </cell>
        </row>
        <row r="637">
          <cell r="A637" t="str">
            <v>995363-SLR</v>
          </cell>
          <cell r="B637">
            <v>13580</v>
          </cell>
          <cell r="C637">
            <v>439.97</v>
          </cell>
          <cell r="D637">
            <v>10.54</v>
          </cell>
          <cell r="E637">
            <v>477</v>
          </cell>
          <cell r="F637">
            <v>250.83</v>
          </cell>
          <cell r="G637">
            <v>1003</v>
          </cell>
          <cell r="H637">
            <v>2181.34</v>
          </cell>
          <cell r="I637">
            <v>4828.42</v>
          </cell>
          <cell r="J637">
            <v>92306</v>
          </cell>
          <cell r="K637" t="str">
            <v>MP</v>
          </cell>
        </row>
        <row r="638">
          <cell r="A638" t="str">
            <v>995364-SLR</v>
          </cell>
          <cell r="B638">
            <v>13500</v>
          </cell>
          <cell r="C638">
            <v>271.63</v>
          </cell>
          <cell r="D638">
            <v>14.1</v>
          </cell>
          <cell r="E638">
            <v>477</v>
          </cell>
          <cell r="F638">
            <v>151.19</v>
          </cell>
          <cell r="G638">
            <v>161.6</v>
          </cell>
          <cell r="H638">
            <v>1075.52</v>
          </cell>
          <cell r="I638">
            <v>577.21</v>
          </cell>
          <cell r="J638">
            <v>93034</v>
          </cell>
          <cell r="K638" t="str">
            <v>MP</v>
          </cell>
        </row>
        <row r="639">
          <cell r="A639" t="str">
            <v>995366-SLR</v>
          </cell>
          <cell r="B639">
            <v>13765</v>
          </cell>
          <cell r="C639">
            <v>2606.58</v>
          </cell>
          <cell r="D639">
            <v>47.34</v>
          </cell>
          <cell r="E639">
            <v>429</v>
          </cell>
          <cell r="F639">
            <v>848.2</v>
          </cell>
          <cell r="G639">
            <v>5001.21</v>
          </cell>
          <cell r="H639">
            <v>8932.33</v>
          </cell>
          <cell r="I639">
            <v>23668.22</v>
          </cell>
          <cell r="J639">
            <v>92049</v>
          </cell>
          <cell r="K639" t="str">
            <v>MP</v>
          </cell>
        </row>
        <row r="640">
          <cell r="A640" t="str">
            <v>995367-SLR</v>
          </cell>
          <cell r="B640">
            <v>13545</v>
          </cell>
          <cell r="C640">
            <v>189.55</v>
          </cell>
          <cell r="D640">
            <v>0.7</v>
          </cell>
          <cell r="E640">
            <v>477</v>
          </cell>
          <cell r="F640">
            <v>139.94</v>
          </cell>
          <cell r="G640">
            <v>66.61</v>
          </cell>
          <cell r="H640">
            <v>873.80000000000007</v>
          </cell>
          <cell r="I640">
            <v>160.32</v>
          </cell>
          <cell r="J640">
            <v>93247</v>
          </cell>
          <cell r="K640" t="str">
            <v>MP</v>
          </cell>
        </row>
        <row r="641">
          <cell r="A641" t="str">
            <v>995368-SLR</v>
          </cell>
          <cell r="B641">
            <v>13628</v>
          </cell>
          <cell r="C641">
            <v>606.16</v>
          </cell>
          <cell r="D641">
            <v>21.58</v>
          </cell>
          <cell r="E641">
            <v>477</v>
          </cell>
          <cell r="F641">
            <v>498.91</v>
          </cell>
          <cell r="G641">
            <v>3337.11</v>
          </cell>
          <cell r="H641">
            <v>4940.76</v>
          </cell>
          <cell r="I641">
            <v>16922.54</v>
          </cell>
          <cell r="J641">
            <v>90338</v>
          </cell>
          <cell r="K641" t="str">
            <v>MP</v>
          </cell>
        </row>
        <row r="642">
          <cell r="A642" t="str">
            <v>995369-SLR</v>
          </cell>
          <cell r="B642">
            <v>13455</v>
          </cell>
          <cell r="C642">
            <v>2562.62</v>
          </cell>
          <cell r="D642">
            <v>15.21</v>
          </cell>
          <cell r="E642">
            <v>477</v>
          </cell>
          <cell r="F642">
            <v>267.58999999999997</v>
          </cell>
          <cell r="G642">
            <v>1371.19</v>
          </cell>
          <cell r="H642">
            <v>4693.6100000000006</v>
          </cell>
          <cell r="I642">
            <v>5039.91</v>
          </cell>
          <cell r="J642">
            <v>92316</v>
          </cell>
          <cell r="K642" t="str">
            <v>MP</v>
          </cell>
        </row>
        <row r="643">
          <cell r="A643" t="str">
            <v>995370-SLR</v>
          </cell>
          <cell r="B643">
            <v>13581</v>
          </cell>
          <cell r="C643">
            <v>538.35</v>
          </cell>
          <cell r="D643">
            <v>6.3</v>
          </cell>
          <cell r="E643">
            <v>477</v>
          </cell>
          <cell r="F643">
            <v>203.05</v>
          </cell>
          <cell r="G643">
            <v>378.65</v>
          </cell>
          <cell r="H643">
            <v>1603.35</v>
          </cell>
          <cell r="I643">
            <v>2610.7399999999998</v>
          </cell>
          <cell r="J643">
            <v>93272</v>
          </cell>
          <cell r="K643" t="str">
            <v>MP</v>
          </cell>
        </row>
        <row r="644">
          <cell r="A644" t="str">
            <v>995371-SLR</v>
          </cell>
          <cell r="B644">
            <v>13546</v>
          </cell>
          <cell r="C644">
            <v>546.46</v>
          </cell>
          <cell r="D644">
            <v>20.350000000000001</v>
          </cell>
          <cell r="E644">
            <v>477</v>
          </cell>
          <cell r="F644">
            <v>460.57</v>
          </cell>
          <cell r="G644">
            <v>1222.99</v>
          </cell>
          <cell r="H644">
            <v>2727.37</v>
          </cell>
          <cell r="I644">
            <v>9624.77</v>
          </cell>
          <cell r="J644">
            <v>92313</v>
          </cell>
          <cell r="K644" t="str">
            <v>MP</v>
          </cell>
        </row>
        <row r="645">
          <cell r="A645" t="str">
            <v>995372-SLR</v>
          </cell>
          <cell r="B645">
            <v>13501</v>
          </cell>
          <cell r="C645">
            <v>210.96</v>
          </cell>
          <cell r="D645">
            <v>2.46</v>
          </cell>
          <cell r="E645">
            <v>477</v>
          </cell>
          <cell r="F645">
            <v>159.86000000000001</v>
          </cell>
          <cell r="G645">
            <v>234.8</v>
          </cell>
          <cell r="H645">
            <v>1085.0800000000002</v>
          </cell>
          <cell r="I645">
            <v>1022.39</v>
          </cell>
          <cell r="J645">
            <v>91178</v>
          </cell>
          <cell r="K645" t="str">
            <v>MP</v>
          </cell>
        </row>
        <row r="646">
          <cell r="A646" t="str">
            <v>995373-SLR</v>
          </cell>
          <cell r="B646">
            <v>13502</v>
          </cell>
          <cell r="C646">
            <v>843.53</v>
          </cell>
          <cell r="D646">
            <v>22.7</v>
          </cell>
          <cell r="E646">
            <v>477</v>
          </cell>
          <cell r="F646">
            <v>612</v>
          </cell>
          <cell r="G646">
            <v>1933.86</v>
          </cell>
          <cell r="H646">
            <v>3889.09</v>
          </cell>
          <cell r="I646">
            <v>10509.42</v>
          </cell>
          <cell r="J646">
            <v>91990</v>
          </cell>
          <cell r="K646" t="str">
            <v>MP</v>
          </cell>
        </row>
        <row r="647">
          <cell r="A647" t="str">
            <v>995374-SLR</v>
          </cell>
          <cell r="B647">
            <v>13582</v>
          </cell>
          <cell r="C647">
            <v>341.2</v>
          </cell>
          <cell r="D647">
            <v>23.78</v>
          </cell>
          <cell r="E647">
            <v>477</v>
          </cell>
          <cell r="F647">
            <v>524.19000000000005</v>
          </cell>
          <cell r="G647">
            <v>2502.64</v>
          </cell>
          <cell r="H647">
            <v>3868.81</v>
          </cell>
          <cell r="I647">
            <v>11552.36</v>
          </cell>
          <cell r="J647">
            <v>91365</v>
          </cell>
          <cell r="K647" t="str">
            <v>MP</v>
          </cell>
        </row>
        <row r="648">
          <cell r="A648" t="str">
            <v>995375-SLR</v>
          </cell>
          <cell r="B648">
            <v>13583</v>
          </cell>
          <cell r="C648">
            <v>169.75</v>
          </cell>
          <cell r="D648">
            <v>9.81</v>
          </cell>
          <cell r="E648">
            <v>477</v>
          </cell>
          <cell r="F648">
            <v>246.43</v>
          </cell>
          <cell r="G648">
            <v>711.68</v>
          </cell>
          <cell r="H648">
            <v>1614.67</v>
          </cell>
          <cell r="I648">
            <v>4903.8599999999997</v>
          </cell>
          <cell r="J648">
            <v>93043</v>
          </cell>
          <cell r="K648" t="str">
            <v>MP</v>
          </cell>
        </row>
        <row r="649">
          <cell r="A649" t="str">
            <v>995376-SLR</v>
          </cell>
          <cell r="B649">
            <v>13627</v>
          </cell>
          <cell r="C649">
            <v>196.82</v>
          </cell>
          <cell r="D649">
            <v>22.33</v>
          </cell>
          <cell r="E649">
            <v>477</v>
          </cell>
          <cell r="F649">
            <v>504.78</v>
          </cell>
          <cell r="G649">
            <v>1565.9</v>
          </cell>
          <cell r="H649">
            <v>2766.83</v>
          </cell>
          <cell r="I649">
            <v>10965.83</v>
          </cell>
          <cell r="J649">
            <v>91947</v>
          </cell>
          <cell r="K649" t="str">
            <v>MP</v>
          </cell>
        </row>
        <row r="650">
          <cell r="A650" t="str">
            <v>995377-SLR</v>
          </cell>
          <cell r="B650">
            <v>13724</v>
          </cell>
          <cell r="C650">
            <v>255.23</v>
          </cell>
          <cell r="D650">
            <v>54.71</v>
          </cell>
          <cell r="E650">
            <v>429</v>
          </cell>
          <cell r="F650">
            <v>878.64</v>
          </cell>
          <cell r="G650">
            <v>3873.9</v>
          </cell>
          <cell r="H650">
            <v>5491.48</v>
          </cell>
          <cell r="I650">
            <v>27360.76</v>
          </cell>
          <cell r="J650">
            <v>93157</v>
          </cell>
          <cell r="K650" t="str">
            <v>MP</v>
          </cell>
        </row>
        <row r="651">
          <cell r="A651" t="str">
            <v>995379-SLR</v>
          </cell>
          <cell r="B651">
            <v>13839</v>
          </cell>
          <cell r="C651">
            <v>0</v>
          </cell>
          <cell r="D651">
            <v>839.96</v>
          </cell>
          <cell r="E651">
            <v>429</v>
          </cell>
          <cell r="F651">
            <v>9724.39</v>
          </cell>
          <cell r="G651">
            <v>66647.31</v>
          </cell>
          <cell r="H651">
            <v>77640.66</v>
          </cell>
          <cell r="I651">
            <v>394067.46</v>
          </cell>
          <cell r="J651">
            <v>92376</v>
          </cell>
          <cell r="K651" t="str">
            <v>MP</v>
          </cell>
        </row>
        <row r="652">
          <cell r="A652" t="str">
            <v>995380-SLR</v>
          </cell>
          <cell r="B652">
            <v>13811</v>
          </cell>
          <cell r="C652">
            <v>292.33</v>
          </cell>
          <cell r="D652">
            <v>19.72</v>
          </cell>
          <cell r="E652">
            <v>429</v>
          </cell>
          <cell r="F652">
            <v>459.69</v>
          </cell>
          <cell r="G652">
            <v>1424.04</v>
          </cell>
          <cell r="H652">
            <v>2624.7799999999997</v>
          </cell>
          <cell r="I652">
            <v>9859.64</v>
          </cell>
          <cell r="J652">
            <v>93307</v>
          </cell>
          <cell r="K652" t="str">
            <v>MP</v>
          </cell>
        </row>
        <row r="653">
          <cell r="A653" t="str">
            <v>995381-SLR</v>
          </cell>
          <cell r="B653">
            <v>13812</v>
          </cell>
          <cell r="C653">
            <v>1589.05</v>
          </cell>
          <cell r="D653">
            <v>16.46</v>
          </cell>
          <cell r="E653">
            <v>429</v>
          </cell>
          <cell r="F653">
            <v>444.81</v>
          </cell>
          <cell r="G653">
            <v>1967.49</v>
          </cell>
          <cell r="H653">
            <v>4446.8100000000004</v>
          </cell>
          <cell r="I653">
            <v>8231.92</v>
          </cell>
          <cell r="J653">
            <v>92056</v>
          </cell>
          <cell r="K653" t="str">
            <v>MP</v>
          </cell>
        </row>
        <row r="654">
          <cell r="A654" t="str">
            <v>995382-SLR</v>
          </cell>
          <cell r="B654">
            <v>13813</v>
          </cell>
          <cell r="C654">
            <v>181.87</v>
          </cell>
          <cell r="D654">
            <v>2.0099999999999998</v>
          </cell>
          <cell r="E654">
            <v>429</v>
          </cell>
          <cell r="F654">
            <v>154.62</v>
          </cell>
          <cell r="G654">
            <v>140.43</v>
          </cell>
          <cell r="H654">
            <v>907.93000000000006</v>
          </cell>
          <cell r="I654">
            <v>819.17</v>
          </cell>
          <cell r="J654">
            <v>91386</v>
          </cell>
          <cell r="K654" t="str">
            <v>MP</v>
          </cell>
        </row>
        <row r="655">
          <cell r="A655" t="str">
            <v>995383-SLR</v>
          </cell>
          <cell r="B655">
            <v>13680</v>
          </cell>
          <cell r="C655">
            <v>283.23</v>
          </cell>
          <cell r="D655">
            <v>89.22</v>
          </cell>
          <cell r="E655">
            <v>429</v>
          </cell>
          <cell r="F655">
            <v>325.79000000000002</v>
          </cell>
          <cell r="G655">
            <v>1360.96</v>
          </cell>
          <cell r="H655">
            <v>2488.1999999999998</v>
          </cell>
          <cell r="I655">
            <v>6865.4</v>
          </cell>
          <cell r="J655">
            <v>92174</v>
          </cell>
          <cell r="K655" t="str">
            <v>MP</v>
          </cell>
        </row>
        <row r="656">
          <cell r="A656" t="str">
            <v>995384-SLR</v>
          </cell>
          <cell r="B656">
            <v>13766</v>
          </cell>
          <cell r="C656">
            <v>2288.9699999999998</v>
          </cell>
          <cell r="D656">
            <v>34.75</v>
          </cell>
          <cell r="E656">
            <v>429</v>
          </cell>
          <cell r="F656">
            <v>699.17</v>
          </cell>
          <cell r="G656">
            <v>2560.2399999999998</v>
          </cell>
          <cell r="H656">
            <v>6012.1299999999992</v>
          </cell>
          <cell r="I656">
            <v>17370.43</v>
          </cell>
          <cell r="J656">
            <v>93493</v>
          </cell>
          <cell r="K656" t="str">
            <v>MP</v>
          </cell>
        </row>
        <row r="657">
          <cell r="A657" t="str">
            <v>995385-SLR</v>
          </cell>
          <cell r="B657">
            <v>13767</v>
          </cell>
          <cell r="C657">
            <v>1563.81</v>
          </cell>
          <cell r="D657">
            <v>26.61</v>
          </cell>
          <cell r="E657">
            <v>429</v>
          </cell>
          <cell r="F657">
            <v>556.11</v>
          </cell>
          <cell r="G657">
            <v>1733.68</v>
          </cell>
          <cell r="H657">
            <v>4309.21</v>
          </cell>
          <cell r="I657">
            <v>11745.59</v>
          </cell>
          <cell r="J657">
            <v>93493</v>
          </cell>
          <cell r="K657" t="str">
            <v>MP</v>
          </cell>
        </row>
        <row r="658">
          <cell r="A658" t="str">
            <v>995386-SLR</v>
          </cell>
          <cell r="B658">
            <v>13629</v>
          </cell>
          <cell r="C658">
            <v>441.76</v>
          </cell>
          <cell r="D658">
            <v>32.93</v>
          </cell>
          <cell r="E658">
            <v>477</v>
          </cell>
          <cell r="F658">
            <v>627.34</v>
          </cell>
          <cell r="G658">
            <v>2310.23</v>
          </cell>
          <cell r="H658">
            <v>3889.26</v>
          </cell>
          <cell r="I658">
            <v>16026.98</v>
          </cell>
          <cell r="J658">
            <v>93302</v>
          </cell>
          <cell r="K658" t="str">
            <v>MP</v>
          </cell>
        </row>
        <row r="659">
          <cell r="A659" t="str">
            <v>995387-SLR</v>
          </cell>
          <cell r="B659">
            <v>13725</v>
          </cell>
          <cell r="C659">
            <v>510.46</v>
          </cell>
          <cell r="D659">
            <v>13.39</v>
          </cell>
          <cell r="E659">
            <v>429</v>
          </cell>
          <cell r="F659">
            <v>328.08</v>
          </cell>
          <cell r="G659">
            <v>865.72</v>
          </cell>
          <cell r="H659">
            <v>2146.65</v>
          </cell>
          <cell r="I659">
            <v>6690.46</v>
          </cell>
          <cell r="J659">
            <v>92001</v>
          </cell>
          <cell r="K659" t="str">
            <v>MP</v>
          </cell>
        </row>
        <row r="660">
          <cell r="A660" t="str">
            <v>995388-SLR</v>
          </cell>
          <cell r="B660">
            <v>13630</v>
          </cell>
          <cell r="C660">
            <v>258.39</v>
          </cell>
          <cell r="D660">
            <v>5.25</v>
          </cell>
          <cell r="E660">
            <v>477</v>
          </cell>
          <cell r="F660">
            <v>233.96</v>
          </cell>
          <cell r="G660">
            <v>860.57</v>
          </cell>
          <cell r="H660">
            <v>1835.17</v>
          </cell>
          <cell r="I660">
            <v>4262.41</v>
          </cell>
          <cell r="J660">
            <v>90338</v>
          </cell>
          <cell r="K660" t="str">
            <v>MP</v>
          </cell>
        </row>
        <row r="661">
          <cell r="A661" t="str">
            <v>995389-SLR</v>
          </cell>
          <cell r="B661">
            <v>13681</v>
          </cell>
          <cell r="C661">
            <v>192.61</v>
          </cell>
          <cell r="D661">
            <v>20.03</v>
          </cell>
          <cell r="E661">
            <v>429</v>
          </cell>
          <cell r="F661">
            <v>461.94</v>
          </cell>
          <cell r="G661">
            <v>1942.65</v>
          </cell>
          <cell r="H661">
            <v>3046.23</v>
          </cell>
          <cell r="I661">
            <v>10011.84</v>
          </cell>
          <cell r="J661">
            <v>92037</v>
          </cell>
          <cell r="K661" t="str">
            <v>MP</v>
          </cell>
        </row>
        <row r="662">
          <cell r="A662" t="str">
            <v>995390-SLR</v>
          </cell>
          <cell r="B662">
            <v>13631</v>
          </cell>
          <cell r="C662">
            <v>206.2</v>
          </cell>
          <cell r="D662">
            <v>1.46</v>
          </cell>
          <cell r="E662">
            <v>477</v>
          </cell>
          <cell r="F662">
            <v>148.53</v>
          </cell>
          <cell r="G662">
            <v>139.18</v>
          </cell>
          <cell r="H662">
            <v>972.36999999999989</v>
          </cell>
          <cell r="I662">
            <v>524.86</v>
          </cell>
          <cell r="J662">
            <v>91978</v>
          </cell>
          <cell r="K662" t="str">
            <v>MP</v>
          </cell>
        </row>
        <row r="663">
          <cell r="A663" t="str">
            <v>995391-SLR</v>
          </cell>
          <cell r="B663">
            <v>13682</v>
          </cell>
          <cell r="C663">
            <v>207.47</v>
          </cell>
          <cell r="D663">
            <v>23.01</v>
          </cell>
          <cell r="E663">
            <v>477</v>
          </cell>
          <cell r="F663">
            <v>515.41</v>
          </cell>
          <cell r="G663">
            <v>1613.82</v>
          </cell>
          <cell r="H663">
            <v>2836.71</v>
          </cell>
          <cell r="I663">
            <v>11296.8</v>
          </cell>
          <cell r="J663">
            <v>93227</v>
          </cell>
          <cell r="K663" t="str">
            <v>MP</v>
          </cell>
        </row>
        <row r="664">
          <cell r="A664" t="str">
            <v>995393-SLR</v>
          </cell>
          <cell r="B664">
            <v>13632</v>
          </cell>
          <cell r="C664">
            <v>1696.05</v>
          </cell>
          <cell r="D664">
            <v>97.12</v>
          </cell>
          <cell r="E664">
            <v>477</v>
          </cell>
          <cell r="F664">
            <v>1350.86</v>
          </cell>
          <cell r="G664">
            <v>2432.7800000000002</v>
          </cell>
          <cell r="H664">
            <v>6053.8099999999995</v>
          </cell>
          <cell r="I664">
            <v>46862.5</v>
          </cell>
          <cell r="J664">
            <v>92259</v>
          </cell>
          <cell r="K664" t="str">
            <v>MP</v>
          </cell>
        </row>
        <row r="665">
          <cell r="A665" t="str">
            <v>995394-SLR</v>
          </cell>
          <cell r="B665">
            <v>13683</v>
          </cell>
          <cell r="C665">
            <v>1039.08</v>
          </cell>
          <cell r="D665">
            <v>396.34</v>
          </cell>
          <cell r="E665">
            <v>429</v>
          </cell>
          <cell r="F665">
            <v>823.12</v>
          </cell>
          <cell r="G665">
            <v>4788.63</v>
          </cell>
          <cell r="H665">
            <v>7476.17</v>
          </cell>
          <cell r="I665">
            <v>24115.99</v>
          </cell>
          <cell r="J665">
            <v>91437</v>
          </cell>
          <cell r="K665" t="str">
            <v>MP</v>
          </cell>
        </row>
        <row r="666">
          <cell r="A666" t="str">
            <v>995395-SLR</v>
          </cell>
          <cell r="B666">
            <v>13633</v>
          </cell>
          <cell r="C666">
            <v>529.36</v>
          </cell>
          <cell r="D666">
            <v>3.37</v>
          </cell>
          <cell r="E666">
            <v>477</v>
          </cell>
          <cell r="F666">
            <v>182</v>
          </cell>
          <cell r="G666">
            <v>421.76</v>
          </cell>
          <cell r="H666">
            <v>1613.49</v>
          </cell>
          <cell r="I666">
            <v>1687.05</v>
          </cell>
          <cell r="J666">
            <v>93053</v>
          </cell>
          <cell r="K666" t="str">
            <v>MP</v>
          </cell>
        </row>
        <row r="667">
          <cell r="A667" t="str">
            <v>995396-SLR</v>
          </cell>
          <cell r="B667">
            <v>13768</v>
          </cell>
          <cell r="C667">
            <v>115.85</v>
          </cell>
          <cell r="D667">
            <v>32.42</v>
          </cell>
          <cell r="E667">
            <v>429</v>
          </cell>
          <cell r="F667">
            <v>624.01</v>
          </cell>
          <cell r="G667">
            <v>2289.5300000000002</v>
          </cell>
          <cell r="H667">
            <v>3490.8100000000004</v>
          </cell>
          <cell r="I667">
            <v>16205.52</v>
          </cell>
          <cell r="J667">
            <v>93302</v>
          </cell>
          <cell r="K667" t="str">
            <v>MP</v>
          </cell>
        </row>
        <row r="668">
          <cell r="A668" t="str">
            <v>995397-SLR</v>
          </cell>
          <cell r="B668">
            <v>13769</v>
          </cell>
          <cell r="C668">
            <v>411.38</v>
          </cell>
          <cell r="D668">
            <v>37.68</v>
          </cell>
          <cell r="E668">
            <v>429</v>
          </cell>
          <cell r="F668">
            <v>680.74</v>
          </cell>
          <cell r="G668">
            <v>566.26</v>
          </cell>
          <cell r="H668">
            <v>2125.06</v>
          </cell>
          <cell r="I668">
            <v>18426.28</v>
          </cell>
          <cell r="J668">
            <v>90061</v>
          </cell>
          <cell r="K668" t="str">
            <v>MP</v>
          </cell>
        </row>
        <row r="669">
          <cell r="A669" t="str">
            <v>995398-SLR</v>
          </cell>
          <cell r="B669">
            <v>13390</v>
          </cell>
          <cell r="C669">
            <v>0</v>
          </cell>
          <cell r="D669">
            <v>0</v>
          </cell>
          <cell r="E669">
            <v>0</v>
          </cell>
          <cell r="F669">
            <v>0</v>
          </cell>
          <cell r="G669">
            <v>0</v>
          </cell>
          <cell r="H669">
            <v>0</v>
          </cell>
          <cell r="I669">
            <v>1.88</v>
          </cell>
          <cell r="J669">
            <v>92303</v>
          </cell>
          <cell r="K669" t="str">
            <v>MP</v>
          </cell>
        </row>
        <row r="670">
          <cell r="A670" t="str">
            <v>995399-SLR</v>
          </cell>
          <cell r="B670">
            <v>13634</v>
          </cell>
          <cell r="C670">
            <v>258.87</v>
          </cell>
          <cell r="D670">
            <v>16.420000000000002</v>
          </cell>
          <cell r="E670">
            <v>477</v>
          </cell>
          <cell r="F670">
            <v>230.23</v>
          </cell>
          <cell r="G670">
            <v>829.09</v>
          </cell>
          <cell r="H670">
            <v>1811.6100000000001</v>
          </cell>
          <cell r="I670">
            <v>4096.05</v>
          </cell>
          <cell r="J670">
            <v>93013</v>
          </cell>
          <cell r="K670" t="str">
            <v>MP</v>
          </cell>
        </row>
        <row r="671">
          <cell r="A671" t="str">
            <v>995400-SLR</v>
          </cell>
          <cell r="B671">
            <v>13726</v>
          </cell>
          <cell r="C671">
            <v>294.38</v>
          </cell>
          <cell r="D671">
            <v>8.07</v>
          </cell>
          <cell r="E671">
            <v>429</v>
          </cell>
          <cell r="F671">
            <v>223.08</v>
          </cell>
          <cell r="G671">
            <v>849.63</v>
          </cell>
          <cell r="H671">
            <v>1804.16</v>
          </cell>
          <cell r="I671">
            <v>3743.39</v>
          </cell>
          <cell r="J671">
            <v>93490</v>
          </cell>
          <cell r="K671" t="str">
            <v>MP</v>
          </cell>
        </row>
        <row r="672">
          <cell r="A672" t="str">
            <v>995402-SLR</v>
          </cell>
          <cell r="B672">
            <v>13635</v>
          </cell>
          <cell r="C672">
            <v>290.67</v>
          </cell>
          <cell r="D672">
            <v>5.4</v>
          </cell>
          <cell r="E672">
            <v>477</v>
          </cell>
          <cell r="F672">
            <v>139.38</v>
          </cell>
          <cell r="G672">
            <v>45.65</v>
          </cell>
          <cell r="H672">
            <v>958.09999999999991</v>
          </cell>
          <cell r="I672">
            <v>34.72</v>
          </cell>
          <cell r="J672">
            <v>93022</v>
          </cell>
          <cell r="K672" t="str">
            <v>MP</v>
          </cell>
        </row>
        <row r="673">
          <cell r="A673" t="str">
            <v>995403-SLR</v>
          </cell>
          <cell r="B673">
            <v>13636</v>
          </cell>
          <cell r="C673">
            <v>290.67</v>
          </cell>
          <cell r="D673">
            <v>6.35</v>
          </cell>
          <cell r="E673">
            <v>477</v>
          </cell>
          <cell r="F673">
            <v>140.68</v>
          </cell>
          <cell r="G673">
            <v>80.569999999999993</v>
          </cell>
          <cell r="H673">
            <v>995.27</v>
          </cell>
          <cell r="I673">
            <v>92.22</v>
          </cell>
          <cell r="J673">
            <v>91064</v>
          </cell>
          <cell r="K673" t="str">
            <v>MP</v>
          </cell>
        </row>
        <row r="674">
          <cell r="A674" t="str">
            <v>995404-SLR</v>
          </cell>
          <cell r="B674">
            <v>13770</v>
          </cell>
          <cell r="C674">
            <v>770.43</v>
          </cell>
          <cell r="D674">
            <v>1050.77</v>
          </cell>
          <cell r="E674">
            <v>429</v>
          </cell>
          <cell r="F674">
            <v>12100.95</v>
          </cell>
          <cell r="G674">
            <v>25921.18</v>
          </cell>
          <cell r="H674">
            <v>40272.33</v>
          </cell>
          <cell r="I674">
            <v>524618.98</v>
          </cell>
          <cell r="J674">
            <v>91250</v>
          </cell>
          <cell r="K674" t="str">
            <v>MP</v>
          </cell>
        </row>
        <row r="675">
          <cell r="A675" t="str">
            <v>995405-SLR</v>
          </cell>
          <cell r="B675">
            <v>13772</v>
          </cell>
          <cell r="C675">
            <v>2730.23</v>
          </cell>
          <cell r="D675">
            <v>98.11</v>
          </cell>
          <cell r="E675">
            <v>429</v>
          </cell>
          <cell r="F675">
            <v>1423.46</v>
          </cell>
          <cell r="G675">
            <v>9858.14</v>
          </cell>
          <cell r="H675">
            <v>14538.939999999999</v>
          </cell>
          <cell r="I675">
            <v>49056.58</v>
          </cell>
          <cell r="J675">
            <v>91673</v>
          </cell>
          <cell r="K675" t="str">
            <v>MP</v>
          </cell>
        </row>
        <row r="676">
          <cell r="A676" t="str">
            <v>995406-SLR</v>
          </cell>
          <cell r="B676">
            <v>13684</v>
          </cell>
          <cell r="C676">
            <v>586.63</v>
          </cell>
          <cell r="D676">
            <v>46.39</v>
          </cell>
          <cell r="E676">
            <v>429</v>
          </cell>
          <cell r="F676">
            <v>779.11</v>
          </cell>
          <cell r="G676">
            <v>3254.59</v>
          </cell>
          <cell r="H676">
            <v>5095.72</v>
          </cell>
          <cell r="I676">
            <v>22614.03</v>
          </cell>
          <cell r="J676">
            <v>90503</v>
          </cell>
          <cell r="K676" t="str">
            <v>MP</v>
          </cell>
        </row>
        <row r="677">
          <cell r="A677" t="str">
            <v>995407-SLR</v>
          </cell>
          <cell r="B677">
            <v>13456</v>
          </cell>
          <cell r="C677">
            <v>0</v>
          </cell>
          <cell r="D677">
            <v>0</v>
          </cell>
          <cell r="E677">
            <v>0</v>
          </cell>
          <cell r="F677">
            <v>0</v>
          </cell>
          <cell r="G677">
            <v>382.16</v>
          </cell>
          <cell r="H677">
            <v>382.16</v>
          </cell>
          <cell r="I677">
            <v>636.94000000000005</v>
          </cell>
          <cell r="J677">
            <v>91591</v>
          </cell>
          <cell r="K677" t="str">
            <v>MP</v>
          </cell>
        </row>
        <row r="678">
          <cell r="A678" t="str">
            <v>995408-SLR</v>
          </cell>
          <cell r="B678">
            <v>13475</v>
          </cell>
          <cell r="C678">
            <v>0</v>
          </cell>
          <cell r="D678">
            <v>0</v>
          </cell>
          <cell r="E678">
            <v>0</v>
          </cell>
          <cell r="F678">
            <v>0</v>
          </cell>
          <cell r="G678">
            <v>45.99</v>
          </cell>
          <cell r="H678">
            <v>45.99</v>
          </cell>
          <cell r="I678">
            <v>76.64</v>
          </cell>
          <cell r="J678">
            <v>90257</v>
          </cell>
          <cell r="K678" t="str">
            <v>MP</v>
          </cell>
        </row>
        <row r="679">
          <cell r="A679" t="str">
            <v>995409-SLR</v>
          </cell>
          <cell r="B679">
            <v>13458</v>
          </cell>
          <cell r="C679">
            <v>501.78</v>
          </cell>
          <cell r="D679">
            <v>0</v>
          </cell>
          <cell r="E679">
            <v>18.98</v>
          </cell>
          <cell r="F679">
            <v>0</v>
          </cell>
          <cell r="G679">
            <v>752.8</v>
          </cell>
          <cell r="H679">
            <v>1273.56</v>
          </cell>
          <cell r="I679">
            <v>752.88</v>
          </cell>
          <cell r="J679">
            <v>90435</v>
          </cell>
          <cell r="K679" t="str">
            <v>MP</v>
          </cell>
        </row>
        <row r="680">
          <cell r="A680" t="str">
            <v>995410-SLR</v>
          </cell>
          <cell r="B680">
            <v>13459</v>
          </cell>
          <cell r="C680">
            <v>0</v>
          </cell>
          <cell r="D680">
            <v>0</v>
          </cell>
          <cell r="E680">
            <v>18.98</v>
          </cell>
          <cell r="F680">
            <v>0</v>
          </cell>
          <cell r="G680">
            <v>44.61</v>
          </cell>
          <cell r="H680">
            <v>63.59</v>
          </cell>
          <cell r="I680">
            <v>74.349999999999994</v>
          </cell>
          <cell r="J680">
            <v>91673</v>
          </cell>
          <cell r="K680" t="str">
            <v>MP</v>
          </cell>
        </row>
        <row r="681">
          <cell r="A681" t="str">
            <v>995411-SLR</v>
          </cell>
          <cell r="B681">
            <v>13460</v>
          </cell>
          <cell r="C681">
            <v>0</v>
          </cell>
          <cell r="D681">
            <v>0</v>
          </cell>
          <cell r="E681">
            <v>18.98</v>
          </cell>
          <cell r="F681">
            <v>0</v>
          </cell>
          <cell r="G681">
            <v>37.270000000000003</v>
          </cell>
          <cell r="H681">
            <v>56.25</v>
          </cell>
          <cell r="I681">
            <v>62.11</v>
          </cell>
          <cell r="J681">
            <v>93050</v>
          </cell>
          <cell r="K681" t="str">
            <v>MP</v>
          </cell>
        </row>
        <row r="682">
          <cell r="A682" t="str">
            <v>995412-SLR</v>
          </cell>
          <cell r="B682">
            <v>13461</v>
          </cell>
          <cell r="C682">
            <v>0</v>
          </cell>
          <cell r="D682">
            <v>0</v>
          </cell>
          <cell r="E682">
            <v>18.98</v>
          </cell>
          <cell r="F682">
            <v>0</v>
          </cell>
          <cell r="G682">
            <v>49.69</v>
          </cell>
          <cell r="H682">
            <v>68.67</v>
          </cell>
          <cell r="I682">
            <v>82.82</v>
          </cell>
          <cell r="J682">
            <v>93050</v>
          </cell>
          <cell r="K682" t="str">
            <v>MP</v>
          </cell>
        </row>
        <row r="683">
          <cell r="A683" t="str">
            <v>995413-SLR</v>
          </cell>
          <cell r="B683">
            <v>13462</v>
          </cell>
          <cell r="C683">
            <v>0</v>
          </cell>
          <cell r="D683">
            <v>0</v>
          </cell>
          <cell r="E683">
            <v>18.98</v>
          </cell>
          <cell r="F683">
            <v>0</v>
          </cell>
          <cell r="G683">
            <v>3170</v>
          </cell>
          <cell r="H683">
            <v>3188.98</v>
          </cell>
          <cell r="I683">
            <v>5283.34</v>
          </cell>
          <cell r="J683">
            <v>93050</v>
          </cell>
          <cell r="K683" t="str">
            <v>MP</v>
          </cell>
        </row>
        <row r="684">
          <cell r="A684" t="str">
            <v>995414-SLR</v>
          </cell>
          <cell r="B684">
            <v>13463</v>
          </cell>
          <cell r="C684">
            <v>0</v>
          </cell>
          <cell r="D684">
            <v>0</v>
          </cell>
          <cell r="E684">
            <v>10</v>
          </cell>
          <cell r="F684">
            <v>0</v>
          </cell>
          <cell r="G684">
            <v>114.66</v>
          </cell>
          <cell r="H684">
            <v>124.66</v>
          </cell>
          <cell r="I684">
            <v>191.1</v>
          </cell>
          <cell r="J684">
            <v>92003</v>
          </cell>
          <cell r="K684" t="str">
            <v>MP</v>
          </cell>
        </row>
        <row r="685">
          <cell r="A685" t="str">
            <v>995415-SLR</v>
          </cell>
          <cell r="B685">
            <v>13464</v>
          </cell>
          <cell r="C685">
            <v>0</v>
          </cell>
          <cell r="D685">
            <v>0</v>
          </cell>
          <cell r="E685">
            <v>10</v>
          </cell>
          <cell r="F685">
            <v>0</v>
          </cell>
          <cell r="G685">
            <v>114.66</v>
          </cell>
          <cell r="H685">
            <v>124.66</v>
          </cell>
          <cell r="I685">
            <v>191.1</v>
          </cell>
          <cell r="J685">
            <v>90503</v>
          </cell>
          <cell r="K685" t="str">
            <v>MP</v>
          </cell>
        </row>
        <row r="686">
          <cell r="A686" t="str">
            <v>995416-SLR</v>
          </cell>
          <cell r="B686">
            <v>13637</v>
          </cell>
          <cell r="C686">
            <v>182.76</v>
          </cell>
          <cell r="D686">
            <v>20.99</v>
          </cell>
          <cell r="E686">
            <v>477</v>
          </cell>
          <cell r="F686">
            <v>483.24</v>
          </cell>
          <cell r="G686">
            <v>1498.13</v>
          </cell>
          <cell r="H686">
            <v>2662.12</v>
          </cell>
          <cell r="I686">
            <v>10497.2</v>
          </cell>
          <cell r="J686">
            <v>90468</v>
          </cell>
          <cell r="K686" t="str">
            <v>MP</v>
          </cell>
        </row>
        <row r="687">
          <cell r="A687" t="str">
            <v>995417-SLR</v>
          </cell>
          <cell r="B687">
            <v>13686</v>
          </cell>
          <cell r="C687">
            <v>150.33000000000001</v>
          </cell>
          <cell r="D687">
            <v>1.56</v>
          </cell>
          <cell r="E687">
            <v>429</v>
          </cell>
          <cell r="F687">
            <v>153.09</v>
          </cell>
          <cell r="G687">
            <v>177.63</v>
          </cell>
          <cell r="H687">
            <v>911.61</v>
          </cell>
          <cell r="I687">
            <v>783.02</v>
          </cell>
          <cell r="J687">
            <v>90166</v>
          </cell>
          <cell r="K687" t="str">
            <v>MP</v>
          </cell>
        </row>
        <row r="688">
          <cell r="A688" t="str">
            <v>995420-SLR</v>
          </cell>
          <cell r="B688">
            <v>13688</v>
          </cell>
          <cell r="C688">
            <v>4350</v>
          </cell>
          <cell r="D688">
            <v>14.96</v>
          </cell>
          <cell r="E688">
            <v>429</v>
          </cell>
          <cell r="F688">
            <v>522.51</v>
          </cell>
          <cell r="G688">
            <v>1421.11</v>
          </cell>
          <cell r="H688">
            <v>6737.58</v>
          </cell>
          <cell r="I688">
            <v>7477.6</v>
          </cell>
          <cell r="J688">
            <v>91997</v>
          </cell>
          <cell r="K688" t="str">
            <v>MP</v>
          </cell>
        </row>
        <row r="689">
          <cell r="A689" t="str">
            <v>995422-SLR</v>
          </cell>
          <cell r="B689">
            <v>13689</v>
          </cell>
          <cell r="C689">
            <v>228.12</v>
          </cell>
          <cell r="D689">
            <v>2.0299999999999998</v>
          </cell>
          <cell r="E689">
            <v>429</v>
          </cell>
          <cell r="F689">
            <v>152.38999999999999</v>
          </cell>
          <cell r="G689">
            <v>149.38</v>
          </cell>
          <cell r="H689">
            <v>960.92</v>
          </cell>
          <cell r="I689">
            <v>1014.71</v>
          </cell>
          <cell r="J689">
            <v>92315</v>
          </cell>
          <cell r="K689" t="str">
            <v>MP</v>
          </cell>
        </row>
        <row r="690">
          <cell r="A690" t="str">
            <v>995423-SLR</v>
          </cell>
          <cell r="B690">
            <v>13690</v>
          </cell>
          <cell r="C690">
            <v>598.30999999999995</v>
          </cell>
          <cell r="D690">
            <v>19.190000000000001</v>
          </cell>
          <cell r="E690">
            <v>429</v>
          </cell>
          <cell r="F690">
            <v>461.3</v>
          </cell>
          <cell r="G690">
            <v>1224.79</v>
          </cell>
          <cell r="H690">
            <v>2732.59</v>
          </cell>
          <cell r="I690">
            <v>9589.0499999999993</v>
          </cell>
          <cell r="J690">
            <v>92313</v>
          </cell>
          <cell r="K690" t="str">
            <v>MP</v>
          </cell>
        </row>
        <row r="691">
          <cell r="A691" t="str">
            <v>995424-SLR</v>
          </cell>
          <cell r="B691">
            <v>13509</v>
          </cell>
          <cell r="C691">
            <v>0</v>
          </cell>
          <cell r="D691">
            <v>0</v>
          </cell>
          <cell r="E691">
            <v>0</v>
          </cell>
          <cell r="F691">
            <v>0</v>
          </cell>
          <cell r="G691">
            <v>62.8</v>
          </cell>
          <cell r="H691">
            <v>62.8</v>
          </cell>
          <cell r="I691">
            <v>104.66</v>
          </cell>
          <cell r="J691">
            <v>93407</v>
          </cell>
          <cell r="K691" t="str">
            <v>MP</v>
          </cell>
        </row>
        <row r="692">
          <cell r="A692" t="str">
            <v>995425-SLR</v>
          </cell>
          <cell r="B692">
            <v>13510</v>
          </cell>
          <cell r="C692">
            <v>148.36000000000001</v>
          </cell>
          <cell r="D692">
            <v>0</v>
          </cell>
          <cell r="E692">
            <v>18.8</v>
          </cell>
          <cell r="F692">
            <v>0</v>
          </cell>
          <cell r="G692">
            <v>149.88</v>
          </cell>
          <cell r="H692">
            <v>317.04000000000002</v>
          </cell>
          <cell r="I692">
            <v>101.43</v>
          </cell>
          <cell r="J692">
            <v>92202</v>
          </cell>
          <cell r="K692" t="str">
            <v>MP</v>
          </cell>
        </row>
        <row r="693">
          <cell r="A693" t="str">
            <v>995426-SLR</v>
          </cell>
          <cell r="B693">
            <v>13465</v>
          </cell>
          <cell r="C693">
            <v>0</v>
          </cell>
          <cell r="D693">
            <v>0</v>
          </cell>
          <cell r="E693">
            <v>18.8</v>
          </cell>
          <cell r="F693">
            <v>0</v>
          </cell>
          <cell r="G693">
            <v>738</v>
          </cell>
          <cell r="H693">
            <v>756.8</v>
          </cell>
          <cell r="I693">
            <v>1230</v>
          </cell>
          <cell r="J693">
            <v>93050</v>
          </cell>
          <cell r="K693" t="str">
            <v>MP</v>
          </cell>
        </row>
        <row r="694">
          <cell r="A694" t="str">
            <v>995427-SLR</v>
          </cell>
          <cell r="B694">
            <v>13652</v>
          </cell>
          <cell r="C694">
            <v>0</v>
          </cell>
          <cell r="D694">
            <v>0</v>
          </cell>
          <cell r="E694">
            <v>18.8</v>
          </cell>
          <cell r="F694">
            <v>0</v>
          </cell>
          <cell r="G694">
            <v>228.89</v>
          </cell>
          <cell r="H694">
            <v>247.69</v>
          </cell>
          <cell r="I694">
            <v>381.49</v>
          </cell>
          <cell r="J694">
            <v>93050</v>
          </cell>
          <cell r="K694" t="str">
            <v>MP</v>
          </cell>
        </row>
        <row r="695">
          <cell r="A695" t="str">
            <v>995428-SLR</v>
          </cell>
          <cell r="B695">
            <v>13589</v>
          </cell>
          <cell r="C695">
            <v>0</v>
          </cell>
          <cell r="D695">
            <v>0</v>
          </cell>
          <cell r="E695">
            <v>18.8</v>
          </cell>
          <cell r="F695">
            <v>0</v>
          </cell>
          <cell r="G695">
            <v>3396.26</v>
          </cell>
          <cell r="H695">
            <v>3415.0600000000004</v>
          </cell>
          <cell r="I695">
            <v>5660.44</v>
          </cell>
          <cell r="J695">
            <v>92243</v>
          </cell>
          <cell r="K695" t="str">
            <v>MP</v>
          </cell>
        </row>
        <row r="696">
          <cell r="A696" t="str">
            <v>995429-SLR</v>
          </cell>
          <cell r="B696">
            <v>13728</v>
          </cell>
          <cell r="C696">
            <v>243.89</v>
          </cell>
          <cell r="D696">
            <v>1.8</v>
          </cell>
          <cell r="E696">
            <v>429</v>
          </cell>
          <cell r="F696">
            <v>152.21</v>
          </cell>
          <cell r="G696">
            <v>170.25</v>
          </cell>
          <cell r="H696">
            <v>997.15000000000009</v>
          </cell>
          <cell r="I696">
            <v>650.37</v>
          </cell>
          <cell r="J696">
            <v>90322</v>
          </cell>
          <cell r="K696" t="str">
            <v>MP</v>
          </cell>
        </row>
        <row r="697">
          <cell r="A697" t="str">
            <v>995431-SLR</v>
          </cell>
          <cell r="B697">
            <v>13800</v>
          </cell>
          <cell r="C697">
            <v>6838.73</v>
          </cell>
          <cell r="D697">
            <v>28.94</v>
          </cell>
          <cell r="E697">
            <v>429</v>
          </cell>
          <cell r="F697">
            <v>736.13</v>
          </cell>
          <cell r="G697">
            <v>4480.75</v>
          </cell>
          <cell r="H697">
            <v>12513.55</v>
          </cell>
          <cell r="I697">
            <v>14469.21</v>
          </cell>
          <cell r="J697">
            <v>93434</v>
          </cell>
          <cell r="K697" t="str">
            <v>MP</v>
          </cell>
        </row>
        <row r="698">
          <cell r="A698" t="str">
            <v>995433-SLR</v>
          </cell>
          <cell r="B698">
            <v>13638</v>
          </cell>
          <cell r="C698">
            <v>215.87</v>
          </cell>
          <cell r="D698">
            <v>1.48</v>
          </cell>
          <cell r="E698">
            <v>477</v>
          </cell>
          <cell r="F698">
            <v>153.56</v>
          </cell>
          <cell r="G698">
            <v>133.83000000000001</v>
          </cell>
          <cell r="H698">
            <v>981.74000000000012</v>
          </cell>
          <cell r="I698">
            <v>738.55</v>
          </cell>
          <cell r="J698">
            <v>91814</v>
          </cell>
          <cell r="K698" t="str">
            <v>MP</v>
          </cell>
        </row>
        <row r="699">
          <cell r="A699" t="str">
            <v>995434-SLR</v>
          </cell>
          <cell r="B699">
            <v>13729</v>
          </cell>
          <cell r="C699">
            <v>198.51</v>
          </cell>
          <cell r="D699">
            <v>14.75</v>
          </cell>
          <cell r="E699">
            <v>429</v>
          </cell>
          <cell r="F699">
            <v>344.66</v>
          </cell>
          <cell r="G699">
            <v>1062.1199999999999</v>
          </cell>
          <cell r="H699">
            <v>2049.04</v>
          </cell>
          <cell r="I699">
            <v>7373.34</v>
          </cell>
          <cell r="J699">
            <v>90512</v>
          </cell>
          <cell r="K699" t="str">
            <v>MP</v>
          </cell>
        </row>
        <row r="700">
          <cell r="A700" t="str">
            <v>995435-SLR</v>
          </cell>
          <cell r="B700">
            <v>13691</v>
          </cell>
          <cell r="C700">
            <v>197.31</v>
          </cell>
          <cell r="D700">
            <v>14.66</v>
          </cell>
          <cell r="E700">
            <v>429</v>
          </cell>
          <cell r="F700">
            <v>342.6</v>
          </cell>
          <cell r="G700">
            <v>1055.6600000000001</v>
          </cell>
          <cell r="H700">
            <v>2039.23</v>
          </cell>
          <cell r="I700">
            <v>7328.49</v>
          </cell>
          <cell r="J700">
            <v>90512</v>
          </cell>
          <cell r="K700" t="str">
            <v>MP</v>
          </cell>
        </row>
        <row r="701">
          <cell r="A701" t="str">
            <v>995436-SLR</v>
          </cell>
          <cell r="B701">
            <v>13692</v>
          </cell>
          <cell r="C701">
            <v>216.1</v>
          </cell>
          <cell r="D701">
            <v>3.61</v>
          </cell>
          <cell r="E701">
            <v>429</v>
          </cell>
          <cell r="F701">
            <v>177.58</v>
          </cell>
          <cell r="G701">
            <v>283.31</v>
          </cell>
          <cell r="H701">
            <v>1109.6000000000001</v>
          </cell>
          <cell r="I701">
            <v>1803.94</v>
          </cell>
          <cell r="J701">
            <v>93192</v>
          </cell>
          <cell r="K701" t="str">
            <v>MP</v>
          </cell>
        </row>
        <row r="702">
          <cell r="A702" t="str">
            <v>995437-SLR</v>
          </cell>
          <cell r="B702">
            <v>13730</v>
          </cell>
          <cell r="C702">
            <v>198.51</v>
          </cell>
          <cell r="D702">
            <v>18.75</v>
          </cell>
          <cell r="E702">
            <v>429</v>
          </cell>
          <cell r="F702">
            <v>434.15</v>
          </cell>
          <cell r="G702">
            <v>287.93</v>
          </cell>
          <cell r="H702">
            <v>1368.34</v>
          </cell>
          <cell r="I702">
            <v>9380.4</v>
          </cell>
          <cell r="J702">
            <v>92066</v>
          </cell>
          <cell r="K702" t="str">
            <v>MP</v>
          </cell>
        </row>
        <row r="703">
          <cell r="A703" t="str">
            <v>995438-SLR</v>
          </cell>
          <cell r="B703">
            <v>13731</v>
          </cell>
          <cell r="C703">
            <v>198.51</v>
          </cell>
          <cell r="D703">
            <v>1.89</v>
          </cell>
          <cell r="E703">
            <v>429</v>
          </cell>
          <cell r="F703">
            <v>153.28</v>
          </cell>
          <cell r="G703">
            <v>132.08000000000001</v>
          </cell>
          <cell r="H703">
            <v>914.76</v>
          </cell>
          <cell r="I703">
            <v>743.01</v>
          </cell>
          <cell r="J703">
            <v>92166</v>
          </cell>
          <cell r="K703" t="str">
            <v>MP</v>
          </cell>
        </row>
        <row r="704">
          <cell r="A704" t="str">
            <v>995439-SLR</v>
          </cell>
          <cell r="B704">
            <v>13641</v>
          </cell>
          <cell r="C704">
            <v>288.02</v>
          </cell>
          <cell r="D704">
            <v>145.85</v>
          </cell>
          <cell r="E704">
            <v>477</v>
          </cell>
          <cell r="F704">
            <v>1906.76</v>
          </cell>
          <cell r="G704">
            <v>10271.11</v>
          </cell>
          <cell r="H704">
            <v>13088.740000000002</v>
          </cell>
          <cell r="I704">
            <v>72931.17</v>
          </cell>
          <cell r="J704">
            <v>91969</v>
          </cell>
          <cell r="K704" t="str">
            <v>MP</v>
          </cell>
        </row>
        <row r="705">
          <cell r="A705" t="str">
            <v>995440-SLR</v>
          </cell>
          <cell r="B705">
            <v>13693</v>
          </cell>
          <cell r="C705">
            <v>276.7</v>
          </cell>
          <cell r="D705">
            <v>288.7</v>
          </cell>
          <cell r="E705">
            <v>429</v>
          </cell>
          <cell r="F705">
            <v>349</v>
          </cell>
          <cell r="G705">
            <v>27534.04</v>
          </cell>
          <cell r="H705">
            <v>28877.440000000002</v>
          </cell>
          <cell r="I705">
            <v>144350.57999999999</v>
          </cell>
          <cell r="J705">
            <v>90379</v>
          </cell>
          <cell r="K705" t="str">
            <v>MP</v>
          </cell>
        </row>
        <row r="706">
          <cell r="A706" t="str">
            <v>995441-SLR</v>
          </cell>
          <cell r="B706">
            <v>13642</v>
          </cell>
          <cell r="C706">
            <v>200.95</v>
          </cell>
          <cell r="D706">
            <v>3.47</v>
          </cell>
          <cell r="E706">
            <v>477</v>
          </cell>
          <cell r="F706">
            <v>171.15</v>
          </cell>
          <cell r="G706">
            <v>330.15</v>
          </cell>
          <cell r="H706">
            <v>1182.7199999999998</v>
          </cell>
          <cell r="I706">
            <v>1533.19</v>
          </cell>
          <cell r="J706">
            <v>90013</v>
          </cell>
          <cell r="K706" t="str">
            <v>MP</v>
          </cell>
        </row>
        <row r="707">
          <cell r="A707" t="str">
            <v>995444-SLR</v>
          </cell>
          <cell r="B707">
            <v>13732</v>
          </cell>
          <cell r="C707">
            <v>151.25</v>
          </cell>
          <cell r="D707">
            <v>10.210000000000001</v>
          </cell>
          <cell r="E707">
            <v>429</v>
          </cell>
          <cell r="F707">
            <v>250.54</v>
          </cell>
          <cell r="G707">
            <v>1000.56</v>
          </cell>
          <cell r="H707">
            <v>1841.56</v>
          </cell>
          <cell r="I707">
            <v>5104.62</v>
          </cell>
          <cell r="J707">
            <v>90953</v>
          </cell>
          <cell r="K707" t="str">
            <v>MP</v>
          </cell>
        </row>
        <row r="708">
          <cell r="A708" t="str">
            <v>995446-SLR</v>
          </cell>
          <cell r="B708">
            <v>13774</v>
          </cell>
          <cell r="C708">
            <v>198.6</v>
          </cell>
          <cell r="D708">
            <v>73.39</v>
          </cell>
          <cell r="E708">
            <v>429</v>
          </cell>
          <cell r="F708">
            <v>1087.76</v>
          </cell>
          <cell r="G708">
            <v>5175.12</v>
          </cell>
          <cell r="H708">
            <v>6963.87</v>
          </cell>
          <cell r="I708">
            <v>36693.160000000003</v>
          </cell>
          <cell r="J708">
            <v>90485</v>
          </cell>
          <cell r="K708" t="str">
            <v>MP</v>
          </cell>
        </row>
        <row r="709">
          <cell r="A709" t="str">
            <v>995447-SLR</v>
          </cell>
          <cell r="B709">
            <v>13856</v>
          </cell>
          <cell r="C709">
            <v>149.56</v>
          </cell>
          <cell r="D709">
            <v>9.2799999999999994</v>
          </cell>
          <cell r="E709">
            <v>429</v>
          </cell>
          <cell r="F709">
            <v>236.57</v>
          </cell>
          <cell r="G709">
            <v>650.38</v>
          </cell>
          <cell r="H709">
            <v>1474.79</v>
          </cell>
          <cell r="I709">
            <v>4486.72</v>
          </cell>
          <cell r="J709">
            <v>92243</v>
          </cell>
          <cell r="K709" t="str">
            <v>MP</v>
          </cell>
        </row>
        <row r="710">
          <cell r="A710" t="str">
            <v>995448-SLR</v>
          </cell>
          <cell r="B710">
            <v>13814</v>
          </cell>
          <cell r="C710">
            <v>466.81</v>
          </cell>
          <cell r="D710">
            <v>6.18</v>
          </cell>
          <cell r="E710">
            <v>429</v>
          </cell>
          <cell r="F710">
            <v>201.77</v>
          </cell>
          <cell r="G710">
            <v>371.85</v>
          </cell>
          <cell r="H710">
            <v>1475.6100000000001</v>
          </cell>
          <cell r="I710">
            <v>2625.79</v>
          </cell>
          <cell r="J710">
            <v>93001</v>
          </cell>
          <cell r="K710" t="str">
            <v>MP</v>
          </cell>
        </row>
        <row r="711">
          <cell r="A711" t="str">
            <v>995450-SLR</v>
          </cell>
          <cell r="B711">
            <v>13775</v>
          </cell>
          <cell r="C711">
            <v>516.91999999999996</v>
          </cell>
          <cell r="D711">
            <v>31.95</v>
          </cell>
          <cell r="E711">
            <v>429</v>
          </cell>
          <cell r="F711">
            <v>627.79</v>
          </cell>
          <cell r="G711">
            <v>3139.11</v>
          </cell>
          <cell r="H711">
            <v>4744.7700000000004</v>
          </cell>
          <cell r="I711">
            <v>15973</v>
          </cell>
          <cell r="J711">
            <v>91304</v>
          </cell>
          <cell r="K711" t="str">
            <v>MP</v>
          </cell>
        </row>
        <row r="712">
          <cell r="A712" t="str">
            <v>995452-SLR</v>
          </cell>
          <cell r="B712">
            <v>13776</v>
          </cell>
          <cell r="C712">
            <v>1259.21</v>
          </cell>
          <cell r="D712">
            <v>3.39</v>
          </cell>
          <cell r="E712">
            <v>429</v>
          </cell>
          <cell r="F712">
            <v>198.59</v>
          </cell>
          <cell r="G712">
            <v>502.74</v>
          </cell>
          <cell r="H712">
            <v>2392.9300000000003</v>
          </cell>
          <cell r="I712">
            <v>1694.69</v>
          </cell>
          <cell r="J712">
            <v>93018</v>
          </cell>
          <cell r="K712" t="str">
            <v>MP</v>
          </cell>
        </row>
        <row r="713">
          <cell r="A713" t="str">
            <v>995454-SLR</v>
          </cell>
          <cell r="B713">
            <v>13694</v>
          </cell>
          <cell r="C713">
            <v>1579.97</v>
          </cell>
          <cell r="D713">
            <v>14.19</v>
          </cell>
          <cell r="E713">
            <v>477</v>
          </cell>
          <cell r="F713">
            <v>393.74</v>
          </cell>
          <cell r="G713">
            <v>1335.3</v>
          </cell>
          <cell r="H713">
            <v>3800.2</v>
          </cell>
          <cell r="I713">
            <v>7095.48</v>
          </cell>
          <cell r="J713">
            <v>92285</v>
          </cell>
          <cell r="K713" t="str">
            <v>MP</v>
          </cell>
        </row>
        <row r="714">
          <cell r="A714" t="str">
            <v>995455-SLR</v>
          </cell>
          <cell r="B714">
            <v>13696</v>
          </cell>
          <cell r="C714">
            <v>717.97</v>
          </cell>
          <cell r="D714">
            <v>8.1199999999999992</v>
          </cell>
          <cell r="E714">
            <v>429</v>
          </cell>
          <cell r="F714">
            <v>239.71</v>
          </cell>
          <cell r="G714">
            <v>909.14</v>
          </cell>
          <cell r="H714">
            <v>2303.94</v>
          </cell>
          <cell r="I714">
            <v>4058.86</v>
          </cell>
          <cell r="J714">
            <v>92285</v>
          </cell>
          <cell r="K714" t="str">
            <v>MP</v>
          </cell>
        </row>
        <row r="715">
          <cell r="A715" t="str">
            <v>995456-SLR</v>
          </cell>
          <cell r="B715">
            <v>13590</v>
          </cell>
          <cell r="C715">
            <v>92.02</v>
          </cell>
          <cell r="D715">
            <v>0</v>
          </cell>
          <cell r="E715">
            <v>18.809999999999999</v>
          </cell>
          <cell r="F715">
            <v>0</v>
          </cell>
          <cell r="G715">
            <v>77.180000000000007</v>
          </cell>
          <cell r="H715">
            <v>188.01</v>
          </cell>
          <cell r="I715">
            <v>36.619999999999997</v>
          </cell>
          <cell r="J715">
            <v>92202</v>
          </cell>
          <cell r="K715" t="str">
            <v>MP</v>
          </cell>
        </row>
        <row r="716">
          <cell r="A716" t="str">
            <v>995457-SLR</v>
          </cell>
          <cell r="B716">
            <v>13643</v>
          </cell>
          <cell r="C716">
            <v>224.19</v>
          </cell>
          <cell r="D716">
            <v>90.46</v>
          </cell>
          <cell r="E716">
            <v>477</v>
          </cell>
          <cell r="F716">
            <v>1280.8800000000001</v>
          </cell>
          <cell r="G716">
            <v>1366.45</v>
          </cell>
          <cell r="H716">
            <v>3438.9800000000005</v>
          </cell>
          <cell r="I716">
            <v>45233.56</v>
          </cell>
          <cell r="J716">
            <v>91471</v>
          </cell>
          <cell r="K716" t="str">
            <v>MP</v>
          </cell>
        </row>
        <row r="717">
          <cell r="A717" t="str">
            <v>995458-SLR</v>
          </cell>
          <cell r="B717">
            <v>13644</v>
          </cell>
          <cell r="C717">
            <v>340.76</v>
          </cell>
          <cell r="D717">
            <v>6.65</v>
          </cell>
          <cell r="E717">
            <v>477</v>
          </cell>
          <cell r="F717">
            <v>171.8</v>
          </cell>
          <cell r="G717">
            <v>335.67</v>
          </cell>
          <cell r="H717">
            <v>1331.88</v>
          </cell>
          <cell r="I717">
            <v>1422.4</v>
          </cell>
          <cell r="J717">
            <v>90257</v>
          </cell>
          <cell r="K717" t="str">
            <v>MP</v>
          </cell>
        </row>
        <row r="718">
          <cell r="A718" t="str">
            <v>995459-SLR</v>
          </cell>
          <cell r="B718">
            <v>13646</v>
          </cell>
          <cell r="C718">
            <v>182.76</v>
          </cell>
          <cell r="D718">
            <v>22.27</v>
          </cell>
          <cell r="E718">
            <v>477</v>
          </cell>
          <cell r="F718">
            <v>511.08</v>
          </cell>
          <cell r="G718">
            <v>1586.88</v>
          </cell>
          <cell r="H718">
            <v>2779.99</v>
          </cell>
          <cell r="I718">
            <v>11129.84</v>
          </cell>
          <cell r="J718">
            <v>91147</v>
          </cell>
          <cell r="K718" t="str">
            <v>MP</v>
          </cell>
        </row>
        <row r="719">
          <cell r="A719" t="str">
            <v>995460-SLR</v>
          </cell>
          <cell r="B719">
            <v>13733</v>
          </cell>
          <cell r="C719">
            <v>284.54000000000002</v>
          </cell>
          <cell r="D719">
            <v>3.55</v>
          </cell>
          <cell r="E719">
            <v>429</v>
          </cell>
          <cell r="F719">
            <v>172.09</v>
          </cell>
          <cell r="G719">
            <v>338.16</v>
          </cell>
          <cell r="H719">
            <v>1227.3400000000001</v>
          </cell>
          <cell r="I719">
            <v>1491.68</v>
          </cell>
          <cell r="J719">
            <v>91178</v>
          </cell>
          <cell r="K719" t="str">
            <v>MP</v>
          </cell>
        </row>
        <row r="720">
          <cell r="A720" t="str">
            <v>995461-SLR</v>
          </cell>
          <cell r="B720">
            <v>13647</v>
          </cell>
          <cell r="C720">
            <v>201.51</v>
          </cell>
          <cell r="D720">
            <v>5.4</v>
          </cell>
          <cell r="E720">
            <v>477</v>
          </cell>
          <cell r="F720">
            <v>192.8</v>
          </cell>
          <cell r="G720">
            <v>567</v>
          </cell>
          <cell r="H720">
            <v>1443.71</v>
          </cell>
          <cell r="I720">
            <v>2493.09</v>
          </cell>
          <cell r="J720">
            <v>91681</v>
          </cell>
          <cell r="K720" t="str">
            <v>MP</v>
          </cell>
        </row>
        <row r="721">
          <cell r="A721" t="str">
            <v>995462-SLR</v>
          </cell>
          <cell r="B721">
            <v>13697</v>
          </cell>
          <cell r="C721">
            <v>1204.49</v>
          </cell>
          <cell r="D721">
            <v>2164.7199999999998</v>
          </cell>
          <cell r="E721">
            <v>429</v>
          </cell>
          <cell r="F721">
            <v>515.91</v>
          </cell>
          <cell r="G721">
            <v>2194.38</v>
          </cell>
          <cell r="H721">
            <v>6508.5</v>
          </cell>
          <cell r="I721">
            <v>10324.219999999999</v>
          </cell>
          <cell r="J721">
            <v>91177</v>
          </cell>
          <cell r="K721" t="str">
            <v>MP</v>
          </cell>
        </row>
        <row r="722">
          <cell r="A722" t="str">
            <v>995464-SLR</v>
          </cell>
          <cell r="B722">
            <v>13648</v>
          </cell>
          <cell r="C722">
            <v>224.94</v>
          </cell>
          <cell r="D722">
            <v>30.76</v>
          </cell>
          <cell r="E722">
            <v>477</v>
          </cell>
          <cell r="F722">
            <v>602.79999999999995</v>
          </cell>
          <cell r="G722">
            <v>2157.54</v>
          </cell>
          <cell r="H722">
            <v>3493.04</v>
          </cell>
          <cell r="I722">
            <v>15155.33</v>
          </cell>
          <cell r="J722">
            <v>91982</v>
          </cell>
          <cell r="K722" t="str">
            <v>MP</v>
          </cell>
        </row>
        <row r="723">
          <cell r="A723" t="str">
            <v>995465-SLR</v>
          </cell>
          <cell r="B723">
            <v>13649</v>
          </cell>
          <cell r="C723">
            <v>235.25</v>
          </cell>
          <cell r="D723">
            <v>4.72</v>
          </cell>
          <cell r="E723">
            <v>477</v>
          </cell>
          <cell r="F723">
            <v>190.59</v>
          </cell>
          <cell r="G723">
            <v>312.39999999999998</v>
          </cell>
          <cell r="H723">
            <v>1219.96</v>
          </cell>
          <cell r="I723">
            <v>2361.87</v>
          </cell>
          <cell r="J723">
            <v>92253</v>
          </cell>
          <cell r="K723" t="str">
            <v>MP</v>
          </cell>
        </row>
        <row r="724">
          <cell r="A724" t="str">
            <v>995466-SLR</v>
          </cell>
          <cell r="B724">
            <v>13735</v>
          </cell>
          <cell r="C724">
            <v>2333</v>
          </cell>
          <cell r="D724">
            <v>39.53</v>
          </cell>
          <cell r="E724">
            <v>429</v>
          </cell>
          <cell r="F724">
            <v>701.76</v>
          </cell>
          <cell r="G724">
            <v>1162.9000000000001</v>
          </cell>
          <cell r="H724">
            <v>4666.1900000000005</v>
          </cell>
          <cell r="I724">
            <v>17437</v>
          </cell>
          <cell r="J724">
            <v>93050</v>
          </cell>
          <cell r="K724" t="str">
            <v>MP</v>
          </cell>
        </row>
        <row r="725">
          <cell r="A725" t="str">
            <v>995469-SLR</v>
          </cell>
          <cell r="B725">
            <v>13815</v>
          </cell>
          <cell r="C725">
            <v>1783.84</v>
          </cell>
          <cell r="D725">
            <v>33.770000000000003</v>
          </cell>
          <cell r="E725">
            <v>429</v>
          </cell>
          <cell r="F725">
            <v>676.86</v>
          </cell>
          <cell r="G725">
            <v>3553.5</v>
          </cell>
          <cell r="H725">
            <v>6476.9699999999993</v>
          </cell>
          <cell r="I725">
            <v>16885.009999999998</v>
          </cell>
          <cell r="J725">
            <v>92001</v>
          </cell>
          <cell r="K725" t="str">
            <v>MP</v>
          </cell>
        </row>
        <row r="726">
          <cell r="A726" t="str">
            <v>995470-SLR</v>
          </cell>
          <cell r="B726">
            <v>13737</v>
          </cell>
          <cell r="C726">
            <v>378.75</v>
          </cell>
          <cell r="D726">
            <v>13.06</v>
          </cell>
          <cell r="E726">
            <v>429</v>
          </cell>
          <cell r="F726">
            <v>298.32</v>
          </cell>
          <cell r="G726">
            <v>1243.6099999999999</v>
          </cell>
          <cell r="H726">
            <v>2362.7399999999998</v>
          </cell>
          <cell r="I726">
            <v>6153.52</v>
          </cell>
          <cell r="J726">
            <v>91673</v>
          </cell>
          <cell r="K726" t="str">
            <v>MP</v>
          </cell>
        </row>
        <row r="727">
          <cell r="A727" t="str">
            <v>995471-SLR</v>
          </cell>
          <cell r="B727">
            <v>13816</v>
          </cell>
          <cell r="C727">
            <v>247.25</v>
          </cell>
          <cell r="D727">
            <v>28.79</v>
          </cell>
          <cell r="E727">
            <v>429</v>
          </cell>
          <cell r="F727">
            <v>586.11</v>
          </cell>
          <cell r="G727">
            <v>2053.6999999999998</v>
          </cell>
          <cell r="H727">
            <v>3344.85</v>
          </cell>
          <cell r="I727">
            <v>14393.22</v>
          </cell>
          <cell r="J727">
            <v>90503</v>
          </cell>
          <cell r="K727" t="str">
            <v>MP</v>
          </cell>
        </row>
        <row r="728">
          <cell r="A728" t="str">
            <v>995472-SLR</v>
          </cell>
          <cell r="B728">
            <v>13777</v>
          </cell>
          <cell r="C728">
            <v>342.8</v>
          </cell>
          <cell r="D728">
            <v>34.479999999999997</v>
          </cell>
          <cell r="E728">
            <v>429</v>
          </cell>
          <cell r="F728">
            <v>644.73</v>
          </cell>
          <cell r="G728">
            <v>2330.19</v>
          </cell>
          <cell r="H728">
            <v>3781.2</v>
          </cell>
          <cell r="I728">
            <v>16897.77</v>
          </cell>
          <cell r="J728">
            <v>90503</v>
          </cell>
          <cell r="K728" t="str">
            <v>MP</v>
          </cell>
        </row>
        <row r="729">
          <cell r="A729" t="str">
            <v>995474-SLR</v>
          </cell>
          <cell r="B729">
            <v>13698</v>
          </cell>
          <cell r="C729">
            <v>1274.29</v>
          </cell>
          <cell r="D729">
            <v>27.79</v>
          </cell>
          <cell r="E729">
            <v>429</v>
          </cell>
          <cell r="F729">
            <v>569</v>
          </cell>
          <cell r="G729">
            <v>2673.49</v>
          </cell>
          <cell r="H729">
            <v>4973.57</v>
          </cell>
          <cell r="I729">
            <v>12621.91</v>
          </cell>
          <cell r="J729">
            <v>91591</v>
          </cell>
          <cell r="K729" t="str">
            <v>MP</v>
          </cell>
        </row>
        <row r="730">
          <cell r="A730" t="str">
            <v>995475-SLR</v>
          </cell>
          <cell r="B730">
            <v>13738</v>
          </cell>
          <cell r="C730">
            <v>217.42</v>
          </cell>
          <cell r="D730">
            <v>5.77</v>
          </cell>
          <cell r="E730">
            <v>429</v>
          </cell>
          <cell r="F730">
            <v>197.05</v>
          </cell>
          <cell r="G730">
            <v>548.9</v>
          </cell>
          <cell r="H730">
            <v>1398.1399999999999</v>
          </cell>
          <cell r="I730">
            <v>2665.75</v>
          </cell>
          <cell r="J730">
            <v>92172</v>
          </cell>
          <cell r="K730" t="str">
            <v>MP</v>
          </cell>
        </row>
        <row r="731">
          <cell r="A731" t="str">
            <v>995477-SLR</v>
          </cell>
          <cell r="B731">
            <v>13702</v>
          </cell>
          <cell r="C731">
            <v>2776.37</v>
          </cell>
          <cell r="D731">
            <v>36.19</v>
          </cell>
          <cell r="E731">
            <v>477</v>
          </cell>
          <cell r="F731">
            <v>726.52</v>
          </cell>
          <cell r="G731">
            <v>3972.86</v>
          </cell>
          <cell r="H731">
            <v>7988.9400000000005</v>
          </cell>
          <cell r="I731">
            <v>18097.240000000002</v>
          </cell>
          <cell r="J731">
            <v>91990</v>
          </cell>
          <cell r="K731" t="str">
            <v>MP</v>
          </cell>
        </row>
        <row r="732">
          <cell r="A732" t="str">
            <v>995480-SLR</v>
          </cell>
          <cell r="B732">
            <v>13817</v>
          </cell>
          <cell r="C732">
            <v>186.65</v>
          </cell>
          <cell r="D732">
            <v>4.12</v>
          </cell>
          <cell r="E732">
            <v>429</v>
          </cell>
          <cell r="F732">
            <v>182.6</v>
          </cell>
          <cell r="G732">
            <v>314.56</v>
          </cell>
          <cell r="H732">
            <v>1116.93</v>
          </cell>
          <cell r="I732">
            <v>2056.0700000000002</v>
          </cell>
          <cell r="J732">
            <v>90097</v>
          </cell>
          <cell r="K732" t="str">
            <v>MP</v>
          </cell>
        </row>
        <row r="733">
          <cell r="A733" t="str">
            <v>995484-SLR</v>
          </cell>
          <cell r="B733">
            <v>13780</v>
          </cell>
          <cell r="C733">
            <v>193.87</v>
          </cell>
          <cell r="D733">
            <v>1.97</v>
          </cell>
          <cell r="E733">
            <v>429</v>
          </cell>
          <cell r="F733">
            <v>158.59</v>
          </cell>
          <cell r="G733">
            <v>224.15</v>
          </cell>
          <cell r="H733">
            <v>1007.58</v>
          </cell>
          <cell r="I733">
            <v>983.91</v>
          </cell>
          <cell r="J733">
            <v>90685</v>
          </cell>
          <cell r="K733" t="str">
            <v>MP</v>
          </cell>
        </row>
        <row r="734">
          <cell r="A734" t="str">
            <v>995486-SLR</v>
          </cell>
          <cell r="B734">
            <v>13781</v>
          </cell>
          <cell r="C734">
            <v>1236.9000000000001</v>
          </cell>
          <cell r="D734">
            <v>8.4</v>
          </cell>
          <cell r="E734">
            <v>429</v>
          </cell>
          <cell r="F734">
            <v>254.54</v>
          </cell>
          <cell r="G734">
            <v>979.96</v>
          </cell>
          <cell r="H734">
            <v>2908.8</v>
          </cell>
          <cell r="I734">
            <v>4198.91</v>
          </cell>
          <cell r="J734">
            <v>93215</v>
          </cell>
          <cell r="K734" t="str">
            <v>MP</v>
          </cell>
        </row>
        <row r="735">
          <cell r="A735" t="str">
            <v>995487-SLR</v>
          </cell>
          <cell r="B735">
            <v>13782</v>
          </cell>
          <cell r="C735">
            <v>156.04</v>
          </cell>
          <cell r="D735">
            <v>1.97</v>
          </cell>
          <cell r="E735">
            <v>429</v>
          </cell>
          <cell r="F735">
            <v>157.72999999999999</v>
          </cell>
          <cell r="G735">
            <v>216.89</v>
          </cell>
          <cell r="H735">
            <v>961.63</v>
          </cell>
          <cell r="I735">
            <v>983.53</v>
          </cell>
          <cell r="J735">
            <v>91178</v>
          </cell>
          <cell r="K735" t="str">
            <v>MP</v>
          </cell>
        </row>
        <row r="736">
          <cell r="A736" t="str">
            <v>995488-SLR</v>
          </cell>
          <cell r="B736">
            <v>13739</v>
          </cell>
          <cell r="C736">
            <v>244</v>
          </cell>
          <cell r="D736">
            <v>4.25</v>
          </cell>
          <cell r="E736">
            <v>429</v>
          </cell>
          <cell r="F736">
            <v>179.96</v>
          </cell>
          <cell r="G736">
            <v>191.64</v>
          </cell>
          <cell r="H736">
            <v>1048.8499999999999</v>
          </cell>
          <cell r="I736">
            <v>1881.05</v>
          </cell>
          <cell r="J736">
            <v>90793</v>
          </cell>
          <cell r="K736" t="str">
            <v>MP</v>
          </cell>
        </row>
        <row r="737">
          <cell r="A737" t="str">
            <v>995489-SLR</v>
          </cell>
          <cell r="B737">
            <v>13740</v>
          </cell>
          <cell r="C737">
            <v>193.79</v>
          </cell>
          <cell r="D737">
            <v>1.83</v>
          </cell>
          <cell r="E737">
            <v>429</v>
          </cell>
          <cell r="F737">
            <v>157.13</v>
          </cell>
          <cell r="G737">
            <v>211.75</v>
          </cell>
          <cell r="H737">
            <v>993.5</v>
          </cell>
          <cell r="I737">
            <v>918.83</v>
          </cell>
          <cell r="J737">
            <v>91178</v>
          </cell>
          <cell r="K737" t="str">
            <v>MP</v>
          </cell>
        </row>
        <row r="738">
          <cell r="A738" t="str">
            <v>995499-SLR</v>
          </cell>
          <cell r="B738">
            <v>13591</v>
          </cell>
          <cell r="C738">
            <v>163.98</v>
          </cell>
          <cell r="D738">
            <v>0</v>
          </cell>
          <cell r="E738">
            <v>18.850000000000001</v>
          </cell>
          <cell r="F738">
            <v>0</v>
          </cell>
          <cell r="G738">
            <v>260.64</v>
          </cell>
          <cell r="H738">
            <v>443.46999999999997</v>
          </cell>
          <cell r="I738">
            <v>270.42</v>
          </cell>
          <cell r="J738">
            <v>92209</v>
          </cell>
          <cell r="K738" t="str">
            <v>MP</v>
          </cell>
        </row>
        <row r="739">
          <cell r="A739" t="str">
            <v>995501-SLR</v>
          </cell>
          <cell r="B739">
            <v>13592</v>
          </cell>
          <cell r="C739">
            <v>171.92</v>
          </cell>
          <cell r="D739">
            <v>0</v>
          </cell>
          <cell r="E739">
            <v>18.850000000000001</v>
          </cell>
          <cell r="F739">
            <v>0</v>
          </cell>
          <cell r="G739">
            <v>170.76</v>
          </cell>
          <cell r="H739">
            <v>361.53</v>
          </cell>
          <cell r="I739">
            <v>112.11</v>
          </cell>
          <cell r="J739">
            <v>91178</v>
          </cell>
          <cell r="K739" t="str">
            <v>MP</v>
          </cell>
        </row>
        <row r="740">
          <cell r="A740" t="str">
            <v>995502-SLR</v>
          </cell>
          <cell r="B740">
            <v>13651</v>
          </cell>
          <cell r="C740">
            <v>148.72999999999999</v>
          </cell>
          <cell r="D740">
            <v>0</v>
          </cell>
          <cell r="E740">
            <v>0</v>
          </cell>
          <cell r="F740">
            <v>0</v>
          </cell>
          <cell r="G740">
            <v>337.12</v>
          </cell>
          <cell r="H740">
            <v>485.85</v>
          </cell>
          <cell r="I740">
            <v>413.14</v>
          </cell>
          <cell r="J740">
            <v>91178</v>
          </cell>
          <cell r="K740" t="str">
            <v>MP</v>
          </cell>
        </row>
        <row r="741">
          <cell r="A741" t="str">
            <v>995503-SLR</v>
          </cell>
          <cell r="B741">
            <v>13857</v>
          </cell>
          <cell r="C741">
            <v>1095.68</v>
          </cell>
          <cell r="D741">
            <v>340.59</v>
          </cell>
          <cell r="E741">
            <v>429</v>
          </cell>
          <cell r="F741">
            <v>1249</v>
          </cell>
          <cell r="G741">
            <v>13475.41</v>
          </cell>
          <cell r="H741">
            <v>16589.68</v>
          </cell>
          <cell r="I741">
            <v>169195.21</v>
          </cell>
          <cell r="J741">
            <v>91578</v>
          </cell>
          <cell r="K741" t="str">
            <v>MP</v>
          </cell>
        </row>
        <row r="742">
          <cell r="A742" t="str">
            <v>995504-SLR</v>
          </cell>
          <cell r="B742">
            <v>13858</v>
          </cell>
          <cell r="C742">
            <v>210.91</v>
          </cell>
          <cell r="D742">
            <v>2.78</v>
          </cell>
          <cell r="E742">
            <v>429</v>
          </cell>
          <cell r="F742">
            <v>168.11</v>
          </cell>
          <cell r="G742">
            <v>304.49</v>
          </cell>
          <cell r="H742">
            <v>1115.29</v>
          </cell>
          <cell r="I742">
            <v>1388.87</v>
          </cell>
          <cell r="J742">
            <v>91591</v>
          </cell>
          <cell r="K742" t="str">
            <v>MP</v>
          </cell>
        </row>
        <row r="743">
          <cell r="A743" t="str">
            <v>995512-SLR</v>
          </cell>
          <cell r="B743">
            <v>13874</v>
          </cell>
          <cell r="C743">
            <v>444.91</v>
          </cell>
          <cell r="D743">
            <v>113.72</v>
          </cell>
          <cell r="E743">
            <v>429</v>
          </cell>
          <cell r="F743">
            <v>1547.92</v>
          </cell>
          <cell r="G743">
            <v>8038.28</v>
          </cell>
          <cell r="H743">
            <v>10573.83</v>
          </cell>
          <cell r="I743">
            <v>56857.68</v>
          </cell>
          <cell r="J743">
            <v>93227</v>
          </cell>
          <cell r="K743" t="str">
            <v>MP</v>
          </cell>
        </row>
        <row r="744">
          <cell r="A744" t="str">
            <v>995513-SLR</v>
          </cell>
          <cell r="B744">
            <v>13741</v>
          </cell>
          <cell r="C744">
            <v>207.97</v>
          </cell>
          <cell r="D744">
            <v>1.29</v>
          </cell>
          <cell r="E744">
            <v>429</v>
          </cell>
          <cell r="F744">
            <v>151.22</v>
          </cell>
          <cell r="G744">
            <v>161.88999999999999</v>
          </cell>
          <cell r="H744">
            <v>951.37</v>
          </cell>
          <cell r="I744">
            <v>642.79999999999995</v>
          </cell>
          <cell r="J744">
            <v>91591</v>
          </cell>
          <cell r="K744" t="str">
            <v>MP</v>
          </cell>
        </row>
        <row r="745">
          <cell r="A745" t="str">
            <v>995514-SLR</v>
          </cell>
          <cell r="B745">
            <v>13742</v>
          </cell>
          <cell r="C745">
            <v>368.67</v>
          </cell>
          <cell r="D745">
            <v>1.02</v>
          </cell>
          <cell r="E745">
            <v>429</v>
          </cell>
          <cell r="F745">
            <v>143.47999999999999</v>
          </cell>
          <cell r="G745">
            <v>96.49</v>
          </cell>
          <cell r="H745">
            <v>1038.6600000000001</v>
          </cell>
          <cell r="I745">
            <v>138.15</v>
          </cell>
          <cell r="J745">
            <v>93489</v>
          </cell>
          <cell r="K745" t="str">
            <v>MP</v>
          </cell>
        </row>
        <row r="746">
          <cell r="A746" t="str">
            <v>995515-SLR</v>
          </cell>
          <cell r="B746">
            <v>13743</v>
          </cell>
          <cell r="C746">
            <v>434.78</v>
          </cell>
          <cell r="D746">
            <v>9.07</v>
          </cell>
          <cell r="E746">
            <v>429</v>
          </cell>
          <cell r="F746">
            <v>244.13</v>
          </cell>
          <cell r="G746">
            <v>697.38</v>
          </cell>
          <cell r="H746">
            <v>1814.3600000000001</v>
          </cell>
          <cell r="I746">
            <v>4537.4399999999996</v>
          </cell>
          <cell r="J746">
            <v>93163</v>
          </cell>
          <cell r="K746" t="str">
            <v>MP</v>
          </cell>
        </row>
        <row r="747">
          <cell r="A747" t="str">
            <v>995517-SLR</v>
          </cell>
          <cell r="B747">
            <v>13872</v>
          </cell>
          <cell r="C747">
            <v>210.01</v>
          </cell>
          <cell r="D747">
            <v>19.48</v>
          </cell>
          <cell r="E747">
            <v>429</v>
          </cell>
          <cell r="F747">
            <v>424.65</v>
          </cell>
          <cell r="G747">
            <v>505.74</v>
          </cell>
          <cell r="H747">
            <v>1588.8799999999999</v>
          </cell>
          <cell r="I747">
            <v>9155.6200000000008</v>
          </cell>
          <cell r="J747">
            <v>90402</v>
          </cell>
          <cell r="K747" t="str">
            <v>MP</v>
          </cell>
        </row>
        <row r="748">
          <cell r="A748" t="str">
            <v>995519-SLR</v>
          </cell>
          <cell r="B748">
            <v>13783</v>
          </cell>
          <cell r="C748">
            <v>320.02</v>
          </cell>
          <cell r="D748">
            <v>8.27</v>
          </cell>
          <cell r="E748">
            <v>429</v>
          </cell>
          <cell r="F748">
            <v>232.46</v>
          </cell>
          <cell r="G748">
            <v>847.93</v>
          </cell>
          <cell r="H748">
            <v>1837.6799999999998</v>
          </cell>
          <cell r="I748">
            <v>4134.51</v>
          </cell>
          <cell r="J748">
            <v>93138</v>
          </cell>
          <cell r="K748" t="str">
            <v>MP</v>
          </cell>
        </row>
        <row r="749">
          <cell r="A749" t="str">
            <v>995522-SLR</v>
          </cell>
          <cell r="B749">
            <v>13860</v>
          </cell>
          <cell r="C749">
            <v>201.33</v>
          </cell>
          <cell r="D749">
            <v>3.8</v>
          </cell>
          <cell r="E749">
            <v>429</v>
          </cell>
          <cell r="F749">
            <v>174.87</v>
          </cell>
          <cell r="G749">
            <v>361.57</v>
          </cell>
          <cell r="H749">
            <v>1170.57</v>
          </cell>
          <cell r="I749">
            <v>1697.86</v>
          </cell>
          <cell r="J749">
            <v>91678</v>
          </cell>
          <cell r="K749" t="str">
            <v>MP</v>
          </cell>
        </row>
        <row r="750">
          <cell r="A750" t="str">
            <v>995523-SLR</v>
          </cell>
          <cell r="B750">
            <v>13820</v>
          </cell>
          <cell r="C750">
            <v>507.32</v>
          </cell>
          <cell r="D750">
            <v>4.25</v>
          </cell>
          <cell r="E750">
            <v>429</v>
          </cell>
          <cell r="F750">
            <v>191.43</v>
          </cell>
          <cell r="G750">
            <v>501.43</v>
          </cell>
          <cell r="H750">
            <v>1633.43</v>
          </cell>
          <cell r="I750">
            <v>2127.5100000000002</v>
          </cell>
          <cell r="J750">
            <v>93016</v>
          </cell>
          <cell r="K750" t="str">
            <v>MP</v>
          </cell>
        </row>
        <row r="751">
          <cell r="A751" t="str">
            <v>995527-SLR</v>
          </cell>
          <cell r="B751">
            <v>13704</v>
          </cell>
          <cell r="C751">
            <v>0</v>
          </cell>
          <cell r="D751">
            <v>0</v>
          </cell>
          <cell r="E751">
            <v>0</v>
          </cell>
          <cell r="F751">
            <v>0</v>
          </cell>
          <cell r="G751">
            <v>442.2</v>
          </cell>
          <cell r="H751">
            <v>442.2</v>
          </cell>
          <cell r="I751">
            <v>736.99</v>
          </cell>
          <cell r="J751">
            <v>91591</v>
          </cell>
          <cell r="K751" t="str">
            <v>MP</v>
          </cell>
        </row>
        <row r="752">
          <cell r="A752" t="str">
            <v>995530-SLR</v>
          </cell>
          <cell r="B752">
            <v>13705</v>
          </cell>
          <cell r="C752">
            <v>0</v>
          </cell>
          <cell r="D752">
            <v>0</v>
          </cell>
          <cell r="E752">
            <v>0</v>
          </cell>
          <cell r="F752">
            <v>0</v>
          </cell>
          <cell r="G752">
            <v>420.98</v>
          </cell>
          <cell r="H752">
            <v>420.98</v>
          </cell>
          <cell r="I752">
            <v>701.63</v>
          </cell>
          <cell r="J752">
            <v>93050</v>
          </cell>
          <cell r="K752" t="str">
            <v>MP</v>
          </cell>
        </row>
        <row r="753">
          <cell r="A753" t="str">
            <v>995532-SLR</v>
          </cell>
          <cell r="B753">
            <v>13653</v>
          </cell>
          <cell r="C753">
            <v>147.87</v>
          </cell>
          <cell r="D753">
            <v>0</v>
          </cell>
          <cell r="E753">
            <v>0</v>
          </cell>
          <cell r="F753">
            <v>0</v>
          </cell>
          <cell r="G753">
            <v>1237.3499999999999</v>
          </cell>
          <cell r="H753">
            <v>1385.2199999999998</v>
          </cell>
          <cell r="I753">
            <v>1914.37</v>
          </cell>
          <cell r="J753">
            <v>92413</v>
          </cell>
          <cell r="K753" t="str">
            <v>MP</v>
          </cell>
        </row>
        <row r="754">
          <cell r="A754" t="str">
            <v>995533-SLR</v>
          </cell>
          <cell r="B754">
            <v>13654</v>
          </cell>
          <cell r="C754">
            <v>0</v>
          </cell>
          <cell r="D754">
            <v>0</v>
          </cell>
          <cell r="E754">
            <v>0</v>
          </cell>
          <cell r="F754">
            <v>0</v>
          </cell>
          <cell r="G754">
            <v>74.86</v>
          </cell>
          <cell r="H754">
            <v>74.86</v>
          </cell>
          <cell r="I754">
            <v>124.77</v>
          </cell>
          <cell r="J754">
            <v>91591</v>
          </cell>
          <cell r="K754" t="str">
            <v>MP</v>
          </cell>
        </row>
        <row r="755">
          <cell r="A755" t="str">
            <v>995534-SLR</v>
          </cell>
          <cell r="B755">
            <v>13655</v>
          </cell>
          <cell r="C755">
            <v>129.38999999999999</v>
          </cell>
          <cell r="D755">
            <v>0</v>
          </cell>
          <cell r="E755">
            <v>0</v>
          </cell>
          <cell r="F755">
            <v>0</v>
          </cell>
          <cell r="G755">
            <v>114.86</v>
          </cell>
          <cell r="H755">
            <v>244.25</v>
          </cell>
          <cell r="I755">
            <v>62.05</v>
          </cell>
          <cell r="J755">
            <v>92202</v>
          </cell>
          <cell r="K755" t="str">
            <v>MP</v>
          </cell>
        </row>
        <row r="756">
          <cell r="A756" t="str">
            <v>995535-SLR</v>
          </cell>
          <cell r="B756">
            <v>13821</v>
          </cell>
          <cell r="C756">
            <v>246.02</v>
          </cell>
          <cell r="D756">
            <v>38.06</v>
          </cell>
          <cell r="E756">
            <v>429</v>
          </cell>
          <cell r="F756">
            <v>471.57</v>
          </cell>
          <cell r="G756">
            <v>1461.43</v>
          </cell>
          <cell r="H756">
            <v>2646.08</v>
          </cell>
          <cell r="I756">
            <v>10172.43</v>
          </cell>
          <cell r="J756">
            <v>93419</v>
          </cell>
          <cell r="K756" t="str">
            <v>MP</v>
          </cell>
        </row>
        <row r="757">
          <cell r="A757" t="str">
            <v>995536-SLR</v>
          </cell>
          <cell r="B757">
            <v>13861</v>
          </cell>
          <cell r="C757">
            <v>433.52</v>
          </cell>
          <cell r="D757">
            <v>1.69</v>
          </cell>
          <cell r="E757">
            <v>429</v>
          </cell>
          <cell r="F757">
            <v>160.88</v>
          </cell>
          <cell r="G757">
            <v>38.44</v>
          </cell>
          <cell r="H757">
            <v>1063.5300000000002</v>
          </cell>
          <cell r="I757">
            <v>845.96</v>
          </cell>
          <cell r="J757">
            <v>92003</v>
          </cell>
          <cell r="K757" t="str">
            <v>MP</v>
          </cell>
        </row>
        <row r="758">
          <cell r="A758" t="str">
            <v>995542-SLR</v>
          </cell>
          <cell r="B758">
            <v>13824</v>
          </cell>
          <cell r="C758">
            <v>7656.62</v>
          </cell>
          <cell r="D758">
            <v>16.18</v>
          </cell>
          <cell r="E758">
            <v>429</v>
          </cell>
          <cell r="F758">
            <v>610.66999999999996</v>
          </cell>
          <cell r="G758">
            <v>1891.33</v>
          </cell>
          <cell r="H758">
            <v>10603.8</v>
          </cell>
          <cell r="I758">
            <v>8088.26</v>
          </cell>
          <cell r="J758">
            <v>92315</v>
          </cell>
          <cell r="K758" t="str">
            <v>MP</v>
          </cell>
        </row>
        <row r="759">
          <cell r="A759" t="str">
            <v>995543-SLR</v>
          </cell>
          <cell r="B759">
            <v>13706</v>
          </cell>
          <cell r="C759">
            <v>111.72</v>
          </cell>
          <cell r="D759">
            <v>0</v>
          </cell>
          <cell r="E759">
            <v>0</v>
          </cell>
          <cell r="F759">
            <v>0</v>
          </cell>
          <cell r="G759">
            <v>359.45</v>
          </cell>
          <cell r="H759">
            <v>471.16999999999996</v>
          </cell>
          <cell r="I759">
            <v>487.37</v>
          </cell>
          <cell r="J759">
            <v>92172</v>
          </cell>
          <cell r="K759" t="str">
            <v>MP</v>
          </cell>
        </row>
        <row r="760">
          <cell r="A760" t="str">
            <v>995544-SLR</v>
          </cell>
          <cell r="B760">
            <v>13707</v>
          </cell>
          <cell r="C760">
            <v>0</v>
          </cell>
          <cell r="D760">
            <v>0</v>
          </cell>
          <cell r="E760">
            <v>0</v>
          </cell>
          <cell r="F760">
            <v>0</v>
          </cell>
          <cell r="G760">
            <v>546.6</v>
          </cell>
          <cell r="H760">
            <v>546.6</v>
          </cell>
          <cell r="I760">
            <v>911.01</v>
          </cell>
          <cell r="J760">
            <v>91591</v>
          </cell>
          <cell r="K760" t="str">
            <v>MP</v>
          </cell>
        </row>
        <row r="761">
          <cell r="A761" t="str">
            <v>995545-SLR</v>
          </cell>
          <cell r="B761">
            <v>13862</v>
          </cell>
          <cell r="C761">
            <v>153.38999999999999</v>
          </cell>
          <cell r="D761">
            <v>0.65</v>
          </cell>
          <cell r="E761">
            <v>429</v>
          </cell>
          <cell r="F761">
            <v>139.29</v>
          </cell>
          <cell r="G761">
            <v>61.14</v>
          </cell>
          <cell r="H761">
            <v>783.46999999999991</v>
          </cell>
          <cell r="I761">
            <v>167.77</v>
          </cell>
          <cell r="J761">
            <v>90466</v>
          </cell>
          <cell r="K761" t="str">
            <v>MP</v>
          </cell>
        </row>
        <row r="762">
          <cell r="A762" t="str">
            <v>995557-SLR</v>
          </cell>
          <cell r="B762">
            <v>13784</v>
          </cell>
          <cell r="C762">
            <v>218.82</v>
          </cell>
          <cell r="D762">
            <v>7.51</v>
          </cell>
          <cell r="E762">
            <v>429</v>
          </cell>
          <cell r="F762">
            <v>182.54</v>
          </cell>
          <cell r="G762">
            <v>291.74</v>
          </cell>
          <cell r="H762">
            <v>1129.6099999999999</v>
          </cell>
          <cell r="I762">
            <v>2021.27</v>
          </cell>
          <cell r="J762">
            <v>92109</v>
          </cell>
          <cell r="K762" t="str">
            <v>MP</v>
          </cell>
        </row>
        <row r="763">
          <cell r="A763" t="str">
            <v>995558-SLR</v>
          </cell>
          <cell r="B763">
            <v>13825</v>
          </cell>
          <cell r="C763">
            <v>220.01</v>
          </cell>
          <cell r="D763">
            <v>0.54</v>
          </cell>
          <cell r="E763">
            <v>429</v>
          </cell>
          <cell r="F763">
            <v>143.06</v>
          </cell>
          <cell r="G763">
            <v>93.01</v>
          </cell>
          <cell r="H763">
            <v>885.61999999999989</v>
          </cell>
          <cell r="I763">
            <v>268.99</v>
          </cell>
          <cell r="J763">
            <v>91462</v>
          </cell>
          <cell r="K763" t="str">
            <v>MP</v>
          </cell>
        </row>
        <row r="764">
          <cell r="A764" t="str">
            <v>995559-SLR</v>
          </cell>
          <cell r="B764">
            <v>13785</v>
          </cell>
          <cell r="C764">
            <v>218.82</v>
          </cell>
          <cell r="D764">
            <v>0.38</v>
          </cell>
          <cell r="E764">
            <v>429</v>
          </cell>
          <cell r="F764">
            <v>139.31</v>
          </cell>
          <cell r="G764">
            <v>61.34</v>
          </cell>
          <cell r="H764">
            <v>848.85</v>
          </cell>
          <cell r="I764">
            <v>103.81</v>
          </cell>
          <cell r="J764">
            <v>93030</v>
          </cell>
          <cell r="K764" t="str">
            <v>MP</v>
          </cell>
        </row>
        <row r="765">
          <cell r="A765" t="str">
            <v>995560-SLR</v>
          </cell>
          <cell r="B765">
            <v>13744</v>
          </cell>
          <cell r="C765">
            <v>1015.97</v>
          </cell>
          <cell r="D765">
            <v>19.36</v>
          </cell>
          <cell r="E765">
            <v>429</v>
          </cell>
          <cell r="F765">
            <v>484.05</v>
          </cell>
          <cell r="G765">
            <v>2036.62</v>
          </cell>
          <cell r="H765">
            <v>3985</v>
          </cell>
          <cell r="I765">
            <v>9683.69</v>
          </cell>
          <cell r="J765">
            <v>92303</v>
          </cell>
          <cell r="K765" t="str">
            <v>MP</v>
          </cell>
        </row>
        <row r="766">
          <cell r="A766" t="str">
            <v>995562-SLR</v>
          </cell>
          <cell r="B766">
            <v>13786</v>
          </cell>
          <cell r="C766">
            <v>1561.45</v>
          </cell>
          <cell r="D766">
            <v>12.29</v>
          </cell>
          <cell r="E766">
            <v>429</v>
          </cell>
          <cell r="F766">
            <v>281.14999999999998</v>
          </cell>
          <cell r="G766">
            <v>1170.33</v>
          </cell>
          <cell r="H766">
            <v>3454.22</v>
          </cell>
          <cell r="I766">
            <v>4585.8900000000003</v>
          </cell>
          <cell r="J766">
            <v>92303</v>
          </cell>
          <cell r="K766" t="str">
            <v>MP</v>
          </cell>
        </row>
        <row r="767">
          <cell r="A767" t="str">
            <v>995565-SLR</v>
          </cell>
          <cell r="B767">
            <v>13788</v>
          </cell>
          <cell r="C767">
            <v>766.4</v>
          </cell>
          <cell r="D767">
            <v>16.72</v>
          </cell>
          <cell r="E767">
            <v>429</v>
          </cell>
          <cell r="F767">
            <v>413.92</v>
          </cell>
          <cell r="G767">
            <v>1920.05</v>
          </cell>
          <cell r="H767">
            <v>3546.09</v>
          </cell>
          <cell r="I767">
            <v>8359.99</v>
          </cell>
          <cell r="J767">
            <v>92281</v>
          </cell>
          <cell r="K767" t="str">
            <v>MP</v>
          </cell>
        </row>
        <row r="768">
          <cell r="A768" t="str">
            <v>995567-SLR</v>
          </cell>
          <cell r="B768">
            <v>13789</v>
          </cell>
          <cell r="C768">
            <v>208.05</v>
          </cell>
          <cell r="D768">
            <v>31</v>
          </cell>
          <cell r="E768">
            <v>429</v>
          </cell>
          <cell r="F768">
            <v>605.5</v>
          </cell>
          <cell r="G768">
            <v>2174.34</v>
          </cell>
          <cell r="H768">
            <v>3447.8900000000003</v>
          </cell>
          <cell r="I768">
            <v>15291.97</v>
          </cell>
          <cell r="J768">
            <v>91982</v>
          </cell>
          <cell r="K768" t="str">
            <v>MP</v>
          </cell>
        </row>
        <row r="769">
          <cell r="A769" t="str">
            <v>995568-SLR</v>
          </cell>
          <cell r="B769">
            <v>13790</v>
          </cell>
          <cell r="C769">
            <v>208.05</v>
          </cell>
          <cell r="D769">
            <v>20.39</v>
          </cell>
          <cell r="E769">
            <v>429</v>
          </cell>
          <cell r="F769">
            <v>470.88</v>
          </cell>
          <cell r="G769">
            <v>1459.23</v>
          </cell>
          <cell r="H769">
            <v>2587.5500000000002</v>
          </cell>
          <cell r="I769">
            <v>10194.65</v>
          </cell>
          <cell r="J769">
            <v>91982</v>
          </cell>
          <cell r="K769" t="str">
            <v>MP</v>
          </cell>
        </row>
        <row r="770">
          <cell r="A770" t="str">
            <v>995570-SLR</v>
          </cell>
          <cell r="B770">
            <v>13791</v>
          </cell>
          <cell r="C770">
            <v>1367.2</v>
          </cell>
          <cell r="D770">
            <v>3.92</v>
          </cell>
          <cell r="E770">
            <v>429</v>
          </cell>
          <cell r="F770">
            <v>206.96</v>
          </cell>
          <cell r="G770">
            <v>399.54</v>
          </cell>
          <cell r="H770">
            <v>2406.6200000000003</v>
          </cell>
          <cell r="I770">
            <v>1958.39</v>
          </cell>
          <cell r="J770">
            <v>92253</v>
          </cell>
          <cell r="K770" t="str">
            <v>MP</v>
          </cell>
        </row>
        <row r="771">
          <cell r="A771" t="str">
            <v>995571-SLR</v>
          </cell>
          <cell r="B771">
            <v>13792</v>
          </cell>
          <cell r="C771">
            <v>1428.01</v>
          </cell>
          <cell r="D771">
            <v>3.56</v>
          </cell>
          <cell r="E771">
            <v>429</v>
          </cell>
          <cell r="F771">
            <v>204.37</v>
          </cell>
          <cell r="G771">
            <v>417.84</v>
          </cell>
          <cell r="H771">
            <v>2482.7800000000002</v>
          </cell>
          <cell r="I771">
            <v>1782.61</v>
          </cell>
          <cell r="J771">
            <v>93429</v>
          </cell>
          <cell r="K771" t="str">
            <v>MP</v>
          </cell>
        </row>
        <row r="772">
          <cell r="A772" t="str">
            <v>995572-SLR</v>
          </cell>
          <cell r="B772">
            <v>13793</v>
          </cell>
          <cell r="C772">
            <v>6755.61</v>
          </cell>
          <cell r="D772">
            <v>9.5500000000000007</v>
          </cell>
          <cell r="E772">
            <v>429</v>
          </cell>
          <cell r="F772">
            <v>515.80999999999995</v>
          </cell>
          <cell r="G772">
            <v>1500.82</v>
          </cell>
          <cell r="H772">
            <v>9210.7899999999991</v>
          </cell>
          <cell r="I772">
            <v>4779.57</v>
          </cell>
          <cell r="J772">
            <v>93429</v>
          </cell>
          <cell r="K772" t="str">
            <v>MP</v>
          </cell>
        </row>
        <row r="773">
          <cell r="A773" t="str">
            <v>995574-SLR</v>
          </cell>
          <cell r="B773">
            <v>13794</v>
          </cell>
          <cell r="C773">
            <v>579.45000000000005</v>
          </cell>
          <cell r="D773">
            <v>13.07</v>
          </cell>
          <cell r="E773">
            <v>429</v>
          </cell>
          <cell r="F773">
            <v>298.54000000000002</v>
          </cell>
          <cell r="G773">
            <v>786.05</v>
          </cell>
          <cell r="H773">
            <v>2106.11</v>
          </cell>
          <cell r="I773">
            <v>5957.91</v>
          </cell>
          <cell r="J773">
            <v>93115</v>
          </cell>
          <cell r="K773" t="str">
            <v>MP</v>
          </cell>
        </row>
        <row r="774">
          <cell r="A774" t="str">
            <v>995575-SLR</v>
          </cell>
          <cell r="B774">
            <v>13863</v>
          </cell>
          <cell r="C774">
            <v>1040.23</v>
          </cell>
          <cell r="D774">
            <v>11.49</v>
          </cell>
          <cell r="E774">
            <v>429</v>
          </cell>
          <cell r="F774">
            <v>309.58</v>
          </cell>
          <cell r="G774">
            <v>1276.43</v>
          </cell>
          <cell r="H774">
            <v>3066.73</v>
          </cell>
          <cell r="I774">
            <v>5746.83</v>
          </cell>
          <cell r="J774">
            <v>93050</v>
          </cell>
          <cell r="K774" t="str">
            <v>MP</v>
          </cell>
        </row>
        <row r="775">
          <cell r="A775" t="str">
            <v>995577-SLR</v>
          </cell>
          <cell r="B775">
            <v>13826</v>
          </cell>
          <cell r="C775">
            <v>250.7</v>
          </cell>
          <cell r="D775">
            <v>20.87</v>
          </cell>
          <cell r="E775">
            <v>429</v>
          </cell>
          <cell r="F775">
            <v>228.45</v>
          </cell>
          <cell r="G775">
            <v>1109.33</v>
          </cell>
          <cell r="H775">
            <v>2038.35</v>
          </cell>
          <cell r="I775">
            <v>5576.71</v>
          </cell>
          <cell r="J775">
            <v>90257</v>
          </cell>
          <cell r="K775" t="str">
            <v>MP</v>
          </cell>
        </row>
        <row r="776">
          <cell r="A776" t="str">
            <v>995578-SLR</v>
          </cell>
          <cell r="B776">
            <v>13828</v>
          </cell>
          <cell r="C776">
            <v>210.58</v>
          </cell>
          <cell r="D776">
            <v>3.64</v>
          </cell>
          <cell r="E776">
            <v>429</v>
          </cell>
          <cell r="F776">
            <v>173.05</v>
          </cell>
          <cell r="G776">
            <v>346.24</v>
          </cell>
          <cell r="H776">
            <v>1162.51</v>
          </cell>
          <cell r="I776">
            <v>1608.1</v>
          </cell>
          <cell r="J776">
            <v>91978</v>
          </cell>
          <cell r="K776" t="str">
            <v>MP</v>
          </cell>
        </row>
        <row r="777">
          <cell r="A777" t="str">
            <v>995584-SLR</v>
          </cell>
          <cell r="B777">
            <v>13865</v>
          </cell>
          <cell r="C777">
            <v>349.98</v>
          </cell>
          <cell r="D777">
            <v>33.840000000000003</v>
          </cell>
          <cell r="E777">
            <v>429</v>
          </cell>
          <cell r="F777">
            <v>637.42999999999995</v>
          </cell>
          <cell r="G777">
            <v>2373.02</v>
          </cell>
          <cell r="H777">
            <v>3823.27</v>
          </cell>
          <cell r="I777">
            <v>16566.34</v>
          </cell>
          <cell r="J777">
            <v>93498</v>
          </cell>
          <cell r="K777" t="str">
            <v>MP</v>
          </cell>
        </row>
        <row r="778">
          <cell r="A778" t="str">
            <v>995589-SLR</v>
          </cell>
          <cell r="B778">
            <v>13745</v>
          </cell>
          <cell r="C778">
            <v>286.41000000000003</v>
          </cell>
          <cell r="D778">
            <v>0</v>
          </cell>
          <cell r="E778">
            <v>0</v>
          </cell>
          <cell r="F778">
            <v>0</v>
          </cell>
          <cell r="G778">
            <v>870.87</v>
          </cell>
          <cell r="H778">
            <v>1157.28</v>
          </cell>
          <cell r="I778">
            <v>1165.04</v>
          </cell>
          <cell r="J778">
            <v>92284</v>
          </cell>
          <cell r="K778" t="str">
            <v>MP</v>
          </cell>
        </row>
        <row r="779">
          <cell r="A779" t="str">
            <v>995590-SLR</v>
          </cell>
          <cell r="B779">
            <v>13795</v>
          </cell>
          <cell r="C779">
            <v>0</v>
          </cell>
          <cell r="D779">
            <v>0</v>
          </cell>
          <cell r="E779">
            <v>0</v>
          </cell>
          <cell r="F779">
            <v>0</v>
          </cell>
          <cell r="G779">
            <v>510.74</v>
          </cell>
          <cell r="H779">
            <v>510.74</v>
          </cell>
          <cell r="I779">
            <v>851.23</v>
          </cell>
          <cell r="J779">
            <v>91990</v>
          </cell>
          <cell r="K779" t="str">
            <v>MP</v>
          </cell>
        </row>
        <row r="780">
          <cell r="A780" t="str">
            <v>995591-SLR</v>
          </cell>
          <cell r="B780">
            <v>13746</v>
          </cell>
          <cell r="C780">
            <v>0</v>
          </cell>
          <cell r="D780">
            <v>0</v>
          </cell>
          <cell r="E780">
            <v>0</v>
          </cell>
          <cell r="F780">
            <v>0</v>
          </cell>
          <cell r="G780">
            <v>69.900000000000006</v>
          </cell>
          <cell r="H780">
            <v>69.900000000000006</v>
          </cell>
          <cell r="I780">
            <v>116.5</v>
          </cell>
          <cell r="J780">
            <v>93050</v>
          </cell>
          <cell r="K780" t="str">
            <v>MP</v>
          </cell>
        </row>
        <row r="781">
          <cell r="A781" t="str">
            <v>995592-SLR</v>
          </cell>
          <cell r="B781">
            <v>13747</v>
          </cell>
          <cell r="C781">
            <v>0</v>
          </cell>
          <cell r="D781">
            <v>0</v>
          </cell>
          <cell r="E781">
            <v>0</v>
          </cell>
          <cell r="F781">
            <v>0</v>
          </cell>
          <cell r="G781">
            <v>959.69</v>
          </cell>
          <cell r="H781">
            <v>959.69</v>
          </cell>
          <cell r="I781">
            <v>1599.49</v>
          </cell>
          <cell r="J781">
            <v>93050</v>
          </cell>
          <cell r="K781" t="str">
            <v>MP</v>
          </cell>
        </row>
        <row r="782">
          <cell r="A782" t="str">
            <v>995599-SLR</v>
          </cell>
          <cell r="B782">
            <v>13829</v>
          </cell>
          <cell r="C782">
            <v>343.75</v>
          </cell>
          <cell r="D782">
            <v>0</v>
          </cell>
          <cell r="E782">
            <v>19.149999999999999</v>
          </cell>
          <cell r="F782">
            <v>0</v>
          </cell>
          <cell r="G782">
            <v>1261.2</v>
          </cell>
          <cell r="H782">
            <v>1624.1</v>
          </cell>
          <cell r="I782">
            <v>1758.26</v>
          </cell>
          <cell r="J782">
            <v>92284</v>
          </cell>
          <cell r="K782" t="str">
            <v>MP</v>
          </cell>
        </row>
        <row r="783">
          <cell r="A783" t="str">
            <v>995600-SLR</v>
          </cell>
          <cell r="B783">
            <v>13796</v>
          </cell>
          <cell r="C783">
            <v>1449.06</v>
          </cell>
          <cell r="D783">
            <v>8.6999999999999993</v>
          </cell>
          <cell r="E783">
            <v>429</v>
          </cell>
          <cell r="F783">
            <v>230.11</v>
          </cell>
          <cell r="G783">
            <v>784.51</v>
          </cell>
          <cell r="H783">
            <v>2901.38</v>
          </cell>
          <cell r="I783">
            <v>2900.65</v>
          </cell>
          <cell r="J783">
            <v>92316</v>
          </cell>
          <cell r="K783" t="str">
            <v>MP</v>
          </cell>
        </row>
        <row r="784">
          <cell r="A784" t="str">
            <v>995602-SLR</v>
          </cell>
          <cell r="B784">
            <v>13830</v>
          </cell>
          <cell r="C784">
            <v>9993.65</v>
          </cell>
          <cell r="D784">
            <v>14.26</v>
          </cell>
          <cell r="E784">
            <v>429</v>
          </cell>
          <cell r="F784">
            <v>641.64</v>
          </cell>
          <cell r="G784">
            <v>2227.83</v>
          </cell>
          <cell r="H784">
            <v>13306.38</v>
          </cell>
          <cell r="I784">
            <v>7129.23</v>
          </cell>
          <cell r="J784">
            <v>93429</v>
          </cell>
          <cell r="K784" t="str">
            <v>MP</v>
          </cell>
        </row>
        <row r="785">
          <cell r="A785" t="str">
            <v>995603-SLR</v>
          </cell>
          <cell r="B785">
            <v>13831</v>
          </cell>
          <cell r="C785">
            <v>1358.71</v>
          </cell>
          <cell r="D785">
            <v>9.9499999999999993</v>
          </cell>
          <cell r="E785">
            <v>429</v>
          </cell>
          <cell r="F785">
            <v>244.25</v>
          </cell>
          <cell r="G785">
            <v>598.42999999999995</v>
          </cell>
          <cell r="H785">
            <v>2640.34</v>
          </cell>
          <cell r="I785">
            <v>3618.22</v>
          </cell>
          <cell r="J785">
            <v>92280</v>
          </cell>
          <cell r="K785" t="str">
            <v>MP</v>
          </cell>
        </row>
        <row r="786">
          <cell r="A786" t="str">
            <v>995604-SLR</v>
          </cell>
          <cell r="B786">
            <v>13832</v>
          </cell>
          <cell r="C786">
            <v>186.65</v>
          </cell>
          <cell r="D786">
            <v>18.190000000000001</v>
          </cell>
          <cell r="E786">
            <v>429</v>
          </cell>
          <cell r="F786">
            <v>420.56</v>
          </cell>
          <cell r="G786">
            <v>1301.75</v>
          </cell>
          <cell r="H786">
            <v>2356.15</v>
          </cell>
          <cell r="I786">
            <v>9093.4</v>
          </cell>
          <cell r="J786">
            <v>91147</v>
          </cell>
          <cell r="K786" t="str">
            <v>MP</v>
          </cell>
        </row>
        <row r="787">
          <cell r="A787" t="str">
            <v>995605-SLR</v>
          </cell>
          <cell r="B787">
            <v>13797</v>
          </cell>
          <cell r="C787">
            <v>317.51</v>
          </cell>
          <cell r="D787">
            <v>4.41</v>
          </cell>
          <cell r="E787">
            <v>429</v>
          </cell>
          <cell r="F787">
            <v>181.72</v>
          </cell>
          <cell r="G787">
            <v>419.4</v>
          </cell>
          <cell r="H787">
            <v>1352.04</v>
          </cell>
          <cell r="I787">
            <v>1885.42</v>
          </cell>
          <cell r="J787">
            <v>92303</v>
          </cell>
          <cell r="K787" t="str">
            <v>MP</v>
          </cell>
        </row>
        <row r="788">
          <cell r="A788" t="str">
            <v>995611-SLR</v>
          </cell>
          <cell r="B788">
            <v>13748</v>
          </cell>
          <cell r="C788">
            <v>0</v>
          </cell>
          <cell r="D788">
            <v>0</v>
          </cell>
          <cell r="E788">
            <v>0</v>
          </cell>
          <cell r="F788">
            <v>0</v>
          </cell>
          <cell r="G788">
            <v>219.45</v>
          </cell>
          <cell r="H788">
            <v>219.45</v>
          </cell>
          <cell r="I788">
            <v>334.8</v>
          </cell>
          <cell r="J788">
            <v>92376</v>
          </cell>
          <cell r="K788" t="str">
            <v>MP</v>
          </cell>
        </row>
        <row r="789">
          <cell r="A789" t="str">
            <v>995639-SLR</v>
          </cell>
          <cell r="B789">
            <v>13756</v>
          </cell>
          <cell r="C789">
            <v>0</v>
          </cell>
          <cell r="D789">
            <v>0</v>
          </cell>
          <cell r="E789">
            <v>0</v>
          </cell>
          <cell r="F789">
            <v>0</v>
          </cell>
          <cell r="G789">
            <v>30.84</v>
          </cell>
          <cell r="H789">
            <v>30.84</v>
          </cell>
          <cell r="I789">
            <v>51.37</v>
          </cell>
          <cell r="J789">
            <v>92243</v>
          </cell>
          <cell r="K789" t="str">
            <v>MP</v>
          </cell>
        </row>
        <row r="790">
          <cell r="A790" t="str">
            <v>995641-SLR</v>
          </cell>
          <cell r="B790">
            <v>13833</v>
          </cell>
          <cell r="C790">
            <v>201.01</v>
          </cell>
          <cell r="D790">
            <v>4.88</v>
          </cell>
          <cell r="E790">
            <v>429</v>
          </cell>
          <cell r="F790">
            <v>191.55</v>
          </cell>
          <cell r="G790">
            <v>370.21</v>
          </cell>
          <cell r="H790">
            <v>1196.6500000000001</v>
          </cell>
          <cell r="I790">
            <v>2438.4699999999998</v>
          </cell>
          <cell r="J790">
            <v>91750</v>
          </cell>
          <cell r="K790" t="str">
            <v>MP</v>
          </cell>
        </row>
        <row r="791">
          <cell r="A791" t="str">
            <v>995645-SLR</v>
          </cell>
          <cell r="B791">
            <v>13798</v>
          </cell>
          <cell r="C791">
            <v>184.03</v>
          </cell>
          <cell r="D791">
            <v>0</v>
          </cell>
          <cell r="E791">
            <v>0</v>
          </cell>
          <cell r="F791">
            <v>0</v>
          </cell>
          <cell r="G791">
            <v>1286.73</v>
          </cell>
          <cell r="H791">
            <v>1470.76</v>
          </cell>
          <cell r="I791">
            <v>1960.51</v>
          </cell>
          <cell r="J791">
            <v>92243</v>
          </cell>
          <cell r="K791" t="str">
            <v>MP</v>
          </cell>
        </row>
        <row r="792">
          <cell r="A792" t="str">
            <v>995653-SLR</v>
          </cell>
          <cell r="B792">
            <v>13835</v>
          </cell>
          <cell r="C792">
            <v>0</v>
          </cell>
          <cell r="D792">
            <v>0</v>
          </cell>
          <cell r="E792">
            <v>0</v>
          </cell>
          <cell r="F792">
            <v>0</v>
          </cell>
          <cell r="G792">
            <v>514.54999999999995</v>
          </cell>
          <cell r="H792">
            <v>514.54999999999995</v>
          </cell>
          <cell r="I792">
            <v>857.58</v>
          </cell>
          <cell r="J792">
            <v>91990</v>
          </cell>
          <cell r="K792" t="str">
            <v>MP</v>
          </cell>
        </row>
        <row r="793">
          <cell r="A793" t="str">
            <v>995655-SLR</v>
          </cell>
          <cell r="B793">
            <v>13836</v>
          </cell>
          <cell r="C793">
            <v>0</v>
          </cell>
          <cell r="D793">
            <v>0</v>
          </cell>
          <cell r="E793">
            <v>0</v>
          </cell>
          <cell r="F793">
            <v>0</v>
          </cell>
          <cell r="G793">
            <v>514.54999999999995</v>
          </cell>
          <cell r="H793">
            <v>514.54999999999995</v>
          </cell>
          <cell r="I793">
            <v>857.58</v>
          </cell>
          <cell r="J793">
            <v>91990</v>
          </cell>
          <cell r="K793" t="str">
            <v>MP</v>
          </cell>
        </row>
        <row r="794">
          <cell r="A794" t="str">
            <v>995669-SLR</v>
          </cell>
          <cell r="B794">
            <v>13866</v>
          </cell>
          <cell r="C794">
            <v>0</v>
          </cell>
          <cell r="D794">
            <v>0</v>
          </cell>
          <cell r="E794">
            <v>0</v>
          </cell>
          <cell r="F794">
            <v>0</v>
          </cell>
          <cell r="G794">
            <v>114.34</v>
          </cell>
          <cell r="H794">
            <v>114.34</v>
          </cell>
          <cell r="I794">
            <v>190.57</v>
          </cell>
          <cell r="J794">
            <v>93050</v>
          </cell>
          <cell r="K794" t="str">
            <v>MP</v>
          </cell>
        </row>
        <row r="795">
          <cell r="A795" t="str">
            <v>995696-SLR</v>
          </cell>
          <cell r="B795">
            <v>13867</v>
          </cell>
          <cell r="C795">
            <v>129.71</v>
          </cell>
          <cell r="D795">
            <v>0</v>
          </cell>
          <cell r="E795">
            <v>0</v>
          </cell>
          <cell r="F795">
            <v>0</v>
          </cell>
          <cell r="G795">
            <v>136.96</v>
          </cell>
          <cell r="H795">
            <v>266.67</v>
          </cell>
          <cell r="I795">
            <v>98.56</v>
          </cell>
          <cell r="J795">
            <v>93255</v>
          </cell>
          <cell r="K795" t="str">
            <v>MP</v>
          </cell>
        </row>
        <row r="796">
          <cell r="A796" t="str">
            <v>995697-SLR</v>
          </cell>
          <cell r="B796">
            <v>13868</v>
          </cell>
          <cell r="C796">
            <v>0</v>
          </cell>
          <cell r="D796">
            <v>0</v>
          </cell>
          <cell r="E796">
            <v>0</v>
          </cell>
          <cell r="F796">
            <v>0</v>
          </cell>
          <cell r="G796">
            <v>375.7</v>
          </cell>
          <cell r="H796">
            <v>375.7</v>
          </cell>
          <cell r="I796">
            <v>626.16999999999996</v>
          </cell>
          <cell r="J796">
            <v>93050</v>
          </cell>
          <cell r="K796" t="str">
            <v>MP</v>
          </cell>
        </row>
        <row r="797">
          <cell r="A797" t="str">
            <v>995699-SLR</v>
          </cell>
          <cell r="B797">
            <v>13869</v>
          </cell>
          <cell r="C797">
            <v>0</v>
          </cell>
          <cell r="D797">
            <v>0</v>
          </cell>
          <cell r="E797">
            <v>0</v>
          </cell>
          <cell r="F797">
            <v>0</v>
          </cell>
          <cell r="G797">
            <v>408.37</v>
          </cell>
          <cell r="H797">
            <v>408.37</v>
          </cell>
          <cell r="I797">
            <v>680.62</v>
          </cell>
          <cell r="J797">
            <v>93050</v>
          </cell>
          <cell r="K797" t="str">
            <v>MP</v>
          </cell>
        </row>
        <row r="798">
          <cell r="A798" t="str">
            <v>995700-SLR</v>
          </cell>
          <cell r="B798">
            <v>13870</v>
          </cell>
          <cell r="C798">
            <v>0</v>
          </cell>
          <cell r="D798">
            <v>0</v>
          </cell>
          <cell r="E798">
            <v>0</v>
          </cell>
          <cell r="F798">
            <v>0</v>
          </cell>
          <cell r="G798">
            <v>0</v>
          </cell>
          <cell r="H798">
            <v>0</v>
          </cell>
          <cell r="I798">
            <v>14.38</v>
          </cell>
          <cell r="J798">
            <v>93050</v>
          </cell>
          <cell r="K798" t="str">
            <v>MP</v>
          </cell>
        </row>
        <row r="799">
          <cell r="A799" t="str">
            <v>995702-SLR</v>
          </cell>
          <cell r="B799">
            <v>13871</v>
          </cell>
          <cell r="C799">
            <v>0</v>
          </cell>
          <cell r="D799">
            <v>0</v>
          </cell>
          <cell r="E799">
            <v>0</v>
          </cell>
          <cell r="F799">
            <v>0</v>
          </cell>
          <cell r="G799">
            <v>137.84</v>
          </cell>
          <cell r="H799">
            <v>137.84</v>
          </cell>
          <cell r="I799">
            <v>229.73</v>
          </cell>
          <cell r="J799">
            <v>91468</v>
          </cell>
          <cell r="K799" t="str">
            <v>MP</v>
          </cell>
        </row>
        <row r="800">
          <cell r="H800">
            <v>0</v>
          </cell>
        </row>
        <row r="801">
          <cell r="A801" t="str">
            <v>TOTAIS</v>
          </cell>
          <cell r="C801">
            <v>1230349.5500000005</v>
          </cell>
          <cell r="D801">
            <v>145980.18000000017</v>
          </cell>
          <cell r="E801">
            <v>326387.57999999984</v>
          </cell>
          <cell r="F801">
            <v>502174.77000000008</v>
          </cell>
          <cell r="G801">
            <v>2440833.9200000013</v>
          </cell>
          <cell r="H801">
            <v>4645726.0000000009</v>
          </cell>
          <cell r="I801">
            <v>15775673.440000001</v>
          </cell>
        </row>
        <row r="804">
          <cell r="A804" t="str">
            <v>ATIVO FIXO - LOCAL 91</v>
          </cell>
        </row>
        <row r="805">
          <cell r="A805" t="str">
            <v>PROC</v>
          </cell>
          <cell r="B805" t="str">
            <v>NF</v>
          </cell>
          <cell r="C805" t="str">
            <v>FRETE</v>
          </cell>
          <cell r="D805" t="str">
            <v>SEG</v>
          </cell>
          <cell r="E805" t="str">
            <v>COM</v>
          </cell>
          <cell r="F805" t="str">
            <v>ALF</v>
          </cell>
          <cell r="G805" t="str">
            <v>IMP</v>
          </cell>
          <cell r="H805" t="str">
            <v>TOTAL</v>
          </cell>
          <cell r="I805" t="str">
            <v>FOB</v>
          </cell>
          <cell r="J805" t="str">
            <v>FORN</v>
          </cell>
          <cell r="K805" t="str">
            <v>TIPO</v>
          </cell>
          <cell r="L805" t="str">
            <v>ICMS</v>
          </cell>
          <cell r="N805" t="str">
            <v>IPI</v>
          </cell>
        </row>
        <row r="806">
          <cell r="A806" t="str">
            <v/>
          </cell>
          <cell r="H806">
            <v>0</v>
          </cell>
        </row>
        <row r="807">
          <cell r="A807" t="str">
            <v>994288=SLR</v>
          </cell>
          <cell r="B807">
            <v>12787</v>
          </cell>
          <cell r="C807">
            <v>3055.71</v>
          </cell>
          <cell r="D807">
            <v>11.59</v>
          </cell>
          <cell r="E807">
            <v>477</v>
          </cell>
          <cell r="F807">
            <v>225</v>
          </cell>
          <cell r="G807">
            <v>1861.91</v>
          </cell>
          <cell r="H807">
            <v>5631.21</v>
          </cell>
          <cell r="I807">
            <v>5798.97</v>
          </cell>
          <cell r="J807">
            <v>91532</v>
          </cell>
          <cell r="K807" t="str">
            <v>AF</v>
          </cell>
        </row>
        <row r="808">
          <cell r="A808" t="str">
            <v>994319-SLR</v>
          </cell>
          <cell r="B808">
            <v>12999</v>
          </cell>
          <cell r="C808">
            <v>1644.03</v>
          </cell>
          <cell r="D808">
            <v>60.93</v>
          </cell>
          <cell r="E808">
            <v>477</v>
          </cell>
          <cell r="F808">
            <v>942.88</v>
          </cell>
          <cell r="G808">
            <v>5799.9</v>
          </cell>
          <cell r="H808">
            <v>8924.74</v>
          </cell>
          <cell r="I808">
            <v>28820.81</v>
          </cell>
          <cell r="J808">
            <v>96007</v>
          </cell>
          <cell r="K808" t="str">
            <v>AF</v>
          </cell>
        </row>
        <row r="809">
          <cell r="A809" t="str">
            <v>994753-SLR</v>
          </cell>
          <cell r="B809">
            <v>13159</v>
          </cell>
          <cell r="C809">
            <v>3889.83</v>
          </cell>
          <cell r="D809">
            <v>2177.42</v>
          </cell>
          <cell r="E809">
            <v>477</v>
          </cell>
          <cell r="F809">
            <v>47281.62</v>
          </cell>
          <cell r="G809">
            <v>43635.37</v>
          </cell>
          <cell r="H809">
            <v>97461.24</v>
          </cell>
          <cell r="I809">
            <v>1084817.07</v>
          </cell>
          <cell r="J809">
            <v>90201</v>
          </cell>
          <cell r="K809" t="str">
            <v>AF</v>
          </cell>
        </row>
        <row r="810">
          <cell r="A810" t="str">
            <v>995147-SLR</v>
          </cell>
          <cell r="B810">
            <v>13656</v>
          </cell>
          <cell r="C810">
            <v>973.23</v>
          </cell>
          <cell r="D810">
            <v>12.92</v>
          </cell>
          <cell r="E810">
            <v>477</v>
          </cell>
          <cell r="F810">
            <v>308.25</v>
          </cell>
          <cell r="G810">
            <v>1335.62</v>
          </cell>
          <cell r="H810">
            <v>3107.02</v>
          </cell>
          <cell r="I810">
            <v>6456.69</v>
          </cell>
          <cell r="J810">
            <v>91330</v>
          </cell>
          <cell r="K810" t="str">
            <v>AF</v>
          </cell>
        </row>
        <row r="811">
          <cell r="H811">
            <v>0</v>
          </cell>
        </row>
        <row r="812">
          <cell r="A812" t="str">
            <v>TOTAIS</v>
          </cell>
          <cell r="C812">
            <v>9562.7999999999993</v>
          </cell>
          <cell r="D812">
            <v>2262.86</v>
          </cell>
          <cell r="E812">
            <v>1908</v>
          </cell>
          <cell r="F812">
            <v>48757.75</v>
          </cell>
          <cell r="G812">
            <v>52632.800000000003</v>
          </cell>
          <cell r="H812">
            <v>115124.21</v>
          </cell>
          <cell r="I812">
            <v>1125893.54</v>
          </cell>
          <cell r="L812">
            <v>0</v>
          </cell>
          <cell r="N812">
            <v>0</v>
          </cell>
        </row>
        <row r="815">
          <cell r="A815" t="str">
            <v>MATERIAL DE CONSUMO - LOCAL 91</v>
          </cell>
        </row>
        <row r="816">
          <cell r="A816" t="str">
            <v>PROC</v>
          </cell>
          <cell r="B816" t="str">
            <v>NF</v>
          </cell>
          <cell r="C816" t="str">
            <v>FRETE</v>
          </cell>
          <cell r="D816" t="str">
            <v>SEG</v>
          </cell>
          <cell r="E816" t="str">
            <v>COM</v>
          </cell>
          <cell r="F816" t="str">
            <v>ALF</v>
          </cell>
          <cell r="G816" t="str">
            <v>IMP</v>
          </cell>
          <cell r="H816" t="str">
            <v>TOTAL</v>
          </cell>
          <cell r="I816" t="str">
            <v>FOB</v>
          </cell>
          <cell r="J816" t="str">
            <v>FORN</v>
          </cell>
          <cell r="K816" t="str">
            <v>TIPO</v>
          </cell>
          <cell r="L816" t="str">
            <v>DESP</v>
          </cell>
          <cell r="M816" t="str">
            <v>CC</v>
          </cell>
          <cell r="N816" t="str">
            <v>IPI</v>
          </cell>
          <cell r="O816" t="str">
            <v>ICMS</v>
          </cell>
        </row>
        <row r="817">
          <cell r="A817" t="str">
            <v/>
          </cell>
          <cell r="H817">
            <v>0</v>
          </cell>
        </row>
        <row r="818">
          <cell r="A818" t="str">
            <v>994341-SLR</v>
          </cell>
          <cell r="B818">
            <v>0</v>
          </cell>
          <cell r="C818">
            <v>0</v>
          </cell>
          <cell r="D818">
            <v>0</v>
          </cell>
          <cell r="E818">
            <v>18.3</v>
          </cell>
          <cell r="F818">
            <v>0</v>
          </cell>
          <cell r="G818">
            <v>130.43</v>
          </cell>
          <cell r="H818">
            <v>148.73000000000002</v>
          </cell>
          <cell r="I818">
            <v>217.38</v>
          </cell>
          <cell r="J818">
            <v>96024</v>
          </cell>
          <cell r="K818" t="str">
            <v>MC</v>
          </cell>
        </row>
        <row r="819">
          <cell r="A819" t="str">
            <v>994492-SLR</v>
          </cell>
          <cell r="B819">
            <v>12812</v>
          </cell>
          <cell r="C819">
            <v>233.89</v>
          </cell>
          <cell r="D819">
            <v>8.83</v>
          </cell>
          <cell r="E819">
            <v>477</v>
          </cell>
          <cell r="F819">
            <v>236.84</v>
          </cell>
          <cell r="G819">
            <v>909.4</v>
          </cell>
          <cell r="H819">
            <v>1865.96</v>
          </cell>
          <cell r="I819">
            <v>4414.37</v>
          </cell>
          <cell r="J819">
            <v>91330</v>
          </cell>
          <cell r="K819" t="str">
            <v>MC</v>
          </cell>
        </row>
        <row r="820">
          <cell r="A820" t="str">
            <v>994720-SLR</v>
          </cell>
          <cell r="B820">
            <v>13077</v>
          </cell>
          <cell r="C820">
            <v>1001.36</v>
          </cell>
          <cell r="D820">
            <v>66.459999999999994</v>
          </cell>
          <cell r="E820">
            <v>477</v>
          </cell>
          <cell r="F820">
            <v>1027.78</v>
          </cell>
          <cell r="G820">
            <v>10163</v>
          </cell>
          <cell r="H820">
            <v>12735.6</v>
          </cell>
          <cell r="I820">
            <v>33231.269999999997</v>
          </cell>
          <cell r="J820">
            <v>96025</v>
          </cell>
          <cell r="K820" t="str">
            <v>MC</v>
          </cell>
        </row>
        <row r="821">
          <cell r="A821" t="str">
            <v>994750-SLR</v>
          </cell>
          <cell r="B821">
            <v>13851</v>
          </cell>
          <cell r="C821">
            <v>465.6</v>
          </cell>
          <cell r="D821">
            <v>0</v>
          </cell>
          <cell r="E821">
            <v>0</v>
          </cell>
          <cell r="F821">
            <v>0</v>
          </cell>
          <cell r="G821">
            <v>560.71</v>
          </cell>
          <cell r="H821">
            <v>1026.31</v>
          </cell>
          <cell r="I821">
            <v>468.44</v>
          </cell>
          <cell r="J821">
            <v>91952</v>
          </cell>
          <cell r="K821" t="str">
            <v>MC</v>
          </cell>
        </row>
        <row r="822">
          <cell r="A822" t="str">
            <v>994772-SLR</v>
          </cell>
          <cell r="B822">
            <v>13852</v>
          </cell>
          <cell r="C822">
            <v>228.74</v>
          </cell>
          <cell r="D822">
            <v>2600.17</v>
          </cell>
          <cell r="E822">
            <v>429</v>
          </cell>
          <cell r="F822">
            <v>533.55999999999995</v>
          </cell>
          <cell r="G822">
            <v>2276.5100000000002</v>
          </cell>
          <cell r="H822">
            <v>6067.98</v>
          </cell>
          <cell r="I822">
            <v>12080.49</v>
          </cell>
          <cell r="J822">
            <v>91953</v>
          </cell>
          <cell r="K822" t="str">
            <v>MC</v>
          </cell>
        </row>
        <row r="823">
          <cell r="A823" t="str">
            <v>994860-SLR</v>
          </cell>
          <cell r="B823">
            <v>12916</v>
          </cell>
          <cell r="C823">
            <v>196.38</v>
          </cell>
          <cell r="D823">
            <v>0.4</v>
          </cell>
          <cell r="E823">
            <v>477</v>
          </cell>
          <cell r="F823">
            <v>141.02000000000001</v>
          </cell>
          <cell r="G823">
            <v>75.72</v>
          </cell>
          <cell r="H823">
            <v>890.52</v>
          </cell>
          <cell r="I823">
            <v>201.74</v>
          </cell>
          <cell r="J823">
            <v>97550</v>
          </cell>
          <cell r="K823" t="str">
            <v>MC</v>
          </cell>
        </row>
        <row r="824">
          <cell r="A824" t="str">
            <v>994875-SLR</v>
          </cell>
          <cell r="B824">
            <v>13199</v>
          </cell>
          <cell r="C824">
            <v>365.33</v>
          </cell>
          <cell r="D824">
            <v>0.24</v>
          </cell>
          <cell r="E824">
            <v>477</v>
          </cell>
          <cell r="F824">
            <v>142.97999999999999</v>
          </cell>
          <cell r="G824">
            <v>82.6</v>
          </cell>
          <cell r="H824">
            <v>1068.1499999999999</v>
          </cell>
          <cell r="I824">
            <v>120.28</v>
          </cell>
          <cell r="J824">
            <v>91532</v>
          </cell>
          <cell r="K824" t="str">
            <v>MC</v>
          </cell>
        </row>
        <row r="825">
          <cell r="A825" t="str">
            <v>994904-SLR</v>
          </cell>
          <cell r="B825">
            <v>12890</v>
          </cell>
          <cell r="C825">
            <v>0</v>
          </cell>
          <cell r="D825">
            <v>0</v>
          </cell>
          <cell r="E825">
            <v>19.11</v>
          </cell>
          <cell r="F825">
            <v>0</v>
          </cell>
          <cell r="G825">
            <v>556.16</v>
          </cell>
          <cell r="H825">
            <v>575.27</v>
          </cell>
          <cell r="I825">
            <v>926.93</v>
          </cell>
          <cell r="J825">
            <v>90002</v>
          </cell>
          <cell r="K825" t="str">
            <v>MC</v>
          </cell>
        </row>
        <row r="826">
          <cell r="A826" t="str">
            <v>994911-SLR</v>
          </cell>
          <cell r="B826">
            <v>12831</v>
          </cell>
          <cell r="C826">
            <v>0</v>
          </cell>
          <cell r="D826">
            <v>0</v>
          </cell>
          <cell r="E826">
            <v>19.11</v>
          </cell>
          <cell r="F826">
            <v>0</v>
          </cell>
          <cell r="G826">
            <v>316.73</v>
          </cell>
          <cell r="H826">
            <v>335.84000000000003</v>
          </cell>
          <cell r="I826">
            <v>527.89</v>
          </cell>
          <cell r="J826">
            <v>91976</v>
          </cell>
          <cell r="K826" t="str">
            <v>MC</v>
          </cell>
        </row>
        <row r="827">
          <cell r="A827" t="str">
            <v>994912-SLR</v>
          </cell>
          <cell r="B827">
            <v>12891</v>
          </cell>
          <cell r="C827">
            <v>0</v>
          </cell>
          <cell r="D827">
            <v>0</v>
          </cell>
          <cell r="E827">
            <v>0</v>
          </cell>
          <cell r="F827">
            <v>0</v>
          </cell>
          <cell r="G827">
            <v>547.95000000000005</v>
          </cell>
          <cell r="H827">
            <v>547.95000000000005</v>
          </cell>
          <cell r="I827">
            <v>913.25</v>
          </cell>
          <cell r="J827">
            <v>90002</v>
          </cell>
          <cell r="K827" t="str">
            <v>MC</v>
          </cell>
        </row>
        <row r="828">
          <cell r="A828" t="str">
            <v>994913-SLR</v>
          </cell>
          <cell r="B828">
            <v>12832</v>
          </cell>
          <cell r="C828">
            <v>0</v>
          </cell>
          <cell r="D828">
            <v>0</v>
          </cell>
          <cell r="E828">
            <v>0</v>
          </cell>
          <cell r="F828">
            <v>0</v>
          </cell>
          <cell r="G828">
            <v>11.96</v>
          </cell>
          <cell r="H828">
            <v>11.96</v>
          </cell>
          <cell r="I828">
            <v>19.940000000000001</v>
          </cell>
          <cell r="J828">
            <v>91532</v>
          </cell>
          <cell r="K828" t="str">
            <v>MC</v>
          </cell>
        </row>
        <row r="829">
          <cell r="A829" t="str">
            <v>994915-SLR</v>
          </cell>
          <cell r="B829">
            <v>13057</v>
          </cell>
          <cell r="C829">
            <v>0</v>
          </cell>
          <cell r="D829">
            <v>0</v>
          </cell>
          <cell r="E829">
            <v>0</v>
          </cell>
          <cell r="F829">
            <v>0</v>
          </cell>
          <cell r="G829">
            <v>542.26</v>
          </cell>
          <cell r="H829">
            <v>542.26</v>
          </cell>
          <cell r="I829">
            <v>903.77</v>
          </cell>
          <cell r="J829">
            <v>90002</v>
          </cell>
          <cell r="K829" t="str">
            <v>MC</v>
          </cell>
        </row>
        <row r="830">
          <cell r="A830" t="str">
            <v>994916-SLR</v>
          </cell>
          <cell r="B830">
            <v>12833</v>
          </cell>
          <cell r="C830">
            <v>0</v>
          </cell>
          <cell r="D830">
            <v>0</v>
          </cell>
          <cell r="E830">
            <v>0</v>
          </cell>
          <cell r="F830">
            <v>0</v>
          </cell>
          <cell r="G830">
            <v>556.16</v>
          </cell>
          <cell r="H830">
            <v>556.16</v>
          </cell>
          <cell r="I830">
            <v>926.93</v>
          </cell>
          <cell r="J830">
            <v>90002</v>
          </cell>
          <cell r="K830" t="str">
            <v>MC</v>
          </cell>
        </row>
        <row r="831">
          <cell r="A831" t="str">
            <v>994917-SLR</v>
          </cell>
          <cell r="B831">
            <v>12834</v>
          </cell>
          <cell r="C831">
            <v>0</v>
          </cell>
          <cell r="D831">
            <v>0</v>
          </cell>
          <cell r="E831">
            <v>0</v>
          </cell>
          <cell r="F831">
            <v>0</v>
          </cell>
          <cell r="G831">
            <v>0</v>
          </cell>
          <cell r="H831">
            <v>0</v>
          </cell>
          <cell r="I831">
            <v>962.08</v>
          </cell>
          <cell r="J831">
            <v>96028</v>
          </cell>
          <cell r="K831" t="str">
            <v>MC</v>
          </cell>
        </row>
        <row r="832">
          <cell r="A832" t="str">
            <v>994945-SLR</v>
          </cell>
          <cell r="B832">
            <v>13331</v>
          </cell>
          <cell r="C832">
            <v>193.96</v>
          </cell>
          <cell r="D832">
            <v>2.29</v>
          </cell>
          <cell r="E832">
            <v>477</v>
          </cell>
          <cell r="F832">
            <v>157.75</v>
          </cell>
          <cell r="G832">
            <v>171.36</v>
          </cell>
          <cell r="H832">
            <v>1002.36</v>
          </cell>
          <cell r="I832">
            <v>946.15</v>
          </cell>
          <cell r="J832">
            <v>96017</v>
          </cell>
          <cell r="K832" t="str">
            <v>MC</v>
          </cell>
        </row>
        <row r="833">
          <cell r="A833" t="str">
            <v>994957-SLR</v>
          </cell>
          <cell r="B833">
            <v>13211</v>
          </cell>
          <cell r="C833">
            <v>224.82</v>
          </cell>
          <cell r="D833">
            <v>6.8</v>
          </cell>
          <cell r="E833">
            <v>477</v>
          </cell>
          <cell r="F833">
            <v>208.64</v>
          </cell>
          <cell r="G833">
            <v>662.09</v>
          </cell>
          <cell r="H833">
            <v>1579.35</v>
          </cell>
          <cell r="I833">
            <v>3172.32</v>
          </cell>
          <cell r="J833">
            <v>91330</v>
          </cell>
          <cell r="K833" t="str">
            <v>MC</v>
          </cell>
        </row>
        <row r="834">
          <cell r="A834" t="str">
            <v>994981-SLR</v>
          </cell>
          <cell r="B834">
            <v>12903</v>
          </cell>
          <cell r="C834">
            <v>0</v>
          </cell>
          <cell r="D834">
            <v>0</v>
          </cell>
          <cell r="E834">
            <v>0</v>
          </cell>
          <cell r="F834">
            <v>0</v>
          </cell>
          <cell r="G834">
            <v>0</v>
          </cell>
          <cell r="H834">
            <v>0</v>
          </cell>
          <cell r="I834">
            <v>777.44</v>
          </cell>
          <cell r="J834">
            <v>91976</v>
          </cell>
          <cell r="K834" t="str">
            <v>MC</v>
          </cell>
        </row>
        <row r="835">
          <cell r="A835" t="str">
            <v>995102-SLR</v>
          </cell>
          <cell r="B835">
            <v>13713</v>
          </cell>
          <cell r="C835">
            <v>187.93</v>
          </cell>
          <cell r="D835">
            <v>1.83</v>
          </cell>
          <cell r="E835">
            <v>429</v>
          </cell>
          <cell r="F835">
            <v>157</v>
          </cell>
          <cell r="G835">
            <v>218.09</v>
          </cell>
          <cell r="H835">
            <v>993.85</v>
          </cell>
          <cell r="I835">
            <v>918.83</v>
          </cell>
          <cell r="J835">
            <v>91491</v>
          </cell>
          <cell r="K835" t="str">
            <v>MC</v>
          </cell>
        </row>
        <row r="836">
          <cell r="A836" t="str">
            <v>995110-SLR</v>
          </cell>
          <cell r="B836">
            <v>13304</v>
          </cell>
          <cell r="C836">
            <v>0</v>
          </cell>
          <cell r="D836">
            <v>0</v>
          </cell>
          <cell r="E836">
            <v>0</v>
          </cell>
          <cell r="F836">
            <v>0</v>
          </cell>
          <cell r="G836">
            <v>108.58</v>
          </cell>
          <cell r="H836">
            <v>108.58</v>
          </cell>
          <cell r="I836">
            <v>180.97</v>
          </cell>
          <cell r="J836">
            <v>93000</v>
          </cell>
          <cell r="K836" t="str">
            <v>MC</v>
          </cell>
        </row>
        <row r="837">
          <cell r="A837" t="str">
            <v>995130-SLR</v>
          </cell>
          <cell r="B837">
            <v>13081</v>
          </cell>
          <cell r="C837">
            <v>74.64</v>
          </cell>
          <cell r="D837">
            <v>0</v>
          </cell>
          <cell r="E837">
            <v>19.07</v>
          </cell>
          <cell r="F837">
            <v>0</v>
          </cell>
          <cell r="G837">
            <v>47.35</v>
          </cell>
          <cell r="H837">
            <v>141.06</v>
          </cell>
          <cell r="I837">
            <v>4.28</v>
          </cell>
          <cell r="J837">
            <v>91330</v>
          </cell>
          <cell r="K837" t="str">
            <v>MC</v>
          </cell>
        </row>
        <row r="838">
          <cell r="A838" t="str">
            <v>995152-SLR</v>
          </cell>
          <cell r="B838">
            <v>13750</v>
          </cell>
          <cell r="C838">
            <v>227.6</v>
          </cell>
          <cell r="D838">
            <v>5.31</v>
          </cell>
          <cell r="E838">
            <v>429</v>
          </cell>
          <cell r="F838">
            <v>191.96</v>
          </cell>
          <cell r="G838">
            <v>372.8</v>
          </cell>
          <cell r="H838">
            <v>1226.67</v>
          </cell>
          <cell r="I838">
            <v>2429.92</v>
          </cell>
          <cell r="J838">
            <v>91972</v>
          </cell>
          <cell r="K838" t="str">
            <v>MC</v>
          </cell>
        </row>
        <row r="839">
          <cell r="A839" t="str">
            <v>995268-SLR</v>
          </cell>
          <cell r="B839">
            <v>13511</v>
          </cell>
          <cell r="C839">
            <v>0</v>
          </cell>
          <cell r="D839">
            <v>0</v>
          </cell>
          <cell r="E839">
            <v>0</v>
          </cell>
          <cell r="F839">
            <v>0</v>
          </cell>
          <cell r="G839">
            <v>40.93</v>
          </cell>
          <cell r="H839">
            <v>40.93</v>
          </cell>
          <cell r="I839">
            <v>68.22</v>
          </cell>
          <cell r="J839">
            <v>92243</v>
          </cell>
          <cell r="K839" t="str">
            <v>MC</v>
          </cell>
        </row>
        <row r="840">
          <cell r="A840" t="str">
            <v>995269-SLR</v>
          </cell>
          <cell r="B840">
            <v>13755</v>
          </cell>
          <cell r="C840">
            <v>0</v>
          </cell>
          <cell r="D840">
            <v>0</v>
          </cell>
          <cell r="E840">
            <v>0</v>
          </cell>
          <cell r="F840">
            <v>0</v>
          </cell>
          <cell r="G840">
            <v>56.95</v>
          </cell>
          <cell r="H840">
            <v>56.95</v>
          </cell>
          <cell r="I840">
            <v>94.92</v>
          </cell>
          <cell r="J840">
            <v>96039</v>
          </cell>
          <cell r="K840" t="str">
            <v>MC</v>
          </cell>
        </row>
        <row r="841">
          <cell r="A841" t="str">
            <v>995272-SLR</v>
          </cell>
          <cell r="B841">
            <v>13758</v>
          </cell>
          <cell r="C841">
            <v>216.67</v>
          </cell>
          <cell r="D841">
            <v>0</v>
          </cell>
          <cell r="E841">
            <v>0</v>
          </cell>
          <cell r="F841">
            <v>0</v>
          </cell>
          <cell r="G841">
            <v>156.24</v>
          </cell>
          <cell r="H841">
            <v>372.90999999999997</v>
          </cell>
          <cell r="I841">
            <v>43.77</v>
          </cell>
          <cell r="J841">
            <v>91972</v>
          </cell>
          <cell r="K841" t="str">
            <v>MC</v>
          </cell>
        </row>
        <row r="842">
          <cell r="A842" t="str">
            <v>995331-SLR</v>
          </cell>
          <cell r="B842">
            <v>13587</v>
          </cell>
          <cell r="C842">
            <v>0</v>
          </cell>
          <cell r="D842">
            <v>0</v>
          </cell>
          <cell r="E842">
            <v>18.850000000000001</v>
          </cell>
          <cell r="F842">
            <v>0</v>
          </cell>
          <cell r="G842">
            <v>10.06</v>
          </cell>
          <cell r="H842">
            <v>28.910000000000004</v>
          </cell>
          <cell r="I842">
            <v>16.760000000000002</v>
          </cell>
          <cell r="J842">
            <v>96003</v>
          </cell>
          <cell r="K842" t="str">
            <v>MC</v>
          </cell>
        </row>
        <row r="843">
          <cell r="A843" t="str">
            <v>995336-SLR</v>
          </cell>
          <cell r="B843">
            <v>13727</v>
          </cell>
          <cell r="C843">
            <v>0</v>
          </cell>
          <cell r="D843">
            <v>0</v>
          </cell>
          <cell r="E843">
            <v>0</v>
          </cell>
          <cell r="F843">
            <v>0</v>
          </cell>
          <cell r="G843">
            <v>22.34</v>
          </cell>
          <cell r="H843">
            <v>22.34</v>
          </cell>
          <cell r="I843">
            <v>37.24</v>
          </cell>
          <cell r="J843">
            <v>96005</v>
          </cell>
          <cell r="K843" t="str">
            <v>MC</v>
          </cell>
        </row>
        <row r="844">
          <cell r="A844" t="str">
            <v>995485-SLR</v>
          </cell>
          <cell r="B844">
            <v>13819</v>
          </cell>
          <cell r="C844">
            <v>196.23</v>
          </cell>
          <cell r="D844">
            <v>4.6500000000000004</v>
          </cell>
          <cell r="E844">
            <v>429</v>
          </cell>
          <cell r="F844">
            <v>184.45</v>
          </cell>
          <cell r="G844">
            <v>485.47</v>
          </cell>
          <cell r="H844">
            <v>1299.8</v>
          </cell>
          <cell r="I844">
            <v>2128.16</v>
          </cell>
          <cell r="J844">
            <v>97550</v>
          </cell>
          <cell r="K844" t="str">
            <v>MC</v>
          </cell>
        </row>
        <row r="845">
          <cell r="A845" t="str">
            <v>995500-SLR</v>
          </cell>
          <cell r="B845">
            <v>13660</v>
          </cell>
          <cell r="C845">
            <v>0</v>
          </cell>
          <cell r="D845">
            <v>0</v>
          </cell>
          <cell r="E845">
            <v>18.850000000000001</v>
          </cell>
          <cell r="F845">
            <v>0</v>
          </cell>
          <cell r="G845">
            <v>450.7</v>
          </cell>
          <cell r="H845">
            <v>469.55</v>
          </cell>
          <cell r="I845">
            <v>751.16</v>
          </cell>
          <cell r="J845">
            <v>91976</v>
          </cell>
          <cell r="K845" t="str">
            <v>MC</v>
          </cell>
        </row>
        <row r="846">
          <cell r="A846" t="str">
            <v>995528-SLR</v>
          </cell>
          <cell r="B846">
            <v>13658</v>
          </cell>
          <cell r="C846">
            <v>0</v>
          </cell>
          <cell r="D846">
            <v>0</v>
          </cell>
          <cell r="E846">
            <v>0</v>
          </cell>
          <cell r="F846">
            <v>0</v>
          </cell>
          <cell r="G846">
            <v>452.66</v>
          </cell>
          <cell r="H846">
            <v>452.66</v>
          </cell>
          <cell r="I846">
            <v>754.44</v>
          </cell>
          <cell r="J846">
            <v>91976</v>
          </cell>
          <cell r="K846" t="str">
            <v>MC</v>
          </cell>
        </row>
        <row r="847">
          <cell r="A847" t="str">
            <v>995529-SLR</v>
          </cell>
          <cell r="B847">
            <v>13659</v>
          </cell>
          <cell r="C847">
            <v>0</v>
          </cell>
          <cell r="D847">
            <v>0</v>
          </cell>
          <cell r="E847">
            <v>0</v>
          </cell>
          <cell r="F847">
            <v>0</v>
          </cell>
          <cell r="G847">
            <v>543.20000000000005</v>
          </cell>
          <cell r="H847">
            <v>543.20000000000005</v>
          </cell>
          <cell r="I847">
            <v>905.33</v>
          </cell>
          <cell r="J847">
            <v>90002</v>
          </cell>
          <cell r="K847" t="str">
            <v>MC</v>
          </cell>
        </row>
        <row r="848">
          <cell r="A848" t="str">
            <v>995563-SLR</v>
          </cell>
          <cell r="B848">
            <v>13787</v>
          </cell>
          <cell r="C848">
            <v>226.97</v>
          </cell>
          <cell r="D848">
            <v>5.22</v>
          </cell>
          <cell r="E848">
            <v>429</v>
          </cell>
          <cell r="F848">
            <v>195.98</v>
          </cell>
          <cell r="G848">
            <v>539.82000000000005</v>
          </cell>
          <cell r="H848">
            <v>1396.9900000000002</v>
          </cell>
          <cell r="I848">
            <v>2609</v>
          </cell>
          <cell r="J848">
            <v>91330</v>
          </cell>
          <cell r="K848" t="str">
            <v>MC</v>
          </cell>
        </row>
        <row r="849">
          <cell r="H849">
            <v>0</v>
          </cell>
        </row>
        <row r="850">
          <cell r="A850" t="str">
            <v>TOTAIS</v>
          </cell>
          <cell r="C850">
            <v>4040.1199999999994</v>
          </cell>
          <cell r="D850">
            <v>2702.2</v>
          </cell>
          <cell r="E850">
            <v>5120.2900000000009</v>
          </cell>
          <cell r="F850">
            <v>3177.9599999999996</v>
          </cell>
          <cell r="G850">
            <v>21068.230000000007</v>
          </cell>
          <cell r="H850">
            <v>36108.80000000001</v>
          </cell>
          <cell r="I850">
            <v>71753.67</v>
          </cell>
        </row>
        <row r="853">
          <cell r="H853">
            <v>0</v>
          </cell>
          <cell r="I853">
            <v>0</v>
          </cell>
        </row>
        <row r="854">
          <cell r="G854" t="str">
            <v>PROC</v>
          </cell>
          <cell r="H854" t="str">
            <v>FOB</v>
          </cell>
          <cell r="I854" t="str">
            <v>DESP</v>
          </cell>
        </row>
        <row r="855">
          <cell r="G855" t="str">
            <v/>
          </cell>
        </row>
      </sheetData>
      <sheetData sheetId="9"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0</v>
          </cell>
          <cell r="R3">
            <v>0</v>
          </cell>
          <cell r="S3">
            <v>0</v>
          </cell>
          <cell r="T3">
            <v>0</v>
          </cell>
          <cell r="U3">
            <v>0</v>
          </cell>
          <cell r="V3">
            <v>0</v>
          </cell>
          <cell r="Y3">
            <v>0</v>
          </cell>
          <cell r="Z3">
            <v>0</v>
          </cell>
          <cell r="AA3">
            <v>0</v>
          </cell>
          <cell r="AB3">
            <v>0</v>
          </cell>
          <cell r="AC3">
            <v>0</v>
          </cell>
          <cell r="AD3">
            <v>0</v>
          </cell>
        </row>
        <row r="4">
          <cell r="A4" t="str">
            <v/>
          </cell>
          <cell r="H4">
            <v>0</v>
          </cell>
        </row>
        <row r="5">
          <cell r="H5">
            <v>0</v>
          </cell>
        </row>
        <row r="6">
          <cell r="A6" t="str">
            <v>TOTAIS</v>
          </cell>
          <cell r="C6">
            <v>0</v>
          </cell>
          <cell r="D6">
            <v>0</v>
          </cell>
          <cell r="E6">
            <v>0</v>
          </cell>
          <cell r="F6">
            <v>0</v>
          </cell>
          <cell r="G6">
            <v>0</v>
          </cell>
          <cell r="H6">
            <v>0</v>
          </cell>
          <cell r="I6">
            <v>0</v>
          </cell>
        </row>
        <row r="9">
          <cell r="A9" t="str">
            <v>ATIVO FIXO - LOCAL 91</v>
          </cell>
        </row>
        <row r="10">
          <cell r="A10" t="str">
            <v>PROC</v>
          </cell>
          <cell r="B10" t="str">
            <v>NF</v>
          </cell>
          <cell r="C10" t="str">
            <v>FRETE</v>
          </cell>
          <cell r="D10" t="str">
            <v>SEG</v>
          </cell>
          <cell r="E10" t="str">
            <v>COM</v>
          </cell>
          <cell r="F10" t="str">
            <v>ALF</v>
          </cell>
          <cell r="G10" t="str">
            <v>IMP</v>
          </cell>
          <cell r="H10" t="str">
            <v>TOTAL</v>
          </cell>
          <cell r="I10" t="str">
            <v>FOB</v>
          </cell>
          <cell r="J10" t="str">
            <v>FORN</v>
          </cell>
          <cell r="K10" t="str">
            <v>TIPO</v>
          </cell>
          <cell r="L10" t="str">
            <v>ICMS</v>
          </cell>
          <cell r="N10" t="str">
            <v>IPI</v>
          </cell>
        </row>
        <row r="11">
          <cell r="A11" t="str">
            <v/>
          </cell>
          <cell r="H11">
            <v>0</v>
          </cell>
        </row>
        <row r="12">
          <cell r="H12">
            <v>0</v>
          </cell>
        </row>
        <row r="13">
          <cell r="A13" t="str">
            <v>TOTAIS</v>
          </cell>
          <cell r="C13">
            <v>0</v>
          </cell>
          <cell r="D13">
            <v>0</v>
          </cell>
          <cell r="E13">
            <v>0</v>
          </cell>
          <cell r="F13">
            <v>0</v>
          </cell>
          <cell r="G13">
            <v>0</v>
          </cell>
          <cell r="H13">
            <v>0</v>
          </cell>
          <cell r="I13">
            <v>0</v>
          </cell>
          <cell r="L13">
            <v>0</v>
          </cell>
          <cell r="N13">
            <v>0</v>
          </cell>
        </row>
        <row r="16">
          <cell r="A16" t="str">
            <v>MATERIAL DE CONSUMO - LOCAL 91</v>
          </cell>
        </row>
        <row r="17">
          <cell r="A17" t="str">
            <v>PROC</v>
          </cell>
          <cell r="B17" t="str">
            <v>NF</v>
          </cell>
          <cell r="C17" t="str">
            <v>FRETE</v>
          </cell>
          <cell r="D17" t="str">
            <v>SEG</v>
          </cell>
          <cell r="E17" t="str">
            <v>COM</v>
          </cell>
          <cell r="F17" t="str">
            <v>ALF</v>
          </cell>
          <cell r="G17" t="str">
            <v>IMP</v>
          </cell>
          <cell r="H17" t="str">
            <v>TOTAL</v>
          </cell>
          <cell r="I17" t="str">
            <v>FOB</v>
          </cell>
          <cell r="J17" t="str">
            <v>FORN</v>
          </cell>
          <cell r="K17" t="str">
            <v>TIPO</v>
          </cell>
          <cell r="L17" t="str">
            <v>DESP</v>
          </cell>
          <cell r="M17" t="str">
            <v>CC</v>
          </cell>
          <cell r="N17" t="str">
            <v>IPI</v>
          </cell>
          <cell r="O17" t="str">
            <v>ICMS</v>
          </cell>
        </row>
        <row r="18">
          <cell r="A18" t="str">
            <v/>
          </cell>
          <cell r="H18">
            <v>0</v>
          </cell>
        </row>
        <row r="19">
          <cell r="H19">
            <v>0</v>
          </cell>
        </row>
        <row r="20">
          <cell r="A20" t="str">
            <v>TOTAIS</v>
          </cell>
          <cell r="C20">
            <v>0</v>
          </cell>
          <cell r="D20">
            <v>0</v>
          </cell>
          <cell r="E20">
            <v>0</v>
          </cell>
          <cell r="F20">
            <v>0</v>
          </cell>
          <cell r="G20">
            <v>0</v>
          </cell>
          <cell r="H20">
            <v>0</v>
          </cell>
          <cell r="I20">
            <v>0</v>
          </cell>
        </row>
        <row r="23">
          <cell r="H23">
            <v>0</v>
          </cell>
          <cell r="I23">
            <v>0</v>
          </cell>
        </row>
        <row r="24">
          <cell r="G24" t="str">
            <v>PROC</v>
          </cell>
          <cell r="H24" t="str">
            <v>FOB</v>
          </cell>
          <cell r="I24" t="str">
            <v>DESP</v>
          </cell>
        </row>
        <row r="25">
          <cell r="G25" t="str">
            <v/>
          </cell>
        </row>
      </sheetData>
      <sheetData sheetId="10"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0</v>
          </cell>
          <cell r="R3">
            <v>0</v>
          </cell>
          <cell r="S3">
            <v>0</v>
          </cell>
          <cell r="T3">
            <v>0</v>
          </cell>
          <cell r="U3">
            <v>0</v>
          </cell>
          <cell r="V3">
            <v>0</v>
          </cell>
          <cell r="Y3">
            <v>0</v>
          </cell>
          <cell r="Z3">
            <v>0</v>
          </cell>
          <cell r="AA3">
            <v>0</v>
          </cell>
          <cell r="AB3">
            <v>0</v>
          </cell>
          <cell r="AC3">
            <v>0</v>
          </cell>
          <cell r="AD3">
            <v>0</v>
          </cell>
        </row>
        <row r="4">
          <cell r="A4" t="str">
            <v/>
          </cell>
          <cell r="H4">
            <v>0</v>
          </cell>
        </row>
        <row r="5">
          <cell r="H5">
            <v>0</v>
          </cell>
        </row>
        <row r="6">
          <cell r="A6" t="str">
            <v>TOTAIS</v>
          </cell>
          <cell r="C6">
            <v>0</v>
          </cell>
          <cell r="D6">
            <v>0</v>
          </cell>
          <cell r="E6">
            <v>0</v>
          </cell>
          <cell r="F6">
            <v>0</v>
          </cell>
          <cell r="G6">
            <v>0</v>
          </cell>
          <cell r="H6">
            <v>0</v>
          </cell>
          <cell r="I6">
            <v>0</v>
          </cell>
        </row>
        <row r="9">
          <cell r="A9" t="str">
            <v>ATIVO FIXO - LOCAL 91</v>
          </cell>
        </row>
        <row r="10">
          <cell r="A10" t="str">
            <v>PROC</v>
          </cell>
          <cell r="B10" t="str">
            <v>NF</v>
          </cell>
          <cell r="C10" t="str">
            <v>FRETE</v>
          </cell>
          <cell r="D10" t="str">
            <v>SEG</v>
          </cell>
          <cell r="E10" t="str">
            <v>COM</v>
          </cell>
          <cell r="F10" t="str">
            <v>ALF</v>
          </cell>
          <cell r="G10" t="str">
            <v>IMP</v>
          </cell>
          <cell r="H10" t="str">
            <v>TOTAL</v>
          </cell>
          <cell r="I10" t="str">
            <v>FOB</v>
          </cell>
          <cell r="J10" t="str">
            <v>FORN</v>
          </cell>
          <cell r="K10" t="str">
            <v>TIPO</v>
          </cell>
          <cell r="L10" t="str">
            <v>ICMS</v>
          </cell>
          <cell r="N10" t="str">
            <v>IPI</v>
          </cell>
        </row>
        <row r="11">
          <cell r="A11" t="str">
            <v/>
          </cell>
          <cell r="H11">
            <v>0</v>
          </cell>
        </row>
        <row r="12">
          <cell r="H12">
            <v>0</v>
          </cell>
        </row>
        <row r="13">
          <cell r="A13" t="str">
            <v>TOTAIS</v>
          </cell>
          <cell r="C13">
            <v>0</v>
          </cell>
          <cell r="D13">
            <v>0</v>
          </cell>
          <cell r="E13">
            <v>0</v>
          </cell>
          <cell r="F13">
            <v>0</v>
          </cell>
          <cell r="G13">
            <v>0</v>
          </cell>
          <cell r="H13">
            <v>0</v>
          </cell>
          <cell r="I13">
            <v>0</v>
          </cell>
          <cell r="L13">
            <v>0</v>
          </cell>
          <cell r="N13">
            <v>0</v>
          </cell>
        </row>
        <row r="16">
          <cell r="A16" t="str">
            <v>MATERIAL DE CONSUMO - LOCAL 91</v>
          </cell>
        </row>
        <row r="17">
          <cell r="A17" t="str">
            <v>PROC</v>
          </cell>
          <cell r="B17" t="str">
            <v>NF</v>
          </cell>
          <cell r="C17" t="str">
            <v>FRETE</v>
          </cell>
          <cell r="D17" t="str">
            <v>SEG</v>
          </cell>
          <cell r="E17" t="str">
            <v>COM</v>
          </cell>
          <cell r="F17" t="str">
            <v>ALF</v>
          </cell>
          <cell r="G17" t="str">
            <v>IMP</v>
          </cell>
          <cell r="H17" t="str">
            <v>TOTAL</v>
          </cell>
          <cell r="I17" t="str">
            <v>FOB</v>
          </cell>
          <cell r="J17" t="str">
            <v>FORN</v>
          </cell>
          <cell r="K17" t="str">
            <v>TIPO</v>
          </cell>
          <cell r="L17" t="str">
            <v>DESP</v>
          </cell>
          <cell r="M17" t="str">
            <v>CC</v>
          </cell>
          <cell r="N17" t="str">
            <v>IPI</v>
          </cell>
          <cell r="O17" t="str">
            <v>ICMS</v>
          </cell>
        </row>
        <row r="18">
          <cell r="A18" t="str">
            <v/>
          </cell>
          <cell r="H18">
            <v>0</v>
          </cell>
        </row>
        <row r="19">
          <cell r="H19">
            <v>0</v>
          </cell>
        </row>
        <row r="20">
          <cell r="A20" t="str">
            <v>TOTAIS</v>
          </cell>
          <cell r="C20">
            <v>0</v>
          </cell>
          <cell r="D20">
            <v>0</v>
          </cell>
          <cell r="E20">
            <v>0</v>
          </cell>
          <cell r="F20">
            <v>0</v>
          </cell>
          <cell r="G20">
            <v>0</v>
          </cell>
          <cell r="H20">
            <v>0</v>
          </cell>
          <cell r="I20">
            <v>0</v>
          </cell>
        </row>
        <row r="23">
          <cell r="H23">
            <v>0</v>
          </cell>
          <cell r="I23">
            <v>0</v>
          </cell>
        </row>
        <row r="24">
          <cell r="G24" t="str">
            <v>PROC</v>
          </cell>
          <cell r="H24" t="str">
            <v>FOB</v>
          </cell>
          <cell r="I24" t="str">
            <v>DESP</v>
          </cell>
        </row>
        <row r="25">
          <cell r="G25" t="str">
            <v/>
          </cell>
        </row>
      </sheetData>
      <sheetData sheetId="11" refreshError="1">
        <row r="2">
          <cell r="A2" t="str">
            <v>MATERIAL PRODUTIVO - LOCAL 91</v>
          </cell>
        </row>
        <row r="3">
          <cell r="A3" t="str">
            <v>PROC</v>
          </cell>
          <cell r="B3" t="str">
            <v>NF</v>
          </cell>
          <cell r="C3" t="str">
            <v>FRETE</v>
          </cell>
          <cell r="D3" t="str">
            <v>SEG</v>
          </cell>
          <cell r="E3" t="str">
            <v>COM</v>
          </cell>
          <cell r="F3" t="str">
            <v>ALF</v>
          </cell>
          <cell r="G3" t="str">
            <v>IMP</v>
          </cell>
          <cell r="H3" t="str">
            <v>TOTAL</v>
          </cell>
          <cell r="I3" t="str">
            <v>FOB</v>
          </cell>
          <cell r="J3" t="str">
            <v>FORN</v>
          </cell>
          <cell r="K3" t="str">
            <v>TIPO</v>
          </cell>
          <cell r="Q3">
            <v>0</v>
          </cell>
          <cell r="R3">
            <v>0</v>
          </cell>
          <cell r="S3">
            <v>0</v>
          </cell>
          <cell r="T3">
            <v>0</v>
          </cell>
          <cell r="U3">
            <v>0</v>
          </cell>
          <cell r="V3">
            <v>0</v>
          </cell>
          <cell r="Y3">
            <v>0</v>
          </cell>
          <cell r="Z3">
            <v>0</v>
          </cell>
          <cell r="AA3">
            <v>0</v>
          </cell>
          <cell r="AB3">
            <v>0</v>
          </cell>
          <cell r="AC3">
            <v>0</v>
          </cell>
          <cell r="AD3">
            <v>0</v>
          </cell>
        </row>
        <row r="4">
          <cell r="A4" t="str">
            <v/>
          </cell>
          <cell r="H4">
            <v>0</v>
          </cell>
        </row>
        <row r="5">
          <cell r="H5">
            <v>0</v>
          </cell>
        </row>
        <row r="6">
          <cell r="A6" t="str">
            <v>TOTAIS</v>
          </cell>
          <cell r="C6">
            <v>0</v>
          </cell>
          <cell r="D6">
            <v>0</v>
          </cell>
          <cell r="E6">
            <v>0</v>
          </cell>
          <cell r="F6">
            <v>0</v>
          </cell>
          <cell r="G6">
            <v>0</v>
          </cell>
          <cell r="H6">
            <v>0</v>
          </cell>
          <cell r="I6">
            <v>0</v>
          </cell>
        </row>
        <row r="9">
          <cell r="A9" t="str">
            <v>ATIVO FIXO - LOCAL 91</v>
          </cell>
        </row>
        <row r="10">
          <cell r="A10" t="str">
            <v>PROC</v>
          </cell>
          <cell r="B10" t="str">
            <v>NF</v>
          </cell>
          <cell r="C10" t="str">
            <v>FRETE</v>
          </cell>
          <cell r="D10" t="str">
            <v>SEG</v>
          </cell>
          <cell r="E10" t="str">
            <v>COM</v>
          </cell>
          <cell r="F10" t="str">
            <v>ALF</v>
          </cell>
          <cell r="G10" t="str">
            <v>IMP</v>
          </cell>
          <cell r="H10" t="str">
            <v>TOTAL</v>
          </cell>
          <cell r="I10" t="str">
            <v>FOB</v>
          </cell>
          <cell r="J10" t="str">
            <v>FORN</v>
          </cell>
          <cell r="K10" t="str">
            <v>TIPO</v>
          </cell>
          <cell r="L10" t="str">
            <v>ICMS</v>
          </cell>
          <cell r="N10" t="str">
            <v>IPI</v>
          </cell>
        </row>
        <row r="11">
          <cell r="A11" t="str">
            <v/>
          </cell>
          <cell r="H11">
            <v>0</v>
          </cell>
        </row>
        <row r="12">
          <cell r="H12">
            <v>0</v>
          </cell>
        </row>
        <row r="13">
          <cell r="A13" t="str">
            <v>TOTAIS</v>
          </cell>
          <cell r="C13">
            <v>0</v>
          </cell>
          <cell r="D13">
            <v>0</v>
          </cell>
          <cell r="E13">
            <v>0</v>
          </cell>
          <cell r="F13">
            <v>0</v>
          </cell>
          <cell r="G13">
            <v>0</v>
          </cell>
          <cell r="H13">
            <v>0</v>
          </cell>
          <cell r="I13">
            <v>0</v>
          </cell>
          <cell r="L13">
            <v>0</v>
          </cell>
          <cell r="N13">
            <v>0</v>
          </cell>
        </row>
        <row r="16">
          <cell r="A16" t="str">
            <v>MATERIAL DE CONSUMO - LOCAL 91</v>
          </cell>
        </row>
        <row r="17">
          <cell r="A17" t="str">
            <v>PROC</v>
          </cell>
          <cell r="B17" t="str">
            <v>NF</v>
          </cell>
          <cell r="C17" t="str">
            <v>FRETE</v>
          </cell>
          <cell r="D17" t="str">
            <v>SEG</v>
          </cell>
          <cell r="E17" t="str">
            <v>COM</v>
          </cell>
          <cell r="F17" t="str">
            <v>ALF</v>
          </cell>
          <cell r="G17" t="str">
            <v>IMP</v>
          </cell>
          <cell r="H17" t="str">
            <v>TOTAL</v>
          </cell>
          <cell r="I17" t="str">
            <v>FOB</v>
          </cell>
          <cell r="J17" t="str">
            <v>FORN</v>
          </cell>
          <cell r="K17" t="str">
            <v>TIPO</v>
          </cell>
          <cell r="L17" t="str">
            <v>DESP</v>
          </cell>
          <cell r="M17" t="str">
            <v>CC</v>
          </cell>
          <cell r="N17" t="str">
            <v>IPI</v>
          </cell>
          <cell r="O17" t="str">
            <v>ICMS</v>
          </cell>
        </row>
        <row r="18">
          <cell r="A18" t="str">
            <v/>
          </cell>
          <cell r="H18">
            <v>0</v>
          </cell>
        </row>
        <row r="19">
          <cell r="H19">
            <v>0</v>
          </cell>
        </row>
        <row r="20">
          <cell r="A20" t="str">
            <v>TOTAIS</v>
          </cell>
          <cell r="C20">
            <v>0</v>
          </cell>
          <cell r="D20">
            <v>0</v>
          </cell>
          <cell r="E20">
            <v>0</v>
          </cell>
          <cell r="F20">
            <v>0</v>
          </cell>
          <cell r="G20">
            <v>0</v>
          </cell>
          <cell r="H20">
            <v>0</v>
          </cell>
          <cell r="I20">
            <v>0</v>
          </cell>
        </row>
        <row r="23">
          <cell r="H23">
            <v>0</v>
          </cell>
          <cell r="I23">
            <v>0</v>
          </cell>
        </row>
        <row r="24">
          <cell r="G24" t="str">
            <v>PROC</v>
          </cell>
          <cell r="H24" t="str">
            <v>FOB</v>
          </cell>
          <cell r="I24" t="str">
            <v>DESP</v>
          </cell>
        </row>
        <row r="25">
          <cell r="G25" t="str">
            <v/>
          </cell>
        </row>
      </sheetData>
      <sheetData sheetId="12" refreshError="1">
        <row r="9">
          <cell r="O9">
            <v>9</v>
          </cell>
        </row>
      </sheetData>
      <sheetData sheetId="13" refreshError="1">
        <row r="1">
          <cell r="A1" t="str">
            <v>PROC</v>
          </cell>
          <cell r="B1" t="str">
            <v>FOB</v>
          </cell>
          <cell r="C1" t="str">
            <v>DESP</v>
          </cell>
          <cell r="D1" t="str">
            <v>JAN</v>
          </cell>
          <cell r="E1" t="str">
            <v>PROC</v>
          </cell>
          <cell r="F1" t="str">
            <v>FRETE</v>
          </cell>
          <cell r="G1" t="str">
            <v>SEG</v>
          </cell>
          <cell r="H1" t="str">
            <v>COM</v>
          </cell>
          <cell r="I1" t="str">
            <v>ALF</v>
          </cell>
          <cell r="J1" t="str">
            <v>IMP</v>
          </cell>
          <cell r="K1" t="str">
            <v>TOTAL</v>
          </cell>
          <cell r="L1" t="str">
            <v>FOB</v>
          </cell>
          <cell r="M1">
            <v>0</v>
          </cell>
          <cell r="N1">
            <v>0</v>
          </cell>
          <cell r="O1" t="str">
            <v/>
          </cell>
          <cell r="P1" t="e">
            <v>#VALUE!</v>
          </cell>
          <cell r="Q1" t="str">
            <v/>
          </cell>
          <cell r="R1" t="str">
            <v>DESPESAS</v>
          </cell>
          <cell r="V1" t="str">
            <v>PROC</v>
          </cell>
          <cell r="W1" t="str">
            <v>INCONSISTÊNCIAS</v>
          </cell>
          <cell r="Y1" t="str">
            <v>PROC</v>
          </cell>
          <cell r="Z1" t="str">
            <v>INCONSISTÊNCIAS</v>
          </cell>
        </row>
        <row r="2">
          <cell r="A2">
            <v>983373</v>
          </cell>
          <cell r="B2">
            <v>146.19999999999999</v>
          </cell>
          <cell r="C2">
            <v>587.89</v>
          </cell>
          <cell r="E2">
            <v>983373</v>
          </cell>
          <cell r="F2">
            <v>247</v>
          </cell>
          <cell r="G2">
            <v>2</v>
          </cell>
          <cell r="H2">
            <v>200</v>
          </cell>
          <cell r="I2">
            <v>125</v>
          </cell>
          <cell r="J2">
            <v>11</v>
          </cell>
          <cell r="K2">
            <v>587.89</v>
          </cell>
          <cell r="L2">
            <v>146.19999999999999</v>
          </cell>
          <cell r="M2">
            <v>0</v>
          </cell>
          <cell r="N2">
            <v>0</v>
          </cell>
          <cell r="O2" t="str">
            <v/>
          </cell>
          <cell r="P2" t="str">
            <v/>
          </cell>
          <cell r="Q2" t="str">
            <v/>
          </cell>
          <cell r="R2" t="str">
            <v/>
          </cell>
          <cell r="V2" t="str">
            <v/>
          </cell>
          <cell r="W2" t="str">
            <v/>
          </cell>
          <cell r="Y2">
            <v>991084</v>
          </cell>
          <cell r="Z2" t="str">
            <v>DESP.DIVERSAS / FOB / DESPESAS</v>
          </cell>
          <cell r="BD2" t="e">
            <v>#N/A</v>
          </cell>
          <cell r="BE2" t="e">
            <v>#N/A</v>
          </cell>
          <cell r="BF2" t="e">
            <v>#N/A</v>
          </cell>
          <cell r="BG2" t="e">
            <v>#N/A</v>
          </cell>
          <cell r="BH2" t="e">
            <v>#N/A</v>
          </cell>
          <cell r="BI2" t="e">
            <v>#N/A</v>
          </cell>
          <cell r="BJ2" t="e">
            <v>#N/A</v>
          </cell>
          <cell r="BK2" t="e">
            <v>#N/A</v>
          </cell>
          <cell r="BL2" t="e">
            <v>#N/A</v>
          </cell>
          <cell r="BM2" t="e">
            <v>#N/A</v>
          </cell>
          <cell r="BN2" t="str">
            <v xml:space="preserve">Nº DE SB / </v>
          </cell>
          <cell r="BO2" t="str">
            <v/>
          </cell>
          <cell r="BP2" t="str">
            <v/>
          </cell>
          <cell r="BQ2" t="str">
            <v/>
          </cell>
        </row>
        <row r="3">
          <cell r="A3">
            <v>983652</v>
          </cell>
          <cell r="B3">
            <v>1418.72</v>
          </cell>
          <cell r="C3">
            <v>806.73</v>
          </cell>
          <cell r="E3">
            <v>983652</v>
          </cell>
          <cell r="F3">
            <v>146</v>
          </cell>
          <cell r="G3">
            <v>9</v>
          </cell>
          <cell r="H3">
            <v>200</v>
          </cell>
          <cell r="I3">
            <v>151</v>
          </cell>
          <cell r="J3">
            <v>299</v>
          </cell>
          <cell r="K3">
            <v>806.73</v>
          </cell>
          <cell r="L3">
            <v>1418.72</v>
          </cell>
          <cell r="M3">
            <v>0</v>
          </cell>
          <cell r="N3">
            <v>0</v>
          </cell>
          <cell r="O3" t="str">
            <v/>
          </cell>
          <cell r="P3" t="str">
            <v/>
          </cell>
          <cell r="Q3" t="str">
            <v/>
          </cell>
          <cell r="R3" t="str">
            <v/>
          </cell>
          <cell r="V3" t="str">
            <v/>
          </cell>
          <cell r="W3" t="str">
            <v/>
          </cell>
          <cell r="Y3" t="str">
            <v/>
          </cell>
          <cell r="Z3" t="str">
            <v/>
          </cell>
          <cell r="BD3" t="e">
            <v>#N/A</v>
          </cell>
          <cell r="BE3" t="e">
            <v>#N/A</v>
          </cell>
          <cell r="BF3" t="e">
            <v>#N/A</v>
          </cell>
          <cell r="BG3" t="e">
            <v>#N/A</v>
          </cell>
          <cell r="BH3" t="e">
            <v>#N/A</v>
          </cell>
          <cell r="BI3" t="e">
            <v>#N/A</v>
          </cell>
          <cell r="BJ3" t="e">
            <v>#N/A</v>
          </cell>
          <cell r="BK3" t="e">
            <v>#N/A</v>
          </cell>
          <cell r="BL3" t="e">
            <v>#N/A</v>
          </cell>
          <cell r="BM3" t="e">
            <v>#N/A</v>
          </cell>
          <cell r="BN3" t="str">
            <v xml:space="preserve">Nº DE SB / </v>
          </cell>
          <cell r="BO3" t="str">
            <v/>
          </cell>
          <cell r="BP3" t="str">
            <v/>
          </cell>
          <cell r="BQ3" t="str">
            <v/>
          </cell>
        </row>
        <row r="4">
          <cell r="A4">
            <v>983727</v>
          </cell>
          <cell r="B4">
            <v>18371.95</v>
          </cell>
          <cell r="C4">
            <v>4965.3500000000004</v>
          </cell>
          <cell r="E4">
            <v>983727</v>
          </cell>
          <cell r="F4">
            <v>433</v>
          </cell>
          <cell r="G4">
            <v>114</v>
          </cell>
          <cell r="H4">
            <v>240</v>
          </cell>
          <cell r="I4">
            <v>903</v>
          </cell>
          <cell r="J4">
            <v>3273</v>
          </cell>
          <cell r="K4">
            <v>4965.3500000000004</v>
          </cell>
          <cell r="L4">
            <v>18371.95</v>
          </cell>
          <cell r="M4">
            <v>0</v>
          </cell>
          <cell r="N4">
            <v>0</v>
          </cell>
          <cell r="O4" t="str">
            <v/>
          </cell>
          <cell r="P4" t="str">
            <v/>
          </cell>
          <cell r="Q4" t="str">
            <v/>
          </cell>
          <cell r="R4" t="str">
            <v/>
          </cell>
          <cell r="V4" t="str">
            <v/>
          </cell>
          <cell r="W4" t="str">
            <v/>
          </cell>
          <cell r="Y4" t="str">
            <v/>
          </cell>
          <cell r="Z4" t="str">
            <v/>
          </cell>
          <cell r="BD4" t="e">
            <v>#N/A</v>
          </cell>
          <cell r="BE4" t="e">
            <v>#N/A</v>
          </cell>
          <cell r="BF4" t="e">
            <v>#N/A</v>
          </cell>
          <cell r="BG4" t="e">
            <v>#N/A</v>
          </cell>
          <cell r="BH4" t="e">
            <v>#N/A</v>
          </cell>
          <cell r="BI4" t="e">
            <v>#N/A</v>
          </cell>
          <cell r="BJ4" t="e">
            <v>#N/A</v>
          </cell>
          <cell r="BK4" t="e">
            <v>#N/A</v>
          </cell>
          <cell r="BL4" t="e">
            <v>#N/A</v>
          </cell>
          <cell r="BM4" t="e">
            <v>#N/A</v>
          </cell>
          <cell r="BN4" t="str">
            <v xml:space="preserve">Nº DE SB / </v>
          </cell>
          <cell r="BO4" t="str">
            <v/>
          </cell>
          <cell r="BP4" t="str">
            <v/>
          </cell>
          <cell r="BQ4" t="str">
            <v/>
          </cell>
        </row>
        <row r="5">
          <cell r="A5">
            <v>983756</v>
          </cell>
          <cell r="B5">
            <v>2468.4299999999998</v>
          </cell>
          <cell r="C5">
            <v>1833.26</v>
          </cell>
          <cell r="E5">
            <v>983756</v>
          </cell>
          <cell r="F5">
            <v>182</v>
          </cell>
          <cell r="G5">
            <v>16</v>
          </cell>
          <cell r="H5">
            <v>141</v>
          </cell>
          <cell r="I5">
            <v>119</v>
          </cell>
          <cell r="J5">
            <v>412</v>
          </cell>
          <cell r="K5">
            <v>1833.26</v>
          </cell>
          <cell r="L5">
            <v>2468.4299999999998</v>
          </cell>
          <cell r="M5">
            <v>344</v>
          </cell>
          <cell r="N5">
            <v>618</v>
          </cell>
          <cell r="O5" t="str">
            <v/>
          </cell>
          <cell r="P5" t="str">
            <v/>
          </cell>
          <cell r="Q5" t="str">
            <v/>
          </cell>
          <cell r="R5" t="str">
            <v/>
          </cell>
          <cell r="V5" t="str">
            <v/>
          </cell>
          <cell r="W5" t="str">
            <v/>
          </cell>
          <cell r="Y5" t="str">
            <v/>
          </cell>
          <cell r="Z5" t="str">
            <v/>
          </cell>
          <cell r="BD5" t="e">
            <v>#N/A</v>
          </cell>
          <cell r="BE5" t="e">
            <v>#N/A</v>
          </cell>
          <cell r="BF5" t="e">
            <v>#N/A</v>
          </cell>
          <cell r="BG5" t="e">
            <v>#N/A</v>
          </cell>
          <cell r="BH5" t="e">
            <v>#N/A</v>
          </cell>
          <cell r="BI5" t="e">
            <v>#N/A</v>
          </cell>
          <cell r="BJ5" t="e">
            <v>#N/A</v>
          </cell>
          <cell r="BK5" t="e">
            <v>#N/A</v>
          </cell>
          <cell r="BL5" t="e">
            <v>#N/A</v>
          </cell>
          <cell r="BM5" t="e">
            <v>#N/A</v>
          </cell>
          <cell r="BN5" t="str">
            <v xml:space="preserve">Nº DE SB / </v>
          </cell>
          <cell r="BO5" t="str">
            <v/>
          </cell>
          <cell r="BP5" t="str">
            <v/>
          </cell>
          <cell r="BQ5" t="str">
            <v/>
          </cell>
        </row>
        <row r="6">
          <cell r="A6">
            <v>983756</v>
          </cell>
          <cell r="B6">
            <v>1034.5</v>
          </cell>
          <cell r="C6">
            <v>768.3</v>
          </cell>
          <cell r="E6">
            <v>983756</v>
          </cell>
          <cell r="F6">
            <v>182</v>
          </cell>
          <cell r="G6">
            <v>16</v>
          </cell>
          <cell r="H6">
            <v>141</v>
          </cell>
          <cell r="I6">
            <v>119</v>
          </cell>
          <cell r="J6">
            <v>412</v>
          </cell>
          <cell r="K6">
            <v>1833.26</v>
          </cell>
          <cell r="L6">
            <v>2468.4299999999998</v>
          </cell>
          <cell r="M6">
            <v>344</v>
          </cell>
          <cell r="N6">
            <v>618</v>
          </cell>
          <cell r="O6" t="str">
            <v/>
          </cell>
          <cell r="P6" t="str">
            <v/>
          </cell>
          <cell r="Q6" t="str">
            <v xml:space="preserve">FOB / </v>
          </cell>
          <cell r="R6" t="str">
            <v>DESPESAS</v>
          </cell>
          <cell r="V6">
            <v>983756</v>
          </cell>
          <cell r="W6" t="str">
            <v>FOB / DESPESAS</v>
          </cell>
          <cell r="Y6" t="str">
            <v/>
          </cell>
          <cell r="Z6" t="str">
            <v/>
          </cell>
          <cell r="BD6" t="e">
            <v>#N/A</v>
          </cell>
          <cell r="BE6" t="e">
            <v>#N/A</v>
          </cell>
          <cell r="BF6" t="e">
            <v>#N/A</v>
          </cell>
          <cell r="BG6" t="e">
            <v>#N/A</v>
          </cell>
          <cell r="BH6" t="e">
            <v>#N/A</v>
          </cell>
          <cell r="BI6" t="e">
            <v>#N/A</v>
          </cell>
          <cell r="BJ6" t="e">
            <v>#N/A</v>
          </cell>
          <cell r="BK6" t="e">
            <v>#N/A</v>
          </cell>
          <cell r="BL6" t="e">
            <v>#N/A</v>
          </cell>
          <cell r="BM6" t="e">
            <v>#N/A</v>
          </cell>
          <cell r="BN6" t="str">
            <v xml:space="preserve">Nº DE SB / </v>
          </cell>
          <cell r="BO6" t="str">
            <v/>
          </cell>
          <cell r="BP6" t="str">
            <v/>
          </cell>
          <cell r="BQ6" t="str">
            <v/>
          </cell>
        </row>
        <row r="7">
          <cell r="A7">
            <v>983871</v>
          </cell>
          <cell r="B7">
            <v>20180.7</v>
          </cell>
          <cell r="C7">
            <v>4341.5600000000004</v>
          </cell>
          <cell r="E7">
            <v>983871</v>
          </cell>
          <cell r="F7">
            <v>119</v>
          </cell>
          <cell r="G7">
            <v>126</v>
          </cell>
          <cell r="H7">
            <v>287</v>
          </cell>
          <cell r="I7">
            <v>719</v>
          </cell>
          <cell r="J7">
            <v>3087</v>
          </cell>
          <cell r="K7">
            <v>4341.5600000000004</v>
          </cell>
          <cell r="L7">
            <v>20180.7</v>
          </cell>
          <cell r="M7">
            <v>0</v>
          </cell>
          <cell r="N7">
            <v>0</v>
          </cell>
          <cell r="O7" t="str">
            <v/>
          </cell>
          <cell r="P7" t="str">
            <v/>
          </cell>
          <cell r="Q7" t="str">
            <v/>
          </cell>
          <cell r="R7" t="str">
            <v/>
          </cell>
          <cell r="V7" t="str">
            <v/>
          </cell>
          <cell r="W7" t="str">
            <v/>
          </cell>
          <cell r="Y7" t="str">
            <v/>
          </cell>
          <cell r="Z7" t="str">
            <v/>
          </cell>
          <cell r="BD7" t="e">
            <v>#N/A</v>
          </cell>
          <cell r="BE7" t="e">
            <v>#N/A</v>
          </cell>
          <cell r="BF7" t="e">
            <v>#N/A</v>
          </cell>
          <cell r="BG7" t="e">
            <v>#N/A</v>
          </cell>
          <cell r="BH7" t="e">
            <v>#N/A</v>
          </cell>
          <cell r="BI7" t="e">
            <v>#N/A</v>
          </cell>
          <cell r="BJ7" t="e">
            <v>#N/A</v>
          </cell>
          <cell r="BK7" t="e">
            <v>#N/A</v>
          </cell>
          <cell r="BL7" t="e">
            <v>#N/A</v>
          </cell>
          <cell r="BM7" t="e">
            <v>#N/A</v>
          </cell>
          <cell r="BN7" t="str">
            <v xml:space="preserve">Nº DE SB / </v>
          </cell>
          <cell r="BO7" t="str">
            <v/>
          </cell>
          <cell r="BP7" t="str">
            <v/>
          </cell>
          <cell r="BQ7" t="str">
            <v/>
          </cell>
        </row>
        <row r="8">
          <cell r="A8">
            <v>983949</v>
          </cell>
          <cell r="B8">
            <v>1392.89</v>
          </cell>
          <cell r="C8">
            <v>1323.82</v>
          </cell>
          <cell r="E8">
            <v>983949</v>
          </cell>
          <cell r="F8">
            <v>342</v>
          </cell>
          <cell r="G8">
            <v>5</v>
          </cell>
          <cell r="H8">
            <v>287</v>
          </cell>
          <cell r="I8">
            <v>171</v>
          </cell>
          <cell r="J8">
            <v>193</v>
          </cell>
          <cell r="K8">
            <v>1323.82</v>
          </cell>
          <cell r="L8">
            <v>1392.89</v>
          </cell>
          <cell r="M8">
            <v>78</v>
          </cell>
          <cell r="N8">
            <v>244</v>
          </cell>
          <cell r="O8" t="str">
            <v/>
          </cell>
          <cell r="P8" t="str">
            <v/>
          </cell>
          <cell r="Q8" t="str">
            <v/>
          </cell>
          <cell r="R8" t="str">
            <v/>
          </cell>
          <cell r="V8" t="str">
            <v/>
          </cell>
          <cell r="W8" t="str">
            <v/>
          </cell>
          <cell r="Y8" t="str">
            <v/>
          </cell>
          <cell r="Z8" t="str">
            <v/>
          </cell>
          <cell r="BD8" t="e">
            <v>#N/A</v>
          </cell>
          <cell r="BE8" t="e">
            <v>#N/A</v>
          </cell>
          <cell r="BF8" t="e">
            <v>#N/A</v>
          </cell>
          <cell r="BG8" t="e">
            <v>#N/A</v>
          </cell>
          <cell r="BH8" t="e">
            <v>#N/A</v>
          </cell>
          <cell r="BI8" t="e">
            <v>#N/A</v>
          </cell>
          <cell r="BJ8" t="e">
            <v>#N/A</v>
          </cell>
          <cell r="BK8" t="e">
            <v>#N/A</v>
          </cell>
          <cell r="BL8" t="e">
            <v>#N/A</v>
          </cell>
          <cell r="BM8" t="e">
            <v>#N/A</v>
          </cell>
          <cell r="BN8" t="str">
            <v xml:space="preserve">Nº DE SB / </v>
          </cell>
          <cell r="BO8" t="str">
            <v/>
          </cell>
          <cell r="BP8" t="str">
            <v/>
          </cell>
          <cell r="BQ8" t="str">
            <v/>
          </cell>
        </row>
        <row r="9">
          <cell r="A9">
            <v>983955</v>
          </cell>
          <cell r="B9">
            <v>1543.01</v>
          </cell>
          <cell r="C9">
            <v>932.97</v>
          </cell>
          <cell r="E9">
            <v>983955</v>
          </cell>
          <cell r="F9">
            <v>143</v>
          </cell>
          <cell r="G9">
            <v>5</v>
          </cell>
          <cell r="H9">
            <v>290</v>
          </cell>
          <cell r="I9">
            <v>170</v>
          </cell>
          <cell r="J9">
            <v>323</v>
          </cell>
          <cell r="K9">
            <v>932.97</v>
          </cell>
          <cell r="L9">
            <v>1543.01</v>
          </cell>
          <cell r="M9">
            <v>0</v>
          </cell>
          <cell r="N9">
            <v>0</v>
          </cell>
          <cell r="O9" t="str">
            <v/>
          </cell>
          <cell r="P9" t="str">
            <v/>
          </cell>
          <cell r="Q9" t="str">
            <v/>
          </cell>
          <cell r="R9" t="str">
            <v/>
          </cell>
          <cell r="V9" t="str">
            <v/>
          </cell>
          <cell r="W9" t="str">
            <v/>
          </cell>
          <cell r="Y9" t="str">
            <v/>
          </cell>
          <cell r="Z9" t="str">
            <v/>
          </cell>
          <cell r="BD9" t="e">
            <v>#N/A</v>
          </cell>
          <cell r="BE9" t="e">
            <v>#N/A</v>
          </cell>
          <cell r="BF9" t="e">
            <v>#N/A</v>
          </cell>
          <cell r="BG9" t="e">
            <v>#N/A</v>
          </cell>
          <cell r="BH9" t="e">
            <v>#N/A</v>
          </cell>
          <cell r="BI9" t="e">
            <v>#N/A</v>
          </cell>
          <cell r="BJ9" t="e">
            <v>#N/A</v>
          </cell>
          <cell r="BK9" t="e">
            <v>#N/A</v>
          </cell>
          <cell r="BL9" t="e">
            <v>#N/A</v>
          </cell>
          <cell r="BM9" t="e">
            <v>#N/A</v>
          </cell>
          <cell r="BN9" t="str">
            <v xml:space="preserve">Nº DE SB / </v>
          </cell>
          <cell r="BO9" t="str">
            <v/>
          </cell>
          <cell r="BP9" t="str">
            <v/>
          </cell>
          <cell r="BQ9" t="str">
            <v/>
          </cell>
        </row>
        <row r="10">
          <cell r="A10">
            <v>984161</v>
          </cell>
          <cell r="B10">
            <v>7170.67</v>
          </cell>
          <cell r="C10">
            <v>1973.17</v>
          </cell>
          <cell r="E10">
            <v>984161</v>
          </cell>
          <cell r="F10">
            <v>235</v>
          </cell>
          <cell r="G10">
            <v>46</v>
          </cell>
          <cell r="H10">
            <v>290</v>
          </cell>
          <cell r="I10">
            <v>343</v>
          </cell>
          <cell r="J10">
            <v>1057</v>
          </cell>
          <cell r="K10">
            <v>1973.17</v>
          </cell>
          <cell r="L10">
            <v>7170.67</v>
          </cell>
          <cell r="M10">
            <v>0</v>
          </cell>
          <cell r="N10">
            <v>0</v>
          </cell>
          <cell r="O10" t="str">
            <v/>
          </cell>
          <cell r="P10" t="str">
            <v/>
          </cell>
          <cell r="Q10" t="str">
            <v/>
          </cell>
          <cell r="R10" t="str">
            <v/>
          </cell>
          <cell r="V10" t="str">
            <v/>
          </cell>
          <cell r="W10" t="str">
            <v/>
          </cell>
          <cell r="Y10" t="str">
            <v/>
          </cell>
          <cell r="Z10" t="str">
            <v/>
          </cell>
          <cell r="BD10" t="e">
            <v>#N/A</v>
          </cell>
          <cell r="BE10" t="e">
            <v>#N/A</v>
          </cell>
          <cell r="BF10" t="e">
            <v>#N/A</v>
          </cell>
          <cell r="BG10" t="e">
            <v>#N/A</v>
          </cell>
          <cell r="BH10" t="e">
            <v>#N/A</v>
          </cell>
          <cell r="BI10" t="e">
            <v>#N/A</v>
          </cell>
          <cell r="BJ10" t="e">
            <v>#N/A</v>
          </cell>
          <cell r="BK10" t="e">
            <v>#N/A</v>
          </cell>
          <cell r="BL10" t="e">
            <v>#N/A</v>
          </cell>
          <cell r="BM10" t="e">
            <v>#N/A</v>
          </cell>
          <cell r="BN10" t="str">
            <v xml:space="preserve">Nº DE SB / </v>
          </cell>
          <cell r="BO10" t="str">
            <v/>
          </cell>
          <cell r="BP10" t="str">
            <v/>
          </cell>
          <cell r="BQ10" t="str">
            <v/>
          </cell>
        </row>
        <row r="11">
          <cell r="A11">
            <v>984215</v>
          </cell>
          <cell r="B11">
            <v>20644.919999999998</v>
          </cell>
          <cell r="C11">
            <v>4790.92</v>
          </cell>
          <cell r="E11">
            <v>984215</v>
          </cell>
          <cell r="F11">
            <v>853</v>
          </cell>
          <cell r="G11">
            <v>132</v>
          </cell>
          <cell r="H11">
            <v>287</v>
          </cell>
          <cell r="I11">
            <v>737</v>
          </cell>
          <cell r="J11">
            <v>2779</v>
          </cell>
          <cell r="K11">
            <v>4790.92</v>
          </cell>
          <cell r="L11">
            <v>20644.919999999998</v>
          </cell>
          <cell r="M11">
            <v>0</v>
          </cell>
          <cell r="N11">
            <v>0</v>
          </cell>
          <cell r="O11" t="str">
            <v/>
          </cell>
          <cell r="P11" t="str">
            <v/>
          </cell>
          <cell r="Q11" t="str">
            <v/>
          </cell>
          <cell r="R11" t="str">
            <v/>
          </cell>
          <cell r="V11" t="str">
            <v/>
          </cell>
          <cell r="W11" t="str">
            <v/>
          </cell>
          <cell r="Y11" t="str">
            <v/>
          </cell>
          <cell r="Z11" t="str">
            <v/>
          </cell>
          <cell r="BD11" t="e">
            <v>#N/A</v>
          </cell>
          <cell r="BE11" t="e">
            <v>#N/A</v>
          </cell>
          <cell r="BF11" t="e">
            <v>#N/A</v>
          </cell>
          <cell r="BG11" t="e">
            <v>#N/A</v>
          </cell>
          <cell r="BH11" t="e">
            <v>#N/A</v>
          </cell>
          <cell r="BI11" t="e">
            <v>#N/A</v>
          </cell>
          <cell r="BJ11" t="e">
            <v>#N/A</v>
          </cell>
          <cell r="BK11" t="e">
            <v>#N/A</v>
          </cell>
          <cell r="BL11" t="e">
            <v>#N/A</v>
          </cell>
          <cell r="BM11" t="e">
            <v>#N/A</v>
          </cell>
          <cell r="BN11" t="str">
            <v xml:space="preserve">Nº DE SB / </v>
          </cell>
          <cell r="BO11" t="str">
            <v/>
          </cell>
          <cell r="BP11" t="str">
            <v/>
          </cell>
          <cell r="BQ11" t="str">
            <v/>
          </cell>
        </row>
        <row r="12">
          <cell r="A12">
            <v>984223</v>
          </cell>
          <cell r="B12">
            <v>411.07</v>
          </cell>
          <cell r="C12">
            <v>673.92</v>
          </cell>
          <cell r="E12">
            <v>984223</v>
          </cell>
          <cell r="F12">
            <v>132</v>
          </cell>
          <cell r="G12">
            <v>1</v>
          </cell>
          <cell r="H12">
            <v>290</v>
          </cell>
          <cell r="I12">
            <v>144</v>
          </cell>
          <cell r="J12">
            <v>104</v>
          </cell>
          <cell r="K12">
            <v>673.92</v>
          </cell>
          <cell r="L12">
            <v>411.07</v>
          </cell>
          <cell r="M12">
            <v>0</v>
          </cell>
          <cell r="N12">
            <v>0</v>
          </cell>
          <cell r="O12" t="str">
            <v/>
          </cell>
          <cell r="P12" t="str">
            <v/>
          </cell>
          <cell r="Q12" t="str">
            <v/>
          </cell>
          <cell r="R12" t="str">
            <v/>
          </cell>
          <cell r="V12" t="str">
            <v/>
          </cell>
          <cell r="W12" t="str">
            <v/>
          </cell>
          <cell r="Y12" t="str">
            <v/>
          </cell>
          <cell r="Z12" t="str">
            <v/>
          </cell>
          <cell r="BD12" t="e">
            <v>#N/A</v>
          </cell>
          <cell r="BE12" t="e">
            <v>#N/A</v>
          </cell>
          <cell r="BF12" t="e">
            <v>#N/A</v>
          </cell>
          <cell r="BG12" t="e">
            <v>#N/A</v>
          </cell>
          <cell r="BH12" t="e">
            <v>#N/A</v>
          </cell>
          <cell r="BI12" t="e">
            <v>#N/A</v>
          </cell>
          <cell r="BJ12" t="e">
            <v>#N/A</v>
          </cell>
          <cell r="BK12" t="e">
            <v>#N/A</v>
          </cell>
          <cell r="BL12" t="e">
            <v>#N/A</v>
          </cell>
          <cell r="BM12" t="e">
            <v>#N/A</v>
          </cell>
          <cell r="BN12" t="str">
            <v xml:space="preserve">Nº DE SB / </v>
          </cell>
          <cell r="BO12" t="str">
            <v/>
          </cell>
          <cell r="BP12" t="str">
            <v/>
          </cell>
          <cell r="BQ12" t="str">
            <v/>
          </cell>
        </row>
        <row r="13">
          <cell r="A13">
            <v>984247</v>
          </cell>
          <cell r="B13">
            <v>89.42</v>
          </cell>
          <cell r="C13">
            <v>558.09</v>
          </cell>
          <cell r="E13">
            <v>984247</v>
          </cell>
          <cell r="F13">
            <v>98</v>
          </cell>
          <cell r="G13">
            <v>1</v>
          </cell>
          <cell r="H13">
            <v>287</v>
          </cell>
          <cell r="I13">
            <v>134</v>
          </cell>
          <cell r="J13">
            <v>35</v>
          </cell>
          <cell r="K13">
            <v>558.09</v>
          </cell>
          <cell r="L13">
            <v>89.42</v>
          </cell>
          <cell r="M13">
            <v>0</v>
          </cell>
          <cell r="N13">
            <v>0</v>
          </cell>
          <cell r="O13" t="str">
            <v/>
          </cell>
          <cell r="P13" t="str">
            <v/>
          </cell>
          <cell r="Q13" t="str">
            <v/>
          </cell>
          <cell r="R13" t="str">
            <v/>
          </cell>
          <cell r="V13" t="str">
            <v/>
          </cell>
          <cell r="W13" t="str">
            <v/>
          </cell>
          <cell r="Y13" t="str">
            <v/>
          </cell>
          <cell r="Z13" t="str">
            <v/>
          </cell>
          <cell r="BD13" t="e">
            <v>#N/A</v>
          </cell>
          <cell r="BE13" t="e">
            <v>#N/A</v>
          </cell>
          <cell r="BF13" t="e">
            <v>#N/A</v>
          </cell>
          <cell r="BG13" t="e">
            <v>#N/A</v>
          </cell>
          <cell r="BH13" t="e">
            <v>#N/A</v>
          </cell>
          <cell r="BI13" t="e">
            <v>#N/A</v>
          </cell>
          <cell r="BJ13" t="e">
            <v>#N/A</v>
          </cell>
          <cell r="BK13" t="e">
            <v>#N/A</v>
          </cell>
          <cell r="BL13" t="e">
            <v>#N/A</v>
          </cell>
          <cell r="BM13" t="e">
            <v>#N/A</v>
          </cell>
          <cell r="BN13" t="str">
            <v xml:space="preserve">Nº DE SB / </v>
          </cell>
          <cell r="BO13" t="str">
            <v/>
          </cell>
          <cell r="BP13" t="str">
            <v/>
          </cell>
          <cell r="BQ13" t="str">
            <v/>
          </cell>
        </row>
        <row r="14">
          <cell r="A14">
            <v>984251</v>
          </cell>
          <cell r="B14">
            <v>9180.25</v>
          </cell>
          <cell r="C14">
            <v>2655.9</v>
          </cell>
          <cell r="E14">
            <v>984251</v>
          </cell>
          <cell r="F14">
            <v>162</v>
          </cell>
          <cell r="G14">
            <v>57</v>
          </cell>
          <cell r="H14">
            <v>290</v>
          </cell>
          <cell r="I14">
            <v>422</v>
          </cell>
          <cell r="J14">
            <v>280</v>
          </cell>
          <cell r="K14">
            <v>2655.9</v>
          </cell>
          <cell r="L14">
            <v>9180.25</v>
          </cell>
          <cell r="M14">
            <v>1442</v>
          </cell>
          <cell r="N14">
            <v>0</v>
          </cell>
          <cell r="O14" t="str">
            <v/>
          </cell>
          <cell r="P14" t="str">
            <v/>
          </cell>
          <cell r="Q14" t="str">
            <v/>
          </cell>
          <cell r="R14" t="str">
            <v/>
          </cell>
          <cell r="V14" t="str">
            <v/>
          </cell>
          <cell r="W14" t="str">
            <v/>
          </cell>
          <cell r="Y14" t="str">
            <v/>
          </cell>
          <cell r="Z14" t="str">
            <v/>
          </cell>
        </row>
        <row r="15">
          <cell r="A15">
            <v>984259</v>
          </cell>
          <cell r="B15">
            <v>1994.57</v>
          </cell>
          <cell r="C15">
            <v>1405.78</v>
          </cell>
          <cell r="E15">
            <v>984259</v>
          </cell>
          <cell r="F15">
            <v>99</v>
          </cell>
          <cell r="G15">
            <v>13</v>
          </cell>
          <cell r="H15">
            <v>130</v>
          </cell>
          <cell r="I15">
            <v>757</v>
          </cell>
          <cell r="J15">
            <v>405</v>
          </cell>
          <cell r="K15">
            <v>1405.78</v>
          </cell>
          <cell r="L15">
            <v>1994.57</v>
          </cell>
          <cell r="M15">
            <v>0</v>
          </cell>
          <cell r="N15">
            <v>0</v>
          </cell>
          <cell r="O15" t="str">
            <v/>
          </cell>
          <cell r="P15" t="str">
            <v/>
          </cell>
          <cell r="Q15" t="str">
            <v/>
          </cell>
          <cell r="R15" t="str">
            <v/>
          </cell>
          <cell r="V15" t="str">
            <v/>
          </cell>
          <cell r="W15" t="str">
            <v/>
          </cell>
          <cell r="Y15" t="str">
            <v/>
          </cell>
          <cell r="Z15" t="str">
            <v/>
          </cell>
        </row>
        <row r="16">
          <cell r="A16">
            <v>984300</v>
          </cell>
          <cell r="B16">
            <v>2328.89</v>
          </cell>
          <cell r="C16">
            <v>1276.7</v>
          </cell>
          <cell r="E16">
            <v>984300</v>
          </cell>
          <cell r="F16">
            <v>268</v>
          </cell>
          <cell r="G16">
            <v>16</v>
          </cell>
          <cell r="H16">
            <v>290</v>
          </cell>
          <cell r="I16">
            <v>192</v>
          </cell>
          <cell r="J16">
            <v>509</v>
          </cell>
          <cell r="K16">
            <v>1276.7</v>
          </cell>
          <cell r="L16">
            <v>2328.89</v>
          </cell>
          <cell r="M16">
            <v>0</v>
          </cell>
          <cell r="N16">
            <v>0</v>
          </cell>
          <cell r="O16" t="str">
            <v/>
          </cell>
          <cell r="P16" t="str">
            <v/>
          </cell>
          <cell r="Q16" t="str">
            <v/>
          </cell>
          <cell r="R16" t="str">
            <v/>
          </cell>
          <cell r="V16" t="str">
            <v/>
          </cell>
          <cell r="W16" t="str">
            <v/>
          </cell>
          <cell r="Y16" t="str">
            <v/>
          </cell>
          <cell r="Z16" t="str">
            <v/>
          </cell>
        </row>
        <row r="17">
          <cell r="A17">
            <v>984303</v>
          </cell>
          <cell r="B17">
            <v>27280.36</v>
          </cell>
          <cell r="C17">
            <v>6380.8</v>
          </cell>
          <cell r="E17">
            <v>984303</v>
          </cell>
          <cell r="F17">
            <v>240</v>
          </cell>
          <cell r="G17">
            <v>88</v>
          </cell>
          <cell r="H17">
            <v>290</v>
          </cell>
          <cell r="I17">
            <v>882</v>
          </cell>
          <cell r="J17">
            <v>4878</v>
          </cell>
          <cell r="K17">
            <v>6380.8</v>
          </cell>
          <cell r="L17">
            <v>27280.36</v>
          </cell>
          <cell r="M17">
            <v>0</v>
          </cell>
          <cell r="N17">
            <v>0</v>
          </cell>
          <cell r="O17" t="str">
            <v/>
          </cell>
          <cell r="P17" t="str">
            <v/>
          </cell>
          <cell r="Q17" t="str">
            <v/>
          </cell>
          <cell r="R17" t="str">
            <v/>
          </cell>
          <cell r="V17" t="str">
            <v/>
          </cell>
          <cell r="W17" t="str">
            <v/>
          </cell>
          <cell r="Y17" t="str">
            <v/>
          </cell>
          <cell r="Z17" t="str">
            <v/>
          </cell>
        </row>
        <row r="18">
          <cell r="A18">
            <v>984311</v>
          </cell>
          <cell r="B18">
            <v>6849.93</v>
          </cell>
          <cell r="C18">
            <v>4407.3999999999996</v>
          </cell>
          <cell r="E18">
            <v>984311</v>
          </cell>
          <cell r="F18">
            <v>150</v>
          </cell>
          <cell r="G18">
            <v>43</v>
          </cell>
          <cell r="H18">
            <v>289</v>
          </cell>
          <cell r="I18">
            <v>324</v>
          </cell>
          <cell r="J18">
            <v>1416</v>
          </cell>
          <cell r="K18">
            <v>4407.3999999999996</v>
          </cell>
          <cell r="L18">
            <v>6849.93</v>
          </cell>
          <cell r="M18">
            <v>764</v>
          </cell>
          <cell r="N18">
            <v>1415</v>
          </cell>
          <cell r="O18" t="str">
            <v/>
          </cell>
          <cell r="P18" t="str">
            <v/>
          </cell>
          <cell r="Q18" t="str">
            <v/>
          </cell>
          <cell r="R18" t="str">
            <v/>
          </cell>
          <cell r="V18" t="str">
            <v/>
          </cell>
          <cell r="W18" t="str">
            <v/>
          </cell>
          <cell r="Y18" t="str">
            <v/>
          </cell>
          <cell r="Z18" t="str">
            <v/>
          </cell>
        </row>
        <row r="19">
          <cell r="A19">
            <v>984333</v>
          </cell>
          <cell r="B19">
            <v>44591.65</v>
          </cell>
          <cell r="C19">
            <v>7565.2</v>
          </cell>
          <cell r="E19">
            <v>984333</v>
          </cell>
          <cell r="F19">
            <v>504</v>
          </cell>
          <cell r="G19">
            <v>147</v>
          </cell>
          <cell r="H19">
            <v>321</v>
          </cell>
          <cell r="I19">
            <v>625</v>
          </cell>
          <cell r="J19">
            <v>5966</v>
          </cell>
          <cell r="K19">
            <v>7565.2</v>
          </cell>
          <cell r="L19">
            <v>44591.65</v>
          </cell>
          <cell r="M19">
            <v>0</v>
          </cell>
          <cell r="N19">
            <v>0</v>
          </cell>
          <cell r="O19" t="str">
            <v/>
          </cell>
          <cell r="P19" t="str">
            <v/>
          </cell>
          <cell r="Q19" t="str">
            <v/>
          </cell>
          <cell r="R19" t="str">
            <v/>
          </cell>
          <cell r="V19" t="str">
            <v/>
          </cell>
          <cell r="W19" t="str">
            <v/>
          </cell>
          <cell r="Y19" t="str">
            <v/>
          </cell>
          <cell r="Z19" t="str">
            <v/>
          </cell>
        </row>
        <row r="20">
          <cell r="A20">
            <v>984339</v>
          </cell>
          <cell r="B20">
            <v>1335.41</v>
          </cell>
          <cell r="C20">
            <v>728.2</v>
          </cell>
          <cell r="E20">
            <v>984339</v>
          </cell>
          <cell r="F20">
            <v>59</v>
          </cell>
          <cell r="G20">
            <v>8</v>
          </cell>
          <cell r="H20">
            <v>287</v>
          </cell>
          <cell r="I20">
            <v>163</v>
          </cell>
          <cell r="J20">
            <v>209</v>
          </cell>
          <cell r="K20">
            <v>728.2</v>
          </cell>
          <cell r="L20">
            <v>1335.41</v>
          </cell>
          <cell r="M20">
            <v>0</v>
          </cell>
          <cell r="N20">
            <v>0</v>
          </cell>
          <cell r="O20" t="str">
            <v/>
          </cell>
          <cell r="P20" t="str">
            <v/>
          </cell>
          <cell r="Q20" t="str">
            <v/>
          </cell>
          <cell r="R20" t="str">
            <v/>
          </cell>
          <cell r="V20" t="str">
            <v/>
          </cell>
          <cell r="W20" t="str">
            <v/>
          </cell>
          <cell r="Y20" t="str">
            <v/>
          </cell>
          <cell r="Z20" t="str">
            <v/>
          </cell>
        </row>
        <row r="21">
          <cell r="A21">
            <v>984358</v>
          </cell>
          <cell r="B21">
            <v>20075.13</v>
          </cell>
          <cell r="C21">
            <v>2429.14</v>
          </cell>
          <cell r="E21">
            <v>984358</v>
          </cell>
          <cell r="F21">
            <v>123</v>
          </cell>
          <cell r="G21">
            <v>65</v>
          </cell>
          <cell r="H21">
            <v>290</v>
          </cell>
          <cell r="I21">
            <v>715</v>
          </cell>
          <cell r="J21">
            <v>1234</v>
          </cell>
          <cell r="K21">
            <v>2429.14</v>
          </cell>
          <cell r="L21">
            <v>20075.13</v>
          </cell>
          <cell r="M21">
            <v>0</v>
          </cell>
          <cell r="N21">
            <v>0</v>
          </cell>
          <cell r="O21" t="str">
            <v/>
          </cell>
          <cell r="P21" t="str">
            <v/>
          </cell>
          <cell r="Q21" t="str">
            <v/>
          </cell>
          <cell r="R21" t="str">
            <v/>
          </cell>
          <cell r="V21" t="str">
            <v/>
          </cell>
          <cell r="W21" t="str">
            <v/>
          </cell>
          <cell r="Y21" t="str">
            <v/>
          </cell>
          <cell r="Z21" t="str">
            <v/>
          </cell>
        </row>
        <row r="22">
          <cell r="A22">
            <v>984412</v>
          </cell>
          <cell r="B22">
            <v>19318.14</v>
          </cell>
          <cell r="C22">
            <v>5590.1</v>
          </cell>
          <cell r="E22">
            <v>984412</v>
          </cell>
          <cell r="F22">
            <v>956</v>
          </cell>
          <cell r="G22">
            <v>129</v>
          </cell>
          <cell r="H22">
            <v>290</v>
          </cell>
          <cell r="I22">
            <v>725</v>
          </cell>
          <cell r="J22">
            <v>3489</v>
          </cell>
          <cell r="K22">
            <v>5590.1</v>
          </cell>
          <cell r="L22">
            <v>19318.14</v>
          </cell>
          <cell r="M22">
            <v>0</v>
          </cell>
          <cell r="N22">
            <v>0</v>
          </cell>
          <cell r="O22" t="str">
            <v/>
          </cell>
          <cell r="P22" t="str">
            <v/>
          </cell>
          <cell r="Q22" t="str">
            <v/>
          </cell>
          <cell r="R22" t="str">
            <v/>
          </cell>
          <cell r="V22" t="str">
            <v/>
          </cell>
          <cell r="W22" t="str">
            <v/>
          </cell>
          <cell r="Y22" t="str">
            <v/>
          </cell>
          <cell r="Z22" t="str">
            <v/>
          </cell>
        </row>
        <row r="23">
          <cell r="A23">
            <v>984430</v>
          </cell>
          <cell r="B23">
            <v>65499.5</v>
          </cell>
          <cell r="C23">
            <v>16556.38</v>
          </cell>
          <cell r="E23">
            <v>984430</v>
          </cell>
          <cell r="F23">
            <v>1137</v>
          </cell>
          <cell r="G23">
            <v>419</v>
          </cell>
          <cell r="H23">
            <v>290</v>
          </cell>
          <cell r="I23">
            <v>1786</v>
          </cell>
          <cell r="J23">
            <v>12923</v>
          </cell>
          <cell r="K23">
            <v>16556.38</v>
          </cell>
          <cell r="L23">
            <v>65499.5</v>
          </cell>
          <cell r="M23">
            <v>0</v>
          </cell>
          <cell r="N23">
            <v>0</v>
          </cell>
          <cell r="O23" t="str">
            <v/>
          </cell>
          <cell r="P23" t="str">
            <v/>
          </cell>
          <cell r="Q23" t="str">
            <v/>
          </cell>
          <cell r="R23" t="str">
            <v/>
          </cell>
          <cell r="V23" t="str">
            <v/>
          </cell>
          <cell r="W23" t="str">
            <v/>
          </cell>
          <cell r="Y23" t="str">
            <v/>
          </cell>
          <cell r="Z23" t="str">
            <v/>
          </cell>
        </row>
        <row r="24">
          <cell r="A24">
            <v>984451</v>
          </cell>
          <cell r="B24">
            <v>17353.099999999999</v>
          </cell>
          <cell r="C24">
            <v>5753.34</v>
          </cell>
          <cell r="E24">
            <v>984451</v>
          </cell>
          <cell r="F24">
            <v>1127</v>
          </cell>
          <cell r="G24">
            <v>108</v>
          </cell>
          <cell r="H24">
            <v>287</v>
          </cell>
          <cell r="I24">
            <v>676</v>
          </cell>
          <cell r="J24">
            <v>3552</v>
          </cell>
          <cell r="K24">
            <v>5753.34</v>
          </cell>
          <cell r="L24">
            <v>17353.099999999999</v>
          </cell>
          <cell r="M24">
            <v>0</v>
          </cell>
          <cell r="N24">
            <v>0</v>
          </cell>
          <cell r="O24" t="str">
            <v/>
          </cell>
          <cell r="P24" t="str">
            <v/>
          </cell>
          <cell r="Q24" t="str">
            <v/>
          </cell>
          <cell r="R24" t="str">
            <v/>
          </cell>
          <cell r="V24" t="str">
            <v/>
          </cell>
          <cell r="W24" t="str">
            <v/>
          </cell>
          <cell r="Y24" t="str">
            <v/>
          </cell>
          <cell r="Z24" t="str">
            <v/>
          </cell>
        </row>
        <row r="25">
          <cell r="A25">
            <v>984467</v>
          </cell>
          <cell r="B25">
            <v>408484.39</v>
          </cell>
          <cell r="C25">
            <v>69906.98</v>
          </cell>
          <cell r="E25">
            <v>984467</v>
          </cell>
          <cell r="F25">
            <v>719</v>
          </cell>
          <cell r="G25">
            <v>1321</v>
          </cell>
          <cell r="H25">
            <v>290</v>
          </cell>
          <cell r="I25">
            <v>9577</v>
          </cell>
          <cell r="J25">
            <v>57998</v>
          </cell>
          <cell r="K25">
            <v>69906.98</v>
          </cell>
          <cell r="L25">
            <v>408484.39</v>
          </cell>
          <cell r="M25">
            <v>0</v>
          </cell>
          <cell r="N25">
            <v>0</v>
          </cell>
          <cell r="O25" t="str">
            <v/>
          </cell>
          <cell r="P25" t="str">
            <v/>
          </cell>
          <cell r="Q25" t="str">
            <v/>
          </cell>
          <cell r="R25" t="str">
            <v/>
          </cell>
          <cell r="V25" t="str">
            <v/>
          </cell>
          <cell r="W25" t="str">
            <v/>
          </cell>
          <cell r="Y25" t="str">
            <v/>
          </cell>
          <cell r="Z25" t="str">
            <v/>
          </cell>
        </row>
        <row r="26">
          <cell r="A26">
            <v>984478</v>
          </cell>
          <cell r="B26">
            <v>25542.38</v>
          </cell>
          <cell r="C26">
            <v>7215.56</v>
          </cell>
          <cell r="E26">
            <v>984478</v>
          </cell>
          <cell r="F26">
            <v>829</v>
          </cell>
          <cell r="G26">
            <v>164</v>
          </cell>
          <cell r="H26">
            <v>290</v>
          </cell>
          <cell r="I26">
            <v>856</v>
          </cell>
          <cell r="J26">
            <v>5074</v>
          </cell>
          <cell r="K26">
            <v>7215.56</v>
          </cell>
          <cell r="L26">
            <v>25542.38</v>
          </cell>
          <cell r="M26">
            <v>0</v>
          </cell>
          <cell r="N26">
            <v>0</v>
          </cell>
          <cell r="O26" t="str">
            <v/>
          </cell>
          <cell r="P26" t="str">
            <v/>
          </cell>
          <cell r="Q26" t="str">
            <v/>
          </cell>
          <cell r="R26" t="str">
            <v/>
          </cell>
          <cell r="V26" t="str">
            <v/>
          </cell>
          <cell r="W26" t="str">
            <v/>
          </cell>
          <cell r="Y26" t="str">
            <v/>
          </cell>
          <cell r="Z26" t="str">
            <v/>
          </cell>
        </row>
        <row r="27">
          <cell r="A27">
            <v>984479</v>
          </cell>
          <cell r="B27">
            <v>898.35</v>
          </cell>
          <cell r="C27">
            <v>700.14</v>
          </cell>
          <cell r="E27">
            <v>984479</v>
          </cell>
          <cell r="F27">
            <v>101</v>
          </cell>
          <cell r="G27">
            <v>6</v>
          </cell>
          <cell r="H27">
            <v>286</v>
          </cell>
          <cell r="I27">
            <v>154</v>
          </cell>
          <cell r="J27">
            <v>151</v>
          </cell>
          <cell r="K27">
            <v>700.14</v>
          </cell>
          <cell r="L27">
            <v>898.35</v>
          </cell>
          <cell r="M27">
            <v>0</v>
          </cell>
          <cell r="N27">
            <v>0</v>
          </cell>
          <cell r="O27" t="str">
            <v/>
          </cell>
          <cell r="P27" t="str">
            <v/>
          </cell>
          <cell r="Q27" t="str">
            <v/>
          </cell>
          <cell r="R27" t="str">
            <v/>
          </cell>
          <cell r="V27" t="str">
            <v/>
          </cell>
          <cell r="W27" t="str">
            <v/>
          </cell>
          <cell r="Y27" t="str">
            <v/>
          </cell>
          <cell r="Z27" t="str">
            <v/>
          </cell>
        </row>
        <row r="28">
          <cell r="A28">
            <v>984484</v>
          </cell>
          <cell r="B28">
            <v>487140.75</v>
          </cell>
          <cell r="C28">
            <v>88869.61</v>
          </cell>
          <cell r="E28">
            <v>984484</v>
          </cell>
          <cell r="F28">
            <v>2332</v>
          </cell>
          <cell r="G28">
            <v>3079</v>
          </cell>
          <cell r="H28">
            <v>290</v>
          </cell>
          <cell r="I28">
            <v>11464</v>
          </cell>
          <cell r="J28">
            <v>71703</v>
          </cell>
          <cell r="K28">
            <v>88869.61</v>
          </cell>
          <cell r="L28">
            <v>487140.75</v>
          </cell>
          <cell r="M28">
            <v>0</v>
          </cell>
          <cell r="N28">
            <v>0</v>
          </cell>
          <cell r="O28" t="str">
            <v/>
          </cell>
          <cell r="P28" t="str">
            <v/>
          </cell>
          <cell r="Q28" t="str">
            <v/>
          </cell>
          <cell r="R28" t="str">
            <v/>
          </cell>
          <cell r="V28" t="str">
            <v/>
          </cell>
          <cell r="W28" t="str">
            <v/>
          </cell>
          <cell r="Y28" t="str">
            <v/>
          </cell>
          <cell r="Z28" t="str">
            <v/>
          </cell>
        </row>
        <row r="29">
          <cell r="A29">
            <v>984497</v>
          </cell>
          <cell r="B29">
            <v>28186.25</v>
          </cell>
          <cell r="C29">
            <v>5402.97</v>
          </cell>
          <cell r="E29">
            <v>984497</v>
          </cell>
          <cell r="F29">
            <v>376</v>
          </cell>
          <cell r="G29">
            <v>178</v>
          </cell>
          <cell r="H29">
            <v>287</v>
          </cell>
          <cell r="I29">
            <v>812</v>
          </cell>
          <cell r="J29">
            <v>3747</v>
          </cell>
          <cell r="K29">
            <v>5402.97</v>
          </cell>
          <cell r="L29">
            <v>28186.25</v>
          </cell>
          <cell r="M29">
            <v>0</v>
          </cell>
          <cell r="N29">
            <v>0</v>
          </cell>
          <cell r="O29" t="str">
            <v/>
          </cell>
          <cell r="P29" t="str">
            <v/>
          </cell>
          <cell r="Q29" t="str">
            <v/>
          </cell>
          <cell r="R29" t="str">
            <v/>
          </cell>
          <cell r="V29" t="str">
            <v/>
          </cell>
          <cell r="W29" t="str">
            <v/>
          </cell>
          <cell r="Y29" t="str">
            <v/>
          </cell>
          <cell r="Z29" t="str">
            <v/>
          </cell>
        </row>
        <row r="30">
          <cell r="A30">
            <v>984502</v>
          </cell>
          <cell r="B30">
            <v>30543.9</v>
          </cell>
          <cell r="C30">
            <v>8066.11</v>
          </cell>
          <cell r="E30">
            <v>984502</v>
          </cell>
          <cell r="F30">
            <v>612</v>
          </cell>
          <cell r="G30">
            <v>99</v>
          </cell>
          <cell r="H30">
            <v>287</v>
          </cell>
          <cell r="I30">
            <v>1120</v>
          </cell>
          <cell r="J30">
            <v>5945</v>
          </cell>
          <cell r="K30">
            <v>8066.11</v>
          </cell>
          <cell r="L30">
            <v>30543.9</v>
          </cell>
          <cell r="M30">
            <v>0</v>
          </cell>
          <cell r="N30">
            <v>0</v>
          </cell>
          <cell r="O30" t="str">
            <v/>
          </cell>
          <cell r="P30" t="str">
            <v/>
          </cell>
          <cell r="Q30" t="str">
            <v/>
          </cell>
          <cell r="R30" t="str">
            <v/>
          </cell>
          <cell r="V30" t="str">
            <v/>
          </cell>
          <cell r="W30" t="str">
            <v/>
          </cell>
          <cell r="Y30" t="str">
            <v/>
          </cell>
          <cell r="Z30" t="str">
            <v/>
          </cell>
        </row>
        <row r="31">
          <cell r="A31">
            <v>984517</v>
          </cell>
          <cell r="B31">
            <v>53382.53</v>
          </cell>
          <cell r="C31">
            <v>5501.49</v>
          </cell>
          <cell r="E31">
            <v>984517</v>
          </cell>
          <cell r="F31">
            <v>354</v>
          </cell>
          <cell r="G31">
            <v>172</v>
          </cell>
          <cell r="H31">
            <v>290</v>
          </cell>
          <cell r="I31">
            <v>1476</v>
          </cell>
          <cell r="J31">
            <v>3208</v>
          </cell>
          <cell r="K31">
            <v>5501.49</v>
          </cell>
          <cell r="L31">
            <v>53382.53</v>
          </cell>
          <cell r="M31">
            <v>0</v>
          </cell>
          <cell r="N31">
            <v>0</v>
          </cell>
          <cell r="O31" t="str">
            <v/>
          </cell>
          <cell r="P31" t="str">
            <v/>
          </cell>
          <cell r="Q31" t="str">
            <v/>
          </cell>
          <cell r="R31" t="str">
            <v/>
          </cell>
          <cell r="V31" t="str">
            <v/>
          </cell>
          <cell r="W31" t="str">
            <v/>
          </cell>
          <cell r="Y31" t="str">
            <v/>
          </cell>
          <cell r="Z31" t="str">
            <v/>
          </cell>
        </row>
        <row r="32">
          <cell r="A32">
            <v>984524</v>
          </cell>
          <cell r="B32">
            <v>3746.11</v>
          </cell>
          <cell r="C32">
            <v>1768.51</v>
          </cell>
          <cell r="E32">
            <v>984524</v>
          </cell>
          <cell r="F32">
            <v>409</v>
          </cell>
          <cell r="G32">
            <v>26</v>
          </cell>
          <cell r="H32">
            <v>287</v>
          </cell>
          <cell r="I32">
            <v>244</v>
          </cell>
          <cell r="J32">
            <v>800</v>
          </cell>
          <cell r="K32">
            <v>1768.51</v>
          </cell>
          <cell r="L32">
            <v>3746.11</v>
          </cell>
          <cell r="M32">
            <v>0</v>
          </cell>
          <cell r="N32">
            <v>0</v>
          </cell>
          <cell r="O32" t="str">
            <v/>
          </cell>
          <cell r="P32" t="str">
            <v/>
          </cell>
          <cell r="Q32" t="str">
            <v/>
          </cell>
          <cell r="R32" t="str">
            <v/>
          </cell>
          <cell r="V32" t="str">
            <v/>
          </cell>
          <cell r="W32" t="str">
            <v/>
          </cell>
          <cell r="Y32" t="str">
            <v/>
          </cell>
          <cell r="Z32" t="str">
            <v/>
          </cell>
        </row>
        <row r="33">
          <cell r="A33">
            <v>984538</v>
          </cell>
          <cell r="B33">
            <v>56148.87</v>
          </cell>
          <cell r="C33">
            <v>10836.79</v>
          </cell>
          <cell r="E33">
            <v>984538</v>
          </cell>
          <cell r="F33">
            <v>243</v>
          </cell>
          <cell r="G33">
            <v>193</v>
          </cell>
          <cell r="H33">
            <v>290</v>
          </cell>
          <cell r="I33">
            <v>1616</v>
          </cell>
          <cell r="J33">
            <v>8493</v>
          </cell>
          <cell r="K33">
            <v>10836.79</v>
          </cell>
          <cell r="L33">
            <v>56148.87</v>
          </cell>
          <cell r="M33">
            <v>0</v>
          </cell>
          <cell r="N33">
            <v>0</v>
          </cell>
          <cell r="O33" t="str">
            <v/>
          </cell>
          <cell r="P33" t="str">
            <v/>
          </cell>
          <cell r="Q33" t="str">
            <v/>
          </cell>
          <cell r="R33" t="str">
            <v/>
          </cell>
          <cell r="V33" t="str">
            <v/>
          </cell>
          <cell r="W33" t="str">
            <v/>
          </cell>
          <cell r="Y33" t="str">
            <v/>
          </cell>
          <cell r="Z33" t="str">
            <v/>
          </cell>
        </row>
        <row r="34">
          <cell r="A34">
            <v>984570</v>
          </cell>
          <cell r="B34">
            <v>28584.09</v>
          </cell>
          <cell r="C34">
            <v>5475.07</v>
          </cell>
          <cell r="E34">
            <v>984570</v>
          </cell>
          <cell r="F34">
            <v>128</v>
          </cell>
          <cell r="G34">
            <v>92</v>
          </cell>
          <cell r="H34">
            <v>290</v>
          </cell>
          <cell r="I34">
            <v>907</v>
          </cell>
          <cell r="J34">
            <v>4056</v>
          </cell>
          <cell r="K34">
            <v>5475.07</v>
          </cell>
          <cell r="L34">
            <v>28584.09</v>
          </cell>
          <cell r="M34">
            <v>0</v>
          </cell>
          <cell r="N34">
            <v>0</v>
          </cell>
          <cell r="O34" t="str">
            <v/>
          </cell>
          <cell r="P34" t="str">
            <v/>
          </cell>
          <cell r="Q34" t="str">
            <v/>
          </cell>
          <cell r="R34" t="str">
            <v/>
          </cell>
          <cell r="V34" t="str">
            <v/>
          </cell>
          <cell r="W34" t="str">
            <v/>
          </cell>
          <cell r="Y34" t="str">
            <v/>
          </cell>
          <cell r="Z34" t="str">
            <v/>
          </cell>
        </row>
        <row r="35">
          <cell r="A35">
            <v>984574</v>
          </cell>
          <cell r="B35">
            <v>10754.32</v>
          </cell>
          <cell r="C35">
            <v>2532.64</v>
          </cell>
          <cell r="E35">
            <v>984574</v>
          </cell>
          <cell r="F35">
            <v>167</v>
          </cell>
          <cell r="G35">
            <v>35</v>
          </cell>
          <cell r="H35">
            <v>290</v>
          </cell>
          <cell r="I35">
            <v>497</v>
          </cell>
          <cell r="J35">
            <v>1542</v>
          </cell>
          <cell r="K35">
            <v>2532.64</v>
          </cell>
          <cell r="L35">
            <v>10754.32</v>
          </cell>
          <cell r="M35">
            <v>0</v>
          </cell>
          <cell r="N35">
            <v>0</v>
          </cell>
          <cell r="O35" t="str">
            <v/>
          </cell>
          <cell r="P35" t="str">
            <v/>
          </cell>
          <cell r="Q35" t="str">
            <v/>
          </cell>
          <cell r="R35" t="str">
            <v/>
          </cell>
          <cell r="V35" t="str">
            <v/>
          </cell>
          <cell r="W35" t="str">
            <v/>
          </cell>
          <cell r="Y35" t="str">
            <v/>
          </cell>
          <cell r="Z35" t="str">
            <v/>
          </cell>
        </row>
        <row r="36">
          <cell r="A36">
            <v>984583</v>
          </cell>
          <cell r="B36">
            <v>12948.94</v>
          </cell>
          <cell r="C36">
            <v>2878.2</v>
          </cell>
          <cell r="E36">
            <v>984583</v>
          </cell>
          <cell r="F36">
            <v>113</v>
          </cell>
          <cell r="G36">
            <v>80</v>
          </cell>
          <cell r="H36">
            <v>287</v>
          </cell>
          <cell r="I36">
            <v>427</v>
          </cell>
          <cell r="J36">
            <v>1968</v>
          </cell>
          <cell r="K36">
            <v>2878.2</v>
          </cell>
          <cell r="L36">
            <v>12948.94</v>
          </cell>
          <cell r="M36">
            <v>0</v>
          </cell>
          <cell r="N36">
            <v>0</v>
          </cell>
          <cell r="O36" t="str">
            <v/>
          </cell>
          <cell r="P36" t="str">
            <v/>
          </cell>
          <cell r="Q36" t="str">
            <v/>
          </cell>
          <cell r="R36" t="str">
            <v/>
          </cell>
          <cell r="V36" t="str">
            <v/>
          </cell>
          <cell r="W36" t="str">
            <v/>
          </cell>
          <cell r="Y36" t="str">
            <v/>
          </cell>
          <cell r="Z36" t="str">
            <v/>
          </cell>
        </row>
        <row r="37">
          <cell r="A37">
            <v>984590</v>
          </cell>
          <cell r="B37">
            <v>166975.89000000001</v>
          </cell>
          <cell r="C37">
            <v>73217.95</v>
          </cell>
          <cell r="E37">
            <v>984590</v>
          </cell>
          <cell r="F37">
            <v>16306</v>
          </cell>
          <cell r="G37">
            <v>1142</v>
          </cell>
          <cell r="H37">
            <v>290</v>
          </cell>
          <cell r="I37">
            <v>2598</v>
          </cell>
          <cell r="J37">
            <v>35228</v>
          </cell>
          <cell r="K37">
            <v>73217.95</v>
          </cell>
          <cell r="L37">
            <v>166975.89000000001</v>
          </cell>
          <cell r="M37">
            <v>17651</v>
          </cell>
          <cell r="N37">
            <v>0</v>
          </cell>
          <cell r="O37" t="str">
            <v/>
          </cell>
          <cell r="P37" t="str">
            <v/>
          </cell>
          <cell r="Q37" t="str">
            <v/>
          </cell>
          <cell r="R37" t="str">
            <v/>
          </cell>
          <cell r="V37" t="str">
            <v/>
          </cell>
          <cell r="W37" t="str">
            <v/>
          </cell>
          <cell r="Y37" t="str">
            <v/>
          </cell>
          <cell r="Z37" t="str">
            <v/>
          </cell>
        </row>
        <row r="38">
          <cell r="A38">
            <v>984592</v>
          </cell>
          <cell r="B38">
            <v>273761.36</v>
          </cell>
          <cell r="C38">
            <v>43163.67</v>
          </cell>
          <cell r="E38">
            <v>984592</v>
          </cell>
          <cell r="F38">
            <v>1545</v>
          </cell>
          <cell r="G38">
            <v>888</v>
          </cell>
          <cell r="H38">
            <v>290</v>
          </cell>
          <cell r="I38">
            <v>6522</v>
          </cell>
          <cell r="J38">
            <v>33916</v>
          </cell>
          <cell r="K38">
            <v>43163.67</v>
          </cell>
          <cell r="L38">
            <v>273761.36</v>
          </cell>
          <cell r="M38">
            <v>0</v>
          </cell>
          <cell r="N38">
            <v>0</v>
          </cell>
          <cell r="O38" t="str">
            <v/>
          </cell>
          <cell r="P38" t="str">
            <v/>
          </cell>
          <cell r="Q38" t="str">
            <v/>
          </cell>
          <cell r="R38" t="str">
            <v/>
          </cell>
          <cell r="V38" t="str">
            <v/>
          </cell>
          <cell r="W38" t="str">
            <v/>
          </cell>
          <cell r="Y38" t="str">
            <v/>
          </cell>
          <cell r="Z38" t="str">
            <v/>
          </cell>
        </row>
        <row r="39">
          <cell r="A39">
            <v>984593</v>
          </cell>
          <cell r="B39">
            <v>23851.81</v>
          </cell>
          <cell r="C39">
            <v>4689.22</v>
          </cell>
          <cell r="E39">
            <v>984593</v>
          </cell>
          <cell r="F39">
            <v>133</v>
          </cell>
          <cell r="G39">
            <v>77</v>
          </cell>
          <cell r="H39">
            <v>290</v>
          </cell>
          <cell r="I39">
            <v>800</v>
          </cell>
          <cell r="J39">
            <v>3388</v>
          </cell>
          <cell r="K39">
            <v>4689.22</v>
          </cell>
          <cell r="L39">
            <v>23851.81</v>
          </cell>
          <cell r="M39">
            <v>0</v>
          </cell>
          <cell r="N39">
            <v>0</v>
          </cell>
          <cell r="O39" t="str">
            <v/>
          </cell>
          <cell r="P39" t="str">
            <v/>
          </cell>
          <cell r="Q39" t="str">
            <v/>
          </cell>
          <cell r="R39" t="str">
            <v/>
          </cell>
          <cell r="V39" t="str">
            <v/>
          </cell>
          <cell r="W39" t="str">
            <v/>
          </cell>
          <cell r="Y39" t="str">
            <v/>
          </cell>
          <cell r="Z39" t="str">
            <v/>
          </cell>
        </row>
        <row r="40">
          <cell r="A40">
            <v>984598</v>
          </cell>
          <cell r="B40">
            <v>34437.550000000003</v>
          </cell>
          <cell r="C40">
            <v>8239.2800000000007</v>
          </cell>
          <cell r="E40">
            <v>984598</v>
          </cell>
          <cell r="F40">
            <v>63</v>
          </cell>
          <cell r="G40">
            <v>214</v>
          </cell>
          <cell r="H40">
            <v>287</v>
          </cell>
          <cell r="I40">
            <v>1075</v>
          </cell>
          <cell r="J40">
            <v>6597</v>
          </cell>
          <cell r="K40">
            <v>8239.2800000000007</v>
          </cell>
          <cell r="L40">
            <v>34437.550000000003</v>
          </cell>
          <cell r="M40">
            <v>0</v>
          </cell>
          <cell r="N40">
            <v>0</v>
          </cell>
          <cell r="O40" t="str">
            <v/>
          </cell>
          <cell r="P40" t="str">
            <v/>
          </cell>
          <cell r="Q40" t="str">
            <v/>
          </cell>
          <cell r="R40" t="str">
            <v/>
          </cell>
          <cell r="V40" t="str">
            <v/>
          </cell>
          <cell r="W40" t="str">
            <v/>
          </cell>
          <cell r="Y40" t="str">
            <v/>
          </cell>
          <cell r="Z40" t="str">
            <v/>
          </cell>
        </row>
        <row r="41">
          <cell r="A41">
            <v>984603</v>
          </cell>
          <cell r="B41">
            <v>2156.94</v>
          </cell>
          <cell r="C41">
            <v>2760.77</v>
          </cell>
          <cell r="E41">
            <v>984603</v>
          </cell>
          <cell r="F41">
            <v>213</v>
          </cell>
          <cell r="G41">
            <v>22</v>
          </cell>
          <cell r="H41">
            <v>422</v>
          </cell>
          <cell r="I41">
            <v>214</v>
          </cell>
          <cell r="J41">
            <v>694</v>
          </cell>
          <cell r="K41">
            <v>2760.77</v>
          </cell>
          <cell r="L41">
            <v>2156.94</v>
          </cell>
          <cell r="M41">
            <v>347</v>
          </cell>
          <cell r="N41">
            <v>845</v>
          </cell>
          <cell r="O41" t="str">
            <v/>
          </cell>
          <cell r="P41" t="str">
            <v/>
          </cell>
          <cell r="Q41" t="str">
            <v/>
          </cell>
          <cell r="R41" t="str">
            <v/>
          </cell>
          <cell r="V41" t="str">
            <v/>
          </cell>
          <cell r="W41" t="str">
            <v/>
          </cell>
          <cell r="Y41" t="str">
            <v/>
          </cell>
          <cell r="Z41" t="str">
            <v/>
          </cell>
        </row>
        <row r="42">
          <cell r="A42">
            <v>984605</v>
          </cell>
          <cell r="B42">
            <v>8447.1200000000008</v>
          </cell>
          <cell r="C42">
            <v>2066.7399999999998</v>
          </cell>
          <cell r="E42">
            <v>984605</v>
          </cell>
          <cell r="F42">
            <v>144</v>
          </cell>
          <cell r="G42">
            <v>27</v>
          </cell>
          <cell r="H42">
            <v>290</v>
          </cell>
          <cell r="I42">
            <v>392</v>
          </cell>
          <cell r="J42">
            <v>1212</v>
          </cell>
          <cell r="K42">
            <v>2066.7399999999998</v>
          </cell>
          <cell r="L42">
            <v>8447.1200000000008</v>
          </cell>
          <cell r="M42">
            <v>0</v>
          </cell>
          <cell r="N42">
            <v>0</v>
          </cell>
          <cell r="O42" t="str">
            <v/>
          </cell>
          <cell r="P42" t="str">
            <v/>
          </cell>
          <cell r="Q42" t="str">
            <v/>
          </cell>
          <cell r="R42" t="str">
            <v/>
          </cell>
          <cell r="V42" t="str">
            <v/>
          </cell>
          <cell r="W42" t="str">
            <v/>
          </cell>
          <cell r="Y42" t="str">
            <v/>
          </cell>
          <cell r="Z42" t="str">
            <v/>
          </cell>
        </row>
        <row r="43">
          <cell r="A43">
            <v>984614</v>
          </cell>
          <cell r="B43">
            <v>21412.51</v>
          </cell>
          <cell r="C43">
            <v>4336.1400000000003</v>
          </cell>
          <cell r="E43">
            <v>984614</v>
          </cell>
          <cell r="F43">
            <v>116</v>
          </cell>
          <cell r="G43">
            <v>134</v>
          </cell>
          <cell r="H43">
            <v>290</v>
          </cell>
          <cell r="I43">
            <v>746</v>
          </cell>
          <cell r="J43">
            <v>3049</v>
          </cell>
          <cell r="K43">
            <v>4336.1400000000003</v>
          </cell>
          <cell r="L43">
            <v>21412.51</v>
          </cell>
          <cell r="M43">
            <v>0</v>
          </cell>
          <cell r="N43">
            <v>0</v>
          </cell>
          <cell r="O43" t="str">
            <v/>
          </cell>
          <cell r="P43" t="str">
            <v/>
          </cell>
          <cell r="Q43" t="str">
            <v/>
          </cell>
          <cell r="R43" t="str">
            <v/>
          </cell>
          <cell r="V43" t="str">
            <v/>
          </cell>
          <cell r="W43" t="str">
            <v/>
          </cell>
          <cell r="Y43" t="str">
            <v/>
          </cell>
          <cell r="Z43" t="str">
            <v/>
          </cell>
        </row>
        <row r="44">
          <cell r="A44">
            <v>984615</v>
          </cell>
          <cell r="B44">
            <v>3448.51</v>
          </cell>
          <cell r="C44">
            <v>1445.84</v>
          </cell>
          <cell r="E44">
            <v>984615</v>
          </cell>
          <cell r="F44">
            <v>151</v>
          </cell>
          <cell r="G44">
            <v>22</v>
          </cell>
          <cell r="H44">
            <v>290</v>
          </cell>
          <cell r="I44">
            <v>214</v>
          </cell>
          <cell r="J44">
            <v>767</v>
          </cell>
          <cell r="K44">
            <v>1445.84</v>
          </cell>
          <cell r="L44">
            <v>3448.51</v>
          </cell>
          <cell r="M44">
            <v>0</v>
          </cell>
          <cell r="N44">
            <v>0</v>
          </cell>
          <cell r="O44" t="str">
            <v/>
          </cell>
          <cell r="P44" t="str">
            <v/>
          </cell>
          <cell r="Q44" t="str">
            <v/>
          </cell>
          <cell r="R44" t="str">
            <v/>
          </cell>
          <cell r="V44" t="str">
            <v/>
          </cell>
          <cell r="W44" t="str">
            <v/>
          </cell>
          <cell r="Y44" t="str">
            <v/>
          </cell>
          <cell r="Z44" t="str">
            <v/>
          </cell>
        </row>
        <row r="45">
          <cell r="A45">
            <v>984619</v>
          </cell>
          <cell r="B45">
            <v>20929.04</v>
          </cell>
          <cell r="C45">
            <v>6201.03</v>
          </cell>
          <cell r="E45">
            <v>984619</v>
          </cell>
          <cell r="F45">
            <v>866</v>
          </cell>
          <cell r="G45">
            <v>135</v>
          </cell>
          <cell r="H45">
            <v>290</v>
          </cell>
          <cell r="I45">
            <v>752</v>
          </cell>
          <cell r="J45">
            <v>4156</v>
          </cell>
          <cell r="K45">
            <v>6201.03</v>
          </cell>
          <cell r="L45">
            <v>20929.04</v>
          </cell>
          <cell r="M45">
            <v>0</v>
          </cell>
          <cell r="N45">
            <v>0</v>
          </cell>
          <cell r="O45" t="str">
            <v/>
          </cell>
          <cell r="P45" t="str">
            <v/>
          </cell>
          <cell r="Q45" t="str">
            <v/>
          </cell>
          <cell r="R45" t="str">
            <v/>
          </cell>
          <cell r="V45" t="str">
            <v/>
          </cell>
          <cell r="W45" t="str">
            <v/>
          </cell>
          <cell r="Y45" t="str">
            <v/>
          </cell>
          <cell r="Z45" t="str">
            <v/>
          </cell>
        </row>
        <row r="46">
          <cell r="A46">
            <v>984620</v>
          </cell>
          <cell r="B46">
            <v>12849</v>
          </cell>
          <cell r="C46">
            <v>4580.37</v>
          </cell>
          <cell r="E46">
            <v>984620</v>
          </cell>
          <cell r="F46">
            <v>1028</v>
          </cell>
          <cell r="G46">
            <v>84</v>
          </cell>
          <cell r="H46">
            <v>290</v>
          </cell>
          <cell r="I46">
            <v>572</v>
          </cell>
          <cell r="J46">
            <v>2605</v>
          </cell>
          <cell r="K46">
            <v>4580.37</v>
          </cell>
          <cell r="L46">
            <v>12849</v>
          </cell>
          <cell r="M46">
            <v>0</v>
          </cell>
          <cell r="N46">
            <v>0</v>
          </cell>
          <cell r="O46" t="str">
            <v/>
          </cell>
          <cell r="P46" t="str">
            <v/>
          </cell>
          <cell r="Q46" t="str">
            <v/>
          </cell>
          <cell r="R46" t="str">
            <v/>
          </cell>
          <cell r="V46" t="str">
            <v/>
          </cell>
          <cell r="W46" t="str">
            <v/>
          </cell>
          <cell r="Y46" t="str">
            <v/>
          </cell>
          <cell r="Z46" t="str">
            <v/>
          </cell>
        </row>
        <row r="47">
          <cell r="A47">
            <v>984640</v>
          </cell>
          <cell r="B47">
            <v>7050.19</v>
          </cell>
          <cell r="C47">
            <v>2693.06</v>
          </cell>
          <cell r="E47">
            <v>984640</v>
          </cell>
          <cell r="F47">
            <v>429</v>
          </cell>
          <cell r="G47">
            <v>46</v>
          </cell>
          <cell r="H47">
            <v>290</v>
          </cell>
          <cell r="I47">
            <v>342</v>
          </cell>
          <cell r="J47">
            <v>1584</v>
          </cell>
          <cell r="K47">
            <v>2693.06</v>
          </cell>
          <cell r="L47">
            <v>7050.19</v>
          </cell>
          <cell r="M47">
            <v>0</v>
          </cell>
          <cell r="N47">
            <v>0</v>
          </cell>
          <cell r="O47" t="str">
            <v/>
          </cell>
          <cell r="P47" t="str">
            <v/>
          </cell>
          <cell r="Q47" t="str">
            <v/>
          </cell>
          <cell r="R47" t="str">
            <v/>
          </cell>
          <cell r="V47" t="str">
            <v/>
          </cell>
          <cell r="W47" t="str">
            <v/>
          </cell>
          <cell r="Y47" t="str">
            <v/>
          </cell>
          <cell r="Z47" t="str">
            <v/>
          </cell>
        </row>
        <row r="48">
          <cell r="A48">
            <v>984642</v>
          </cell>
          <cell r="B48">
            <v>662644.32999999996</v>
          </cell>
          <cell r="C48">
            <v>55411.02</v>
          </cell>
          <cell r="E48">
            <v>984642</v>
          </cell>
          <cell r="F48">
            <v>1263</v>
          </cell>
          <cell r="G48">
            <v>4182</v>
          </cell>
          <cell r="H48">
            <v>290</v>
          </cell>
          <cell r="I48">
            <v>15529</v>
          </cell>
          <cell r="J48">
            <v>34145</v>
          </cell>
          <cell r="K48">
            <v>55411.02</v>
          </cell>
          <cell r="L48">
            <v>662644.32999999996</v>
          </cell>
          <cell r="M48">
            <v>0</v>
          </cell>
          <cell r="N48">
            <v>0</v>
          </cell>
          <cell r="O48" t="str">
            <v/>
          </cell>
          <cell r="P48" t="str">
            <v/>
          </cell>
          <cell r="Q48" t="str">
            <v/>
          </cell>
          <cell r="R48" t="str">
            <v/>
          </cell>
          <cell r="V48" t="str">
            <v/>
          </cell>
          <cell r="W48" t="str">
            <v/>
          </cell>
          <cell r="Y48" t="str">
            <v/>
          </cell>
          <cell r="Z48" t="str">
            <v/>
          </cell>
        </row>
        <row r="49">
          <cell r="A49">
            <v>984650</v>
          </cell>
          <cell r="B49">
            <v>561.30999999999995</v>
          </cell>
          <cell r="C49">
            <v>701.55</v>
          </cell>
          <cell r="E49">
            <v>984650</v>
          </cell>
          <cell r="F49">
            <v>131</v>
          </cell>
          <cell r="G49">
            <v>2</v>
          </cell>
          <cell r="H49">
            <v>287</v>
          </cell>
          <cell r="I49">
            <v>147</v>
          </cell>
          <cell r="J49">
            <v>131</v>
          </cell>
          <cell r="K49">
            <v>701.55</v>
          </cell>
          <cell r="L49">
            <v>561.30999999999995</v>
          </cell>
          <cell r="M49">
            <v>0</v>
          </cell>
          <cell r="N49">
            <v>0</v>
          </cell>
          <cell r="O49" t="str">
            <v/>
          </cell>
          <cell r="P49" t="str">
            <v/>
          </cell>
          <cell r="Q49" t="str">
            <v/>
          </cell>
          <cell r="R49" t="str">
            <v/>
          </cell>
          <cell r="V49" t="str">
            <v/>
          </cell>
          <cell r="W49" t="str">
            <v/>
          </cell>
          <cell r="Y49" t="str">
            <v/>
          </cell>
          <cell r="Z49" t="str">
            <v/>
          </cell>
        </row>
        <row r="50">
          <cell r="A50">
            <v>984654</v>
          </cell>
          <cell r="B50">
            <v>83177.06</v>
          </cell>
          <cell r="C50">
            <v>31906.31</v>
          </cell>
          <cell r="E50">
            <v>984654</v>
          </cell>
          <cell r="F50">
            <v>10258</v>
          </cell>
          <cell r="G50">
            <v>580</v>
          </cell>
          <cell r="H50">
            <v>659</v>
          </cell>
          <cell r="I50">
            <v>629</v>
          </cell>
          <cell r="J50">
            <v>19780</v>
          </cell>
          <cell r="K50">
            <v>31906.31</v>
          </cell>
          <cell r="L50">
            <v>83177.06</v>
          </cell>
          <cell r="M50">
            <v>0</v>
          </cell>
          <cell r="N50">
            <v>0</v>
          </cell>
          <cell r="O50" t="str">
            <v/>
          </cell>
          <cell r="P50" t="str">
            <v/>
          </cell>
          <cell r="Q50" t="str">
            <v/>
          </cell>
          <cell r="R50" t="str">
            <v/>
          </cell>
          <cell r="V50" t="str">
            <v/>
          </cell>
          <cell r="W50" t="str">
            <v/>
          </cell>
          <cell r="Y50" t="str">
            <v/>
          </cell>
          <cell r="Z50" t="str">
            <v/>
          </cell>
        </row>
        <row r="51">
          <cell r="A51">
            <v>984662</v>
          </cell>
          <cell r="B51">
            <v>385.71</v>
          </cell>
          <cell r="C51">
            <v>743.31</v>
          </cell>
          <cell r="E51">
            <v>984662</v>
          </cell>
          <cell r="F51">
            <v>151</v>
          </cell>
          <cell r="G51">
            <v>3</v>
          </cell>
          <cell r="H51">
            <v>290</v>
          </cell>
          <cell r="I51">
            <v>144</v>
          </cell>
          <cell r="J51">
            <v>103</v>
          </cell>
          <cell r="K51">
            <v>743.31</v>
          </cell>
          <cell r="L51">
            <v>385.71</v>
          </cell>
          <cell r="M51">
            <v>51</v>
          </cell>
          <cell r="N51">
            <v>0</v>
          </cell>
          <cell r="O51" t="str">
            <v/>
          </cell>
          <cell r="P51" t="str">
            <v/>
          </cell>
          <cell r="Q51" t="str">
            <v/>
          </cell>
          <cell r="R51" t="str">
            <v/>
          </cell>
          <cell r="V51" t="str">
            <v/>
          </cell>
          <cell r="W51" t="str">
            <v/>
          </cell>
          <cell r="Y51" t="str">
            <v/>
          </cell>
          <cell r="Z51" t="str">
            <v/>
          </cell>
        </row>
        <row r="52">
          <cell r="A52">
            <v>984664</v>
          </cell>
          <cell r="B52">
            <v>4953.8100000000004</v>
          </cell>
          <cell r="C52">
            <v>1695.54</v>
          </cell>
          <cell r="E52">
            <v>984664</v>
          </cell>
          <cell r="F52">
            <v>108</v>
          </cell>
          <cell r="G52">
            <v>31</v>
          </cell>
          <cell r="H52">
            <v>290</v>
          </cell>
          <cell r="I52">
            <v>248</v>
          </cell>
          <cell r="J52">
            <v>1017</v>
          </cell>
          <cell r="K52">
            <v>1695.54</v>
          </cell>
          <cell r="L52">
            <v>4953.8100000000004</v>
          </cell>
          <cell r="M52">
            <v>0</v>
          </cell>
          <cell r="N52">
            <v>0</v>
          </cell>
          <cell r="O52" t="str">
            <v/>
          </cell>
          <cell r="P52" t="str">
            <v/>
          </cell>
          <cell r="Q52" t="str">
            <v/>
          </cell>
          <cell r="R52" t="str">
            <v/>
          </cell>
          <cell r="V52" t="str">
            <v/>
          </cell>
          <cell r="W52" t="str">
            <v/>
          </cell>
          <cell r="Y52" t="str">
            <v/>
          </cell>
          <cell r="Z52" t="str">
            <v/>
          </cell>
        </row>
        <row r="53">
          <cell r="A53">
            <v>984665</v>
          </cell>
          <cell r="B53">
            <v>1287.21</v>
          </cell>
          <cell r="C53">
            <v>1018.56</v>
          </cell>
          <cell r="E53">
            <v>984665</v>
          </cell>
          <cell r="F53">
            <v>249</v>
          </cell>
          <cell r="G53">
            <v>9</v>
          </cell>
          <cell r="H53">
            <v>290</v>
          </cell>
          <cell r="I53">
            <v>167</v>
          </cell>
          <cell r="J53">
            <v>301</v>
          </cell>
          <cell r="K53">
            <v>1018.56</v>
          </cell>
          <cell r="L53">
            <v>1287.21</v>
          </cell>
          <cell r="M53">
            <v>0</v>
          </cell>
          <cell r="N53">
            <v>0</v>
          </cell>
          <cell r="O53" t="str">
            <v/>
          </cell>
          <cell r="P53" t="str">
            <v/>
          </cell>
          <cell r="Q53" t="str">
            <v/>
          </cell>
          <cell r="R53" t="str">
            <v/>
          </cell>
          <cell r="V53" t="str">
            <v/>
          </cell>
          <cell r="W53" t="str">
            <v/>
          </cell>
          <cell r="Y53" t="str">
            <v/>
          </cell>
          <cell r="Z53" t="str">
            <v/>
          </cell>
        </row>
        <row r="54">
          <cell r="A54">
            <v>984666</v>
          </cell>
          <cell r="B54">
            <v>4533.91</v>
          </cell>
          <cell r="C54">
            <v>2628.95</v>
          </cell>
          <cell r="E54">
            <v>984666</v>
          </cell>
          <cell r="F54">
            <v>970</v>
          </cell>
          <cell r="G54">
            <v>34</v>
          </cell>
          <cell r="H54">
            <v>290</v>
          </cell>
          <cell r="I54">
            <v>259</v>
          </cell>
          <cell r="J54">
            <v>1073</v>
          </cell>
          <cell r="K54">
            <v>2628.95</v>
          </cell>
          <cell r="L54">
            <v>4533.91</v>
          </cell>
          <cell r="M54">
            <v>0</v>
          </cell>
          <cell r="N54">
            <v>0</v>
          </cell>
          <cell r="O54" t="str">
            <v/>
          </cell>
          <cell r="P54" t="str">
            <v/>
          </cell>
          <cell r="Q54" t="str">
            <v/>
          </cell>
          <cell r="R54" t="str">
            <v/>
          </cell>
          <cell r="V54" t="str">
            <v/>
          </cell>
          <cell r="W54" t="str">
            <v/>
          </cell>
          <cell r="Y54" t="str">
            <v/>
          </cell>
          <cell r="Z54" t="str">
            <v/>
          </cell>
        </row>
        <row r="55">
          <cell r="A55">
            <v>984667</v>
          </cell>
          <cell r="B55">
            <v>189.32</v>
          </cell>
          <cell r="C55">
            <v>611.33000000000004</v>
          </cell>
          <cell r="E55">
            <v>984667</v>
          </cell>
          <cell r="F55">
            <v>128</v>
          </cell>
          <cell r="G55">
            <v>1</v>
          </cell>
          <cell r="H55">
            <v>290</v>
          </cell>
          <cell r="I55">
            <v>144</v>
          </cell>
          <cell r="J55">
            <v>46</v>
          </cell>
          <cell r="K55">
            <v>611.33000000000004</v>
          </cell>
          <cell r="L55">
            <v>189.32</v>
          </cell>
          <cell r="M55">
            <v>0</v>
          </cell>
          <cell r="N55">
            <v>0</v>
          </cell>
          <cell r="O55" t="str">
            <v/>
          </cell>
          <cell r="P55" t="str">
            <v/>
          </cell>
          <cell r="Q55" t="str">
            <v/>
          </cell>
          <cell r="R55" t="str">
            <v/>
          </cell>
          <cell r="V55" t="str">
            <v/>
          </cell>
          <cell r="W55" t="str">
            <v/>
          </cell>
          <cell r="Y55" t="str">
            <v/>
          </cell>
          <cell r="Z55" t="str">
            <v/>
          </cell>
        </row>
        <row r="56">
          <cell r="A56">
            <v>984668</v>
          </cell>
          <cell r="B56">
            <v>3304.36</v>
          </cell>
          <cell r="C56">
            <v>1951.25</v>
          </cell>
          <cell r="E56">
            <v>984668</v>
          </cell>
          <cell r="F56">
            <v>657</v>
          </cell>
          <cell r="G56">
            <v>24</v>
          </cell>
          <cell r="H56">
            <v>287</v>
          </cell>
          <cell r="I56">
            <v>221</v>
          </cell>
          <cell r="J56">
            <v>759</v>
          </cell>
          <cell r="K56">
            <v>1951.25</v>
          </cell>
          <cell r="L56">
            <v>3304.36</v>
          </cell>
          <cell r="M56">
            <v>0</v>
          </cell>
          <cell r="N56">
            <v>0</v>
          </cell>
          <cell r="O56" t="str">
            <v/>
          </cell>
          <cell r="P56" t="str">
            <v/>
          </cell>
          <cell r="Q56" t="str">
            <v/>
          </cell>
          <cell r="R56" t="str">
            <v/>
          </cell>
          <cell r="V56" t="str">
            <v/>
          </cell>
          <cell r="W56" t="str">
            <v/>
          </cell>
          <cell r="Y56" t="str">
            <v/>
          </cell>
          <cell r="Z56" t="str">
            <v/>
          </cell>
        </row>
        <row r="57">
          <cell r="A57">
            <v>984669</v>
          </cell>
          <cell r="B57">
            <v>12693.44</v>
          </cell>
          <cell r="C57">
            <v>3143.85</v>
          </cell>
          <cell r="E57">
            <v>984669</v>
          </cell>
          <cell r="F57">
            <v>409</v>
          </cell>
          <cell r="G57">
            <v>42</v>
          </cell>
          <cell r="H57">
            <v>290</v>
          </cell>
          <cell r="I57">
            <v>553</v>
          </cell>
          <cell r="J57">
            <v>1848</v>
          </cell>
          <cell r="K57">
            <v>3143.85</v>
          </cell>
          <cell r="L57">
            <v>12693.44</v>
          </cell>
          <cell r="M57">
            <v>0</v>
          </cell>
          <cell r="N57">
            <v>0</v>
          </cell>
          <cell r="O57" t="str">
            <v/>
          </cell>
          <cell r="P57" t="str">
            <v/>
          </cell>
          <cell r="Q57" t="str">
            <v/>
          </cell>
          <cell r="R57" t="str">
            <v/>
          </cell>
          <cell r="V57" t="str">
            <v/>
          </cell>
          <cell r="W57" t="str">
            <v/>
          </cell>
          <cell r="Y57" t="str">
            <v/>
          </cell>
          <cell r="Z57" t="str">
            <v/>
          </cell>
        </row>
        <row r="58">
          <cell r="A58">
            <v>984670</v>
          </cell>
          <cell r="B58">
            <v>1493768.81</v>
          </cell>
          <cell r="C58">
            <v>362251.13</v>
          </cell>
          <cell r="E58">
            <v>984670</v>
          </cell>
          <cell r="F58">
            <v>93568</v>
          </cell>
          <cell r="G58">
            <v>10193</v>
          </cell>
          <cell r="H58">
            <v>290</v>
          </cell>
          <cell r="I58">
            <v>37241</v>
          </cell>
          <cell r="J58">
            <v>82447</v>
          </cell>
          <cell r="K58">
            <v>362251.13</v>
          </cell>
          <cell r="L58">
            <v>1493768.81</v>
          </cell>
          <cell r="M58">
            <v>138511</v>
          </cell>
          <cell r="N58">
            <v>0</v>
          </cell>
          <cell r="O58" t="str">
            <v/>
          </cell>
          <cell r="P58" t="str">
            <v/>
          </cell>
          <cell r="Q58" t="str">
            <v/>
          </cell>
          <cell r="R58" t="str">
            <v/>
          </cell>
          <cell r="V58" t="str">
            <v/>
          </cell>
          <cell r="W58" t="str">
            <v/>
          </cell>
          <cell r="Y58" t="str">
            <v/>
          </cell>
          <cell r="Z58" t="str">
            <v/>
          </cell>
        </row>
        <row r="59">
          <cell r="A59">
            <v>984673</v>
          </cell>
          <cell r="B59">
            <v>12777.49</v>
          </cell>
          <cell r="C59">
            <v>3683.03</v>
          </cell>
          <cell r="E59">
            <v>984673</v>
          </cell>
          <cell r="F59">
            <v>244</v>
          </cell>
          <cell r="G59">
            <v>81</v>
          </cell>
          <cell r="H59">
            <v>290</v>
          </cell>
          <cell r="I59">
            <v>553</v>
          </cell>
          <cell r="J59">
            <v>2513</v>
          </cell>
          <cell r="K59">
            <v>3683.03</v>
          </cell>
          <cell r="L59">
            <v>12777.49</v>
          </cell>
          <cell r="M59">
            <v>0</v>
          </cell>
          <cell r="N59">
            <v>0</v>
          </cell>
          <cell r="O59" t="str">
            <v/>
          </cell>
          <cell r="P59" t="str">
            <v/>
          </cell>
          <cell r="Q59" t="str">
            <v/>
          </cell>
          <cell r="R59" t="str">
            <v/>
          </cell>
          <cell r="V59" t="str">
            <v/>
          </cell>
          <cell r="W59" t="str">
            <v/>
          </cell>
          <cell r="Y59" t="str">
            <v/>
          </cell>
          <cell r="Z59" t="str">
            <v/>
          </cell>
        </row>
        <row r="60">
          <cell r="A60">
            <v>984675</v>
          </cell>
          <cell r="B60">
            <v>1022.81</v>
          </cell>
          <cell r="C60">
            <v>739.39</v>
          </cell>
          <cell r="E60">
            <v>984675</v>
          </cell>
          <cell r="F60">
            <v>117</v>
          </cell>
          <cell r="G60">
            <v>3</v>
          </cell>
          <cell r="H60">
            <v>287</v>
          </cell>
          <cell r="I60">
            <v>157</v>
          </cell>
          <cell r="J60">
            <v>172</v>
          </cell>
          <cell r="K60">
            <v>739.39</v>
          </cell>
          <cell r="L60">
            <v>1022.81</v>
          </cell>
          <cell r="M60">
            <v>0</v>
          </cell>
          <cell r="N60">
            <v>0</v>
          </cell>
          <cell r="O60" t="str">
            <v/>
          </cell>
          <cell r="P60" t="str">
            <v/>
          </cell>
          <cell r="Q60" t="str">
            <v/>
          </cell>
          <cell r="R60" t="str">
            <v/>
          </cell>
          <cell r="V60" t="str">
            <v/>
          </cell>
          <cell r="W60" t="str">
            <v/>
          </cell>
          <cell r="Y60" t="str">
            <v/>
          </cell>
          <cell r="Z60" t="str">
            <v/>
          </cell>
        </row>
        <row r="61">
          <cell r="A61">
            <v>984677</v>
          </cell>
          <cell r="B61">
            <v>54371.08</v>
          </cell>
          <cell r="C61">
            <v>13674.49</v>
          </cell>
          <cell r="E61">
            <v>984677</v>
          </cell>
          <cell r="F61">
            <v>1076</v>
          </cell>
          <cell r="G61">
            <v>178</v>
          </cell>
          <cell r="H61">
            <v>290</v>
          </cell>
          <cell r="I61">
            <v>1513</v>
          </cell>
          <cell r="J61">
            <v>10616</v>
          </cell>
          <cell r="K61">
            <v>13674.49</v>
          </cell>
          <cell r="L61">
            <v>54371.08</v>
          </cell>
          <cell r="M61">
            <v>0</v>
          </cell>
          <cell r="N61">
            <v>0</v>
          </cell>
          <cell r="O61" t="str">
            <v/>
          </cell>
          <cell r="P61" t="str">
            <v/>
          </cell>
          <cell r="Q61" t="str">
            <v/>
          </cell>
          <cell r="R61" t="str">
            <v/>
          </cell>
          <cell r="V61" t="str">
            <v/>
          </cell>
          <cell r="W61" t="str">
            <v/>
          </cell>
          <cell r="Y61" t="str">
            <v/>
          </cell>
          <cell r="Z61" t="str">
            <v/>
          </cell>
        </row>
        <row r="62">
          <cell r="A62">
            <v>984679</v>
          </cell>
          <cell r="B62">
            <v>7217.4</v>
          </cell>
          <cell r="C62">
            <v>1802.23</v>
          </cell>
          <cell r="E62">
            <v>984679</v>
          </cell>
          <cell r="F62">
            <v>117</v>
          </cell>
          <cell r="G62">
            <v>23</v>
          </cell>
          <cell r="H62">
            <v>290</v>
          </cell>
          <cell r="I62">
            <v>335</v>
          </cell>
          <cell r="J62">
            <v>1034</v>
          </cell>
          <cell r="K62">
            <v>1802.23</v>
          </cell>
          <cell r="L62">
            <v>7217.4</v>
          </cell>
          <cell r="M62">
            <v>0</v>
          </cell>
          <cell r="N62">
            <v>0</v>
          </cell>
          <cell r="O62" t="str">
            <v/>
          </cell>
          <cell r="P62" t="str">
            <v/>
          </cell>
          <cell r="Q62" t="str">
            <v/>
          </cell>
          <cell r="R62" t="str">
            <v/>
          </cell>
          <cell r="V62" t="str">
            <v/>
          </cell>
          <cell r="W62" t="str">
            <v/>
          </cell>
          <cell r="Y62" t="str">
            <v/>
          </cell>
          <cell r="Z62" t="str">
            <v/>
          </cell>
        </row>
        <row r="63">
          <cell r="A63">
            <v>984690</v>
          </cell>
          <cell r="B63">
            <v>17250.669999999998</v>
          </cell>
          <cell r="C63">
            <v>4805.83</v>
          </cell>
          <cell r="E63">
            <v>984690</v>
          </cell>
          <cell r="F63">
            <v>126</v>
          </cell>
          <cell r="G63">
            <v>55</v>
          </cell>
          <cell r="H63">
            <v>290</v>
          </cell>
          <cell r="I63">
            <v>650</v>
          </cell>
          <cell r="J63">
            <v>3682</v>
          </cell>
          <cell r="K63">
            <v>4805.83</v>
          </cell>
          <cell r="L63">
            <v>17250.669999999998</v>
          </cell>
          <cell r="M63">
            <v>0</v>
          </cell>
          <cell r="N63">
            <v>0</v>
          </cell>
          <cell r="O63" t="str">
            <v/>
          </cell>
          <cell r="P63" t="str">
            <v/>
          </cell>
          <cell r="Q63" t="str">
            <v/>
          </cell>
          <cell r="R63" t="str">
            <v/>
          </cell>
          <cell r="V63" t="str">
            <v/>
          </cell>
          <cell r="W63" t="str">
            <v/>
          </cell>
          <cell r="Y63" t="str">
            <v/>
          </cell>
          <cell r="Z63" t="str">
            <v/>
          </cell>
        </row>
        <row r="64">
          <cell r="A64">
            <v>984693</v>
          </cell>
          <cell r="B64">
            <v>14922.62</v>
          </cell>
          <cell r="C64">
            <v>3335.55</v>
          </cell>
          <cell r="E64">
            <v>984693</v>
          </cell>
          <cell r="F64">
            <v>135.51</v>
          </cell>
          <cell r="G64">
            <v>59.97</v>
          </cell>
          <cell r="H64">
            <v>287.81</v>
          </cell>
          <cell r="I64">
            <v>596.20000000000005</v>
          </cell>
          <cell r="J64">
            <v>2256.06</v>
          </cell>
          <cell r="K64">
            <v>3335.55</v>
          </cell>
          <cell r="L64">
            <v>14922.62</v>
          </cell>
          <cell r="M64">
            <v>0</v>
          </cell>
          <cell r="N64">
            <v>0</v>
          </cell>
          <cell r="O64" t="str">
            <v/>
          </cell>
          <cell r="P64" t="str">
            <v/>
          </cell>
          <cell r="Q64" t="str">
            <v/>
          </cell>
          <cell r="R64" t="str">
            <v/>
          </cell>
          <cell r="V64" t="str">
            <v/>
          </cell>
          <cell r="W64" t="str">
            <v/>
          </cell>
          <cell r="Y64" t="str">
            <v/>
          </cell>
          <cell r="Z64" t="str">
            <v/>
          </cell>
        </row>
        <row r="65">
          <cell r="A65">
            <v>984708</v>
          </cell>
          <cell r="B65">
            <v>1556.73</v>
          </cell>
          <cell r="C65">
            <v>915.96</v>
          </cell>
          <cell r="E65">
            <v>984708</v>
          </cell>
          <cell r="F65">
            <v>131</v>
          </cell>
          <cell r="G65">
            <v>5</v>
          </cell>
          <cell r="H65">
            <v>287</v>
          </cell>
          <cell r="I65">
            <v>170</v>
          </cell>
          <cell r="J65">
            <v>320</v>
          </cell>
          <cell r="K65">
            <v>915.96</v>
          </cell>
          <cell r="L65">
            <v>1556.73</v>
          </cell>
          <cell r="M65">
            <v>0</v>
          </cell>
          <cell r="N65">
            <v>0</v>
          </cell>
          <cell r="O65" t="str">
            <v/>
          </cell>
          <cell r="P65" t="str">
            <v/>
          </cell>
          <cell r="Q65" t="str">
            <v/>
          </cell>
          <cell r="R65" t="str">
            <v/>
          </cell>
          <cell r="V65" t="str">
            <v/>
          </cell>
          <cell r="W65" t="str">
            <v/>
          </cell>
          <cell r="Y65" t="str">
            <v/>
          </cell>
          <cell r="Z65" t="str">
            <v/>
          </cell>
        </row>
        <row r="66">
          <cell r="A66">
            <v>984709</v>
          </cell>
          <cell r="B66">
            <v>180.53</v>
          </cell>
          <cell r="C66">
            <v>531.47</v>
          </cell>
          <cell r="E66">
            <v>984709</v>
          </cell>
          <cell r="F66">
            <v>131</v>
          </cell>
          <cell r="G66">
            <v>1</v>
          </cell>
          <cell r="H66">
            <v>287</v>
          </cell>
          <cell r="I66">
            <v>51</v>
          </cell>
          <cell r="J66">
            <v>59</v>
          </cell>
          <cell r="K66">
            <v>531.47</v>
          </cell>
          <cell r="L66">
            <v>180.53</v>
          </cell>
          <cell r="M66">
            <v>0</v>
          </cell>
          <cell r="N66">
            <v>0</v>
          </cell>
          <cell r="O66" t="str">
            <v/>
          </cell>
          <cell r="P66" t="str">
            <v/>
          </cell>
          <cell r="Q66" t="str">
            <v/>
          </cell>
          <cell r="R66" t="str">
            <v/>
          </cell>
          <cell r="V66" t="str">
            <v/>
          </cell>
          <cell r="W66" t="str">
            <v/>
          </cell>
          <cell r="Y66" t="str">
            <v/>
          </cell>
          <cell r="Z66" t="str">
            <v/>
          </cell>
        </row>
        <row r="67">
          <cell r="A67">
            <v>984714</v>
          </cell>
          <cell r="B67">
            <v>70585.279999999999</v>
          </cell>
          <cell r="C67">
            <v>13446.56</v>
          </cell>
          <cell r="E67">
            <v>984714</v>
          </cell>
          <cell r="F67">
            <v>430</v>
          </cell>
          <cell r="G67">
            <v>226</v>
          </cell>
          <cell r="H67">
            <v>287</v>
          </cell>
          <cell r="I67">
            <v>1853</v>
          </cell>
          <cell r="J67">
            <v>10648</v>
          </cell>
          <cell r="K67">
            <v>13446.56</v>
          </cell>
          <cell r="L67">
            <v>70585.279999999999</v>
          </cell>
          <cell r="M67">
            <v>0</v>
          </cell>
          <cell r="N67">
            <v>0</v>
          </cell>
          <cell r="O67" t="str">
            <v/>
          </cell>
          <cell r="P67" t="str">
            <v/>
          </cell>
          <cell r="Q67" t="str">
            <v/>
          </cell>
          <cell r="R67" t="str">
            <v/>
          </cell>
          <cell r="V67" t="str">
            <v/>
          </cell>
          <cell r="W67" t="str">
            <v/>
          </cell>
          <cell r="Y67" t="str">
            <v/>
          </cell>
          <cell r="Z67" t="str">
            <v/>
          </cell>
        </row>
        <row r="68">
          <cell r="A68">
            <v>984723</v>
          </cell>
          <cell r="B68">
            <v>889.66</v>
          </cell>
          <cell r="C68">
            <v>770.77</v>
          </cell>
          <cell r="E68">
            <v>984723</v>
          </cell>
          <cell r="F68">
            <v>130</v>
          </cell>
          <cell r="G68">
            <v>0</v>
          </cell>
          <cell r="H68">
            <v>290</v>
          </cell>
          <cell r="I68">
            <v>155</v>
          </cell>
          <cell r="J68">
            <v>194</v>
          </cell>
          <cell r="K68">
            <v>770.77</v>
          </cell>
          <cell r="L68">
            <v>889.66</v>
          </cell>
          <cell r="M68">
            <v>0</v>
          </cell>
          <cell r="N68">
            <v>0</v>
          </cell>
          <cell r="O68" t="str">
            <v/>
          </cell>
          <cell r="P68" t="str">
            <v/>
          </cell>
          <cell r="Q68" t="str">
            <v/>
          </cell>
          <cell r="R68" t="str">
            <v/>
          </cell>
          <cell r="V68" t="str">
            <v/>
          </cell>
          <cell r="W68" t="str">
            <v/>
          </cell>
          <cell r="Y68" t="str">
            <v/>
          </cell>
          <cell r="Z68" t="str">
            <v/>
          </cell>
        </row>
        <row r="69">
          <cell r="A69">
            <v>984728</v>
          </cell>
          <cell r="B69">
            <v>13527.15</v>
          </cell>
          <cell r="C69">
            <v>3987.75</v>
          </cell>
          <cell r="E69">
            <v>984728</v>
          </cell>
          <cell r="F69">
            <v>316</v>
          </cell>
          <cell r="G69">
            <v>87</v>
          </cell>
          <cell r="H69">
            <v>290</v>
          </cell>
          <cell r="I69">
            <v>573</v>
          </cell>
          <cell r="J69">
            <v>2720</v>
          </cell>
          <cell r="K69">
            <v>3987.75</v>
          </cell>
          <cell r="L69">
            <v>13527.15</v>
          </cell>
          <cell r="M69">
            <v>0</v>
          </cell>
          <cell r="N69">
            <v>0</v>
          </cell>
          <cell r="O69" t="str">
            <v/>
          </cell>
          <cell r="P69" t="str">
            <v/>
          </cell>
          <cell r="Q69" t="str">
            <v/>
          </cell>
          <cell r="R69" t="str">
            <v/>
          </cell>
          <cell r="V69" t="str">
            <v/>
          </cell>
          <cell r="W69" t="str">
            <v/>
          </cell>
          <cell r="Y69" t="str">
            <v/>
          </cell>
          <cell r="Z69" t="str">
            <v/>
          </cell>
        </row>
        <row r="70">
          <cell r="A70">
            <v>984730</v>
          </cell>
          <cell r="B70">
            <v>44967.14</v>
          </cell>
          <cell r="C70">
            <v>8139.56</v>
          </cell>
          <cell r="E70">
            <v>984730</v>
          </cell>
          <cell r="F70">
            <v>285</v>
          </cell>
          <cell r="G70">
            <v>145</v>
          </cell>
          <cell r="H70">
            <v>290</v>
          </cell>
          <cell r="I70">
            <v>1283</v>
          </cell>
          <cell r="J70">
            <v>6135</v>
          </cell>
          <cell r="K70">
            <v>8139.56</v>
          </cell>
          <cell r="L70">
            <v>44967.14</v>
          </cell>
          <cell r="M70">
            <v>0</v>
          </cell>
          <cell r="N70">
            <v>0</v>
          </cell>
          <cell r="O70" t="str">
            <v/>
          </cell>
          <cell r="P70" t="str">
            <v/>
          </cell>
          <cell r="Q70" t="str">
            <v/>
          </cell>
          <cell r="R70" t="str">
            <v/>
          </cell>
          <cell r="V70" t="str">
            <v/>
          </cell>
          <cell r="W70" t="str">
            <v/>
          </cell>
          <cell r="Y70" t="str">
            <v/>
          </cell>
          <cell r="Z70" t="str">
            <v/>
          </cell>
        </row>
        <row r="71">
          <cell r="A71">
            <v>984733</v>
          </cell>
          <cell r="B71">
            <v>482.63</v>
          </cell>
          <cell r="C71">
            <v>860.65</v>
          </cell>
          <cell r="E71">
            <v>984733</v>
          </cell>
          <cell r="F71">
            <v>62</v>
          </cell>
          <cell r="G71">
            <v>3</v>
          </cell>
          <cell r="H71">
            <v>290</v>
          </cell>
          <cell r="I71">
            <v>145</v>
          </cell>
          <cell r="J71">
            <v>110</v>
          </cell>
          <cell r="K71">
            <v>860.65</v>
          </cell>
          <cell r="L71">
            <v>482.63</v>
          </cell>
          <cell r="M71">
            <v>247</v>
          </cell>
          <cell r="N71">
            <v>0</v>
          </cell>
          <cell r="O71" t="str">
            <v/>
          </cell>
          <cell r="P71" t="str">
            <v/>
          </cell>
          <cell r="Q71" t="str">
            <v/>
          </cell>
          <cell r="R71" t="str">
            <v/>
          </cell>
          <cell r="V71" t="str">
            <v/>
          </cell>
          <cell r="W71" t="str">
            <v/>
          </cell>
          <cell r="Y71" t="str">
            <v/>
          </cell>
          <cell r="Z71" t="str">
            <v/>
          </cell>
        </row>
        <row r="72">
          <cell r="A72">
            <v>984736</v>
          </cell>
          <cell r="B72">
            <v>51236.09</v>
          </cell>
          <cell r="C72">
            <v>14703.34</v>
          </cell>
          <cell r="E72">
            <v>984736</v>
          </cell>
          <cell r="F72">
            <v>2174</v>
          </cell>
          <cell r="G72">
            <v>338</v>
          </cell>
          <cell r="H72">
            <v>290</v>
          </cell>
          <cell r="I72">
            <v>1488</v>
          </cell>
          <cell r="J72">
            <v>10411</v>
          </cell>
          <cell r="K72">
            <v>14703.34</v>
          </cell>
          <cell r="L72">
            <v>51236.09</v>
          </cell>
          <cell r="M72">
            <v>0</v>
          </cell>
          <cell r="N72">
            <v>0</v>
          </cell>
          <cell r="O72" t="str">
            <v/>
          </cell>
          <cell r="P72" t="str">
            <v/>
          </cell>
          <cell r="Q72" t="str">
            <v/>
          </cell>
          <cell r="R72" t="str">
            <v/>
          </cell>
          <cell r="V72" t="str">
            <v/>
          </cell>
          <cell r="W72" t="str">
            <v/>
          </cell>
          <cell r="Y72" t="str">
            <v/>
          </cell>
          <cell r="Z72" t="str">
            <v/>
          </cell>
        </row>
        <row r="73">
          <cell r="A73">
            <v>984740</v>
          </cell>
          <cell r="B73">
            <v>1350.49</v>
          </cell>
          <cell r="C73">
            <v>1125.3</v>
          </cell>
          <cell r="E73">
            <v>984740</v>
          </cell>
          <cell r="F73">
            <v>331</v>
          </cell>
          <cell r="G73">
            <v>10</v>
          </cell>
          <cell r="H73">
            <v>290</v>
          </cell>
          <cell r="I73">
            <v>170</v>
          </cell>
          <cell r="J73">
            <v>323</v>
          </cell>
          <cell r="K73">
            <v>1125.3</v>
          </cell>
          <cell r="L73">
            <v>1350.49</v>
          </cell>
          <cell r="M73">
            <v>0</v>
          </cell>
          <cell r="N73">
            <v>0</v>
          </cell>
          <cell r="O73" t="str">
            <v/>
          </cell>
          <cell r="P73" t="str">
            <v/>
          </cell>
          <cell r="Q73" t="str">
            <v/>
          </cell>
          <cell r="R73" t="str">
            <v/>
          </cell>
          <cell r="V73" t="str">
            <v/>
          </cell>
          <cell r="W73" t="str">
            <v/>
          </cell>
          <cell r="Y73" t="str">
            <v/>
          </cell>
          <cell r="Z73" t="str">
            <v/>
          </cell>
        </row>
        <row r="74">
          <cell r="A74">
            <v>984744</v>
          </cell>
          <cell r="B74">
            <v>16953.599999999999</v>
          </cell>
          <cell r="C74">
            <v>5967.81</v>
          </cell>
          <cell r="E74">
            <v>984744</v>
          </cell>
          <cell r="F74">
            <v>1426</v>
          </cell>
          <cell r="G74">
            <v>112</v>
          </cell>
          <cell r="H74">
            <v>287</v>
          </cell>
          <cell r="I74">
            <v>667</v>
          </cell>
          <cell r="J74">
            <v>3473</v>
          </cell>
          <cell r="K74">
            <v>5967.81</v>
          </cell>
          <cell r="L74">
            <v>16953.599999999999</v>
          </cell>
          <cell r="M74">
            <v>0</v>
          </cell>
          <cell r="N74">
            <v>0</v>
          </cell>
          <cell r="O74" t="str">
            <v/>
          </cell>
          <cell r="P74" t="str">
            <v/>
          </cell>
          <cell r="Q74" t="str">
            <v/>
          </cell>
          <cell r="R74" t="str">
            <v/>
          </cell>
          <cell r="V74" t="str">
            <v/>
          </cell>
          <cell r="W74" t="str">
            <v/>
          </cell>
          <cell r="Y74" t="str">
            <v/>
          </cell>
          <cell r="Z74" t="str">
            <v/>
          </cell>
        </row>
        <row r="75">
          <cell r="A75">
            <v>984745</v>
          </cell>
          <cell r="B75">
            <v>69050.81</v>
          </cell>
          <cell r="C75">
            <v>17751.490000000002</v>
          </cell>
          <cell r="E75">
            <v>984745</v>
          </cell>
          <cell r="F75">
            <v>242</v>
          </cell>
          <cell r="G75">
            <v>324</v>
          </cell>
          <cell r="H75">
            <v>422</v>
          </cell>
          <cell r="I75">
            <v>2541</v>
          </cell>
          <cell r="J75">
            <v>14221</v>
          </cell>
          <cell r="K75">
            <v>17751.490000000002</v>
          </cell>
          <cell r="L75">
            <v>69050.81</v>
          </cell>
          <cell r="M75">
            <v>0</v>
          </cell>
          <cell r="N75">
            <v>0</v>
          </cell>
          <cell r="O75" t="str">
            <v/>
          </cell>
          <cell r="P75" t="str">
            <v/>
          </cell>
          <cell r="Q75" t="str">
            <v/>
          </cell>
          <cell r="R75" t="str">
            <v/>
          </cell>
          <cell r="V75" t="str">
            <v/>
          </cell>
          <cell r="W75" t="str">
            <v/>
          </cell>
          <cell r="Y75" t="str">
            <v/>
          </cell>
          <cell r="Z75" t="str">
            <v/>
          </cell>
        </row>
        <row r="76">
          <cell r="A76">
            <v>984746</v>
          </cell>
          <cell r="B76">
            <v>4446.5600000000004</v>
          </cell>
          <cell r="C76">
            <v>1733.54</v>
          </cell>
          <cell r="E76">
            <v>984746</v>
          </cell>
          <cell r="F76">
            <v>233</v>
          </cell>
          <cell r="G76">
            <v>29</v>
          </cell>
          <cell r="H76">
            <v>287</v>
          </cell>
          <cell r="I76">
            <v>237</v>
          </cell>
          <cell r="J76">
            <v>945</v>
          </cell>
          <cell r="K76">
            <v>1733.54</v>
          </cell>
          <cell r="L76">
            <v>4446.5600000000004</v>
          </cell>
          <cell r="M76">
            <v>0</v>
          </cell>
          <cell r="N76">
            <v>0</v>
          </cell>
          <cell r="O76" t="str">
            <v/>
          </cell>
          <cell r="P76" t="str">
            <v/>
          </cell>
          <cell r="Q76" t="str">
            <v/>
          </cell>
          <cell r="R76" t="str">
            <v/>
          </cell>
          <cell r="V76" t="str">
            <v/>
          </cell>
          <cell r="W76" t="str">
            <v/>
          </cell>
          <cell r="Y76" t="str">
            <v/>
          </cell>
          <cell r="Z76" t="str">
            <v/>
          </cell>
        </row>
        <row r="77">
          <cell r="A77">
            <v>984752</v>
          </cell>
          <cell r="B77">
            <v>6959.79</v>
          </cell>
          <cell r="C77">
            <v>1787.22</v>
          </cell>
          <cell r="E77">
            <v>984752</v>
          </cell>
          <cell r="F77">
            <v>146</v>
          </cell>
          <cell r="G77">
            <v>22</v>
          </cell>
          <cell r="H77">
            <v>290</v>
          </cell>
          <cell r="I77">
            <v>325</v>
          </cell>
          <cell r="J77">
            <v>1001</v>
          </cell>
          <cell r="K77">
            <v>1787.22</v>
          </cell>
          <cell r="L77">
            <v>6959.79</v>
          </cell>
          <cell r="M77">
            <v>0</v>
          </cell>
          <cell r="N77">
            <v>0</v>
          </cell>
          <cell r="O77" t="str">
            <v/>
          </cell>
          <cell r="P77" t="str">
            <v/>
          </cell>
          <cell r="Q77" t="str">
            <v/>
          </cell>
          <cell r="R77" t="str">
            <v/>
          </cell>
          <cell r="V77" t="str">
            <v/>
          </cell>
          <cell r="W77" t="str">
            <v/>
          </cell>
          <cell r="Y77" t="str">
            <v/>
          </cell>
          <cell r="Z77" t="str">
            <v/>
          </cell>
        </row>
        <row r="78">
          <cell r="A78">
            <v>984756</v>
          </cell>
          <cell r="B78">
            <v>2268.9699999999998</v>
          </cell>
          <cell r="C78">
            <v>1148.8499999999999</v>
          </cell>
          <cell r="E78">
            <v>984756</v>
          </cell>
          <cell r="F78">
            <v>185</v>
          </cell>
          <cell r="G78">
            <v>15</v>
          </cell>
          <cell r="H78">
            <v>290</v>
          </cell>
          <cell r="I78">
            <v>187</v>
          </cell>
          <cell r="J78">
            <v>469</v>
          </cell>
          <cell r="K78">
            <v>1148.8499999999999</v>
          </cell>
          <cell r="L78">
            <v>2268.9699999999998</v>
          </cell>
          <cell r="M78">
            <v>0</v>
          </cell>
          <cell r="N78">
            <v>0</v>
          </cell>
          <cell r="O78" t="str">
            <v/>
          </cell>
          <cell r="P78" t="str">
            <v/>
          </cell>
          <cell r="Q78" t="str">
            <v/>
          </cell>
          <cell r="R78" t="str">
            <v/>
          </cell>
          <cell r="V78" t="str">
            <v/>
          </cell>
          <cell r="W78" t="str">
            <v/>
          </cell>
          <cell r="Y78" t="str">
            <v/>
          </cell>
          <cell r="Z78" t="str">
            <v/>
          </cell>
        </row>
        <row r="79">
          <cell r="A79">
            <v>984762</v>
          </cell>
          <cell r="B79">
            <v>519.52</v>
          </cell>
          <cell r="C79">
            <v>585.76</v>
          </cell>
          <cell r="E79">
            <v>984762</v>
          </cell>
          <cell r="F79">
            <v>131</v>
          </cell>
          <cell r="G79">
            <v>4</v>
          </cell>
          <cell r="H79">
            <v>290</v>
          </cell>
          <cell r="I79">
            <v>21</v>
          </cell>
          <cell r="J79">
            <v>138</v>
          </cell>
          <cell r="K79">
            <v>585.76</v>
          </cell>
          <cell r="L79">
            <v>519.52</v>
          </cell>
          <cell r="M79">
            <v>0</v>
          </cell>
          <cell r="N79">
            <v>0</v>
          </cell>
          <cell r="O79" t="str">
            <v/>
          </cell>
          <cell r="P79" t="str">
            <v/>
          </cell>
          <cell r="Q79" t="str">
            <v/>
          </cell>
          <cell r="R79" t="str">
            <v/>
          </cell>
          <cell r="V79" t="str">
            <v/>
          </cell>
          <cell r="W79" t="str">
            <v/>
          </cell>
          <cell r="Y79" t="str">
            <v/>
          </cell>
          <cell r="Z79" t="str">
            <v/>
          </cell>
        </row>
        <row r="80">
          <cell r="A80">
            <v>984775</v>
          </cell>
          <cell r="B80">
            <v>595.67999999999995</v>
          </cell>
          <cell r="C80">
            <v>676.5</v>
          </cell>
          <cell r="E80">
            <v>984775</v>
          </cell>
          <cell r="F80">
            <v>132</v>
          </cell>
          <cell r="G80">
            <v>2</v>
          </cell>
          <cell r="H80">
            <v>290</v>
          </cell>
          <cell r="I80">
            <v>148</v>
          </cell>
          <cell r="J80">
            <v>102</v>
          </cell>
          <cell r="K80">
            <v>676.5</v>
          </cell>
          <cell r="L80">
            <v>595.67999999999995</v>
          </cell>
          <cell r="M80">
            <v>0</v>
          </cell>
          <cell r="N80">
            <v>0</v>
          </cell>
          <cell r="O80" t="str">
            <v/>
          </cell>
          <cell r="P80" t="str">
            <v/>
          </cell>
          <cell r="Q80" t="str">
            <v/>
          </cell>
          <cell r="R80" t="str">
            <v/>
          </cell>
          <cell r="V80" t="str">
            <v/>
          </cell>
          <cell r="W80" t="str">
            <v/>
          </cell>
          <cell r="Y80" t="str">
            <v/>
          </cell>
          <cell r="Z80" t="str">
            <v/>
          </cell>
        </row>
        <row r="81">
          <cell r="A81">
            <v>984777</v>
          </cell>
          <cell r="B81">
            <v>22878.73</v>
          </cell>
          <cell r="C81">
            <v>4439.5600000000004</v>
          </cell>
          <cell r="E81">
            <v>984777</v>
          </cell>
          <cell r="F81">
            <v>64</v>
          </cell>
          <cell r="G81">
            <v>73</v>
          </cell>
          <cell r="H81">
            <v>290</v>
          </cell>
          <cell r="I81">
            <v>775</v>
          </cell>
          <cell r="J81">
            <v>3234</v>
          </cell>
          <cell r="K81">
            <v>4439.5600000000004</v>
          </cell>
          <cell r="L81">
            <v>22878.73</v>
          </cell>
          <cell r="M81">
            <v>0</v>
          </cell>
          <cell r="N81">
            <v>0</v>
          </cell>
          <cell r="O81" t="str">
            <v/>
          </cell>
          <cell r="P81" t="str">
            <v/>
          </cell>
          <cell r="Q81" t="str">
            <v/>
          </cell>
          <cell r="R81" t="str">
            <v/>
          </cell>
          <cell r="V81" t="str">
            <v/>
          </cell>
          <cell r="W81" t="str">
            <v/>
          </cell>
          <cell r="Y81" t="str">
            <v/>
          </cell>
          <cell r="Z81" t="str">
            <v/>
          </cell>
        </row>
        <row r="82">
          <cell r="A82">
            <v>984778</v>
          </cell>
          <cell r="B82">
            <v>4178.33</v>
          </cell>
          <cell r="C82">
            <v>1605.49</v>
          </cell>
          <cell r="E82">
            <v>984778</v>
          </cell>
          <cell r="F82">
            <v>416</v>
          </cell>
          <cell r="G82">
            <v>14</v>
          </cell>
          <cell r="H82">
            <v>290</v>
          </cell>
          <cell r="I82">
            <v>236</v>
          </cell>
          <cell r="J82">
            <v>647</v>
          </cell>
          <cell r="K82">
            <v>1605.49</v>
          </cell>
          <cell r="L82">
            <v>4178.33</v>
          </cell>
          <cell r="M82">
            <v>0</v>
          </cell>
          <cell r="N82">
            <v>0</v>
          </cell>
          <cell r="O82" t="str">
            <v/>
          </cell>
          <cell r="P82" t="str">
            <v/>
          </cell>
          <cell r="Q82" t="str">
            <v/>
          </cell>
          <cell r="R82" t="str">
            <v/>
          </cell>
          <cell r="V82" t="str">
            <v/>
          </cell>
          <cell r="W82" t="str">
            <v/>
          </cell>
          <cell r="Y82" t="str">
            <v/>
          </cell>
          <cell r="Z82" t="str">
            <v/>
          </cell>
        </row>
        <row r="83">
          <cell r="A83">
            <v>984780</v>
          </cell>
          <cell r="B83">
            <v>5372.37</v>
          </cell>
          <cell r="C83">
            <v>2114.88</v>
          </cell>
          <cell r="E83">
            <v>984780</v>
          </cell>
          <cell r="F83">
            <v>331</v>
          </cell>
          <cell r="G83">
            <v>35</v>
          </cell>
          <cell r="H83">
            <v>290</v>
          </cell>
          <cell r="I83">
            <v>260</v>
          </cell>
          <cell r="J83">
            <v>1197</v>
          </cell>
          <cell r="K83">
            <v>2114.88</v>
          </cell>
          <cell r="L83">
            <v>5372.37</v>
          </cell>
          <cell r="M83">
            <v>0</v>
          </cell>
          <cell r="N83">
            <v>0</v>
          </cell>
          <cell r="O83" t="str">
            <v/>
          </cell>
          <cell r="P83" t="str">
            <v/>
          </cell>
          <cell r="Q83" t="str">
            <v/>
          </cell>
          <cell r="R83" t="str">
            <v/>
          </cell>
          <cell r="V83" t="str">
            <v/>
          </cell>
          <cell r="W83" t="str">
            <v/>
          </cell>
          <cell r="Y83" t="str">
            <v/>
          </cell>
          <cell r="Z83" t="str">
            <v/>
          </cell>
        </row>
        <row r="84">
          <cell r="A84">
            <v>984787</v>
          </cell>
          <cell r="B84">
            <v>1100.44</v>
          </cell>
          <cell r="C84">
            <v>899.31</v>
          </cell>
          <cell r="E84">
            <v>984787</v>
          </cell>
          <cell r="F84">
            <v>190</v>
          </cell>
          <cell r="G84">
            <v>8</v>
          </cell>
          <cell r="H84">
            <v>290</v>
          </cell>
          <cell r="I84">
            <v>161</v>
          </cell>
          <cell r="J84">
            <v>249</v>
          </cell>
          <cell r="K84">
            <v>899.31</v>
          </cell>
          <cell r="L84">
            <v>1100.44</v>
          </cell>
          <cell r="M84">
            <v>0</v>
          </cell>
          <cell r="N84">
            <v>0</v>
          </cell>
          <cell r="O84" t="str">
            <v/>
          </cell>
          <cell r="P84" t="str">
            <v/>
          </cell>
          <cell r="Q84" t="str">
            <v/>
          </cell>
          <cell r="R84" t="str">
            <v/>
          </cell>
          <cell r="V84" t="str">
            <v/>
          </cell>
          <cell r="W84" t="str">
            <v/>
          </cell>
          <cell r="Y84" t="str">
            <v/>
          </cell>
          <cell r="Z84" t="str">
            <v/>
          </cell>
        </row>
        <row r="85">
          <cell r="A85">
            <v>984789</v>
          </cell>
          <cell r="B85">
            <v>16465.7</v>
          </cell>
          <cell r="C85">
            <v>3890.49</v>
          </cell>
          <cell r="E85">
            <v>984789</v>
          </cell>
          <cell r="F85">
            <v>511</v>
          </cell>
          <cell r="G85">
            <v>54</v>
          </cell>
          <cell r="H85">
            <v>290</v>
          </cell>
          <cell r="I85">
            <v>640</v>
          </cell>
          <cell r="J85">
            <v>2393</v>
          </cell>
          <cell r="K85">
            <v>3890.49</v>
          </cell>
          <cell r="L85">
            <v>16465.7</v>
          </cell>
          <cell r="M85">
            <v>0</v>
          </cell>
          <cell r="N85">
            <v>0</v>
          </cell>
          <cell r="O85" t="str">
            <v/>
          </cell>
          <cell r="P85" t="str">
            <v/>
          </cell>
          <cell r="Q85" t="str">
            <v/>
          </cell>
          <cell r="R85" t="str">
            <v/>
          </cell>
          <cell r="V85" t="str">
            <v/>
          </cell>
          <cell r="W85" t="str">
            <v/>
          </cell>
          <cell r="Y85" t="str">
            <v/>
          </cell>
          <cell r="Z85" t="str">
            <v/>
          </cell>
        </row>
        <row r="86">
          <cell r="A86">
            <v>984790</v>
          </cell>
          <cell r="B86">
            <v>3237.63</v>
          </cell>
          <cell r="C86">
            <v>1347.76</v>
          </cell>
          <cell r="E86">
            <v>984790</v>
          </cell>
          <cell r="F86">
            <v>172</v>
          </cell>
          <cell r="G86">
            <v>21</v>
          </cell>
          <cell r="H86">
            <v>290</v>
          </cell>
          <cell r="I86">
            <v>209</v>
          </cell>
          <cell r="J86">
            <v>654</v>
          </cell>
          <cell r="K86">
            <v>1347.76</v>
          </cell>
          <cell r="L86">
            <v>3237.63</v>
          </cell>
          <cell r="M86">
            <v>0</v>
          </cell>
          <cell r="N86">
            <v>0</v>
          </cell>
          <cell r="O86" t="str">
            <v/>
          </cell>
          <cell r="P86" t="str">
            <v/>
          </cell>
          <cell r="Q86" t="str">
            <v/>
          </cell>
          <cell r="R86" t="str">
            <v/>
          </cell>
          <cell r="V86" t="str">
            <v/>
          </cell>
          <cell r="W86" t="str">
            <v/>
          </cell>
          <cell r="Y86" t="str">
            <v/>
          </cell>
          <cell r="Z86" t="str">
            <v/>
          </cell>
        </row>
        <row r="87">
          <cell r="A87">
            <v>984794</v>
          </cell>
          <cell r="B87">
            <v>8880.99</v>
          </cell>
          <cell r="C87">
            <v>2170.0700000000002</v>
          </cell>
          <cell r="E87">
            <v>984794</v>
          </cell>
          <cell r="F87">
            <v>119</v>
          </cell>
          <cell r="G87">
            <v>54</v>
          </cell>
          <cell r="H87">
            <v>287</v>
          </cell>
          <cell r="I87">
            <v>396</v>
          </cell>
          <cell r="J87">
            <v>1311</v>
          </cell>
          <cell r="K87">
            <v>2170.0700000000002</v>
          </cell>
          <cell r="L87">
            <v>8880.99</v>
          </cell>
          <cell r="M87">
            <v>0</v>
          </cell>
          <cell r="N87">
            <v>0</v>
          </cell>
          <cell r="O87" t="str">
            <v/>
          </cell>
          <cell r="P87" t="str">
            <v/>
          </cell>
          <cell r="Q87" t="str">
            <v/>
          </cell>
          <cell r="R87" t="str">
            <v/>
          </cell>
          <cell r="V87" t="str">
            <v/>
          </cell>
          <cell r="W87" t="str">
            <v/>
          </cell>
          <cell r="Y87" t="str">
            <v/>
          </cell>
          <cell r="Z87" t="str">
            <v/>
          </cell>
        </row>
        <row r="88">
          <cell r="A88">
            <v>984797</v>
          </cell>
          <cell r="B88">
            <v>42899.91</v>
          </cell>
          <cell r="C88">
            <v>9033.73</v>
          </cell>
          <cell r="E88">
            <v>984797</v>
          </cell>
          <cell r="F88">
            <v>1436</v>
          </cell>
          <cell r="G88">
            <v>273</v>
          </cell>
          <cell r="H88">
            <v>290</v>
          </cell>
          <cell r="I88">
            <v>1262</v>
          </cell>
          <cell r="J88">
            <v>5771</v>
          </cell>
          <cell r="K88">
            <v>9033.73</v>
          </cell>
          <cell r="L88">
            <v>42899.91</v>
          </cell>
          <cell r="M88">
            <v>0</v>
          </cell>
          <cell r="N88">
            <v>0</v>
          </cell>
          <cell r="O88" t="str">
            <v/>
          </cell>
          <cell r="P88" t="str">
            <v/>
          </cell>
          <cell r="Q88" t="str">
            <v/>
          </cell>
          <cell r="R88" t="str">
            <v/>
          </cell>
          <cell r="V88" t="str">
            <v/>
          </cell>
          <cell r="W88" t="str">
            <v/>
          </cell>
          <cell r="Y88" t="str">
            <v/>
          </cell>
          <cell r="Z88" t="str">
            <v/>
          </cell>
        </row>
        <row r="89">
          <cell r="A89">
            <v>984803</v>
          </cell>
          <cell r="B89">
            <v>65408.21</v>
          </cell>
          <cell r="C89">
            <v>6020.04</v>
          </cell>
          <cell r="E89">
            <v>984803</v>
          </cell>
          <cell r="F89">
            <v>308</v>
          </cell>
          <cell r="G89">
            <v>211</v>
          </cell>
          <cell r="H89">
            <v>290</v>
          </cell>
          <cell r="I89">
            <v>1746</v>
          </cell>
          <cell r="J89">
            <v>3464</v>
          </cell>
          <cell r="K89">
            <v>6020.04</v>
          </cell>
          <cell r="L89">
            <v>65408.21</v>
          </cell>
          <cell r="M89">
            <v>0</v>
          </cell>
          <cell r="N89">
            <v>0</v>
          </cell>
          <cell r="O89" t="str">
            <v/>
          </cell>
          <cell r="P89" t="str">
            <v/>
          </cell>
          <cell r="Q89" t="str">
            <v/>
          </cell>
          <cell r="R89" t="str">
            <v/>
          </cell>
          <cell r="V89" t="str">
            <v/>
          </cell>
          <cell r="W89" t="str">
            <v/>
          </cell>
          <cell r="Y89" t="str">
            <v/>
          </cell>
          <cell r="Z89" t="str">
            <v/>
          </cell>
        </row>
        <row r="90">
          <cell r="A90">
            <v>984804</v>
          </cell>
          <cell r="B90">
            <v>34492.660000000003</v>
          </cell>
          <cell r="C90">
            <v>7367.11</v>
          </cell>
          <cell r="E90">
            <v>984804</v>
          </cell>
          <cell r="F90">
            <v>645</v>
          </cell>
          <cell r="G90">
            <v>112</v>
          </cell>
          <cell r="H90">
            <v>287</v>
          </cell>
          <cell r="I90">
            <v>1047</v>
          </cell>
          <cell r="J90">
            <v>5274</v>
          </cell>
          <cell r="K90">
            <v>7367.11</v>
          </cell>
          <cell r="L90">
            <v>34492.660000000003</v>
          </cell>
          <cell r="M90">
            <v>0</v>
          </cell>
          <cell r="N90">
            <v>0</v>
          </cell>
          <cell r="O90" t="str">
            <v/>
          </cell>
          <cell r="P90" t="str">
            <v/>
          </cell>
          <cell r="Q90" t="str">
            <v/>
          </cell>
          <cell r="R90" t="str">
            <v/>
          </cell>
          <cell r="V90" t="str">
            <v/>
          </cell>
          <cell r="W90" t="str">
            <v/>
          </cell>
          <cell r="Y90" t="str">
            <v/>
          </cell>
          <cell r="Z90" t="str">
            <v/>
          </cell>
        </row>
        <row r="91">
          <cell r="A91">
            <v>984805</v>
          </cell>
          <cell r="B91">
            <v>17555.169999999998</v>
          </cell>
          <cell r="C91">
            <v>15539.88</v>
          </cell>
          <cell r="E91">
            <v>984805</v>
          </cell>
          <cell r="F91">
            <v>2639</v>
          </cell>
          <cell r="G91">
            <v>125</v>
          </cell>
          <cell r="H91">
            <v>142</v>
          </cell>
          <cell r="I91">
            <v>481</v>
          </cell>
          <cell r="J91">
            <v>4684</v>
          </cell>
          <cell r="K91">
            <v>15539.88</v>
          </cell>
          <cell r="L91">
            <v>17555.169999999998</v>
          </cell>
          <cell r="M91">
            <v>7465</v>
          </cell>
          <cell r="N91">
            <v>0</v>
          </cell>
          <cell r="O91" t="str">
            <v/>
          </cell>
          <cell r="P91" t="str">
            <v/>
          </cell>
          <cell r="Q91" t="str">
            <v/>
          </cell>
          <cell r="R91" t="str">
            <v/>
          </cell>
          <cell r="V91" t="str">
            <v/>
          </cell>
          <cell r="W91" t="str">
            <v/>
          </cell>
          <cell r="Y91" t="str">
            <v/>
          </cell>
          <cell r="Z91" t="str">
            <v/>
          </cell>
        </row>
        <row r="92">
          <cell r="A92">
            <v>984814</v>
          </cell>
          <cell r="B92">
            <v>14332.49</v>
          </cell>
          <cell r="C92">
            <v>3086.29</v>
          </cell>
          <cell r="E92">
            <v>984814</v>
          </cell>
          <cell r="F92">
            <v>126</v>
          </cell>
          <cell r="G92">
            <v>46</v>
          </cell>
          <cell r="H92">
            <v>290</v>
          </cell>
          <cell r="I92">
            <v>583</v>
          </cell>
          <cell r="J92">
            <v>2039</v>
          </cell>
          <cell r="K92">
            <v>3086.29</v>
          </cell>
          <cell r="L92">
            <v>14332.49</v>
          </cell>
          <cell r="M92">
            <v>0</v>
          </cell>
          <cell r="N92">
            <v>0</v>
          </cell>
          <cell r="O92" t="str">
            <v/>
          </cell>
          <cell r="P92" t="str">
            <v/>
          </cell>
          <cell r="Q92" t="str">
            <v/>
          </cell>
          <cell r="R92" t="str">
            <v/>
          </cell>
          <cell r="V92" t="str">
            <v/>
          </cell>
          <cell r="W92" t="str">
            <v/>
          </cell>
          <cell r="Y92" t="str">
            <v/>
          </cell>
          <cell r="Z92" t="str">
            <v/>
          </cell>
        </row>
        <row r="93">
          <cell r="A93">
            <v>984815</v>
          </cell>
          <cell r="B93">
            <v>4521.7299999999996</v>
          </cell>
          <cell r="C93">
            <v>1686.99</v>
          </cell>
          <cell r="E93">
            <v>984815</v>
          </cell>
          <cell r="F93">
            <v>335</v>
          </cell>
          <cell r="G93">
            <v>30</v>
          </cell>
          <cell r="H93">
            <v>130</v>
          </cell>
          <cell r="I93">
            <v>357</v>
          </cell>
          <cell r="J93">
            <v>833</v>
          </cell>
          <cell r="K93">
            <v>1686.99</v>
          </cell>
          <cell r="L93">
            <v>4521.7299999999996</v>
          </cell>
          <cell r="M93">
            <v>0</v>
          </cell>
          <cell r="N93">
            <v>0</v>
          </cell>
          <cell r="O93" t="str">
            <v/>
          </cell>
          <cell r="P93" t="str">
            <v/>
          </cell>
          <cell r="Q93" t="str">
            <v/>
          </cell>
          <cell r="R93" t="str">
            <v/>
          </cell>
          <cell r="V93" t="str">
            <v/>
          </cell>
          <cell r="W93" t="str">
            <v/>
          </cell>
          <cell r="Y93" t="str">
            <v/>
          </cell>
          <cell r="Z93" t="str">
            <v/>
          </cell>
        </row>
        <row r="94">
          <cell r="A94">
            <v>984830</v>
          </cell>
          <cell r="B94">
            <v>12545.68</v>
          </cell>
          <cell r="C94">
            <v>2799.78</v>
          </cell>
          <cell r="E94">
            <v>984830</v>
          </cell>
          <cell r="F94">
            <v>102</v>
          </cell>
          <cell r="G94">
            <v>40</v>
          </cell>
          <cell r="H94">
            <v>290</v>
          </cell>
          <cell r="I94">
            <v>583</v>
          </cell>
          <cell r="J94">
            <v>1782</v>
          </cell>
          <cell r="K94">
            <v>2799.78</v>
          </cell>
          <cell r="L94">
            <v>12545.68</v>
          </cell>
          <cell r="M94">
            <v>0</v>
          </cell>
          <cell r="N94">
            <v>0</v>
          </cell>
          <cell r="O94" t="str">
            <v/>
          </cell>
          <cell r="P94" t="str">
            <v/>
          </cell>
          <cell r="Q94" t="str">
            <v/>
          </cell>
          <cell r="R94" t="str">
            <v/>
          </cell>
          <cell r="V94" t="str">
            <v/>
          </cell>
          <cell r="W94" t="str">
            <v/>
          </cell>
          <cell r="Y94" t="str">
            <v/>
          </cell>
          <cell r="Z94" t="str">
            <v/>
          </cell>
        </row>
        <row r="95">
          <cell r="A95">
            <v>984835</v>
          </cell>
          <cell r="B95">
            <v>485.78</v>
          </cell>
          <cell r="C95">
            <v>651.02</v>
          </cell>
          <cell r="E95">
            <v>984835</v>
          </cell>
          <cell r="F95">
            <v>126</v>
          </cell>
          <cell r="G95">
            <v>1</v>
          </cell>
          <cell r="H95">
            <v>290</v>
          </cell>
          <cell r="I95">
            <v>145</v>
          </cell>
          <cell r="J95">
            <v>86</v>
          </cell>
          <cell r="K95">
            <v>651.02</v>
          </cell>
          <cell r="L95">
            <v>485.78</v>
          </cell>
          <cell r="M95">
            <v>0</v>
          </cell>
          <cell r="N95">
            <v>0</v>
          </cell>
          <cell r="O95" t="str">
            <v/>
          </cell>
          <cell r="P95" t="str">
            <v/>
          </cell>
          <cell r="Q95" t="str">
            <v/>
          </cell>
          <cell r="R95" t="str">
            <v/>
          </cell>
          <cell r="V95" t="str">
            <v/>
          </cell>
          <cell r="W95" t="str">
            <v/>
          </cell>
          <cell r="Y95" t="str">
            <v/>
          </cell>
          <cell r="Z95" t="str">
            <v/>
          </cell>
        </row>
        <row r="96">
          <cell r="A96">
            <v>984836</v>
          </cell>
          <cell r="B96">
            <v>7055.78</v>
          </cell>
          <cell r="C96">
            <v>2271.8000000000002</v>
          </cell>
          <cell r="E96">
            <v>984836</v>
          </cell>
          <cell r="F96">
            <v>208</v>
          </cell>
          <cell r="G96">
            <v>45</v>
          </cell>
          <cell r="H96">
            <v>290</v>
          </cell>
          <cell r="I96">
            <v>333</v>
          </cell>
          <cell r="J96">
            <v>1394</v>
          </cell>
          <cell r="K96">
            <v>2271.8000000000002</v>
          </cell>
          <cell r="L96">
            <v>7055.78</v>
          </cell>
          <cell r="M96">
            <v>0</v>
          </cell>
          <cell r="N96">
            <v>0</v>
          </cell>
          <cell r="O96" t="str">
            <v/>
          </cell>
          <cell r="P96" t="str">
            <v/>
          </cell>
          <cell r="Q96" t="str">
            <v/>
          </cell>
          <cell r="R96" t="str">
            <v/>
          </cell>
          <cell r="V96" t="str">
            <v/>
          </cell>
          <cell r="W96" t="str">
            <v/>
          </cell>
          <cell r="Y96" t="str">
            <v/>
          </cell>
          <cell r="Z96" t="str">
            <v/>
          </cell>
        </row>
        <row r="97">
          <cell r="A97">
            <v>984837</v>
          </cell>
          <cell r="B97">
            <v>21747.33</v>
          </cell>
          <cell r="C97">
            <v>4606</v>
          </cell>
          <cell r="E97">
            <v>984837</v>
          </cell>
          <cell r="F97">
            <v>126</v>
          </cell>
          <cell r="G97">
            <v>135</v>
          </cell>
          <cell r="H97">
            <v>287</v>
          </cell>
          <cell r="I97">
            <v>751</v>
          </cell>
          <cell r="J97">
            <v>3304</v>
          </cell>
          <cell r="K97">
            <v>4606</v>
          </cell>
          <cell r="L97">
            <v>21747.33</v>
          </cell>
          <cell r="M97">
            <v>0</v>
          </cell>
          <cell r="N97">
            <v>0</v>
          </cell>
          <cell r="O97" t="str">
            <v/>
          </cell>
          <cell r="P97" t="str">
            <v/>
          </cell>
          <cell r="Q97" t="str">
            <v/>
          </cell>
          <cell r="R97" t="str">
            <v/>
          </cell>
          <cell r="V97" t="str">
            <v/>
          </cell>
          <cell r="W97" t="str">
            <v/>
          </cell>
          <cell r="Y97" t="str">
            <v/>
          </cell>
          <cell r="Z97" t="str">
            <v/>
          </cell>
        </row>
        <row r="98">
          <cell r="A98">
            <v>984839</v>
          </cell>
          <cell r="B98">
            <v>23077.09</v>
          </cell>
          <cell r="C98">
            <v>5357.22</v>
          </cell>
          <cell r="E98">
            <v>984839</v>
          </cell>
          <cell r="F98">
            <v>331</v>
          </cell>
          <cell r="G98">
            <v>145</v>
          </cell>
          <cell r="H98">
            <v>290</v>
          </cell>
          <cell r="I98">
            <v>784</v>
          </cell>
          <cell r="J98">
            <v>3805</v>
          </cell>
          <cell r="K98">
            <v>5357.22</v>
          </cell>
          <cell r="L98">
            <v>23077.09</v>
          </cell>
          <cell r="M98">
            <v>0</v>
          </cell>
          <cell r="N98">
            <v>0</v>
          </cell>
          <cell r="O98" t="str">
            <v/>
          </cell>
          <cell r="P98" t="str">
            <v/>
          </cell>
          <cell r="Q98" t="str">
            <v/>
          </cell>
          <cell r="R98" t="str">
            <v/>
          </cell>
          <cell r="V98" t="str">
            <v/>
          </cell>
          <cell r="W98" t="str">
            <v/>
          </cell>
          <cell r="Y98" t="str">
            <v/>
          </cell>
          <cell r="Z98" t="str">
            <v/>
          </cell>
        </row>
        <row r="99">
          <cell r="A99">
            <v>984850</v>
          </cell>
          <cell r="B99">
            <v>131689.65</v>
          </cell>
          <cell r="C99">
            <v>18711.919999999998</v>
          </cell>
          <cell r="E99">
            <v>984850</v>
          </cell>
          <cell r="F99">
            <v>1524</v>
          </cell>
          <cell r="G99">
            <v>427</v>
          </cell>
          <cell r="H99">
            <v>290</v>
          </cell>
          <cell r="I99">
            <v>3274</v>
          </cell>
          <cell r="J99">
            <v>13194</v>
          </cell>
          <cell r="K99">
            <v>18711.919999999998</v>
          </cell>
          <cell r="L99">
            <v>131689.65</v>
          </cell>
          <cell r="M99">
            <v>0</v>
          </cell>
          <cell r="N99">
            <v>0</v>
          </cell>
          <cell r="O99" t="str">
            <v/>
          </cell>
          <cell r="P99" t="str">
            <v/>
          </cell>
          <cell r="Q99" t="str">
            <v/>
          </cell>
          <cell r="R99" t="str">
            <v/>
          </cell>
          <cell r="V99" t="str">
            <v/>
          </cell>
          <cell r="W99" t="str">
            <v/>
          </cell>
          <cell r="Y99" t="str">
            <v/>
          </cell>
          <cell r="Z99" t="str">
            <v/>
          </cell>
        </row>
        <row r="100">
          <cell r="A100">
            <v>984855</v>
          </cell>
          <cell r="B100">
            <v>11846.2</v>
          </cell>
          <cell r="C100">
            <v>2549.38</v>
          </cell>
          <cell r="E100">
            <v>984855</v>
          </cell>
          <cell r="F100">
            <v>167</v>
          </cell>
          <cell r="G100">
            <v>38</v>
          </cell>
          <cell r="H100">
            <v>287</v>
          </cell>
          <cell r="I100">
            <v>528</v>
          </cell>
          <cell r="J100">
            <v>1526</v>
          </cell>
          <cell r="K100">
            <v>2549.38</v>
          </cell>
          <cell r="L100">
            <v>11846.2</v>
          </cell>
          <cell r="M100">
            <v>0</v>
          </cell>
          <cell r="N100">
            <v>0</v>
          </cell>
          <cell r="O100" t="str">
            <v/>
          </cell>
          <cell r="P100" t="str">
            <v/>
          </cell>
          <cell r="Q100" t="str">
            <v/>
          </cell>
          <cell r="R100" t="str">
            <v/>
          </cell>
          <cell r="V100" t="str">
            <v/>
          </cell>
          <cell r="W100" t="str">
            <v/>
          </cell>
          <cell r="Y100" t="str">
            <v/>
          </cell>
          <cell r="Z100" t="str">
            <v/>
          </cell>
        </row>
        <row r="101">
          <cell r="A101">
            <v>984864</v>
          </cell>
          <cell r="B101">
            <v>473.07</v>
          </cell>
          <cell r="C101">
            <v>643.97</v>
          </cell>
          <cell r="E101">
            <v>984864</v>
          </cell>
          <cell r="F101">
            <v>84</v>
          </cell>
          <cell r="G101">
            <v>3</v>
          </cell>
          <cell r="H101">
            <v>287</v>
          </cell>
          <cell r="I101">
            <v>165</v>
          </cell>
          <cell r="J101">
            <v>103</v>
          </cell>
          <cell r="K101">
            <v>643.97</v>
          </cell>
          <cell r="L101">
            <v>473.07</v>
          </cell>
          <cell r="M101">
            <v>0</v>
          </cell>
          <cell r="N101">
            <v>0</v>
          </cell>
          <cell r="O101" t="str">
            <v/>
          </cell>
          <cell r="P101" t="str">
            <v/>
          </cell>
          <cell r="Q101" t="str">
            <v/>
          </cell>
          <cell r="R101" t="str">
            <v/>
          </cell>
          <cell r="V101" t="str">
            <v/>
          </cell>
          <cell r="W101" t="str">
            <v/>
          </cell>
          <cell r="Y101" t="str">
            <v/>
          </cell>
          <cell r="Z101" t="str">
            <v/>
          </cell>
        </row>
        <row r="102">
          <cell r="A102">
            <v>984865</v>
          </cell>
          <cell r="B102">
            <v>470.48</v>
          </cell>
          <cell r="C102">
            <v>625.25</v>
          </cell>
          <cell r="E102">
            <v>984865</v>
          </cell>
          <cell r="F102">
            <v>84</v>
          </cell>
          <cell r="G102">
            <v>3</v>
          </cell>
          <cell r="H102">
            <v>290</v>
          </cell>
          <cell r="I102">
            <v>144</v>
          </cell>
          <cell r="J102">
            <v>103</v>
          </cell>
          <cell r="K102">
            <v>625.25</v>
          </cell>
          <cell r="L102">
            <v>470.48</v>
          </cell>
          <cell r="M102">
            <v>0</v>
          </cell>
          <cell r="N102">
            <v>0</v>
          </cell>
          <cell r="O102" t="str">
            <v/>
          </cell>
          <cell r="P102" t="str">
            <v/>
          </cell>
          <cell r="Q102" t="str">
            <v/>
          </cell>
          <cell r="R102" t="str">
            <v/>
          </cell>
          <cell r="V102" t="str">
            <v/>
          </cell>
          <cell r="W102" t="str">
            <v/>
          </cell>
          <cell r="Y102" t="str">
            <v/>
          </cell>
          <cell r="Z102" t="str">
            <v/>
          </cell>
        </row>
        <row r="103">
          <cell r="A103">
            <v>984868</v>
          </cell>
          <cell r="B103">
            <v>26806.799999999999</v>
          </cell>
          <cell r="C103">
            <v>5309.64</v>
          </cell>
          <cell r="E103">
            <v>984868</v>
          </cell>
          <cell r="F103">
            <v>252</v>
          </cell>
          <cell r="G103">
            <v>86</v>
          </cell>
          <cell r="H103">
            <v>290</v>
          </cell>
          <cell r="I103">
            <v>868</v>
          </cell>
          <cell r="J103">
            <v>3811</v>
          </cell>
          <cell r="K103">
            <v>5309.64</v>
          </cell>
          <cell r="L103">
            <v>26806.799999999999</v>
          </cell>
          <cell r="M103">
            <v>0</v>
          </cell>
          <cell r="N103">
            <v>0</v>
          </cell>
          <cell r="O103" t="str">
            <v/>
          </cell>
          <cell r="P103" t="str">
            <v/>
          </cell>
          <cell r="Q103" t="str">
            <v/>
          </cell>
          <cell r="R103" t="str">
            <v/>
          </cell>
          <cell r="V103" t="str">
            <v/>
          </cell>
          <cell r="W103" t="str">
            <v/>
          </cell>
          <cell r="Y103" t="str">
            <v/>
          </cell>
          <cell r="Z103" t="str">
            <v/>
          </cell>
        </row>
        <row r="104">
          <cell r="A104">
            <v>984870</v>
          </cell>
          <cell r="B104">
            <v>31597.13</v>
          </cell>
          <cell r="C104">
            <v>6763.65</v>
          </cell>
          <cell r="E104">
            <v>984870</v>
          </cell>
          <cell r="F104">
            <v>479</v>
          </cell>
          <cell r="G104">
            <v>198</v>
          </cell>
          <cell r="H104">
            <v>287</v>
          </cell>
          <cell r="I104">
            <v>975</v>
          </cell>
          <cell r="J104">
            <v>4823</v>
          </cell>
          <cell r="K104">
            <v>6763.65</v>
          </cell>
          <cell r="L104">
            <v>31597.13</v>
          </cell>
          <cell r="M104">
            <v>0</v>
          </cell>
          <cell r="N104">
            <v>0</v>
          </cell>
          <cell r="O104" t="str">
            <v/>
          </cell>
          <cell r="P104" t="str">
            <v/>
          </cell>
          <cell r="Q104" t="str">
            <v/>
          </cell>
          <cell r="R104" t="str">
            <v/>
          </cell>
          <cell r="V104" t="str">
            <v/>
          </cell>
          <cell r="W104" t="str">
            <v/>
          </cell>
          <cell r="Y104" t="str">
            <v/>
          </cell>
          <cell r="Z104" t="str">
            <v/>
          </cell>
        </row>
        <row r="105">
          <cell r="A105">
            <v>984879</v>
          </cell>
          <cell r="B105">
            <v>17968.830000000002</v>
          </cell>
          <cell r="C105">
            <v>3952.85</v>
          </cell>
          <cell r="E105">
            <v>984879</v>
          </cell>
          <cell r="F105">
            <v>138</v>
          </cell>
          <cell r="G105">
            <v>112</v>
          </cell>
          <cell r="H105">
            <v>290</v>
          </cell>
          <cell r="I105">
            <v>667</v>
          </cell>
          <cell r="J105">
            <v>2743</v>
          </cell>
          <cell r="K105">
            <v>3952.85</v>
          </cell>
          <cell r="L105">
            <v>17968.830000000002</v>
          </cell>
          <cell r="M105">
            <v>0</v>
          </cell>
          <cell r="N105">
            <v>0</v>
          </cell>
          <cell r="O105" t="str">
            <v/>
          </cell>
          <cell r="P105" t="str">
            <v/>
          </cell>
          <cell r="Q105" t="str">
            <v/>
          </cell>
          <cell r="R105" t="str">
            <v/>
          </cell>
          <cell r="V105" t="str">
            <v/>
          </cell>
          <cell r="W105" t="str">
            <v/>
          </cell>
          <cell r="Y105" t="str">
            <v/>
          </cell>
          <cell r="Z105" t="str">
            <v/>
          </cell>
        </row>
        <row r="106">
          <cell r="A106">
            <v>984883</v>
          </cell>
          <cell r="B106">
            <v>17239.04</v>
          </cell>
          <cell r="C106">
            <v>5434.63</v>
          </cell>
          <cell r="E106">
            <v>984883</v>
          </cell>
          <cell r="F106">
            <v>970</v>
          </cell>
          <cell r="G106">
            <v>114</v>
          </cell>
          <cell r="H106">
            <v>290</v>
          </cell>
          <cell r="I106">
            <v>546</v>
          </cell>
          <cell r="J106">
            <v>3512</v>
          </cell>
          <cell r="K106">
            <v>5434.63</v>
          </cell>
          <cell r="L106">
            <v>17239.04</v>
          </cell>
          <cell r="M106">
            <v>0</v>
          </cell>
          <cell r="N106">
            <v>0</v>
          </cell>
          <cell r="O106" t="str">
            <v/>
          </cell>
          <cell r="P106" t="str">
            <v/>
          </cell>
          <cell r="Q106" t="str">
            <v/>
          </cell>
          <cell r="R106" t="str">
            <v/>
          </cell>
          <cell r="V106" t="str">
            <v/>
          </cell>
          <cell r="W106" t="str">
            <v/>
          </cell>
          <cell r="Y106" t="str">
            <v/>
          </cell>
          <cell r="Z106" t="str">
            <v/>
          </cell>
        </row>
        <row r="107">
          <cell r="A107">
            <v>984885</v>
          </cell>
          <cell r="B107">
            <v>978028.24</v>
          </cell>
          <cell r="C107">
            <v>83236.19</v>
          </cell>
          <cell r="E107">
            <v>984885</v>
          </cell>
          <cell r="F107">
            <v>1631</v>
          </cell>
          <cell r="G107">
            <v>6074</v>
          </cell>
          <cell r="H107">
            <v>290</v>
          </cell>
          <cell r="I107">
            <v>22437</v>
          </cell>
          <cell r="J107">
            <v>52802</v>
          </cell>
          <cell r="K107">
            <v>83236.19</v>
          </cell>
          <cell r="L107">
            <v>978028.24</v>
          </cell>
          <cell r="M107">
            <v>0</v>
          </cell>
          <cell r="N107">
            <v>0</v>
          </cell>
          <cell r="O107" t="str">
            <v/>
          </cell>
          <cell r="P107" t="str">
            <v/>
          </cell>
          <cell r="Q107" t="str">
            <v/>
          </cell>
          <cell r="R107" t="str">
            <v/>
          </cell>
          <cell r="V107" t="str">
            <v/>
          </cell>
          <cell r="W107" t="str">
            <v/>
          </cell>
          <cell r="Y107" t="str">
            <v/>
          </cell>
          <cell r="Z107" t="str">
            <v/>
          </cell>
        </row>
        <row r="108">
          <cell r="A108">
            <v>984888</v>
          </cell>
          <cell r="B108">
            <v>1.2</v>
          </cell>
          <cell r="C108">
            <v>494.34</v>
          </cell>
          <cell r="E108">
            <v>984888</v>
          </cell>
          <cell r="F108">
            <v>59</v>
          </cell>
          <cell r="G108">
            <v>0</v>
          </cell>
          <cell r="H108">
            <v>290</v>
          </cell>
          <cell r="I108">
            <v>133</v>
          </cell>
          <cell r="J108">
            <v>11</v>
          </cell>
          <cell r="K108">
            <v>494.34</v>
          </cell>
          <cell r="L108">
            <v>1.2</v>
          </cell>
          <cell r="M108">
            <v>0</v>
          </cell>
          <cell r="N108">
            <v>0</v>
          </cell>
          <cell r="O108" t="str">
            <v/>
          </cell>
          <cell r="P108" t="str">
            <v/>
          </cell>
          <cell r="Q108" t="str">
            <v/>
          </cell>
          <cell r="R108" t="str">
            <v/>
          </cell>
          <cell r="V108" t="str">
            <v/>
          </cell>
          <cell r="W108" t="str">
            <v/>
          </cell>
          <cell r="Y108" t="str">
            <v/>
          </cell>
          <cell r="Z108" t="str">
            <v/>
          </cell>
        </row>
        <row r="109">
          <cell r="A109">
            <v>984892</v>
          </cell>
          <cell r="B109">
            <v>15680.71</v>
          </cell>
          <cell r="C109">
            <v>3655.86</v>
          </cell>
          <cell r="E109">
            <v>984892</v>
          </cell>
          <cell r="F109">
            <v>133</v>
          </cell>
          <cell r="G109">
            <v>98</v>
          </cell>
          <cell r="H109">
            <v>362</v>
          </cell>
          <cell r="I109">
            <v>615</v>
          </cell>
          <cell r="J109">
            <v>2446</v>
          </cell>
          <cell r="K109">
            <v>3655.86</v>
          </cell>
          <cell r="L109">
            <v>15680.71</v>
          </cell>
          <cell r="M109">
            <v>0</v>
          </cell>
          <cell r="N109">
            <v>0</v>
          </cell>
          <cell r="O109" t="str">
            <v/>
          </cell>
          <cell r="P109" t="str">
            <v/>
          </cell>
          <cell r="Q109" t="str">
            <v/>
          </cell>
          <cell r="R109" t="str">
            <v/>
          </cell>
          <cell r="V109" t="str">
            <v/>
          </cell>
          <cell r="W109" t="str">
            <v/>
          </cell>
          <cell r="Y109" t="str">
            <v/>
          </cell>
          <cell r="Z109" t="str">
            <v/>
          </cell>
        </row>
        <row r="110">
          <cell r="A110">
            <v>984894</v>
          </cell>
          <cell r="B110">
            <v>2920.68</v>
          </cell>
          <cell r="C110">
            <v>1370.88</v>
          </cell>
          <cell r="E110">
            <v>984894</v>
          </cell>
          <cell r="F110">
            <v>386</v>
          </cell>
          <cell r="G110">
            <v>20</v>
          </cell>
          <cell r="H110">
            <v>290</v>
          </cell>
          <cell r="I110">
            <v>207</v>
          </cell>
          <cell r="J110">
            <v>466</v>
          </cell>
          <cell r="K110">
            <v>1370.88</v>
          </cell>
          <cell r="L110">
            <v>2920.68</v>
          </cell>
          <cell r="M110">
            <v>0</v>
          </cell>
          <cell r="N110">
            <v>0</v>
          </cell>
          <cell r="O110" t="str">
            <v/>
          </cell>
          <cell r="P110" t="str">
            <v/>
          </cell>
          <cell r="Q110" t="str">
            <v/>
          </cell>
          <cell r="R110" t="str">
            <v/>
          </cell>
          <cell r="V110" t="str">
            <v/>
          </cell>
          <cell r="W110" t="str">
            <v/>
          </cell>
          <cell r="Y110" t="str">
            <v/>
          </cell>
          <cell r="Z110" t="str">
            <v/>
          </cell>
        </row>
        <row r="111">
          <cell r="A111">
            <v>984901</v>
          </cell>
          <cell r="B111">
            <v>4108.37</v>
          </cell>
          <cell r="C111">
            <v>1543.08</v>
          </cell>
          <cell r="E111">
            <v>984901</v>
          </cell>
          <cell r="F111">
            <v>111</v>
          </cell>
          <cell r="G111">
            <v>26</v>
          </cell>
          <cell r="H111">
            <v>290</v>
          </cell>
          <cell r="I111">
            <v>227</v>
          </cell>
          <cell r="J111">
            <v>887</v>
          </cell>
          <cell r="K111">
            <v>1543.08</v>
          </cell>
          <cell r="L111">
            <v>4108.37</v>
          </cell>
          <cell r="M111">
            <v>0</v>
          </cell>
          <cell r="N111">
            <v>0</v>
          </cell>
          <cell r="O111" t="str">
            <v/>
          </cell>
          <cell r="P111" t="str">
            <v/>
          </cell>
          <cell r="Q111" t="str">
            <v/>
          </cell>
          <cell r="R111" t="str">
            <v/>
          </cell>
          <cell r="V111" t="str">
            <v/>
          </cell>
          <cell r="W111" t="str">
            <v/>
          </cell>
          <cell r="Y111" t="str">
            <v/>
          </cell>
          <cell r="Z111" t="str">
            <v/>
          </cell>
        </row>
        <row r="112">
          <cell r="A112">
            <v>984902</v>
          </cell>
          <cell r="B112">
            <v>1807.8</v>
          </cell>
          <cell r="C112">
            <v>860.74</v>
          </cell>
          <cell r="E112">
            <v>984902</v>
          </cell>
          <cell r="F112">
            <v>117</v>
          </cell>
          <cell r="G112">
            <v>6</v>
          </cell>
          <cell r="H112">
            <v>290</v>
          </cell>
          <cell r="I112">
            <v>175</v>
          </cell>
          <cell r="J112">
            <v>271</v>
          </cell>
          <cell r="K112">
            <v>860.74</v>
          </cell>
          <cell r="L112">
            <v>1807.8</v>
          </cell>
          <cell r="M112">
            <v>0</v>
          </cell>
          <cell r="N112">
            <v>0</v>
          </cell>
          <cell r="O112" t="str">
            <v/>
          </cell>
          <cell r="P112" t="str">
            <v/>
          </cell>
          <cell r="Q112" t="str">
            <v/>
          </cell>
          <cell r="R112" t="str">
            <v/>
          </cell>
          <cell r="V112" t="str">
            <v/>
          </cell>
          <cell r="W112" t="str">
            <v/>
          </cell>
          <cell r="Y112" t="str">
            <v/>
          </cell>
          <cell r="Z112" t="str">
            <v/>
          </cell>
        </row>
        <row r="113">
          <cell r="A113">
            <v>984905</v>
          </cell>
          <cell r="B113">
            <v>3295.62</v>
          </cell>
          <cell r="C113">
            <v>1407.35</v>
          </cell>
          <cell r="E113">
            <v>984905</v>
          </cell>
          <cell r="F113">
            <v>222</v>
          </cell>
          <cell r="G113">
            <v>11</v>
          </cell>
          <cell r="H113">
            <v>290</v>
          </cell>
          <cell r="I113">
            <v>211</v>
          </cell>
          <cell r="J113">
            <v>672</v>
          </cell>
          <cell r="K113">
            <v>1407.35</v>
          </cell>
          <cell r="L113">
            <v>3295.62</v>
          </cell>
          <cell r="M113">
            <v>0</v>
          </cell>
          <cell r="N113">
            <v>0</v>
          </cell>
          <cell r="O113" t="str">
            <v/>
          </cell>
          <cell r="P113" t="str">
            <v/>
          </cell>
          <cell r="Q113" t="str">
            <v/>
          </cell>
          <cell r="R113" t="str">
            <v/>
          </cell>
          <cell r="V113" t="str">
            <v/>
          </cell>
          <cell r="W113" t="str">
            <v/>
          </cell>
          <cell r="Y113" t="str">
            <v/>
          </cell>
          <cell r="Z113" t="str">
            <v/>
          </cell>
        </row>
        <row r="114">
          <cell r="A114">
            <v>984906</v>
          </cell>
          <cell r="B114">
            <v>752.04</v>
          </cell>
          <cell r="C114">
            <v>746.02</v>
          </cell>
          <cell r="E114">
            <v>984906</v>
          </cell>
          <cell r="F114">
            <v>117</v>
          </cell>
          <cell r="G114">
            <v>2</v>
          </cell>
          <cell r="H114">
            <v>290</v>
          </cell>
          <cell r="I114">
            <v>151</v>
          </cell>
          <cell r="J114">
            <v>183</v>
          </cell>
          <cell r="K114">
            <v>746.02</v>
          </cell>
          <cell r="L114">
            <v>752.04</v>
          </cell>
          <cell r="M114">
            <v>0</v>
          </cell>
          <cell r="N114">
            <v>0</v>
          </cell>
          <cell r="O114" t="str">
            <v/>
          </cell>
          <cell r="P114" t="str">
            <v/>
          </cell>
          <cell r="Q114" t="str">
            <v/>
          </cell>
          <cell r="R114" t="str">
            <v/>
          </cell>
          <cell r="V114" t="str">
            <v/>
          </cell>
          <cell r="W114" t="str">
            <v/>
          </cell>
          <cell r="Y114" t="str">
            <v/>
          </cell>
          <cell r="Z114" t="str">
            <v/>
          </cell>
        </row>
        <row r="115">
          <cell r="A115">
            <v>984908</v>
          </cell>
          <cell r="B115">
            <v>867.74</v>
          </cell>
          <cell r="C115">
            <v>777.09</v>
          </cell>
          <cell r="E115">
            <v>984908</v>
          </cell>
          <cell r="F115">
            <v>117</v>
          </cell>
          <cell r="G115">
            <v>6</v>
          </cell>
          <cell r="H115">
            <v>290</v>
          </cell>
          <cell r="I115">
            <v>154</v>
          </cell>
          <cell r="J115">
            <v>208</v>
          </cell>
          <cell r="K115">
            <v>777.09</v>
          </cell>
          <cell r="L115">
            <v>867.74</v>
          </cell>
          <cell r="M115">
            <v>0</v>
          </cell>
          <cell r="N115">
            <v>0</v>
          </cell>
          <cell r="O115" t="str">
            <v/>
          </cell>
          <cell r="P115" t="str">
            <v/>
          </cell>
          <cell r="Q115" t="str">
            <v/>
          </cell>
          <cell r="R115" t="str">
            <v/>
          </cell>
          <cell r="V115" t="str">
            <v/>
          </cell>
          <cell r="W115" t="str">
            <v/>
          </cell>
          <cell r="Y115" t="str">
            <v/>
          </cell>
          <cell r="Z115" t="str">
            <v/>
          </cell>
        </row>
        <row r="116">
          <cell r="A116">
            <v>984909</v>
          </cell>
          <cell r="B116">
            <v>25984.11</v>
          </cell>
          <cell r="C116">
            <v>5018.91</v>
          </cell>
          <cell r="E116">
            <v>984909</v>
          </cell>
          <cell r="F116">
            <v>122</v>
          </cell>
          <cell r="G116">
            <v>83</v>
          </cell>
          <cell r="H116">
            <v>290</v>
          </cell>
          <cell r="I116">
            <v>846</v>
          </cell>
          <cell r="J116">
            <v>3676</v>
          </cell>
          <cell r="K116">
            <v>5018.91</v>
          </cell>
          <cell r="L116">
            <v>25984.11</v>
          </cell>
          <cell r="M116">
            <v>0</v>
          </cell>
          <cell r="N116">
            <v>0</v>
          </cell>
          <cell r="O116" t="str">
            <v/>
          </cell>
          <cell r="P116" t="str">
            <v/>
          </cell>
          <cell r="Q116" t="str">
            <v/>
          </cell>
          <cell r="R116" t="str">
            <v/>
          </cell>
          <cell r="V116" t="str">
            <v/>
          </cell>
          <cell r="W116" t="str">
            <v/>
          </cell>
          <cell r="Y116" t="str">
            <v/>
          </cell>
          <cell r="Z116" t="str">
            <v/>
          </cell>
        </row>
        <row r="117">
          <cell r="A117">
            <v>984913</v>
          </cell>
          <cell r="B117">
            <v>11841.09</v>
          </cell>
          <cell r="C117">
            <v>2639.29</v>
          </cell>
          <cell r="E117">
            <v>984913</v>
          </cell>
          <cell r="F117">
            <v>102</v>
          </cell>
          <cell r="G117">
            <v>38</v>
          </cell>
          <cell r="H117">
            <v>290</v>
          </cell>
          <cell r="I117">
            <v>526</v>
          </cell>
          <cell r="J117">
            <v>1681</v>
          </cell>
          <cell r="K117">
            <v>2639.29</v>
          </cell>
          <cell r="L117">
            <v>11841.09</v>
          </cell>
          <cell r="M117">
            <v>0</v>
          </cell>
          <cell r="N117">
            <v>0</v>
          </cell>
          <cell r="O117" t="str">
            <v/>
          </cell>
          <cell r="P117" t="str">
            <v/>
          </cell>
          <cell r="Q117" t="str">
            <v/>
          </cell>
          <cell r="R117" t="str">
            <v/>
          </cell>
          <cell r="V117" t="str">
            <v/>
          </cell>
          <cell r="W117" t="str">
            <v/>
          </cell>
          <cell r="Y117" t="str">
            <v/>
          </cell>
          <cell r="Z117" t="str">
            <v/>
          </cell>
        </row>
        <row r="118">
          <cell r="A118">
            <v>984915</v>
          </cell>
          <cell r="B118">
            <v>12148.42</v>
          </cell>
          <cell r="C118">
            <v>3608.25</v>
          </cell>
          <cell r="E118">
            <v>984915</v>
          </cell>
          <cell r="F118">
            <v>110</v>
          </cell>
          <cell r="G118">
            <v>76</v>
          </cell>
          <cell r="H118">
            <v>290</v>
          </cell>
          <cell r="I118">
            <v>534</v>
          </cell>
          <cell r="J118">
            <v>2597</v>
          </cell>
          <cell r="K118">
            <v>3608.25</v>
          </cell>
          <cell r="L118">
            <v>12148.42</v>
          </cell>
          <cell r="M118">
            <v>0</v>
          </cell>
          <cell r="N118">
            <v>0</v>
          </cell>
          <cell r="O118" t="str">
            <v/>
          </cell>
          <cell r="P118" t="str">
            <v/>
          </cell>
          <cell r="Q118" t="str">
            <v/>
          </cell>
          <cell r="R118" t="str">
            <v/>
          </cell>
          <cell r="V118" t="str">
            <v/>
          </cell>
          <cell r="W118" t="str">
            <v/>
          </cell>
          <cell r="Y118" t="str">
            <v/>
          </cell>
          <cell r="Z118" t="str">
            <v/>
          </cell>
        </row>
        <row r="119">
          <cell r="A119">
            <v>984916</v>
          </cell>
          <cell r="B119">
            <v>88.65</v>
          </cell>
          <cell r="C119">
            <v>574.28</v>
          </cell>
          <cell r="E119">
            <v>984916</v>
          </cell>
          <cell r="F119">
            <v>108</v>
          </cell>
          <cell r="G119">
            <v>1</v>
          </cell>
          <cell r="H119">
            <v>290</v>
          </cell>
          <cell r="I119">
            <v>136</v>
          </cell>
          <cell r="J119">
            <v>38</v>
          </cell>
          <cell r="K119">
            <v>574.28</v>
          </cell>
          <cell r="L119">
            <v>88.65</v>
          </cell>
          <cell r="M119">
            <v>0</v>
          </cell>
          <cell r="N119">
            <v>0</v>
          </cell>
          <cell r="O119" t="str">
            <v/>
          </cell>
          <cell r="P119" t="str">
            <v/>
          </cell>
          <cell r="Q119" t="str">
            <v/>
          </cell>
          <cell r="R119" t="str">
            <v/>
          </cell>
          <cell r="V119" t="str">
            <v/>
          </cell>
          <cell r="W119" t="str">
            <v/>
          </cell>
          <cell r="Y119" t="str">
            <v/>
          </cell>
          <cell r="Z119" t="str">
            <v/>
          </cell>
        </row>
        <row r="120">
          <cell r="A120">
            <v>984919</v>
          </cell>
          <cell r="B120">
            <v>39433.21</v>
          </cell>
          <cell r="C120">
            <v>7260.11</v>
          </cell>
          <cell r="E120">
            <v>984919</v>
          </cell>
          <cell r="F120">
            <v>114</v>
          </cell>
          <cell r="G120">
            <v>127</v>
          </cell>
          <cell r="H120">
            <v>290</v>
          </cell>
          <cell r="I120">
            <v>1152</v>
          </cell>
          <cell r="J120">
            <v>5576</v>
          </cell>
          <cell r="K120">
            <v>7260.11</v>
          </cell>
          <cell r="L120">
            <v>39433.21</v>
          </cell>
          <cell r="M120">
            <v>0</v>
          </cell>
          <cell r="N120">
            <v>0</v>
          </cell>
          <cell r="O120" t="str">
            <v/>
          </cell>
          <cell r="P120" t="str">
            <v/>
          </cell>
          <cell r="Q120" t="str">
            <v/>
          </cell>
          <cell r="R120" t="str">
            <v/>
          </cell>
          <cell r="V120" t="str">
            <v/>
          </cell>
          <cell r="W120" t="str">
            <v/>
          </cell>
          <cell r="Y120" t="str">
            <v/>
          </cell>
          <cell r="Z120" t="str">
            <v/>
          </cell>
        </row>
        <row r="121">
          <cell r="A121">
            <v>984923</v>
          </cell>
          <cell r="B121">
            <v>44541.54</v>
          </cell>
          <cell r="C121">
            <v>8798.65</v>
          </cell>
          <cell r="E121">
            <v>984923</v>
          </cell>
          <cell r="F121">
            <v>702</v>
          </cell>
          <cell r="G121">
            <v>145</v>
          </cell>
          <cell r="H121">
            <v>290</v>
          </cell>
          <cell r="I121">
            <v>1281</v>
          </cell>
          <cell r="J121">
            <v>6379</v>
          </cell>
          <cell r="K121">
            <v>8798.65</v>
          </cell>
          <cell r="L121">
            <v>44541.54</v>
          </cell>
          <cell r="M121">
            <v>0</v>
          </cell>
          <cell r="N121">
            <v>0</v>
          </cell>
          <cell r="O121" t="str">
            <v/>
          </cell>
          <cell r="P121" t="str">
            <v/>
          </cell>
          <cell r="Q121" t="str">
            <v/>
          </cell>
          <cell r="R121" t="str">
            <v/>
          </cell>
          <cell r="V121" t="str">
            <v/>
          </cell>
          <cell r="W121" t="str">
            <v/>
          </cell>
          <cell r="Y121" t="str">
            <v/>
          </cell>
          <cell r="Z121" t="str">
            <v/>
          </cell>
        </row>
        <row r="122">
          <cell r="A122">
            <v>984929</v>
          </cell>
          <cell r="B122">
            <v>34697.129999999997</v>
          </cell>
          <cell r="C122">
            <v>11417.01</v>
          </cell>
          <cell r="E122">
            <v>984929</v>
          </cell>
          <cell r="F122">
            <v>2583</v>
          </cell>
          <cell r="G122">
            <v>234</v>
          </cell>
          <cell r="H122">
            <v>290</v>
          </cell>
          <cell r="I122">
            <v>1108</v>
          </cell>
          <cell r="J122">
            <v>7200</v>
          </cell>
          <cell r="K122">
            <v>11417.01</v>
          </cell>
          <cell r="L122">
            <v>34697.129999999997</v>
          </cell>
          <cell r="M122">
            <v>0</v>
          </cell>
          <cell r="N122">
            <v>0</v>
          </cell>
          <cell r="O122" t="str">
            <v/>
          </cell>
          <cell r="P122" t="str">
            <v/>
          </cell>
          <cell r="Q122" t="str">
            <v/>
          </cell>
          <cell r="R122" t="str">
            <v/>
          </cell>
          <cell r="V122" t="str">
            <v/>
          </cell>
          <cell r="W122" t="str">
            <v/>
          </cell>
          <cell r="Y122" t="str">
            <v/>
          </cell>
          <cell r="Z122" t="str">
            <v/>
          </cell>
        </row>
        <row r="123">
          <cell r="A123">
            <v>984931</v>
          </cell>
          <cell r="B123">
            <v>35985.42</v>
          </cell>
          <cell r="C123">
            <v>6765.04</v>
          </cell>
          <cell r="E123">
            <v>984931</v>
          </cell>
          <cell r="F123">
            <v>392</v>
          </cell>
          <cell r="G123">
            <v>226</v>
          </cell>
          <cell r="H123">
            <v>290</v>
          </cell>
          <cell r="I123">
            <v>1082</v>
          </cell>
          <cell r="J123">
            <v>4773</v>
          </cell>
          <cell r="K123">
            <v>6765.04</v>
          </cell>
          <cell r="L123">
            <v>35985.42</v>
          </cell>
          <cell r="M123">
            <v>0</v>
          </cell>
          <cell r="N123">
            <v>0</v>
          </cell>
          <cell r="O123" t="str">
            <v/>
          </cell>
          <cell r="P123" t="str">
            <v/>
          </cell>
          <cell r="Q123" t="str">
            <v/>
          </cell>
          <cell r="R123" t="str">
            <v/>
          </cell>
          <cell r="V123" t="str">
            <v/>
          </cell>
          <cell r="W123" t="str">
            <v/>
          </cell>
          <cell r="Y123" t="str">
            <v/>
          </cell>
          <cell r="Z123" t="str">
            <v/>
          </cell>
        </row>
        <row r="124">
          <cell r="A124">
            <v>984934</v>
          </cell>
          <cell r="B124">
            <v>4303.8900000000003</v>
          </cell>
          <cell r="C124">
            <v>1531.94</v>
          </cell>
          <cell r="E124">
            <v>984934</v>
          </cell>
          <cell r="F124">
            <v>140</v>
          </cell>
          <cell r="G124">
            <v>27</v>
          </cell>
          <cell r="H124">
            <v>290</v>
          </cell>
          <cell r="I124">
            <v>231</v>
          </cell>
          <cell r="J124">
            <v>842</v>
          </cell>
          <cell r="K124">
            <v>1531.94</v>
          </cell>
          <cell r="L124">
            <v>4303.8900000000003</v>
          </cell>
          <cell r="M124">
            <v>0</v>
          </cell>
          <cell r="N124">
            <v>0</v>
          </cell>
          <cell r="O124" t="str">
            <v/>
          </cell>
          <cell r="P124" t="str">
            <v/>
          </cell>
          <cell r="Q124" t="str">
            <v/>
          </cell>
          <cell r="R124" t="str">
            <v/>
          </cell>
          <cell r="V124" t="str">
            <v/>
          </cell>
          <cell r="W124" t="str">
            <v/>
          </cell>
          <cell r="Y124" t="str">
            <v/>
          </cell>
          <cell r="Z124" t="str">
            <v/>
          </cell>
        </row>
        <row r="125">
          <cell r="A125">
            <v>984939</v>
          </cell>
          <cell r="B125">
            <v>294426.71999999997</v>
          </cell>
          <cell r="C125">
            <v>72911.67</v>
          </cell>
          <cell r="E125">
            <v>984939</v>
          </cell>
          <cell r="F125">
            <v>4426</v>
          </cell>
          <cell r="G125">
            <v>1397</v>
          </cell>
          <cell r="H125">
            <v>422</v>
          </cell>
          <cell r="I125">
            <v>10053</v>
          </cell>
          <cell r="J125">
            <v>56611</v>
          </cell>
          <cell r="K125">
            <v>72911.67</v>
          </cell>
          <cell r="L125">
            <v>294426.71999999997</v>
          </cell>
          <cell r="M125">
            <v>0</v>
          </cell>
          <cell r="N125">
            <v>0</v>
          </cell>
          <cell r="O125" t="str">
            <v/>
          </cell>
          <cell r="P125" t="str">
            <v/>
          </cell>
          <cell r="Q125" t="str">
            <v/>
          </cell>
          <cell r="R125" t="str">
            <v/>
          </cell>
          <cell r="V125" t="str">
            <v/>
          </cell>
          <cell r="W125" t="str">
            <v/>
          </cell>
          <cell r="Y125" t="str">
            <v/>
          </cell>
          <cell r="Z125" t="str">
            <v/>
          </cell>
        </row>
        <row r="126">
          <cell r="A126">
            <v>984941</v>
          </cell>
          <cell r="B126">
            <v>846.05</v>
          </cell>
          <cell r="C126">
            <v>632.16999999999996</v>
          </cell>
          <cell r="E126">
            <v>984941</v>
          </cell>
          <cell r="F126">
            <v>67</v>
          </cell>
          <cell r="G126">
            <v>2</v>
          </cell>
          <cell r="H126">
            <v>290</v>
          </cell>
          <cell r="I126">
            <v>152</v>
          </cell>
          <cell r="J126">
            <v>119</v>
          </cell>
          <cell r="K126">
            <v>632.16999999999996</v>
          </cell>
          <cell r="L126">
            <v>846.05</v>
          </cell>
          <cell r="M126">
            <v>0</v>
          </cell>
          <cell r="N126">
            <v>0</v>
          </cell>
          <cell r="O126" t="str">
            <v/>
          </cell>
          <cell r="P126" t="str">
            <v/>
          </cell>
          <cell r="Q126" t="str">
            <v/>
          </cell>
          <cell r="R126" t="str">
            <v/>
          </cell>
          <cell r="V126" t="str">
            <v/>
          </cell>
          <cell r="W126" t="str">
            <v/>
          </cell>
          <cell r="Y126" t="str">
            <v/>
          </cell>
          <cell r="Z126" t="str">
            <v/>
          </cell>
        </row>
        <row r="127">
          <cell r="A127">
            <v>984942</v>
          </cell>
          <cell r="B127">
            <v>4210.45</v>
          </cell>
          <cell r="C127">
            <v>1970.12</v>
          </cell>
          <cell r="E127">
            <v>984942</v>
          </cell>
          <cell r="F127">
            <v>721</v>
          </cell>
          <cell r="G127">
            <v>30</v>
          </cell>
          <cell r="H127">
            <v>130</v>
          </cell>
          <cell r="I127">
            <v>257</v>
          </cell>
          <cell r="J127">
            <v>830</v>
          </cell>
          <cell r="K127">
            <v>1970.12</v>
          </cell>
          <cell r="L127">
            <v>4210.45</v>
          </cell>
          <cell r="M127">
            <v>0</v>
          </cell>
          <cell r="N127">
            <v>0</v>
          </cell>
          <cell r="O127" t="str">
            <v/>
          </cell>
          <cell r="P127" t="str">
            <v/>
          </cell>
          <cell r="Q127" t="str">
            <v/>
          </cell>
          <cell r="R127" t="str">
            <v/>
          </cell>
          <cell r="V127" t="str">
            <v/>
          </cell>
          <cell r="W127" t="str">
            <v/>
          </cell>
          <cell r="Y127" t="str">
            <v/>
          </cell>
          <cell r="Z127" t="str">
            <v/>
          </cell>
        </row>
        <row r="128">
          <cell r="A128">
            <v>984944</v>
          </cell>
          <cell r="B128">
            <v>3668.03</v>
          </cell>
          <cell r="C128">
            <v>1469.05</v>
          </cell>
          <cell r="E128">
            <v>984944</v>
          </cell>
          <cell r="F128">
            <v>309</v>
          </cell>
          <cell r="G128">
            <v>24</v>
          </cell>
          <cell r="H128">
            <v>130</v>
          </cell>
          <cell r="I128">
            <v>257</v>
          </cell>
          <cell r="J128">
            <v>747</v>
          </cell>
          <cell r="K128">
            <v>1469.05</v>
          </cell>
          <cell r="L128">
            <v>3668.03</v>
          </cell>
          <cell r="M128">
            <v>0</v>
          </cell>
          <cell r="N128">
            <v>0</v>
          </cell>
          <cell r="O128" t="str">
            <v/>
          </cell>
          <cell r="P128" t="str">
            <v/>
          </cell>
          <cell r="Q128" t="str">
            <v/>
          </cell>
          <cell r="R128" t="str">
            <v/>
          </cell>
          <cell r="V128" t="str">
            <v/>
          </cell>
          <cell r="W128" t="str">
            <v/>
          </cell>
          <cell r="Y128" t="str">
            <v/>
          </cell>
          <cell r="Z128" t="str">
            <v/>
          </cell>
        </row>
        <row r="129">
          <cell r="A129">
            <v>984945</v>
          </cell>
          <cell r="B129">
            <v>1409.62</v>
          </cell>
          <cell r="C129">
            <v>556.03</v>
          </cell>
          <cell r="E129">
            <v>984945</v>
          </cell>
          <cell r="F129">
            <v>113</v>
          </cell>
          <cell r="G129">
            <v>9</v>
          </cell>
          <cell r="H129">
            <v>130</v>
          </cell>
          <cell r="I129">
            <v>257</v>
          </cell>
          <cell r="J129">
            <v>45</v>
          </cell>
          <cell r="K129">
            <v>556.03</v>
          </cell>
          <cell r="L129">
            <v>1409.62</v>
          </cell>
          <cell r="M129">
            <v>0</v>
          </cell>
          <cell r="N129">
            <v>0</v>
          </cell>
          <cell r="O129" t="str">
            <v/>
          </cell>
          <cell r="P129" t="str">
            <v/>
          </cell>
          <cell r="Q129" t="str">
            <v/>
          </cell>
          <cell r="R129" t="str">
            <v/>
          </cell>
          <cell r="V129" t="str">
            <v/>
          </cell>
          <cell r="W129" t="str">
            <v/>
          </cell>
          <cell r="Y129" t="str">
            <v/>
          </cell>
          <cell r="Z129" t="str">
            <v/>
          </cell>
        </row>
        <row r="130">
          <cell r="A130">
            <v>984946</v>
          </cell>
          <cell r="B130">
            <v>2196.36</v>
          </cell>
          <cell r="C130">
            <v>1228.96</v>
          </cell>
          <cell r="E130">
            <v>984946</v>
          </cell>
          <cell r="F130">
            <v>264</v>
          </cell>
          <cell r="G130">
            <v>15</v>
          </cell>
          <cell r="H130">
            <v>290</v>
          </cell>
          <cell r="I130">
            <v>187</v>
          </cell>
          <cell r="J130">
            <v>471</v>
          </cell>
          <cell r="K130">
            <v>1228.96</v>
          </cell>
          <cell r="L130">
            <v>2196.36</v>
          </cell>
          <cell r="M130">
            <v>0</v>
          </cell>
          <cell r="N130">
            <v>0</v>
          </cell>
          <cell r="O130" t="str">
            <v/>
          </cell>
          <cell r="P130" t="str">
            <v/>
          </cell>
          <cell r="Q130" t="str">
            <v/>
          </cell>
          <cell r="R130" t="str">
            <v/>
          </cell>
          <cell r="V130" t="str">
            <v/>
          </cell>
          <cell r="W130" t="str">
            <v/>
          </cell>
          <cell r="Y130" t="str">
            <v/>
          </cell>
          <cell r="Z130" t="str">
            <v/>
          </cell>
        </row>
        <row r="131">
          <cell r="A131">
            <v>984947</v>
          </cell>
          <cell r="B131">
            <v>25917.63</v>
          </cell>
          <cell r="C131">
            <v>7465.5</v>
          </cell>
          <cell r="E131">
            <v>984947</v>
          </cell>
          <cell r="F131">
            <v>1058</v>
          </cell>
          <cell r="G131">
            <v>87</v>
          </cell>
          <cell r="H131">
            <v>290</v>
          </cell>
          <cell r="I131">
            <v>867</v>
          </cell>
          <cell r="J131">
            <v>5162</v>
          </cell>
          <cell r="K131">
            <v>7465.5</v>
          </cell>
          <cell r="L131">
            <v>25917.63</v>
          </cell>
          <cell r="M131">
            <v>0</v>
          </cell>
          <cell r="N131">
            <v>0</v>
          </cell>
          <cell r="O131" t="str">
            <v/>
          </cell>
          <cell r="P131" t="str">
            <v/>
          </cell>
          <cell r="Q131" t="str">
            <v/>
          </cell>
          <cell r="R131" t="str">
            <v/>
          </cell>
          <cell r="V131" t="str">
            <v/>
          </cell>
          <cell r="W131" t="str">
            <v/>
          </cell>
          <cell r="Y131" t="str">
            <v/>
          </cell>
          <cell r="Z131" t="str">
            <v/>
          </cell>
        </row>
        <row r="132">
          <cell r="A132">
            <v>984948</v>
          </cell>
          <cell r="B132">
            <v>2286.46</v>
          </cell>
          <cell r="C132">
            <v>937.2</v>
          </cell>
          <cell r="E132">
            <v>984948</v>
          </cell>
          <cell r="F132">
            <v>106</v>
          </cell>
          <cell r="G132">
            <v>14</v>
          </cell>
          <cell r="H132">
            <v>290</v>
          </cell>
          <cell r="I132">
            <v>186</v>
          </cell>
          <cell r="J132">
            <v>339</v>
          </cell>
          <cell r="K132">
            <v>937.2</v>
          </cell>
          <cell r="L132">
            <v>2286.46</v>
          </cell>
          <cell r="M132">
            <v>0</v>
          </cell>
          <cell r="N132">
            <v>0</v>
          </cell>
          <cell r="O132" t="str">
            <v/>
          </cell>
          <cell r="P132" t="str">
            <v/>
          </cell>
          <cell r="Q132" t="str">
            <v/>
          </cell>
          <cell r="R132" t="str">
            <v/>
          </cell>
          <cell r="V132" t="str">
            <v/>
          </cell>
          <cell r="W132" t="str">
            <v/>
          </cell>
          <cell r="Y132" t="str">
            <v/>
          </cell>
          <cell r="Z132" t="str">
            <v/>
          </cell>
        </row>
        <row r="133">
          <cell r="A133">
            <v>984950</v>
          </cell>
          <cell r="B133">
            <v>107.47</v>
          </cell>
          <cell r="C133">
            <v>589.55999999999995</v>
          </cell>
          <cell r="E133">
            <v>984950</v>
          </cell>
          <cell r="F133">
            <v>119</v>
          </cell>
          <cell r="G133">
            <v>1</v>
          </cell>
          <cell r="H133">
            <v>287</v>
          </cell>
          <cell r="I133">
            <v>137</v>
          </cell>
          <cell r="J133">
            <v>43</v>
          </cell>
          <cell r="K133">
            <v>589.55999999999995</v>
          </cell>
          <cell r="L133">
            <v>107.47</v>
          </cell>
          <cell r="M133">
            <v>0</v>
          </cell>
          <cell r="N133">
            <v>0</v>
          </cell>
          <cell r="O133" t="str">
            <v/>
          </cell>
          <cell r="P133" t="str">
            <v/>
          </cell>
          <cell r="Q133" t="str">
            <v/>
          </cell>
          <cell r="R133" t="str">
            <v/>
          </cell>
          <cell r="V133" t="str">
            <v/>
          </cell>
          <cell r="W133" t="str">
            <v/>
          </cell>
          <cell r="Y133" t="str">
            <v/>
          </cell>
          <cell r="Z133" t="str">
            <v/>
          </cell>
        </row>
        <row r="134">
          <cell r="A134">
            <v>984951</v>
          </cell>
          <cell r="B134">
            <v>14953.68</v>
          </cell>
          <cell r="C134">
            <v>1523.3</v>
          </cell>
          <cell r="E134">
            <v>984951</v>
          </cell>
          <cell r="F134">
            <v>131</v>
          </cell>
          <cell r="G134">
            <v>48</v>
          </cell>
          <cell r="H134">
            <v>290</v>
          </cell>
          <cell r="I134">
            <v>597</v>
          </cell>
          <cell r="J134">
            <v>455</v>
          </cell>
          <cell r="K134">
            <v>1523.3</v>
          </cell>
          <cell r="L134">
            <v>14953.68</v>
          </cell>
          <cell r="M134">
            <v>0</v>
          </cell>
          <cell r="N134">
            <v>0</v>
          </cell>
          <cell r="O134" t="str">
            <v/>
          </cell>
          <cell r="P134" t="str">
            <v/>
          </cell>
          <cell r="Q134" t="str">
            <v/>
          </cell>
          <cell r="R134" t="str">
            <v/>
          </cell>
          <cell r="V134" t="str">
            <v/>
          </cell>
          <cell r="W134" t="str">
            <v/>
          </cell>
          <cell r="Y134" t="str">
            <v/>
          </cell>
          <cell r="Z134" t="str">
            <v/>
          </cell>
        </row>
        <row r="135">
          <cell r="A135">
            <v>984952</v>
          </cell>
          <cell r="B135">
            <v>14181.62</v>
          </cell>
          <cell r="C135">
            <v>3101.82</v>
          </cell>
          <cell r="E135">
            <v>984952</v>
          </cell>
          <cell r="F135">
            <v>122</v>
          </cell>
          <cell r="G135">
            <v>89</v>
          </cell>
          <cell r="H135">
            <v>290</v>
          </cell>
          <cell r="I135">
            <v>580</v>
          </cell>
          <cell r="J135">
            <v>2019</v>
          </cell>
          <cell r="K135">
            <v>3101.82</v>
          </cell>
          <cell r="L135">
            <v>14181.62</v>
          </cell>
          <cell r="M135">
            <v>0</v>
          </cell>
          <cell r="N135">
            <v>0</v>
          </cell>
          <cell r="O135" t="str">
            <v/>
          </cell>
          <cell r="P135" t="str">
            <v/>
          </cell>
          <cell r="Q135" t="str">
            <v/>
          </cell>
          <cell r="R135" t="str">
            <v/>
          </cell>
          <cell r="V135" t="str">
            <v/>
          </cell>
          <cell r="W135" t="str">
            <v/>
          </cell>
          <cell r="Y135" t="str">
            <v/>
          </cell>
          <cell r="Z135" t="str">
            <v/>
          </cell>
        </row>
        <row r="136">
          <cell r="A136">
            <v>984954</v>
          </cell>
          <cell r="B136">
            <v>360</v>
          </cell>
          <cell r="C136">
            <v>600.44000000000005</v>
          </cell>
          <cell r="E136">
            <v>984954</v>
          </cell>
          <cell r="F136">
            <v>95</v>
          </cell>
          <cell r="G136">
            <v>1</v>
          </cell>
          <cell r="H136">
            <v>287</v>
          </cell>
          <cell r="I136">
            <v>142</v>
          </cell>
          <cell r="J136">
            <v>72</v>
          </cell>
          <cell r="K136">
            <v>600.44000000000005</v>
          </cell>
          <cell r="L136">
            <v>360</v>
          </cell>
          <cell r="M136">
            <v>0</v>
          </cell>
          <cell r="N136">
            <v>0</v>
          </cell>
          <cell r="O136" t="str">
            <v/>
          </cell>
          <cell r="P136" t="str">
            <v/>
          </cell>
          <cell r="Q136" t="str">
            <v/>
          </cell>
          <cell r="R136" t="str">
            <v/>
          </cell>
          <cell r="V136" t="str">
            <v/>
          </cell>
          <cell r="W136" t="str">
            <v/>
          </cell>
          <cell r="Y136" t="str">
            <v/>
          </cell>
          <cell r="Z136" t="str">
            <v/>
          </cell>
        </row>
        <row r="137">
          <cell r="A137">
            <v>984957</v>
          </cell>
          <cell r="B137">
            <v>20662.36</v>
          </cell>
          <cell r="C137">
            <v>4174.18</v>
          </cell>
          <cell r="E137">
            <v>984957</v>
          </cell>
          <cell r="F137">
            <v>148</v>
          </cell>
          <cell r="G137">
            <v>66</v>
          </cell>
          <cell r="H137">
            <v>290</v>
          </cell>
          <cell r="I137">
            <v>728</v>
          </cell>
          <cell r="J137">
            <v>2940</v>
          </cell>
          <cell r="K137">
            <v>4174.18</v>
          </cell>
          <cell r="L137">
            <v>20662.36</v>
          </cell>
          <cell r="M137">
            <v>0</v>
          </cell>
          <cell r="N137">
            <v>0</v>
          </cell>
          <cell r="O137" t="str">
            <v/>
          </cell>
          <cell r="P137" t="str">
            <v/>
          </cell>
          <cell r="Q137" t="str">
            <v/>
          </cell>
          <cell r="R137" t="str">
            <v/>
          </cell>
          <cell r="V137" t="str">
            <v/>
          </cell>
          <cell r="W137" t="str">
            <v/>
          </cell>
          <cell r="Y137" t="str">
            <v/>
          </cell>
          <cell r="Z137" t="str">
            <v/>
          </cell>
        </row>
        <row r="138">
          <cell r="A138">
            <v>984959</v>
          </cell>
          <cell r="B138">
            <v>974.75</v>
          </cell>
          <cell r="C138">
            <v>945.8</v>
          </cell>
          <cell r="E138">
            <v>984959</v>
          </cell>
          <cell r="F138">
            <v>305</v>
          </cell>
          <cell r="G138">
            <v>7</v>
          </cell>
          <cell r="H138">
            <v>290</v>
          </cell>
          <cell r="I138">
            <v>161</v>
          </cell>
          <cell r="J138">
            <v>180</v>
          </cell>
          <cell r="K138">
            <v>945.8</v>
          </cell>
          <cell r="L138">
            <v>974.75</v>
          </cell>
          <cell r="M138">
            <v>0</v>
          </cell>
          <cell r="N138">
            <v>0</v>
          </cell>
          <cell r="O138" t="str">
            <v/>
          </cell>
          <cell r="P138" t="str">
            <v/>
          </cell>
          <cell r="Q138" t="str">
            <v/>
          </cell>
          <cell r="R138" t="str">
            <v/>
          </cell>
          <cell r="V138" t="str">
            <v/>
          </cell>
          <cell r="W138" t="str">
            <v/>
          </cell>
          <cell r="Y138" t="str">
            <v/>
          </cell>
          <cell r="Z138" t="str">
            <v/>
          </cell>
        </row>
        <row r="139">
          <cell r="A139">
            <v>984960</v>
          </cell>
          <cell r="B139">
            <v>4447.92</v>
          </cell>
          <cell r="C139">
            <v>1965.06</v>
          </cell>
          <cell r="E139">
            <v>984960</v>
          </cell>
          <cell r="F139">
            <v>382</v>
          </cell>
          <cell r="G139">
            <v>29</v>
          </cell>
          <cell r="H139">
            <v>290</v>
          </cell>
          <cell r="I139">
            <v>241</v>
          </cell>
          <cell r="J139">
            <v>1020</v>
          </cell>
          <cell r="K139">
            <v>1965.06</v>
          </cell>
          <cell r="L139">
            <v>4447.92</v>
          </cell>
          <cell r="M139">
            <v>0</v>
          </cell>
          <cell r="N139">
            <v>0</v>
          </cell>
          <cell r="O139" t="str">
            <v/>
          </cell>
          <cell r="P139" t="str">
            <v/>
          </cell>
          <cell r="Q139" t="str">
            <v/>
          </cell>
          <cell r="R139" t="str">
            <v/>
          </cell>
          <cell r="V139" t="str">
            <v/>
          </cell>
          <cell r="W139" t="str">
            <v/>
          </cell>
          <cell r="Y139" t="str">
            <v/>
          </cell>
          <cell r="Z139" t="str">
            <v/>
          </cell>
        </row>
        <row r="140">
          <cell r="A140">
            <v>984963</v>
          </cell>
          <cell r="B140">
            <v>12415.44</v>
          </cell>
          <cell r="C140">
            <v>4777.8999999999996</v>
          </cell>
          <cell r="E140">
            <v>984963</v>
          </cell>
          <cell r="F140">
            <v>1580</v>
          </cell>
          <cell r="G140">
            <v>86</v>
          </cell>
          <cell r="H140">
            <v>290</v>
          </cell>
          <cell r="I140">
            <v>248</v>
          </cell>
          <cell r="J140">
            <v>2572</v>
          </cell>
          <cell r="K140">
            <v>4777.8999999999996</v>
          </cell>
          <cell r="L140">
            <v>12415.44</v>
          </cell>
          <cell r="M140">
            <v>0</v>
          </cell>
          <cell r="N140">
            <v>0</v>
          </cell>
          <cell r="O140" t="str">
            <v/>
          </cell>
          <cell r="P140" t="str">
            <v/>
          </cell>
          <cell r="Q140" t="str">
            <v/>
          </cell>
          <cell r="R140" t="str">
            <v/>
          </cell>
          <cell r="V140" t="str">
            <v/>
          </cell>
          <cell r="W140" t="str">
            <v/>
          </cell>
          <cell r="Y140" t="str">
            <v/>
          </cell>
          <cell r="Z140" t="str">
            <v/>
          </cell>
        </row>
        <row r="141">
          <cell r="A141">
            <v>984964</v>
          </cell>
          <cell r="B141">
            <v>71694.289999999994</v>
          </cell>
          <cell r="C141">
            <v>22907.82</v>
          </cell>
          <cell r="E141">
            <v>984964</v>
          </cell>
          <cell r="F141">
            <v>5491</v>
          </cell>
          <cell r="G141">
            <v>476</v>
          </cell>
          <cell r="H141">
            <v>290</v>
          </cell>
          <cell r="I141">
            <v>1991</v>
          </cell>
          <cell r="J141">
            <v>14658</v>
          </cell>
          <cell r="K141">
            <v>22907.82</v>
          </cell>
          <cell r="L141">
            <v>71694.289999999994</v>
          </cell>
          <cell r="M141">
            <v>0</v>
          </cell>
          <cell r="N141">
            <v>0</v>
          </cell>
          <cell r="O141" t="str">
            <v/>
          </cell>
          <cell r="P141" t="str">
            <v/>
          </cell>
          <cell r="Q141" t="str">
            <v/>
          </cell>
          <cell r="R141" t="str">
            <v/>
          </cell>
          <cell r="V141" t="str">
            <v/>
          </cell>
          <cell r="W141" t="str">
            <v/>
          </cell>
          <cell r="Y141" t="str">
            <v/>
          </cell>
          <cell r="Z141" t="str">
            <v/>
          </cell>
        </row>
        <row r="142">
          <cell r="A142">
            <v>984965</v>
          </cell>
          <cell r="B142">
            <v>6701.47</v>
          </cell>
          <cell r="C142">
            <v>2018.85</v>
          </cell>
          <cell r="E142">
            <v>984965</v>
          </cell>
          <cell r="F142">
            <v>96</v>
          </cell>
          <cell r="G142">
            <v>21</v>
          </cell>
          <cell r="H142">
            <v>290</v>
          </cell>
          <cell r="I142">
            <v>311</v>
          </cell>
          <cell r="J142">
            <v>1299</v>
          </cell>
          <cell r="K142">
            <v>2018.85</v>
          </cell>
          <cell r="L142">
            <v>6701.47</v>
          </cell>
          <cell r="M142">
            <v>0</v>
          </cell>
          <cell r="N142">
            <v>0</v>
          </cell>
          <cell r="O142" t="str">
            <v/>
          </cell>
          <cell r="P142" t="str">
            <v/>
          </cell>
          <cell r="Q142" t="str">
            <v/>
          </cell>
          <cell r="R142" t="str">
            <v/>
          </cell>
          <cell r="V142" t="str">
            <v/>
          </cell>
          <cell r="W142" t="str">
            <v/>
          </cell>
          <cell r="Y142" t="str">
            <v/>
          </cell>
          <cell r="Z142" t="str">
            <v/>
          </cell>
        </row>
        <row r="143">
          <cell r="A143">
            <v>984971</v>
          </cell>
          <cell r="B143">
            <v>6993.15</v>
          </cell>
          <cell r="C143">
            <v>2178.73</v>
          </cell>
          <cell r="E143">
            <v>984971</v>
          </cell>
          <cell r="F143">
            <v>169</v>
          </cell>
          <cell r="G143">
            <v>22</v>
          </cell>
          <cell r="H143">
            <v>290</v>
          </cell>
          <cell r="I143">
            <v>327</v>
          </cell>
          <cell r="J143">
            <v>1368</v>
          </cell>
          <cell r="K143">
            <v>2178.73</v>
          </cell>
          <cell r="L143">
            <v>6993.15</v>
          </cell>
          <cell r="M143">
            <v>0</v>
          </cell>
          <cell r="N143">
            <v>0</v>
          </cell>
          <cell r="O143" t="str">
            <v/>
          </cell>
          <cell r="P143" t="str">
            <v/>
          </cell>
          <cell r="Q143" t="str">
            <v/>
          </cell>
          <cell r="R143" t="str">
            <v/>
          </cell>
          <cell r="V143" t="str">
            <v/>
          </cell>
          <cell r="W143" t="str">
            <v/>
          </cell>
          <cell r="Y143" t="str">
            <v/>
          </cell>
          <cell r="Z143" t="str">
            <v/>
          </cell>
        </row>
        <row r="144">
          <cell r="A144">
            <v>984978</v>
          </cell>
          <cell r="B144">
            <v>4150.3599999999997</v>
          </cell>
          <cell r="C144">
            <v>1937.35</v>
          </cell>
          <cell r="E144">
            <v>984978</v>
          </cell>
          <cell r="F144">
            <v>422</v>
          </cell>
          <cell r="G144">
            <v>28</v>
          </cell>
          <cell r="H144">
            <v>290</v>
          </cell>
          <cell r="I144">
            <v>235</v>
          </cell>
          <cell r="J144">
            <v>960</v>
          </cell>
          <cell r="K144">
            <v>1937.35</v>
          </cell>
          <cell r="L144">
            <v>4150.3599999999997</v>
          </cell>
          <cell r="M144">
            <v>0</v>
          </cell>
          <cell r="N144">
            <v>0</v>
          </cell>
          <cell r="O144" t="str">
            <v/>
          </cell>
          <cell r="P144" t="str">
            <v/>
          </cell>
          <cell r="Q144" t="str">
            <v/>
          </cell>
          <cell r="R144" t="str">
            <v/>
          </cell>
          <cell r="V144" t="str">
            <v/>
          </cell>
          <cell r="W144" t="str">
            <v/>
          </cell>
          <cell r="Y144" t="str">
            <v/>
          </cell>
          <cell r="Z144" t="str">
            <v/>
          </cell>
        </row>
        <row r="145">
          <cell r="A145">
            <v>984979</v>
          </cell>
          <cell r="B145">
            <v>5187.95</v>
          </cell>
          <cell r="C145">
            <v>1560.61</v>
          </cell>
          <cell r="E145">
            <v>984979</v>
          </cell>
          <cell r="F145">
            <v>181</v>
          </cell>
          <cell r="G145">
            <v>33</v>
          </cell>
          <cell r="H145">
            <v>287</v>
          </cell>
          <cell r="I145">
            <v>252</v>
          </cell>
          <cell r="J145">
            <v>805</v>
          </cell>
          <cell r="K145">
            <v>1560.61</v>
          </cell>
          <cell r="L145">
            <v>5187.95</v>
          </cell>
          <cell r="M145">
            <v>0</v>
          </cell>
          <cell r="N145">
            <v>0</v>
          </cell>
          <cell r="O145" t="str">
            <v/>
          </cell>
          <cell r="P145" t="str">
            <v/>
          </cell>
          <cell r="Q145" t="str">
            <v/>
          </cell>
          <cell r="R145" t="str">
            <v/>
          </cell>
          <cell r="V145" t="str">
            <v/>
          </cell>
          <cell r="W145" t="str">
            <v/>
          </cell>
          <cell r="Y145" t="str">
            <v/>
          </cell>
          <cell r="Z145" t="str">
            <v/>
          </cell>
        </row>
        <row r="146">
          <cell r="A146">
            <v>984980</v>
          </cell>
          <cell r="B146">
            <v>23982.63</v>
          </cell>
          <cell r="C146">
            <v>7471.07</v>
          </cell>
          <cell r="E146">
            <v>984980</v>
          </cell>
          <cell r="F146">
            <v>936</v>
          </cell>
          <cell r="G146">
            <v>155</v>
          </cell>
          <cell r="H146">
            <v>290</v>
          </cell>
          <cell r="I146">
            <v>820</v>
          </cell>
          <cell r="J146">
            <v>5268</v>
          </cell>
          <cell r="K146">
            <v>7471.07</v>
          </cell>
          <cell r="L146">
            <v>23982.63</v>
          </cell>
          <cell r="M146">
            <v>0</v>
          </cell>
          <cell r="N146">
            <v>0</v>
          </cell>
          <cell r="O146" t="str">
            <v/>
          </cell>
          <cell r="P146" t="str">
            <v/>
          </cell>
          <cell r="Q146" t="str">
            <v/>
          </cell>
          <cell r="R146" t="str">
            <v/>
          </cell>
          <cell r="V146" t="str">
            <v/>
          </cell>
          <cell r="W146" t="str">
            <v/>
          </cell>
          <cell r="Y146" t="str">
            <v/>
          </cell>
          <cell r="Z146" t="str">
            <v/>
          </cell>
        </row>
        <row r="147">
          <cell r="A147">
            <v>984981</v>
          </cell>
          <cell r="B147">
            <v>39472.61</v>
          </cell>
          <cell r="C147">
            <v>14174.14</v>
          </cell>
          <cell r="E147">
            <v>984981</v>
          </cell>
          <cell r="F147">
            <v>822</v>
          </cell>
          <cell r="G147">
            <v>252</v>
          </cell>
          <cell r="H147">
            <v>290</v>
          </cell>
          <cell r="I147">
            <v>1173</v>
          </cell>
          <cell r="J147">
            <v>7751</v>
          </cell>
          <cell r="K147">
            <v>14174.14</v>
          </cell>
          <cell r="L147">
            <v>39472.61</v>
          </cell>
          <cell r="M147">
            <v>3883</v>
          </cell>
          <cell r="N147">
            <v>0</v>
          </cell>
          <cell r="O147" t="str">
            <v/>
          </cell>
          <cell r="P147" t="str">
            <v/>
          </cell>
          <cell r="Q147" t="str">
            <v/>
          </cell>
          <cell r="R147" t="str">
            <v/>
          </cell>
          <cell r="V147" t="str">
            <v/>
          </cell>
          <cell r="W147" t="str">
            <v/>
          </cell>
          <cell r="Y147" t="str">
            <v/>
          </cell>
          <cell r="Z147" t="str">
            <v/>
          </cell>
        </row>
        <row r="148">
          <cell r="A148">
            <v>984982</v>
          </cell>
          <cell r="B148">
            <v>5847.37</v>
          </cell>
          <cell r="C148">
            <v>2201.5500000000002</v>
          </cell>
          <cell r="E148">
            <v>984982</v>
          </cell>
          <cell r="F148">
            <v>361</v>
          </cell>
          <cell r="G148">
            <v>38</v>
          </cell>
          <cell r="H148">
            <v>290</v>
          </cell>
          <cell r="I148">
            <v>284</v>
          </cell>
          <cell r="J148">
            <v>1226</v>
          </cell>
          <cell r="K148">
            <v>2201.5500000000002</v>
          </cell>
          <cell r="L148">
            <v>5847.37</v>
          </cell>
          <cell r="M148">
            <v>0</v>
          </cell>
          <cell r="N148">
            <v>0</v>
          </cell>
          <cell r="O148" t="str">
            <v/>
          </cell>
          <cell r="P148" t="str">
            <v/>
          </cell>
          <cell r="Q148" t="str">
            <v/>
          </cell>
          <cell r="R148" t="str">
            <v/>
          </cell>
          <cell r="V148" t="str">
            <v/>
          </cell>
          <cell r="W148" t="str">
            <v/>
          </cell>
          <cell r="Y148" t="str">
            <v/>
          </cell>
          <cell r="Z148" t="str">
            <v/>
          </cell>
        </row>
        <row r="149">
          <cell r="A149">
            <v>984983</v>
          </cell>
          <cell r="B149">
            <v>38152.67</v>
          </cell>
          <cell r="C149">
            <v>8681.01</v>
          </cell>
          <cell r="E149">
            <v>984983</v>
          </cell>
          <cell r="F149">
            <v>1432</v>
          </cell>
          <cell r="G149">
            <v>246</v>
          </cell>
          <cell r="H149">
            <v>290</v>
          </cell>
          <cell r="I149">
            <v>1153</v>
          </cell>
          <cell r="J149">
            <v>5558</v>
          </cell>
          <cell r="K149">
            <v>8681.01</v>
          </cell>
          <cell r="L149">
            <v>38152.67</v>
          </cell>
          <cell r="M149">
            <v>0</v>
          </cell>
          <cell r="N149">
            <v>0</v>
          </cell>
          <cell r="O149" t="str">
            <v/>
          </cell>
          <cell r="P149" t="str">
            <v/>
          </cell>
          <cell r="Q149" t="str">
            <v/>
          </cell>
          <cell r="R149" t="str">
            <v/>
          </cell>
          <cell r="V149" t="str">
            <v/>
          </cell>
          <cell r="W149" t="str">
            <v/>
          </cell>
          <cell r="Y149" t="str">
            <v/>
          </cell>
          <cell r="Z149" t="str">
            <v/>
          </cell>
        </row>
        <row r="150">
          <cell r="A150">
            <v>984989</v>
          </cell>
          <cell r="B150">
            <v>3934.98</v>
          </cell>
          <cell r="C150">
            <v>1474.39</v>
          </cell>
          <cell r="E150">
            <v>984989</v>
          </cell>
          <cell r="F150">
            <v>151</v>
          </cell>
          <cell r="G150">
            <v>25</v>
          </cell>
          <cell r="H150">
            <v>290</v>
          </cell>
          <cell r="I150">
            <v>224</v>
          </cell>
          <cell r="J150">
            <v>783</v>
          </cell>
          <cell r="K150">
            <v>1474.39</v>
          </cell>
          <cell r="L150">
            <v>3934.98</v>
          </cell>
          <cell r="M150">
            <v>0</v>
          </cell>
          <cell r="N150">
            <v>0</v>
          </cell>
          <cell r="O150" t="str">
            <v/>
          </cell>
          <cell r="P150" t="str">
            <v/>
          </cell>
          <cell r="Q150" t="str">
            <v/>
          </cell>
          <cell r="R150" t="str">
            <v/>
          </cell>
          <cell r="V150" t="str">
            <v/>
          </cell>
          <cell r="W150" t="str">
            <v/>
          </cell>
          <cell r="Y150" t="str">
            <v/>
          </cell>
          <cell r="Z150" t="str">
            <v/>
          </cell>
        </row>
        <row r="151">
          <cell r="A151">
            <v>984990</v>
          </cell>
          <cell r="B151">
            <v>4001.91</v>
          </cell>
          <cell r="C151">
            <v>2822.56</v>
          </cell>
          <cell r="E151">
            <v>984990</v>
          </cell>
          <cell r="F151">
            <v>151</v>
          </cell>
          <cell r="G151">
            <v>13</v>
          </cell>
          <cell r="H151">
            <v>290</v>
          </cell>
          <cell r="I151">
            <v>226</v>
          </cell>
          <cell r="J151">
            <v>761</v>
          </cell>
          <cell r="K151">
            <v>2822.56</v>
          </cell>
          <cell r="L151">
            <v>4001.91</v>
          </cell>
          <cell r="M151">
            <v>527</v>
          </cell>
          <cell r="N151">
            <v>852</v>
          </cell>
          <cell r="O151" t="str">
            <v/>
          </cell>
          <cell r="P151" t="str">
            <v/>
          </cell>
          <cell r="Q151" t="str">
            <v/>
          </cell>
          <cell r="R151" t="str">
            <v/>
          </cell>
          <cell r="V151" t="str">
            <v/>
          </cell>
          <cell r="W151" t="str">
            <v/>
          </cell>
          <cell r="Y151" t="str">
            <v/>
          </cell>
          <cell r="Z151" t="str">
            <v/>
          </cell>
        </row>
        <row r="152">
          <cell r="A152">
            <v>984992</v>
          </cell>
          <cell r="B152">
            <v>1726.45</v>
          </cell>
          <cell r="C152">
            <v>908.92</v>
          </cell>
          <cell r="E152">
            <v>984992</v>
          </cell>
          <cell r="F152">
            <v>151</v>
          </cell>
          <cell r="G152">
            <v>11</v>
          </cell>
          <cell r="H152">
            <v>287</v>
          </cell>
          <cell r="I152">
            <v>174</v>
          </cell>
          <cell r="J152">
            <v>284</v>
          </cell>
          <cell r="K152">
            <v>908.92</v>
          </cell>
          <cell r="L152">
            <v>1726.45</v>
          </cell>
          <cell r="M152">
            <v>0</v>
          </cell>
          <cell r="N152">
            <v>0</v>
          </cell>
          <cell r="O152" t="str">
            <v/>
          </cell>
          <cell r="P152" t="str">
            <v/>
          </cell>
          <cell r="Q152" t="str">
            <v/>
          </cell>
          <cell r="R152" t="str">
            <v/>
          </cell>
          <cell r="V152" t="str">
            <v/>
          </cell>
          <cell r="W152" t="str">
            <v/>
          </cell>
          <cell r="Y152" t="str">
            <v/>
          </cell>
          <cell r="Z152" t="str">
            <v/>
          </cell>
        </row>
        <row r="153">
          <cell r="A153">
            <v>984993</v>
          </cell>
          <cell r="B153">
            <v>25747.24</v>
          </cell>
          <cell r="C153">
            <v>5849.42</v>
          </cell>
          <cell r="E153">
            <v>984993</v>
          </cell>
          <cell r="F153">
            <v>86</v>
          </cell>
          <cell r="G153">
            <v>159</v>
          </cell>
          <cell r="H153">
            <v>290</v>
          </cell>
          <cell r="I153">
            <v>835</v>
          </cell>
          <cell r="J153">
            <v>4477</v>
          </cell>
          <cell r="K153">
            <v>5849.42</v>
          </cell>
          <cell r="L153">
            <v>25747.24</v>
          </cell>
          <cell r="M153">
            <v>0</v>
          </cell>
          <cell r="N153">
            <v>0</v>
          </cell>
          <cell r="O153" t="str">
            <v/>
          </cell>
          <cell r="P153" t="str">
            <v/>
          </cell>
          <cell r="Q153" t="str">
            <v/>
          </cell>
          <cell r="R153" t="str">
            <v/>
          </cell>
          <cell r="V153" t="str">
            <v/>
          </cell>
          <cell r="W153" t="str">
            <v/>
          </cell>
          <cell r="Y153" t="str">
            <v/>
          </cell>
          <cell r="Z153" t="str">
            <v/>
          </cell>
        </row>
        <row r="154">
          <cell r="A154">
            <v>984994</v>
          </cell>
          <cell r="B154">
            <v>6388.58</v>
          </cell>
          <cell r="C154">
            <v>2186.36</v>
          </cell>
          <cell r="E154">
            <v>984994</v>
          </cell>
          <cell r="F154">
            <v>266</v>
          </cell>
          <cell r="G154">
            <v>41</v>
          </cell>
          <cell r="H154">
            <v>290</v>
          </cell>
          <cell r="I154">
            <v>307</v>
          </cell>
          <cell r="J154">
            <v>1281</v>
          </cell>
          <cell r="K154">
            <v>2186.36</v>
          </cell>
          <cell r="L154">
            <v>6388.58</v>
          </cell>
          <cell r="M154">
            <v>0</v>
          </cell>
          <cell r="N154">
            <v>0</v>
          </cell>
          <cell r="O154" t="str">
            <v/>
          </cell>
          <cell r="P154" t="str">
            <v/>
          </cell>
          <cell r="Q154" t="str">
            <v/>
          </cell>
          <cell r="R154" t="str">
            <v/>
          </cell>
          <cell r="V154" t="str">
            <v/>
          </cell>
          <cell r="W154" t="str">
            <v/>
          </cell>
          <cell r="Y154" t="str">
            <v/>
          </cell>
          <cell r="Z154" t="str">
            <v/>
          </cell>
        </row>
        <row r="155">
          <cell r="A155">
            <v>984999</v>
          </cell>
          <cell r="B155">
            <v>11197.2</v>
          </cell>
          <cell r="C155">
            <v>2551.41</v>
          </cell>
          <cell r="E155">
            <v>984999</v>
          </cell>
          <cell r="F155">
            <v>117</v>
          </cell>
          <cell r="G155">
            <v>36</v>
          </cell>
          <cell r="H155">
            <v>290</v>
          </cell>
          <cell r="I155">
            <v>512</v>
          </cell>
          <cell r="J155">
            <v>1594</v>
          </cell>
          <cell r="K155">
            <v>2551.41</v>
          </cell>
          <cell r="L155">
            <v>11197.2</v>
          </cell>
          <cell r="M155">
            <v>0</v>
          </cell>
          <cell r="N155">
            <v>0</v>
          </cell>
          <cell r="O155" t="str">
            <v/>
          </cell>
          <cell r="P155" t="str">
            <v/>
          </cell>
          <cell r="Q155" t="str">
            <v/>
          </cell>
          <cell r="R155" t="str">
            <v/>
          </cell>
          <cell r="V155" t="str">
            <v/>
          </cell>
          <cell r="W155" t="str">
            <v/>
          </cell>
          <cell r="Y155" t="str">
            <v/>
          </cell>
          <cell r="Z155" t="str">
            <v/>
          </cell>
        </row>
        <row r="156">
          <cell r="A156">
            <v>985001</v>
          </cell>
          <cell r="B156">
            <v>85938</v>
          </cell>
          <cell r="C156">
            <v>18542.740000000002</v>
          </cell>
          <cell r="E156">
            <v>985001</v>
          </cell>
          <cell r="F156">
            <v>1039</v>
          </cell>
          <cell r="G156">
            <v>541</v>
          </cell>
          <cell r="H156">
            <v>290</v>
          </cell>
          <cell r="I156">
            <v>2226</v>
          </cell>
          <cell r="J156">
            <v>14445</v>
          </cell>
          <cell r="K156">
            <v>18542.740000000002</v>
          </cell>
          <cell r="L156">
            <v>85938</v>
          </cell>
          <cell r="M156">
            <v>0</v>
          </cell>
          <cell r="N156">
            <v>0</v>
          </cell>
          <cell r="O156" t="str">
            <v/>
          </cell>
          <cell r="P156" t="str">
            <v/>
          </cell>
          <cell r="Q156" t="str">
            <v/>
          </cell>
          <cell r="R156" t="str">
            <v/>
          </cell>
          <cell r="V156" t="str">
            <v/>
          </cell>
          <cell r="W156" t="str">
            <v/>
          </cell>
          <cell r="Y156" t="str">
            <v/>
          </cell>
          <cell r="Z156" t="str">
            <v/>
          </cell>
        </row>
        <row r="157">
          <cell r="A157">
            <v>985002</v>
          </cell>
          <cell r="B157">
            <v>5012.95</v>
          </cell>
          <cell r="C157">
            <v>1916.07</v>
          </cell>
          <cell r="E157">
            <v>985002</v>
          </cell>
          <cell r="F157">
            <v>319</v>
          </cell>
          <cell r="G157">
            <v>33</v>
          </cell>
          <cell r="H157">
            <v>290</v>
          </cell>
          <cell r="I157">
            <v>252</v>
          </cell>
          <cell r="J157">
            <v>1020</v>
          </cell>
          <cell r="K157">
            <v>1916.07</v>
          </cell>
          <cell r="L157">
            <v>5012.95</v>
          </cell>
          <cell r="M157">
            <v>0</v>
          </cell>
          <cell r="N157">
            <v>0</v>
          </cell>
          <cell r="O157" t="str">
            <v/>
          </cell>
          <cell r="P157" t="str">
            <v/>
          </cell>
          <cell r="Q157" t="str">
            <v/>
          </cell>
          <cell r="R157" t="str">
            <v/>
          </cell>
          <cell r="V157" t="str">
            <v/>
          </cell>
          <cell r="W157" t="str">
            <v/>
          </cell>
          <cell r="Y157" t="str">
            <v/>
          </cell>
          <cell r="Z157" t="str">
            <v/>
          </cell>
        </row>
        <row r="158">
          <cell r="A158">
            <v>985003</v>
          </cell>
          <cell r="B158">
            <v>156.85</v>
          </cell>
          <cell r="C158">
            <v>567.94000000000005</v>
          </cell>
          <cell r="E158">
            <v>985003</v>
          </cell>
          <cell r="F158">
            <v>102</v>
          </cell>
          <cell r="G158">
            <v>0</v>
          </cell>
          <cell r="H158">
            <v>290</v>
          </cell>
          <cell r="I158">
            <v>137</v>
          </cell>
          <cell r="J158">
            <v>36</v>
          </cell>
          <cell r="K158">
            <v>567.94000000000005</v>
          </cell>
          <cell r="L158">
            <v>156.85</v>
          </cell>
          <cell r="M158">
            <v>0</v>
          </cell>
          <cell r="N158">
            <v>0</v>
          </cell>
          <cell r="O158" t="str">
            <v/>
          </cell>
          <cell r="P158" t="str">
            <v/>
          </cell>
          <cell r="Q158" t="str">
            <v/>
          </cell>
          <cell r="R158" t="str">
            <v/>
          </cell>
          <cell r="V158" t="str">
            <v/>
          </cell>
          <cell r="W158" t="str">
            <v/>
          </cell>
          <cell r="Y158" t="str">
            <v/>
          </cell>
          <cell r="Z158" t="str">
            <v/>
          </cell>
        </row>
        <row r="159">
          <cell r="A159">
            <v>985008</v>
          </cell>
          <cell r="B159">
            <v>4035.83</v>
          </cell>
          <cell r="C159">
            <v>1232.01</v>
          </cell>
          <cell r="E159">
            <v>985008</v>
          </cell>
          <cell r="F159">
            <v>117</v>
          </cell>
          <cell r="G159">
            <v>13</v>
          </cell>
          <cell r="H159">
            <v>290</v>
          </cell>
          <cell r="I159">
            <v>226</v>
          </cell>
          <cell r="J159">
            <v>584</v>
          </cell>
          <cell r="K159">
            <v>1232.01</v>
          </cell>
          <cell r="L159">
            <v>4035.83</v>
          </cell>
          <cell r="M159">
            <v>0</v>
          </cell>
          <cell r="N159">
            <v>0</v>
          </cell>
          <cell r="O159" t="str">
            <v/>
          </cell>
          <cell r="P159" t="str">
            <v/>
          </cell>
          <cell r="Q159" t="str">
            <v/>
          </cell>
          <cell r="R159" t="str">
            <v/>
          </cell>
          <cell r="V159" t="str">
            <v/>
          </cell>
          <cell r="W159" t="str">
            <v/>
          </cell>
          <cell r="Y159" t="str">
            <v/>
          </cell>
          <cell r="Z159" t="str">
            <v/>
          </cell>
        </row>
        <row r="160">
          <cell r="A160">
            <v>985009</v>
          </cell>
          <cell r="B160">
            <v>4343.3999999999996</v>
          </cell>
          <cell r="C160">
            <v>1174.6500000000001</v>
          </cell>
          <cell r="E160">
            <v>985009</v>
          </cell>
          <cell r="F160">
            <v>117</v>
          </cell>
          <cell r="G160">
            <v>14</v>
          </cell>
          <cell r="H160">
            <v>290</v>
          </cell>
          <cell r="I160">
            <v>125</v>
          </cell>
          <cell r="J160">
            <v>627</v>
          </cell>
          <cell r="K160">
            <v>1174.6500000000001</v>
          </cell>
          <cell r="L160">
            <v>4343.3999999999996</v>
          </cell>
          <cell r="M160">
            <v>0</v>
          </cell>
          <cell r="N160">
            <v>0</v>
          </cell>
          <cell r="O160" t="str">
            <v/>
          </cell>
          <cell r="P160" t="str">
            <v/>
          </cell>
          <cell r="Q160" t="str">
            <v/>
          </cell>
          <cell r="R160" t="str">
            <v/>
          </cell>
          <cell r="V160" t="str">
            <v/>
          </cell>
          <cell r="W160" t="str">
            <v/>
          </cell>
          <cell r="Y160" t="str">
            <v/>
          </cell>
          <cell r="Z160" t="str">
            <v/>
          </cell>
        </row>
        <row r="161">
          <cell r="A161">
            <v>985010</v>
          </cell>
          <cell r="B161">
            <v>3860.8</v>
          </cell>
          <cell r="C161">
            <v>1202.19</v>
          </cell>
          <cell r="E161">
            <v>985010</v>
          </cell>
          <cell r="F161">
            <v>117</v>
          </cell>
          <cell r="G161">
            <v>12</v>
          </cell>
          <cell r="H161">
            <v>290</v>
          </cell>
          <cell r="I161">
            <v>221</v>
          </cell>
          <cell r="J161">
            <v>559</v>
          </cell>
          <cell r="K161">
            <v>1202.19</v>
          </cell>
          <cell r="L161">
            <v>3860.8</v>
          </cell>
          <cell r="M161">
            <v>0</v>
          </cell>
          <cell r="N161">
            <v>0</v>
          </cell>
          <cell r="O161" t="str">
            <v/>
          </cell>
          <cell r="P161" t="str">
            <v/>
          </cell>
          <cell r="Q161" t="str">
            <v/>
          </cell>
          <cell r="R161" t="str">
            <v/>
          </cell>
          <cell r="V161" t="str">
            <v/>
          </cell>
          <cell r="W161" t="str">
            <v/>
          </cell>
          <cell r="Y161" t="str">
            <v/>
          </cell>
          <cell r="Z161" t="str">
            <v/>
          </cell>
        </row>
        <row r="162">
          <cell r="A162">
            <v>985011</v>
          </cell>
          <cell r="B162">
            <v>9636.6299999999992</v>
          </cell>
          <cell r="C162">
            <v>2441</v>
          </cell>
          <cell r="E162">
            <v>985011</v>
          </cell>
          <cell r="F162">
            <v>126</v>
          </cell>
          <cell r="G162">
            <v>65</v>
          </cell>
          <cell r="H162">
            <v>290</v>
          </cell>
          <cell r="I162">
            <v>478</v>
          </cell>
          <cell r="J162">
            <v>1481</v>
          </cell>
          <cell r="K162">
            <v>2441</v>
          </cell>
          <cell r="L162">
            <v>9636.6299999999992</v>
          </cell>
          <cell r="M162">
            <v>0</v>
          </cell>
          <cell r="N162">
            <v>0</v>
          </cell>
          <cell r="O162" t="str">
            <v/>
          </cell>
          <cell r="P162" t="str">
            <v/>
          </cell>
          <cell r="Q162" t="str">
            <v/>
          </cell>
          <cell r="R162" t="str">
            <v/>
          </cell>
          <cell r="V162" t="str">
            <v/>
          </cell>
          <cell r="W162" t="str">
            <v/>
          </cell>
          <cell r="Y162" t="str">
            <v/>
          </cell>
          <cell r="Z162" t="str">
            <v/>
          </cell>
        </row>
        <row r="163">
          <cell r="A163">
            <v>985012</v>
          </cell>
          <cell r="B163">
            <v>2999.95</v>
          </cell>
          <cell r="C163">
            <v>1224.4100000000001</v>
          </cell>
          <cell r="E163">
            <v>985012</v>
          </cell>
          <cell r="F163">
            <v>118</v>
          </cell>
          <cell r="G163">
            <v>19</v>
          </cell>
          <cell r="H163">
            <v>290</v>
          </cell>
          <cell r="I163">
            <v>202</v>
          </cell>
          <cell r="J163">
            <v>593</v>
          </cell>
          <cell r="K163">
            <v>1224.4100000000001</v>
          </cell>
          <cell r="L163">
            <v>2999.95</v>
          </cell>
          <cell r="M163">
            <v>0</v>
          </cell>
          <cell r="N163">
            <v>0</v>
          </cell>
          <cell r="O163" t="str">
            <v/>
          </cell>
          <cell r="P163" t="str">
            <v/>
          </cell>
          <cell r="Q163" t="str">
            <v/>
          </cell>
          <cell r="R163" t="str">
            <v/>
          </cell>
          <cell r="V163" t="str">
            <v/>
          </cell>
          <cell r="W163" t="str">
            <v/>
          </cell>
          <cell r="Y163" t="str">
            <v/>
          </cell>
          <cell r="Z163" t="str">
            <v/>
          </cell>
        </row>
        <row r="164">
          <cell r="A164">
            <v>985013</v>
          </cell>
          <cell r="B164">
            <v>31096.74</v>
          </cell>
          <cell r="C164">
            <v>5984.67</v>
          </cell>
          <cell r="E164">
            <v>985013</v>
          </cell>
          <cell r="F164">
            <v>126</v>
          </cell>
          <cell r="G164">
            <v>194</v>
          </cell>
          <cell r="H164">
            <v>290</v>
          </cell>
          <cell r="I164">
            <v>964</v>
          </cell>
          <cell r="J164">
            <v>4409</v>
          </cell>
          <cell r="K164">
            <v>5984.67</v>
          </cell>
          <cell r="L164">
            <v>31096.74</v>
          </cell>
          <cell r="M164">
            <v>0</v>
          </cell>
          <cell r="N164">
            <v>0</v>
          </cell>
          <cell r="O164" t="str">
            <v/>
          </cell>
          <cell r="P164" t="str">
            <v/>
          </cell>
          <cell r="Q164" t="str">
            <v/>
          </cell>
          <cell r="R164" t="str">
            <v/>
          </cell>
          <cell r="V164" t="str">
            <v/>
          </cell>
          <cell r="W164" t="str">
            <v/>
          </cell>
          <cell r="Y164" t="str">
            <v/>
          </cell>
          <cell r="Z164" t="str">
            <v/>
          </cell>
        </row>
        <row r="165">
          <cell r="A165">
            <v>985014</v>
          </cell>
          <cell r="B165">
            <v>13879.3</v>
          </cell>
          <cell r="C165">
            <v>6323.42</v>
          </cell>
          <cell r="E165">
            <v>985014</v>
          </cell>
          <cell r="F165">
            <v>342</v>
          </cell>
          <cell r="G165">
            <v>136</v>
          </cell>
          <cell r="H165">
            <v>450</v>
          </cell>
          <cell r="I165">
            <v>753</v>
          </cell>
          <cell r="J165">
            <v>4641</v>
          </cell>
          <cell r="K165">
            <v>6323.42</v>
          </cell>
          <cell r="L165">
            <v>13879.3</v>
          </cell>
          <cell r="M165">
            <v>0</v>
          </cell>
          <cell r="N165">
            <v>0</v>
          </cell>
          <cell r="O165" t="str">
            <v/>
          </cell>
          <cell r="P165" t="str">
            <v/>
          </cell>
          <cell r="Q165" t="str">
            <v/>
          </cell>
          <cell r="R165" t="str">
            <v/>
          </cell>
          <cell r="V165" t="str">
            <v/>
          </cell>
          <cell r="W165" t="str">
            <v/>
          </cell>
          <cell r="Y165" t="str">
            <v/>
          </cell>
          <cell r="Z165" t="str">
            <v/>
          </cell>
        </row>
        <row r="166">
          <cell r="A166">
            <v>985021</v>
          </cell>
          <cell r="B166">
            <v>19207.64</v>
          </cell>
          <cell r="C166">
            <v>8846.4599999999991</v>
          </cell>
          <cell r="E166">
            <v>985021</v>
          </cell>
          <cell r="F166">
            <v>1275</v>
          </cell>
          <cell r="G166">
            <v>193</v>
          </cell>
          <cell r="H166">
            <v>450</v>
          </cell>
          <cell r="I166">
            <v>962</v>
          </cell>
          <cell r="J166">
            <v>5964</v>
          </cell>
          <cell r="K166">
            <v>8846.4599999999991</v>
          </cell>
          <cell r="L166">
            <v>19207.64</v>
          </cell>
          <cell r="M166">
            <v>0</v>
          </cell>
          <cell r="N166">
            <v>0</v>
          </cell>
          <cell r="O166" t="str">
            <v/>
          </cell>
          <cell r="P166" t="str">
            <v/>
          </cell>
          <cell r="Q166" t="str">
            <v/>
          </cell>
          <cell r="R166" t="str">
            <v/>
          </cell>
          <cell r="V166" t="str">
            <v/>
          </cell>
          <cell r="W166" t="str">
            <v/>
          </cell>
          <cell r="Y166" t="str">
            <v/>
          </cell>
          <cell r="Z166" t="str">
            <v/>
          </cell>
        </row>
        <row r="167">
          <cell r="A167">
            <v>985022</v>
          </cell>
          <cell r="B167">
            <v>1426.4</v>
          </cell>
          <cell r="C167">
            <v>949.43</v>
          </cell>
          <cell r="E167">
            <v>985022</v>
          </cell>
          <cell r="F167">
            <v>175</v>
          </cell>
          <cell r="G167">
            <v>9</v>
          </cell>
          <cell r="H167">
            <v>290</v>
          </cell>
          <cell r="I167">
            <v>168</v>
          </cell>
          <cell r="J167">
            <v>305</v>
          </cell>
          <cell r="K167">
            <v>949.43</v>
          </cell>
          <cell r="L167">
            <v>1426.4</v>
          </cell>
          <cell r="M167">
            <v>0</v>
          </cell>
          <cell r="N167">
            <v>0</v>
          </cell>
          <cell r="O167" t="str">
            <v/>
          </cell>
          <cell r="P167" t="str">
            <v/>
          </cell>
          <cell r="Q167" t="str">
            <v/>
          </cell>
          <cell r="R167" t="str">
            <v/>
          </cell>
          <cell r="V167" t="str">
            <v/>
          </cell>
          <cell r="W167" t="str">
            <v/>
          </cell>
          <cell r="Y167" t="str">
            <v/>
          </cell>
          <cell r="Z167" t="str">
            <v/>
          </cell>
        </row>
        <row r="168">
          <cell r="A168">
            <v>985023</v>
          </cell>
          <cell r="B168">
            <v>7578.71</v>
          </cell>
          <cell r="C168">
            <v>2765.53</v>
          </cell>
          <cell r="E168">
            <v>985023</v>
          </cell>
          <cell r="F168">
            <v>513</v>
          </cell>
          <cell r="G168">
            <v>50</v>
          </cell>
          <cell r="H168">
            <v>290</v>
          </cell>
          <cell r="I168">
            <v>368</v>
          </cell>
          <cell r="J168">
            <v>1543</v>
          </cell>
          <cell r="K168">
            <v>2765.53</v>
          </cell>
          <cell r="L168">
            <v>7578.71</v>
          </cell>
          <cell r="M168">
            <v>0</v>
          </cell>
          <cell r="N168">
            <v>0</v>
          </cell>
          <cell r="O168" t="str">
            <v/>
          </cell>
          <cell r="P168" t="str">
            <v/>
          </cell>
          <cell r="Q168" t="str">
            <v/>
          </cell>
          <cell r="R168" t="str">
            <v/>
          </cell>
          <cell r="V168" t="str">
            <v/>
          </cell>
          <cell r="W168" t="str">
            <v/>
          </cell>
          <cell r="Y168" t="str">
            <v/>
          </cell>
          <cell r="Z168" t="str">
            <v/>
          </cell>
        </row>
        <row r="169">
          <cell r="A169">
            <v>985024</v>
          </cell>
          <cell r="B169">
            <v>4465.7700000000004</v>
          </cell>
          <cell r="C169">
            <v>2553.34</v>
          </cell>
          <cell r="E169">
            <v>985024</v>
          </cell>
          <cell r="F169">
            <v>860</v>
          </cell>
          <cell r="G169">
            <v>32</v>
          </cell>
          <cell r="H169">
            <v>290</v>
          </cell>
          <cell r="I169">
            <v>251</v>
          </cell>
          <cell r="J169">
            <v>1118</v>
          </cell>
          <cell r="K169">
            <v>2553.34</v>
          </cell>
          <cell r="L169">
            <v>4465.7700000000004</v>
          </cell>
          <cell r="M169">
            <v>0</v>
          </cell>
          <cell r="N169">
            <v>0</v>
          </cell>
          <cell r="O169" t="str">
            <v/>
          </cell>
          <cell r="P169" t="str">
            <v/>
          </cell>
          <cell r="Q169" t="str">
            <v/>
          </cell>
          <cell r="R169" t="str">
            <v/>
          </cell>
          <cell r="V169" t="str">
            <v/>
          </cell>
          <cell r="W169" t="str">
            <v/>
          </cell>
          <cell r="Y169" t="str">
            <v/>
          </cell>
          <cell r="Z169" t="str">
            <v/>
          </cell>
        </row>
        <row r="170">
          <cell r="A170">
            <v>985025</v>
          </cell>
          <cell r="B170">
            <v>668.64</v>
          </cell>
          <cell r="C170">
            <v>3670.45</v>
          </cell>
          <cell r="E170">
            <v>985025</v>
          </cell>
          <cell r="F170">
            <v>2552</v>
          </cell>
          <cell r="G170">
            <v>10</v>
          </cell>
          <cell r="H170">
            <v>290</v>
          </cell>
          <cell r="I170">
            <v>204</v>
          </cell>
          <cell r="J170">
            <v>613</v>
          </cell>
          <cell r="K170">
            <v>3670.45</v>
          </cell>
          <cell r="L170">
            <v>668.64</v>
          </cell>
          <cell r="M170">
            <v>0</v>
          </cell>
          <cell r="N170">
            <v>0</v>
          </cell>
          <cell r="O170" t="str">
            <v/>
          </cell>
          <cell r="P170" t="str">
            <v/>
          </cell>
          <cell r="Q170" t="str">
            <v/>
          </cell>
          <cell r="R170" t="str">
            <v/>
          </cell>
          <cell r="V170" t="str">
            <v/>
          </cell>
          <cell r="W170" t="str">
            <v/>
          </cell>
          <cell r="Y170" t="str">
            <v/>
          </cell>
          <cell r="Z170" t="str">
            <v/>
          </cell>
        </row>
        <row r="171">
          <cell r="A171">
            <v>985027</v>
          </cell>
          <cell r="B171">
            <v>1735.63</v>
          </cell>
          <cell r="C171">
            <v>845.15</v>
          </cell>
          <cell r="E171">
            <v>985027</v>
          </cell>
          <cell r="F171">
            <v>114</v>
          </cell>
          <cell r="G171">
            <v>5</v>
          </cell>
          <cell r="H171">
            <v>290</v>
          </cell>
          <cell r="I171">
            <v>173</v>
          </cell>
          <cell r="J171">
            <v>260</v>
          </cell>
          <cell r="K171">
            <v>845.15</v>
          </cell>
          <cell r="L171">
            <v>1735.63</v>
          </cell>
          <cell r="M171">
            <v>0</v>
          </cell>
          <cell r="N171">
            <v>0</v>
          </cell>
          <cell r="O171" t="str">
            <v/>
          </cell>
          <cell r="P171" t="str">
            <v/>
          </cell>
          <cell r="Q171" t="str">
            <v/>
          </cell>
          <cell r="R171" t="str">
            <v/>
          </cell>
          <cell r="V171" t="str">
            <v/>
          </cell>
          <cell r="W171" t="str">
            <v/>
          </cell>
          <cell r="Y171" t="str">
            <v/>
          </cell>
          <cell r="Z171" t="str">
            <v/>
          </cell>
        </row>
        <row r="172">
          <cell r="A172">
            <v>985029</v>
          </cell>
          <cell r="B172">
            <v>1265.57</v>
          </cell>
          <cell r="C172">
            <v>766.83</v>
          </cell>
          <cell r="E172">
            <v>985029</v>
          </cell>
          <cell r="F172">
            <v>114</v>
          </cell>
          <cell r="G172">
            <v>4</v>
          </cell>
          <cell r="H172">
            <v>290</v>
          </cell>
          <cell r="I172">
            <v>163</v>
          </cell>
          <cell r="J172">
            <v>194</v>
          </cell>
          <cell r="K172">
            <v>766.83</v>
          </cell>
          <cell r="L172">
            <v>1265.57</v>
          </cell>
          <cell r="M172">
            <v>0</v>
          </cell>
          <cell r="N172">
            <v>0</v>
          </cell>
          <cell r="O172" t="str">
            <v/>
          </cell>
          <cell r="P172" t="str">
            <v/>
          </cell>
          <cell r="Q172" t="str">
            <v/>
          </cell>
          <cell r="R172" t="str">
            <v/>
          </cell>
          <cell r="V172" t="str">
            <v/>
          </cell>
          <cell r="W172" t="str">
            <v/>
          </cell>
          <cell r="Y172" t="str">
            <v/>
          </cell>
          <cell r="Z172" t="str">
            <v/>
          </cell>
        </row>
        <row r="173">
          <cell r="A173">
            <v>985030</v>
          </cell>
          <cell r="B173">
            <v>1627.16</v>
          </cell>
          <cell r="C173">
            <v>827.08</v>
          </cell>
          <cell r="E173">
            <v>985030</v>
          </cell>
          <cell r="F173">
            <v>114</v>
          </cell>
          <cell r="G173">
            <v>5</v>
          </cell>
          <cell r="H173">
            <v>290</v>
          </cell>
          <cell r="I173">
            <v>171</v>
          </cell>
          <cell r="J173">
            <v>245</v>
          </cell>
          <cell r="K173">
            <v>827.08</v>
          </cell>
          <cell r="L173">
            <v>1627.16</v>
          </cell>
          <cell r="M173">
            <v>0</v>
          </cell>
          <cell r="N173">
            <v>0</v>
          </cell>
          <cell r="O173" t="str">
            <v/>
          </cell>
          <cell r="P173" t="str">
            <v/>
          </cell>
          <cell r="Q173" t="str">
            <v/>
          </cell>
          <cell r="R173" t="str">
            <v/>
          </cell>
          <cell r="V173" t="str">
            <v/>
          </cell>
          <cell r="W173" t="str">
            <v/>
          </cell>
          <cell r="Y173" t="str">
            <v/>
          </cell>
          <cell r="Z173" t="str">
            <v/>
          </cell>
        </row>
        <row r="174">
          <cell r="A174">
            <v>985032</v>
          </cell>
          <cell r="B174">
            <v>4264.25</v>
          </cell>
          <cell r="C174">
            <v>1377.53</v>
          </cell>
          <cell r="E174">
            <v>985032</v>
          </cell>
          <cell r="F174">
            <v>209</v>
          </cell>
          <cell r="G174">
            <v>14</v>
          </cell>
          <cell r="H174">
            <v>290</v>
          </cell>
          <cell r="I174">
            <v>233</v>
          </cell>
          <cell r="J174">
            <v>629</v>
          </cell>
          <cell r="K174">
            <v>1377.53</v>
          </cell>
          <cell r="L174">
            <v>4264.25</v>
          </cell>
          <cell r="M174">
            <v>0</v>
          </cell>
          <cell r="N174">
            <v>0</v>
          </cell>
          <cell r="O174" t="str">
            <v/>
          </cell>
          <cell r="P174" t="str">
            <v/>
          </cell>
          <cell r="Q174" t="str">
            <v/>
          </cell>
          <cell r="R174" t="str">
            <v/>
          </cell>
          <cell r="V174" t="str">
            <v/>
          </cell>
          <cell r="W174" t="str">
            <v/>
          </cell>
          <cell r="Y174" t="str">
            <v/>
          </cell>
          <cell r="Z174" t="str">
            <v/>
          </cell>
        </row>
        <row r="175">
          <cell r="A175">
            <v>985038</v>
          </cell>
          <cell r="B175">
            <v>20602.62</v>
          </cell>
          <cell r="C175">
            <v>7331.29</v>
          </cell>
          <cell r="E175">
            <v>985038</v>
          </cell>
          <cell r="F175">
            <v>1867</v>
          </cell>
          <cell r="G175">
            <v>139</v>
          </cell>
          <cell r="H175">
            <v>290</v>
          </cell>
          <cell r="I175">
            <v>763</v>
          </cell>
          <cell r="J175">
            <v>4271</v>
          </cell>
          <cell r="K175">
            <v>7331.29</v>
          </cell>
          <cell r="L175">
            <v>20602.62</v>
          </cell>
          <cell r="M175">
            <v>0</v>
          </cell>
          <cell r="N175">
            <v>0</v>
          </cell>
          <cell r="O175" t="str">
            <v/>
          </cell>
          <cell r="P175" t="str">
            <v/>
          </cell>
          <cell r="Q175" t="str">
            <v/>
          </cell>
          <cell r="R175" t="str">
            <v/>
          </cell>
          <cell r="V175" t="str">
            <v/>
          </cell>
          <cell r="W175" t="str">
            <v/>
          </cell>
          <cell r="Y175" t="str">
            <v/>
          </cell>
          <cell r="Z175" t="str">
            <v/>
          </cell>
        </row>
        <row r="176">
          <cell r="A176">
            <v>985044</v>
          </cell>
          <cell r="B176">
            <v>7239</v>
          </cell>
          <cell r="C176">
            <v>1772.42</v>
          </cell>
          <cell r="E176">
            <v>985044</v>
          </cell>
          <cell r="F176">
            <v>92</v>
          </cell>
          <cell r="G176">
            <v>23</v>
          </cell>
          <cell r="H176">
            <v>290</v>
          </cell>
          <cell r="I176">
            <v>334</v>
          </cell>
          <cell r="J176">
            <v>1031</v>
          </cell>
          <cell r="K176">
            <v>1772.42</v>
          </cell>
          <cell r="L176">
            <v>7239</v>
          </cell>
          <cell r="M176">
            <v>0</v>
          </cell>
          <cell r="N176">
            <v>0</v>
          </cell>
          <cell r="O176" t="str">
            <v/>
          </cell>
          <cell r="P176" t="str">
            <v/>
          </cell>
          <cell r="Q176" t="str">
            <v/>
          </cell>
          <cell r="R176" t="str">
            <v/>
          </cell>
          <cell r="V176" t="str">
            <v/>
          </cell>
          <cell r="W176" t="str">
            <v/>
          </cell>
          <cell r="Y176" t="str">
            <v/>
          </cell>
          <cell r="Z176" t="str">
            <v/>
          </cell>
        </row>
        <row r="177">
          <cell r="A177">
            <v>985047</v>
          </cell>
          <cell r="B177">
            <v>913.5</v>
          </cell>
          <cell r="C177">
            <v>784.06</v>
          </cell>
          <cell r="E177">
            <v>985047</v>
          </cell>
          <cell r="F177">
            <v>176</v>
          </cell>
          <cell r="G177">
            <v>6</v>
          </cell>
          <cell r="H177">
            <v>290</v>
          </cell>
          <cell r="I177">
            <v>156</v>
          </cell>
          <cell r="J177">
            <v>153</v>
          </cell>
          <cell r="K177">
            <v>784.06</v>
          </cell>
          <cell r="L177">
            <v>913.5</v>
          </cell>
          <cell r="M177">
            <v>0</v>
          </cell>
          <cell r="N177">
            <v>0</v>
          </cell>
          <cell r="O177" t="str">
            <v/>
          </cell>
          <cell r="P177" t="str">
            <v/>
          </cell>
          <cell r="Q177" t="str">
            <v/>
          </cell>
          <cell r="R177" t="str">
            <v/>
          </cell>
          <cell r="V177" t="str">
            <v/>
          </cell>
          <cell r="W177" t="str">
            <v/>
          </cell>
          <cell r="Y177" t="str">
            <v/>
          </cell>
          <cell r="Z177" t="str">
            <v/>
          </cell>
        </row>
        <row r="178">
          <cell r="A178">
            <v>985048</v>
          </cell>
          <cell r="B178">
            <v>330.18</v>
          </cell>
          <cell r="C178">
            <v>614.4</v>
          </cell>
          <cell r="E178">
            <v>985048</v>
          </cell>
          <cell r="F178">
            <v>117</v>
          </cell>
          <cell r="G178">
            <v>1</v>
          </cell>
          <cell r="H178">
            <v>290</v>
          </cell>
          <cell r="I178">
            <v>142</v>
          </cell>
          <cell r="J178">
            <v>62</v>
          </cell>
          <cell r="K178">
            <v>614.4</v>
          </cell>
          <cell r="L178">
            <v>330.18</v>
          </cell>
          <cell r="M178">
            <v>0</v>
          </cell>
          <cell r="N178">
            <v>0</v>
          </cell>
          <cell r="O178" t="str">
            <v/>
          </cell>
          <cell r="P178" t="str">
            <v/>
          </cell>
          <cell r="Q178" t="str">
            <v/>
          </cell>
          <cell r="R178" t="str">
            <v/>
          </cell>
          <cell r="V178" t="str">
            <v/>
          </cell>
          <cell r="W178" t="str">
            <v/>
          </cell>
          <cell r="Y178" t="str">
            <v/>
          </cell>
          <cell r="Z178" t="str">
            <v/>
          </cell>
        </row>
        <row r="179">
          <cell r="A179">
            <v>985052</v>
          </cell>
          <cell r="B179">
            <v>12770.96</v>
          </cell>
          <cell r="C179">
            <v>3257</v>
          </cell>
          <cell r="E179">
            <v>985052</v>
          </cell>
          <cell r="F179">
            <v>259</v>
          </cell>
          <cell r="G179">
            <v>158</v>
          </cell>
          <cell r="H179">
            <v>290</v>
          </cell>
          <cell r="I179">
            <v>553</v>
          </cell>
          <cell r="J179">
            <v>1995</v>
          </cell>
          <cell r="K179">
            <v>3257</v>
          </cell>
          <cell r="L179">
            <v>12770.96</v>
          </cell>
          <cell r="M179">
            <v>0</v>
          </cell>
          <cell r="N179">
            <v>0</v>
          </cell>
          <cell r="O179" t="str">
            <v/>
          </cell>
          <cell r="P179" t="str">
            <v/>
          </cell>
          <cell r="Q179" t="str">
            <v/>
          </cell>
          <cell r="R179" t="str">
            <v/>
          </cell>
          <cell r="V179" t="str">
            <v/>
          </cell>
          <cell r="W179" t="str">
            <v/>
          </cell>
          <cell r="Y179" t="str">
            <v/>
          </cell>
          <cell r="Z179" t="str">
            <v/>
          </cell>
        </row>
        <row r="180">
          <cell r="A180">
            <v>985058</v>
          </cell>
          <cell r="B180">
            <v>1603.65</v>
          </cell>
          <cell r="C180">
            <v>900.8</v>
          </cell>
          <cell r="E180">
            <v>985058</v>
          </cell>
          <cell r="F180">
            <v>138</v>
          </cell>
          <cell r="G180">
            <v>5</v>
          </cell>
          <cell r="H180">
            <v>290</v>
          </cell>
          <cell r="I180">
            <v>171</v>
          </cell>
          <cell r="J180">
            <v>294</v>
          </cell>
          <cell r="K180">
            <v>900.8</v>
          </cell>
          <cell r="L180">
            <v>1603.65</v>
          </cell>
          <cell r="M180">
            <v>0</v>
          </cell>
          <cell r="N180">
            <v>0</v>
          </cell>
          <cell r="O180" t="str">
            <v/>
          </cell>
          <cell r="P180" t="str">
            <v/>
          </cell>
          <cell r="Q180" t="str">
            <v/>
          </cell>
          <cell r="R180" t="str">
            <v/>
          </cell>
          <cell r="V180" t="str">
            <v/>
          </cell>
          <cell r="W180" t="str">
            <v/>
          </cell>
          <cell r="Y180" t="str">
            <v/>
          </cell>
          <cell r="Z180" t="str">
            <v/>
          </cell>
        </row>
        <row r="181">
          <cell r="A181">
            <v>985060</v>
          </cell>
          <cell r="B181">
            <v>5756.44</v>
          </cell>
          <cell r="C181">
            <v>2315.63</v>
          </cell>
          <cell r="E181">
            <v>985060</v>
          </cell>
          <cell r="F181">
            <v>511</v>
          </cell>
          <cell r="G181">
            <v>39</v>
          </cell>
          <cell r="H181">
            <v>290</v>
          </cell>
          <cell r="I181">
            <v>275</v>
          </cell>
          <cell r="J181">
            <v>1199</v>
          </cell>
          <cell r="K181">
            <v>2315.63</v>
          </cell>
          <cell r="L181">
            <v>5756.44</v>
          </cell>
          <cell r="M181">
            <v>0</v>
          </cell>
          <cell r="N181">
            <v>0</v>
          </cell>
          <cell r="O181" t="str">
            <v/>
          </cell>
          <cell r="P181" t="str">
            <v/>
          </cell>
          <cell r="Q181" t="str">
            <v/>
          </cell>
          <cell r="R181" t="str">
            <v/>
          </cell>
          <cell r="V181" t="str">
            <v/>
          </cell>
          <cell r="W181" t="str">
            <v/>
          </cell>
          <cell r="Y181" t="str">
            <v/>
          </cell>
          <cell r="Z181" t="str">
            <v/>
          </cell>
        </row>
        <row r="182">
          <cell r="A182">
            <v>985063</v>
          </cell>
          <cell r="B182">
            <v>2389.66</v>
          </cell>
          <cell r="C182">
            <v>976.51</v>
          </cell>
          <cell r="E182">
            <v>985063</v>
          </cell>
          <cell r="F182">
            <v>126</v>
          </cell>
          <cell r="G182">
            <v>15</v>
          </cell>
          <cell r="H182">
            <v>290</v>
          </cell>
          <cell r="I182">
            <v>189</v>
          </cell>
          <cell r="J182">
            <v>354</v>
          </cell>
          <cell r="K182">
            <v>976.51</v>
          </cell>
          <cell r="L182">
            <v>2389.66</v>
          </cell>
          <cell r="M182">
            <v>0</v>
          </cell>
          <cell r="N182">
            <v>0</v>
          </cell>
          <cell r="O182" t="str">
            <v/>
          </cell>
          <cell r="P182" t="str">
            <v/>
          </cell>
          <cell r="Q182" t="str">
            <v/>
          </cell>
          <cell r="R182" t="str">
            <v/>
          </cell>
          <cell r="V182" t="str">
            <v/>
          </cell>
          <cell r="W182" t="str">
            <v/>
          </cell>
          <cell r="Y182" t="str">
            <v/>
          </cell>
          <cell r="Z182" t="str">
            <v/>
          </cell>
        </row>
        <row r="183">
          <cell r="A183">
            <v>985064</v>
          </cell>
          <cell r="B183">
            <v>6661.54</v>
          </cell>
          <cell r="C183">
            <v>1812.7</v>
          </cell>
          <cell r="E183">
            <v>985064</v>
          </cell>
          <cell r="F183">
            <v>197</v>
          </cell>
          <cell r="G183">
            <v>42</v>
          </cell>
          <cell r="H183">
            <v>290</v>
          </cell>
          <cell r="I183">
            <v>314</v>
          </cell>
          <cell r="J183">
            <v>967</v>
          </cell>
          <cell r="K183">
            <v>1812.7</v>
          </cell>
          <cell r="L183">
            <v>6661.54</v>
          </cell>
          <cell r="M183">
            <v>0</v>
          </cell>
          <cell r="N183">
            <v>0</v>
          </cell>
          <cell r="O183" t="str">
            <v/>
          </cell>
          <cell r="P183" t="str">
            <v/>
          </cell>
          <cell r="Q183" t="str">
            <v/>
          </cell>
          <cell r="R183" t="str">
            <v/>
          </cell>
          <cell r="V183" t="str">
            <v/>
          </cell>
          <cell r="W183" t="str">
            <v/>
          </cell>
          <cell r="Y183" t="str">
            <v/>
          </cell>
          <cell r="Z183" t="str">
            <v/>
          </cell>
        </row>
        <row r="184">
          <cell r="A184">
            <v>985065</v>
          </cell>
          <cell r="B184">
            <v>17313.28</v>
          </cell>
          <cell r="C184">
            <v>3637.25</v>
          </cell>
          <cell r="E184">
            <v>985065</v>
          </cell>
          <cell r="F184">
            <v>126</v>
          </cell>
          <cell r="G184">
            <v>108</v>
          </cell>
          <cell r="H184">
            <v>290</v>
          </cell>
          <cell r="I184">
            <v>651</v>
          </cell>
          <cell r="J184">
            <v>2460</v>
          </cell>
          <cell r="K184">
            <v>3637.25</v>
          </cell>
          <cell r="L184">
            <v>17313.28</v>
          </cell>
          <cell r="M184">
            <v>0</v>
          </cell>
          <cell r="N184">
            <v>0</v>
          </cell>
          <cell r="O184" t="str">
            <v/>
          </cell>
          <cell r="P184" t="str">
            <v/>
          </cell>
          <cell r="Q184" t="str">
            <v/>
          </cell>
          <cell r="R184" t="str">
            <v/>
          </cell>
          <cell r="V184" t="str">
            <v/>
          </cell>
          <cell r="W184" t="str">
            <v/>
          </cell>
          <cell r="Y184" t="str">
            <v/>
          </cell>
          <cell r="Z184" t="str">
            <v/>
          </cell>
        </row>
        <row r="185">
          <cell r="A185">
            <v>985067</v>
          </cell>
          <cell r="B185">
            <v>16537.61</v>
          </cell>
          <cell r="C185">
            <v>5252.71</v>
          </cell>
          <cell r="E185">
            <v>985067</v>
          </cell>
          <cell r="F185">
            <v>1171</v>
          </cell>
          <cell r="G185">
            <v>109</v>
          </cell>
          <cell r="H185">
            <v>290</v>
          </cell>
          <cell r="I185">
            <v>654</v>
          </cell>
          <cell r="J185">
            <v>3027</v>
          </cell>
          <cell r="K185">
            <v>5252.71</v>
          </cell>
          <cell r="L185">
            <v>16537.61</v>
          </cell>
          <cell r="M185">
            <v>0</v>
          </cell>
          <cell r="N185">
            <v>0</v>
          </cell>
          <cell r="O185" t="str">
            <v/>
          </cell>
          <cell r="P185" t="str">
            <v/>
          </cell>
          <cell r="Q185" t="str">
            <v/>
          </cell>
          <cell r="R185" t="str">
            <v/>
          </cell>
          <cell r="V185" t="str">
            <v/>
          </cell>
          <cell r="W185" t="str">
            <v/>
          </cell>
          <cell r="Y185" t="str">
            <v/>
          </cell>
          <cell r="Z185" t="str">
            <v/>
          </cell>
        </row>
        <row r="186">
          <cell r="A186">
            <v>985069</v>
          </cell>
          <cell r="B186">
            <v>6593.69</v>
          </cell>
          <cell r="C186">
            <v>3643.81</v>
          </cell>
          <cell r="E186">
            <v>985069</v>
          </cell>
          <cell r="F186">
            <v>449</v>
          </cell>
          <cell r="G186">
            <v>4</v>
          </cell>
          <cell r="H186">
            <v>290</v>
          </cell>
          <cell r="I186">
            <v>318</v>
          </cell>
          <cell r="J186">
            <v>1330</v>
          </cell>
          <cell r="K186">
            <v>3643.81</v>
          </cell>
          <cell r="L186">
            <v>6593.69</v>
          </cell>
          <cell r="M186">
            <v>1250</v>
          </cell>
          <cell r="N186">
            <v>0</v>
          </cell>
          <cell r="O186" t="str">
            <v/>
          </cell>
          <cell r="P186" t="str">
            <v/>
          </cell>
          <cell r="Q186" t="str">
            <v/>
          </cell>
          <cell r="R186" t="str">
            <v/>
          </cell>
          <cell r="V186" t="str">
            <v/>
          </cell>
          <cell r="W186" t="str">
            <v/>
          </cell>
          <cell r="Y186" t="str">
            <v/>
          </cell>
          <cell r="Z186" t="str">
            <v/>
          </cell>
        </row>
        <row r="187">
          <cell r="A187">
            <v>985070</v>
          </cell>
          <cell r="B187">
            <v>18665.919999999998</v>
          </cell>
          <cell r="C187">
            <v>3998.94</v>
          </cell>
          <cell r="E187">
            <v>985070</v>
          </cell>
          <cell r="F187">
            <v>297</v>
          </cell>
          <cell r="G187">
            <v>60</v>
          </cell>
          <cell r="H187">
            <v>290</v>
          </cell>
          <cell r="I187">
            <v>684</v>
          </cell>
          <cell r="J187">
            <v>2666</v>
          </cell>
          <cell r="K187">
            <v>3998.94</v>
          </cell>
          <cell r="L187">
            <v>18665.919999999998</v>
          </cell>
          <cell r="M187">
            <v>0</v>
          </cell>
          <cell r="N187">
            <v>0</v>
          </cell>
          <cell r="O187" t="str">
            <v/>
          </cell>
          <cell r="P187" t="str">
            <v/>
          </cell>
          <cell r="Q187" t="str">
            <v/>
          </cell>
          <cell r="R187" t="str">
            <v/>
          </cell>
          <cell r="V187" t="str">
            <v/>
          </cell>
          <cell r="W187" t="str">
            <v/>
          </cell>
          <cell r="Y187" t="str">
            <v/>
          </cell>
          <cell r="Z187" t="str">
            <v/>
          </cell>
        </row>
        <row r="188">
          <cell r="A188">
            <v>985072</v>
          </cell>
          <cell r="B188">
            <v>7694.36</v>
          </cell>
          <cell r="C188">
            <v>1935.31</v>
          </cell>
          <cell r="E188">
            <v>985072</v>
          </cell>
          <cell r="F188">
            <v>155</v>
          </cell>
          <cell r="G188">
            <v>48</v>
          </cell>
          <cell r="H188">
            <v>290</v>
          </cell>
          <cell r="I188">
            <v>413</v>
          </cell>
          <cell r="J188">
            <v>1027</v>
          </cell>
          <cell r="K188">
            <v>1935.31</v>
          </cell>
          <cell r="L188">
            <v>7694.36</v>
          </cell>
          <cell r="M188">
            <v>0</v>
          </cell>
          <cell r="N188">
            <v>0</v>
          </cell>
          <cell r="O188" t="str">
            <v/>
          </cell>
          <cell r="P188" t="str">
            <v/>
          </cell>
          <cell r="Q188" t="str">
            <v/>
          </cell>
          <cell r="R188" t="str">
            <v/>
          </cell>
          <cell r="V188" t="str">
            <v/>
          </cell>
          <cell r="W188" t="str">
            <v/>
          </cell>
          <cell r="Y188" t="str">
            <v/>
          </cell>
          <cell r="Z188" t="str">
            <v/>
          </cell>
        </row>
        <row r="189">
          <cell r="A189">
            <v>985073</v>
          </cell>
          <cell r="B189">
            <v>34888.74</v>
          </cell>
          <cell r="C189">
            <v>9526.09</v>
          </cell>
          <cell r="E189">
            <v>985073</v>
          </cell>
          <cell r="F189">
            <v>1065</v>
          </cell>
          <cell r="G189">
            <v>223</v>
          </cell>
          <cell r="H189">
            <v>290</v>
          </cell>
          <cell r="I189">
            <v>1070</v>
          </cell>
          <cell r="J189">
            <v>6876</v>
          </cell>
          <cell r="K189">
            <v>9526.09</v>
          </cell>
          <cell r="L189">
            <v>34888.74</v>
          </cell>
          <cell r="M189">
            <v>0</v>
          </cell>
          <cell r="N189">
            <v>0</v>
          </cell>
          <cell r="O189" t="str">
            <v/>
          </cell>
          <cell r="P189" t="str">
            <v/>
          </cell>
          <cell r="Q189" t="str">
            <v/>
          </cell>
          <cell r="R189" t="str">
            <v/>
          </cell>
          <cell r="V189" t="str">
            <v/>
          </cell>
          <cell r="W189" t="str">
            <v/>
          </cell>
          <cell r="Y189" t="str">
            <v/>
          </cell>
          <cell r="Z189" t="str">
            <v/>
          </cell>
        </row>
        <row r="190">
          <cell r="A190">
            <v>985074</v>
          </cell>
          <cell r="B190">
            <v>5793.12</v>
          </cell>
          <cell r="C190">
            <v>1529.18</v>
          </cell>
          <cell r="E190">
            <v>985074</v>
          </cell>
          <cell r="F190">
            <v>117</v>
          </cell>
          <cell r="G190">
            <v>18</v>
          </cell>
          <cell r="H190">
            <v>290</v>
          </cell>
          <cell r="I190">
            <v>271</v>
          </cell>
          <cell r="J190">
            <v>831</v>
          </cell>
          <cell r="K190">
            <v>1529.18</v>
          </cell>
          <cell r="L190">
            <v>5793.12</v>
          </cell>
          <cell r="M190">
            <v>0</v>
          </cell>
          <cell r="N190">
            <v>0</v>
          </cell>
          <cell r="O190" t="str">
            <v/>
          </cell>
          <cell r="P190" t="str">
            <v/>
          </cell>
          <cell r="Q190" t="str">
            <v/>
          </cell>
          <cell r="R190" t="str">
            <v/>
          </cell>
          <cell r="V190" t="str">
            <v/>
          </cell>
          <cell r="W190" t="str">
            <v/>
          </cell>
          <cell r="Y190" t="str">
            <v/>
          </cell>
          <cell r="Z190" t="str">
            <v/>
          </cell>
        </row>
        <row r="191">
          <cell r="A191">
            <v>985075</v>
          </cell>
          <cell r="B191">
            <v>3258.63</v>
          </cell>
          <cell r="C191">
            <v>1143.42</v>
          </cell>
          <cell r="E191">
            <v>985075</v>
          </cell>
          <cell r="F191">
            <v>117</v>
          </cell>
          <cell r="G191">
            <v>10</v>
          </cell>
          <cell r="H191">
            <v>290</v>
          </cell>
          <cell r="I191">
            <v>250</v>
          </cell>
          <cell r="J191">
            <v>474</v>
          </cell>
          <cell r="K191">
            <v>1143.42</v>
          </cell>
          <cell r="L191">
            <v>3258.63</v>
          </cell>
          <cell r="M191">
            <v>0</v>
          </cell>
          <cell r="N191">
            <v>0</v>
          </cell>
          <cell r="O191" t="str">
            <v/>
          </cell>
          <cell r="P191" t="str">
            <v/>
          </cell>
          <cell r="Q191" t="str">
            <v/>
          </cell>
          <cell r="R191" t="str">
            <v/>
          </cell>
          <cell r="V191" t="str">
            <v/>
          </cell>
          <cell r="W191" t="str">
            <v/>
          </cell>
          <cell r="Y191" t="str">
            <v/>
          </cell>
          <cell r="Z191" t="str">
            <v/>
          </cell>
        </row>
        <row r="192">
          <cell r="A192">
            <v>985076</v>
          </cell>
          <cell r="B192">
            <v>140.88999999999999</v>
          </cell>
          <cell r="C192">
            <v>580.71</v>
          </cell>
          <cell r="E192">
            <v>985076</v>
          </cell>
          <cell r="F192">
            <v>104</v>
          </cell>
          <cell r="G192">
            <v>1</v>
          </cell>
          <cell r="H192">
            <v>290</v>
          </cell>
          <cell r="I192">
            <v>137</v>
          </cell>
          <cell r="J192">
            <v>46</v>
          </cell>
          <cell r="K192">
            <v>580.71</v>
          </cell>
          <cell r="L192">
            <v>140.88999999999999</v>
          </cell>
          <cell r="M192">
            <v>0</v>
          </cell>
          <cell r="N192">
            <v>0</v>
          </cell>
          <cell r="O192" t="str">
            <v/>
          </cell>
          <cell r="P192" t="str">
            <v/>
          </cell>
          <cell r="Q192" t="str">
            <v/>
          </cell>
          <cell r="R192" t="str">
            <v/>
          </cell>
          <cell r="V192" t="str">
            <v/>
          </cell>
          <cell r="W192" t="str">
            <v/>
          </cell>
          <cell r="Y192" t="str">
            <v/>
          </cell>
          <cell r="Z192" t="str">
            <v/>
          </cell>
        </row>
        <row r="193">
          <cell r="A193">
            <v>985079</v>
          </cell>
          <cell r="B193">
            <v>1603.79</v>
          </cell>
          <cell r="C193">
            <v>1014.63</v>
          </cell>
          <cell r="E193">
            <v>985079</v>
          </cell>
          <cell r="F193">
            <v>193</v>
          </cell>
          <cell r="G193">
            <v>11</v>
          </cell>
          <cell r="H193">
            <v>290</v>
          </cell>
          <cell r="I193">
            <v>173</v>
          </cell>
          <cell r="J193">
            <v>346</v>
          </cell>
          <cell r="K193">
            <v>1014.63</v>
          </cell>
          <cell r="L193">
            <v>1603.79</v>
          </cell>
          <cell r="M193">
            <v>0</v>
          </cell>
          <cell r="N193">
            <v>0</v>
          </cell>
          <cell r="O193" t="str">
            <v/>
          </cell>
          <cell r="P193" t="str">
            <v/>
          </cell>
          <cell r="Q193" t="str">
            <v/>
          </cell>
          <cell r="R193" t="str">
            <v/>
          </cell>
          <cell r="V193" t="str">
            <v/>
          </cell>
          <cell r="W193" t="str">
            <v/>
          </cell>
          <cell r="Y193" t="str">
            <v/>
          </cell>
          <cell r="Z193" t="str">
            <v/>
          </cell>
        </row>
        <row r="194">
          <cell r="A194">
            <v>985082</v>
          </cell>
          <cell r="B194">
            <v>12791.31</v>
          </cell>
          <cell r="C194">
            <v>4174.28</v>
          </cell>
          <cell r="E194">
            <v>985082</v>
          </cell>
          <cell r="F194">
            <v>663</v>
          </cell>
          <cell r="G194">
            <v>83</v>
          </cell>
          <cell r="H194">
            <v>290</v>
          </cell>
          <cell r="I194">
            <v>561</v>
          </cell>
          <cell r="J194">
            <v>2576</v>
          </cell>
          <cell r="K194">
            <v>4174.28</v>
          </cell>
          <cell r="L194">
            <v>12791.31</v>
          </cell>
          <cell r="M194">
            <v>0</v>
          </cell>
          <cell r="N194">
            <v>0</v>
          </cell>
          <cell r="O194" t="str">
            <v/>
          </cell>
          <cell r="P194" t="str">
            <v/>
          </cell>
          <cell r="Q194" t="str">
            <v/>
          </cell>
          <cell r="R194" t="str">
            <v/>
          </cell>
          <cell r="V194" t="str">
            <v/>
          </cell>
          <cell r="W194" t="str">
            <v/>
          </cell>
          <cell r="Y194" t="str">
            <v/>
          </cell>
          <cell r="Z194" t="str">
            <v/>
          </cell>
        </row>
        <row r="195">
          <cell r="A195">
            <v>985083</v>
          </cell>
          <cell r="B195">
            <v>7824.81</v>
          </cell>
          <cell r="C195">
            <v>1932.13</v>
          </cell>
          <cell r="E195">
            <v>985083</v>
          </cell>
          <cell r="F195">
            <v>132</v>
          </cell>
          <cell r="G195">
            <v>25</v>
          </cell>
          <cell r="H195">
            <v>290</v>
          </cell>
          <cell r="I195">
            <v>363</v>
          </cell>
          <cell r="J195">
            <v>1120</v>
          </cell>
          <cell r="K195">
            <v>1932.13</v>
          </cell>
          <cell r="L195">
            <v>7824.81</v>
          </cell>
          <cell r="M195">
            <v>0</v>
          </cell>
          <cell r="N195">
            <v>0</v>
          </cell>
          <cell r="O195" t="str">
            <v/>
          </cell>
          <cell r="P195" t="str">
            <v/>
          </cell>
          <cell r="Q195" t="str">
            <v/>
          </cell>
          <cell r="R195" t="str">
            <v/>
          </cell>
          <cell r="V195" t="str">
            <v/>
          </cell>
          <cell r="W195" t="str">
            <v/>
          </cell>
          <cell r="Y195" t="str">
            <v/>
          </cell>
          <cell r="Z195" t="str">
            <v/>
          </cell>
        </row>
        <row r="196">
          <cell r="A196">
            <v>985089</v>
          </cell>
          <cell r="B196">
            <v>784.23</v>
          </cell>
          <cell r="C196">
            <v>732.03</v>
          </cell>
          <cell r="E196">
            <v>985089</v>
          </cell>
          <cell r="F196">
            <v>151</v>
          </cell>
          <cell r="G196">
            <v>5</v>
          </cell>
          <cell r="H196">
            <v>290</v>
          </cell>
          <cell r="I196">
            <v>153</v>
          </cell>
          <cell r="J196">
            <v>131</v>
          </cell>
          <cell r="K196">
            <v>732.03</v>
          </cell>
          <cell r="L196">
            <v>784.23</v>
          </cell>
          <cell r="M196">
            <v>0</v>
          </cell>
          <cell r="N196">
            <v>0</v>
          </cell>
          <cell r="O196" t="str">
            <v/>
          </cell>
          <cell r="P196" t="str">
            <v/>
          </cell>
          <cell r="Q196" t="str">
            <v/>
          </cell>
          <cell r="R196" t="str">
            <v/>
          </cell>
          <cell r="V196" t="str">
            <v/>
          </cell>
          <cell r="W196" t="str">
            <v/>
          </cell>
          <cell r="Y196" t="str">
            <v/>
          </cell>
          <cell r="Z196" t="str">
            <v/>
          </cell>
        </row>
        <row r="197">
          <cell r="A197">
            <v>985090</v>
          </cell>
          <cell r="B197">
            <v>22685.43</v>
          </cell>
          <cell r="C197">
            <v>4577.71</v>
          </cell>
          <cell r="E197">
            <v>985090</v>
          </cell>
          <cell r="F197">
            <v>151</v>
          </cell>
          <cell r="G197">
            <v>141</v>
          </cell>
          <cell r="H197">
            <v>290</v>
          </cell>
          <cell r="I197">
            <v>773</v>
          </cell>
          <cell r="J197">
            <v>3221</v>
          </cell>
          <cell r="K197">
            <v>4577.71</v>
          </cell>
          <cell r="L197">
            <v>22685.43</v>
          </cell>
          <cell r="M197">
            <v>0</v>
          </cell>
          <cell r="N197">
            <v>0</v>
          </cell>
          <cell r="O197" t="str">
            <v/>
          </cell>
          <cell r="P197" t="str">
            <v/>
          </cell>
          <cell r="Q197" t="str">
            <v/>
          </cell>
          <cell r="R197" t="str">
            <v/>
          </cell>
          <cell r="V197" t="str">
            <v/>
          </cell>
          <cell r="W197" t="str">
            <v/>
          </cell>
          <cell r="Y197" t="str">
            <v/>
          </cell>
          <cell r="Z197" t="str">
            <v/>
          </cell>
        </row>
        <row r="198">
          <cell r="A198">
            <v>985091</v>
          </cell>
          <cell r="B198">
            <v>3073.52</v>
          </cell>
          <cell r="C198">
            <v>1307.49</v>
          </cell>
          <cell r="E198">
            <v>985091</v>
          </cell>
          <cell r="F198">
            <v>126</v>
          </cell>
          <cell r="G198">
            <v>10</v>
          </cell>
          <cell r="H198">
            <v>290</v>
          </cell>
          <cell r="I198">
            <v>204</v>
          </cell>
          <cell r="J198">
            <v>675</v>
          </cell>
          <cell r="K198">
            <v>1307.49</v>
          </cell>
          <cell r="L198">
            <v>3073.52</v>
          </cell>
          <cell r="M198">
            <v>0</v>
          </cell>
          <cell r="N198">
            <v>0</v>
          </cell>
          <cell r="O198" t="str">
            <v/>
          </cell>
          <cell r="P198" t="str">
            <v/>
          </cell>
          <cell r="Q198" t="str">
            <v/>
          </cell>
          <cell r="R198" t="str">
            <v/>
          </cell>
          <cell r="V198" t="str">
            <v/>
          </cell>
          <cell r="W198" t="str">
            <v/>
          </cell>
          <cell r="Y198" t="str">
            <v/>
          </cell>
          <cell r="Z198" t="str">
            <v/>
          </cell>
        </row>
        <row r="199">
          <cell r="A199">
            <v>985094</v>
          </cell>
          <cell r="B199">
            <v>36780.129999999997</v>
          </cell>
          <cell r="C199">
            <v>8667.94</v>
          </cell>
          <cell r="E199">
            <v>985094</v>
          </cell>
          <cell r="F199">
            <v>114</v>
          </cell>
          <cell r="G199">
            <v>118</v>
          </cell>
          <cell r="H199">
            <v>290</v>
          </cell>
          <cell r="I199">
            <v>1091</v>
          </cell>
          <cell r="J199">
            <v>7053</v>
          </cell>
          <cell r="K199">
            <v>8667.94</v>
          </cell>
          <cell r="L199">
            <v>36780.129999999997</v>
          </cell>
          <cell r="M199">
            <v>0</v>
          </cell>
          <cell r="N199">
            <v>0</v>
          </cell>
          <cell r="O199" t="str">
            <v/>
          </cell>
          <cell r="P199" t="str">
            <v/>
          </cell>
          <cell r="Q199" t="str">
            <v/>
          </cell>
          <cell r="R199" t="str">
            <v/>
          </cell>
          <cell r="V199" t="str">
            <v/>
          </cell>
          <cell r="W199" t="str">
            <v/>
          </cell>
          <cell r="Y199" t="str">
            <v/>
          </cell>
          <cell r="Z199" t="str">
            <v/>
          </cell>
        </row>
        <row r="200">
          <cell r="A200">
            <v>985095</v>
          </cell>
          <cell r="B200">
            <v>10297.43</v>
          </cell>
          <cell r="C200">
            <v>2378.16</v>
          </cell>
          <cell r="E200">
            <v>985095</v>
          </cell>
          <cell r="F200">
            <v>114</v>
          </cell>
          <cell r="G200">
            <v>33</v>
          </cell>
          <cell r="H200">
            <v>290</v>
          </cell>
          <cell r="I200">
            <v>473</v>
          </cell>
          <cell r="J200">
            <v>1466</v>
          </cell>
          <cell r="K200">
            <v>2378.16</v>
          </cell>
          <cell r="L200">
            <v>10297.43</v>
          </cell>
          <cell r="M200">
            <v>0</v>
          </cell>
          <cell r="N200">
            <v>0</v>
          </cell>
          <cell r="O200" t="str">
            <v/>
          </cell>
          <cell r="P200" t="str">
            <v/>
          </cell>
          <cell r="Q200" t="str">
            <v/>
          </cell>
          <cell r="R200" t="str">
            <v/>
          </cell>
          <cell r="V200" t="str">
            <v/>
          </cell>
          <cell r="W200" t="str">
            <v/>
          </cell>
          <cell r="Y200" t="str">
            <v/>
          </cell>
          <cell r="Z200" t="str">
            <v/>
          </cell>
        </row>
        <row r="201">
          <cell r="A201">
            <v>985097</v>
          </cell>
          <cell r="B201">
            <v>4097.68</v>
          </cell>
          <cell r="C201">
            <v>773.39</v>
          </cell>
          <cell r="E201">
            <v>985097</v>
          </cell>
          <cell r="F201">
            <v>116</v>
          </cell>
          <cell r="G201">
            <v>13</v>
          </cell>
          <cell r="H201">
            <v>290</v>
          </cell>
          <cell r="I201">
            <v>227</v>
          </cell>
          <cell r="J201">
            <v>126</v>
          </cell>
          <cell r="K201">
            <v>773.39</v>
          </cell>
          <cell r="L201">
            <v>4097.68</v>
          </cell>
          <cell r="M201">
            <v>0</v>
          </cell>
          <cell r="N201">
            <v>0</v>
          </cell>
          <cell r="O201" t="str">
            <v/>
          </cell>
          <cell r="P201" t="str">
            <v/>
          </cell>
          <cell r="Q201" t="str">
            <v/>
          </cell>
          <cell r="R201" t="str">
            <v/>
          </cell>
          <cell r="V201" t="str">
            <v/>
          </cell>
          <cell r="W201" t="str">
            <v/>
          </cell>
          <cell r="Y201" t="str">
            <v/>
          </cell>
          <cell r="Z201" t="str">
            <v/>
          </cell>
        </row>
        <row r="202">
          <cell r="A202">
            <v>985103</v>
          </cell>
          <cell r="B202">
            <v>7578.7</v>
          </cell>
          <cell r="C202">
            <v>1933.46</v>
          </cell>
          <cell r="E202">
            <v>985103</v>
          </cell>
          <cell r="F202">
            <v>151</v>
          </cell>
          <cell r="G202">
            <v>48</v>
          </cell>
          <cell r="H202">
            <v>290</v>
          </cell>
          <cell r="I202">
            <v>353</v>
          </cell>
          <cell r="J202">
            <v>1090</v>
          </cell>
          <cell r="K202">
            <v>1933.46</v>
          </cell>
          <cell r="L202">
            <v>7578.7</v>
          </cell>
          <cell r="M202">
            <v>0</v>
          </cell>
          <cell r="N202">
            <v>0</v>
          </cell>
          <cell r="O202" t="str">
            <v/>
          </cell>
          <cell r="P202" t="str">
            <v/>
          </cell>
          <cell r="Q202" t="str">
            <v/>
          </cell>
          <cell r="R202" t="str">
            <v/>
          </cell>
          <cell r="V202" t="str">
            <v/>
          </cell>
          <cell r="W202" t="str">
            <v/>
          </cell>
          <cell r="Y202" t="str">
            <v/>
          </cell>
          <cell r="Z202" t="str">
            <v/>
          </cell>
        </row>
        <row r="203">
          <cell r="A203">
            <v>985104</v>
          </cell>
          <cell r="B203">
            <v>290.60000000000002</v>
          </cell>
          <cell r="C203">
            <v>612.77</v>
          </cell>
          <cell r="E203">
            <v>985104</v>
          </cell>
          <cell r="F203">
            <v>120</v>
          </cell>
          <cell r="G203">
            <v>2</v>
          </cell>
          <cell r="H203">
            <v>290</v>
          </cell>
          <cell r="I203">
            <v>141</v>
          </cell>
          <cell r="J203">
            <v>58</v>
          </cell>
          <cell r="K203">
            <v>612.77</v>
          </cell>
          <cell r="L203">
            <v>290.60000000000002</v>
          </cell>
          <cell r="M203">
            <v>0</v>
          </cell>
          <cell r="N203">
            <v>0</v>
          </cell>
          <cell r="O203" t="str">
            <v/>
          </cell>
          <cell r="P203" t="str">
            <v/>
          </cell>
          <cell r="Q203" t="str">
            <v/>
          </cell>
          <cell r="R203" t="str">
            <v/>
          </cell>
          <cell r="V203" t="str">
            <v/>
          </cell>
          <cell r="W203" t="str">
            <v/>
          </cell>
          <cell r="Y203" t="str">
            <v/>
          </cell>
          <cell r="Z203" t="str">
            <v/>
          </cell>
        </row>
        <row r="204">
          <cell r="A204">
            <v>985106</v>
          </cell>
          <cell r="B204">
            <v>460.88</v>
          </cell>
          <cell r="C204">
            <v>678.42</v>
          </cell>
          <cell r="E204">
            <v>985106</v>
          </cell>
          <cell r="F204">
            <v>126</v>
          </cell>
          <cell r="G204">
            <v>3</v>
          </cell>
          <cell r="H204">
            <v>290</v>
          </cell>
          <cell r="I204">
            <v>145</v>
          </cell>
          <cell r="J204">
            <v>112</v>
          </cell>
          <cell r="K204">
            <v>678.42</v>
          </cell>
          <cell r="L204">
            <v>460.88</v>
          </cell>
          <cell r="M204">
            <v>0</v>
          </cell>
          <cell r="N204">
            <v>0</v>
          </cell>
          <cell r="O204" t="str">
            <v/>
          </cell>
          <cell r="P204" t="str">
            <v/>
          </cell>
          <cell r="Q204" t="str">
            <v/>
          </cell>
          <cell r="R204" t="str">
            <v/>
          </cell>
          <cell r="V204" t="str">
            <v/>
          </cell>
          <cell r="W204" t="str">
            <v/>
          </cell>
          <cell r="Y204" t="str">
            <v/>
          </cell>
          <cell r="Z204" t="str">
            <v/>
          </cell>
        </row>
        <row r="205">
          <cell r="A205">
            <v>985107</v>
          </cell>
          <cell r="B205">
            <v>5857.32</v>
          </cell>
          <cell r="C205">
            <v>1928.99</v>
          </cell>
          <cell r="E205">
            <v>985107</v>
          </cell>
          <cell r="F205">
            <v>497</v>
          </cell>
          <cell r="G205">
            <v>39</v>
          </cell>
          <cell r="H205">
            <v>290</v>
          </cell>
          <cell r="I205">
            <v>301</v>
          </cell>
          <cell r="J205">
            <v>800</v>
          </cell>
          <cell r="K205">
            <v>1928.99</v>
          </cell>
          <cell r="L205">
            <v>5857.32</v>
          </cell>
          <cell r="M205">
            <v>0</v>
          </cell>
          <cell r="N205">
            <v>0</v>
          </cell>
          <cell r="O205" t="str">
            <v/>
          </cell>
          <cell r="P205" t="str">
            <v/>
          </cell>
          <cell r="Q205" t="str">
            <v/>
          </cell>
          <cell r="R205" t="str">
            <v/>
          </cell>
          <cell r="V205" t="str">
            <v/>
          </cell>
          <cell r="W205" t="str">
            <v/>
          </cell>
          <cell r="Y205" t="str">
            <v/>
          </cell>
          <cell r="Z205" t="str">
            <v/>
          </cell>
        </row>
        <row r="206">
          <cell r="A206">
            <v>985109</v>
          </cell>
          <cell r="B206">
            <v>1269.08</v>
          </cell>
          <cell r="C206">
            <v>781.52</v>
          </cell>
          <cell r="E206">
            <v>985109</v>
          </cell>
          <cell r="F206">
            <v>126</v>
          </cell>
          <cell r="G206">
            <v>4</v>
          </cell>
          <cell r="H206">
            <v>290</v>
          </cell>
          <cell r="I206">
            <v>163</v>
          </cell>
          <cell r="J206">
            <v>196</v>
          </cell>
          <cell r="K206">
            <v>781.52</v>
          </cell>
          <cell r="L206">
            <v>1269.08</v>
          </cell>
          <cell r="M206">
            <v>0</v>
          </cell>
          <cell r="N206">
            <v>0</v>
          </cell>
          <cell r="O206" t="str">
            <v/>
          </cell>
          <cell r="P206" t="str">
            <v/>
          </cell>
          <cell r="Q206" t="str">
            <v/>
          </cell>
          <cell r="R206" t="str">
            <v/>
          </cell>
          <cell r="V206" t="str">
            <v/>
          </cell>
          <cell r="W206" t="str">
            <v/>
          </cell>
          <cell r="Y206" t="str">
            <v/>
          </cell>
          <cell r="Z206" t="str">
            <v/>
          </cell>
        </row>
        <row r="207">
          <cell r="A207">
            <v>985112</v>
          </cell>
          <cell r="B207">
            <v>8781.2800000000007</v>
          </cell>
          <cell r="C207">
            <v>2586.69</v>
          </cell>
          <cell r="E207">
            <v>985112</v>
          </cell>
          <cell r="F207">
            <v>584</v>
          </cell>
          <cell r="G207">
            <v>58</v>
          </cell>
          <cell r="H207">
            <v>290</v>
          </cell>
          <cell r="I207">
            <v>426</v>
          </cell>
          <cell r="J207">
            <v>1226</v>
          </cell>
          <cell r="K207">
            <v>2586.69</v>
          </cell>
          <cell r="L207">
            <v>8781.2800000000007</v>
          </cell>
          <cell r="M207">
            <v>0</v>
          </cell>
          <cell r="N207">
            <v>0</v>
          </cell>
          <cell r="O207" t="str">
            <v/>
          </cell>
          <cell r="P207" t="str">
            <v/>
          </cell>
          <cell r="Q207" t="str">
            <v/>
          </cell>
          <cell r="R207" t="str">
            <v/>
          </cell>
          <cell r="V207" t="str">
            <v/>
          </cell>
          <cell r="W207" t="str">
            <v/>
          </cell>
          <cell r="Y207" t="str">
            <v/>
          </cell>
          <cell r="Z207" t="str">
            <v/>
          </cell>
        </row>
        <row r="208">
          <cell r="A208">
            <v>985113</v>
          </cell>
          <cell r="B208">
            <v>7222.5</v>
          </cell>
          <cell r="C208">
            <v>1980.35</v>
          </cell>
          <cell r="E208">
            <v>985113</v>
          </cell>
          <cell r="F208">
            <v>241</v>
          </cell>
          <cell r="G208">
            <v>46</v>
          </cell>
          <cell r="H208">
            <v>290</v>
          </cell>
          <cell r="I208">
            <v>343</v>
          </cell>
          <cell r="J208">
            <v>1058</v>
          </cell>
          <cell r="K208">
            <v>1980.35</v>
          </cell>
          <cell r="L208">
            <v>7222.5</v>
          </cell>
          <cell r="M208">
            <v>0</v>
          </cell>
          <cell r="N208">
            <v>0</v>
          </cell>
          <cell r="O208" t="str">
            <v/>
          </cell>
          <cell r="P208" t="str">
            <v/>
          </cell>
          <cell r="Q208" t="str">
            <v/>
          </cell>
          <cell r="R208" t="str">
            <v/>
          </cell>
          <cell r="V208" t="str">
            <v/>
          </cell>
          <cell r="W208" t="str">
            <v/>
          </cell>
          <cell r="Y208" t="str">
            <v/>
          </cell>
          <cell r="Z208" t="str">
            <v/>
          </cell>
        </row>
        <row r="209">
          <cell r="A209">
            <v>985116</v>
          </cell>
          <cell r="B209">
            <v>867.75</v>
          </cell>
          <cell r="C209">
            <v>723.76</v>
          </cell>
          <cell r="E209">
            <v>985116</v>
          </cell>
          <cell r="F209">
            <v>53</v>
          </cell>
          <cell r="G209">
            <v>2</v>
          </cell>
          <cell r="H209">
            <v>290</v>
          </cell>
          <cell r="I209">
            <v>248</v>
          </cell>
          <cell r="J209">
            <v>129</v>
          </cell>
          <cell r="K209">
            <v>723.76</v>
          </cell>
          <cell r="L209">
            <v>867.75</v>
          </cell>
          <cell r="M209">
            <v>0</v>
          </cell>
          <cell r="N209">
            <v>0</v>
          </cell>
          <cell r="O209" t="str">
            <v/>
          </cell>
          <cell r="P209" t="str">
            <v/>
          </cell>
          <cell r="Q209" t="str">
            <v/>
          </cell>
          <cell r="R209" t="str">
            <v/>
          </cell>
          <cell r="V209" t="str">
            <v/>
          </cell>
          <cell r="W209" t="str">
            <v/>
          </cell>
          <cell r="Y209" t="str">
            <v/>
          </cell>
          <cell r="Z209" t="str">
            <v/>
          </cell>
        </row>
        <row r="210">
          <cell r="A210">
            <v>985118</v>
          </cell>
          <cell r="B210">
            <v>3922.1</v>
          </cell>
          <cell r="C210">
            <v>1224.23</v>
          </cell>
          <cell r="E210">
            <v>985118</v>
          </cell>
          <cell r="F210">
            <v>116</v>
          </cell>
          <cell r="G210">
            <v>25</v>
          </cell>
          <cell r="H210">
            <v>290</v>
          </cell>
          <cell r="I210">
            <v>223</v>
          </cell>
          <cell r="J210">
            <v>569</v>
          </cell>
          <cell r="K210">
            <v>1224.23</v>
          </cell>
          <cell r="L210">
            <v>3922.1</v>
          </cell>
          <cell r="M210">
            <v>0</v>
          </cell>
          <cell r="N210">
            <v>0</v>
          </cell>
          <cell r="O210" t="str">
            <v/>
          </cell>
          <cell r="P210" t="str">
            <v/>
          </cell>
          <cell r="Q210" t="str">
            <v/>
          </cell>
          <cell r="R210" t="str">
            <v/>
          </cell>
          <cell r="V210" t="str">
            <v/>
          </cell>
          <cell r="W210" t="str">
            <v/>
          </cell>
          <cell r="Y210" t="str">
            <v/>
          </cell>
          <cell r="Z210" t="str">
            <v/>
          </cell>
        </row>
        <row r="211">
          <cell r="A211">
            <v>985119</v>
          </cell>
          <cell r="B211">
            <v>7168.99</v>
          </cell>
          <cell r="C211">
            <v>1805.13</v>
          </cell>
          <cell r="E211">
            <v>985119</v>
          </cell>
          <cell r="F211">
            <v>109</v>
          </cell>
          <cell r="G211">
            <v>45</v>
          </cell>
          <cell r="H211">
            <v>290</v>
          </cell>
          <cell r="I211">
            <v>333</v>
          </cell>
          <cell r="J211">
            <v>1026</v>
          </cell>
          <cell r="K211">
            <v>1805.13</v>
          </cell>
          <cell r="L211">
            <v>7168.99</v>
          </cell>
          <cell r="M211">
            <v>0</v>
          </cell>
          <cell r="N211">
            <v>0</v>
          </cell>
          <cell r="O211" t="str">
            <v/>
          </cell>
          <cell r="P211" t="str">
            <v/>
          </cell>
          <cell r="Q211" t="str">
            <v/>
          </cell>
          <cell r="R211" t="str">
            <v/>
          </cell>
          <cell r="V211" t="str">
            <v/>
          </cell>
          <cell r="W211" t="str">
            <v/>
          </cell>
          <cell r="Y211" t="str">
            <v/>
          </cell>
          <cell r="Z211" t="str">
            <v/>
          </cell>
        </row>
        <row r="212">
          <cell r="A212">
            <v>985120</v>
          </cell>
          <cell r="B212">
            <v>4618.2</v>
          </cell>
          <cell r="C212">
            <v>1574.17</v>
          </cell>
          <cell r="E212">
            <v>985120</v>
          </cell>
          <cell r="F212">
            <v>147</v>
          </cell>
          <cell r="G212">
            <v>14</v>
          </cell>
          <cell r="H212">
            <v>290</v>
          </cell>
          <cell r="I212">
            <v>236</v>
          </cell>
          <cell r="J212">
            <v>885</v>
          </cell>
          <cell r="K212">
            <v>1574.17</v>
          </cell>
          <cell r="L212">
            <v>4618.2</v>
          </cell>
          <cell r="M212">
            <v>0</v>
          </cell>
          <cell r="N212">
            <v>0</v>
          </cell>
          <cell r="O212" t="str">
            <v/>
          </cell>
          <cell r="P212" t="str">
            <v/>
          </cell>
          <cell r="Q212" t="str">
            <v/>
          </cell>
          <cell r="R212" t="str">
            <v/>
          </cell>
          <cell r="V212" t="str">
            <v/>
          </cell>
          <cell r="W212" t="str">
            <v/>
          </cell>
          <cell r="Y212" t="str">
            <v/>
          </cell>
          <cell r="Z212" t="str">
            <v/>
          </cell>
        </row>
        <row r="213">
          <cell r="A213">
            <v>985122</v>
          </cell>
          <cell r="B213">
            <v>288.88</v>
          </cell>
          <cell r="C213">
            <v>586.84</v>
          </cell>
          <cell r="E213">
            <v>985122</v>
          </cell>
          <cell r="F213">
            <v>86</v>
          </cell>
          <cell r="G213">
            <v>2</v>
          </cell>
          <cell r="H213">
            <v>290</v>
          </cell>
          <cell r="I213">
            <v>140</v>
          </cell>
          <cell r="J213">
            <v>67</v>
          </cell>
          <cell r="K213">
            <v>586.84</v>
          </cell>
          <cell r="L213">
            <v>288.88</v>
          </cell>
          <cell r="M213">
            <v>0</v>
          </cell>
          <cell r="N213">
            <v>0</v>
          </cell>
          <cell r="O213" t="str">
            <v/>
          </cell>
          <cell r="P213" t="str">
            <v/>
          </cell>
          <cell r="Q213" t="str">
            <v/>
          </cell>
          <cell r="R213" t="str">
            <v/>
          </cell>
          <cell r="V213" t="str">
            <v/>
          </cell>
          <cell r="W213" t="str">
            <v/>
          </cell>
          <cell r="Y213" t="str">
            <v/>
          </cell>
          <cell r="Z213" t="str">
            <v/>
          </cell>
        </row>
        <row r="214">
          <cell r="A214">
            <v>985123</v>
          </cell>
          <cell r="B214">
            <v>1611.89</v>
          </cell>
          <cell r="C214">
            <v>948.65</v>
          </cell>
          <cell r="E214">
            <v>985123</v>
          </cell>
          <cell r="F214">
            <v>140</v>
          </cell>
          <cell r="G214">
            <v>10</v>
          </cell>
          <cell r="H214">
            <v>290</v>
          </cell>
          <cell r="I214">
            <v>171</v>
          </cell>
          <cell r="J214">
            <v>335</v>
          </cell>
          <cell r="K214">
            <v>948.65</v>
          </cell>
          <cell r="L214">
            <v>1611.89</v>
          </cell>
          <cell r="M214">
            <v>0</v>
          </cell>
          <cell r="N214">
            <v>0</v>
          </cell>
          <cell r="O214" t="str">
            <v/>
          </cell>
          <cell r="P214" t="str">
            <v/>
          </cell>
          <cell r="Q214" t="str">
            <v/>
          </cell>
          <cell r="R214" t="str">
            <v/>
          </cell>
          <cell r="V214" t="str">
            <v/>
          </cell>
          <cell r="W214" t="str">
            <v/>
          </cell>
          <cell r="Y214" t="str">
            <v/>
          </cell>
          <cell r="Z214" t="str">
            <v/>
          </cell>
        </row>
        <row r="215">
          <cell r="A215">
            <v>985125</v>
          </cell>
          <cell r="B215">
            <v>591.74</v>
          </cell>
          <cell r="C215">
            <v>622.47</v>
          </cell>
          <cell r="E215">
            <v>985125</v>
          </cell>
          <cell r="F215">
            <v>57</v>
          </cell>
          <cell r="G215">
            <v>4</v>
          </cell>
          <cell r="H215">
            <v>290</v>
          </cell>
          <cell r="I215">
            <v>146</v>
          </cell>
          <cell r="J215">
            <v>123</v>
          </cell>
          <cell r="K215">
            <v>622.47</v>
          </cell>
          <cell r="L215">
            <v>591.74</v>
          </cell>
          <cell r="M215">
            <v>0</v>
          </cell>
          <cell r="N215">
            <v>0</v>
          </cell>
          <cell r="O215" t="str">
            <v/>
          </cell>
          <cell r="P215" t="str">
            <v/>
          </cell>
          <cell r="Q215" t="str">
            <v/>
          </cell>
          <cell r="R215" t="str">
            <v/>
          </cell>
          <cell r="V215" t="str">
            <v/>
          </cell>
          <cell r="W215" t="str">
            <v/>
          </cell>
          <cell r="Y215" t="str">
            <v/>
          </cell>
          <cell r="Z215" t="str">
            <v/>
          </cell>
        </row>
        <row r="216">
          <cell r="A216">
            <v>985126</v>
          </cell>
          <cell r="B216">
            <v>398.17</v>
          </cell>
          <cell r="C216">
            <v>602.72</v>
          </cell>
          <cell r="E216">
            <v>985126</v>
          </cell>
          <cell r="F216">
            <v>79</v>
          </cell>
          <cell r="G216">
            <v>1</v>
          </cell>
          <cell r="H216">
            <v>290</v>
          </cell>
          <cell r="I216">
            <v>142</v>
          </cell>
          <cell r="J216">
            <v>89</v>
          </cell>
          <cell r="K216">
            <v>602.72</v>
          </cell>
          <cell r="L216">
            <v>398.17</v>
          </cell>
          <cell r="M216">
            <v>0</v>
          </cell>
          <cell r="N216">
            <v>0</v>
          </cell>
          <cell r="O216" t="str">
            <v/>
          </cell>
          <cell r="P216" t="str">
            <v/>
          </cell>
          <cell r="Q216" t="str">
            <v/>
          </cell>
          <cell r="R216" t="str">
            <v/>
          </cell>
          <cell r="V216" t="str">
            <v/>
          </cell>
          <cell r="W216" t="str">
            <v/>
          </cell>
          <cell r="Y216" t="str">
            <v/>
          </cell>
          <cell r="Z216" t="str">
            <v/>
          </cell>
        </row>
        <row r="217">
          <cell r="A217">
            <v>985127</v>
          </cell>
          <cell r="B217">
            <v>7288.81</v>
          </cell>
          <cell r="C217">
            <v>4678.95</v>
          </cell>
          <cell r="E217">
            <v>985127</v>
          </cell>
          <cell r="F217">
            <v>2117</v>
          </cell>
          <cell r="G217">
            <v>58</v>
          </cell>
          <cell r="H217">
            <v>290</v>
          </cell>
          <cell r="I217">
            <v>425</v>
          </cell>
          <cell r="J217">
            <v>1787</v>
          </cell>
          <cell r="K217">
            <v>4678.95</v>
          </cell>
          <cell r="L217">
            <v>7288.81</v>
          </cell>
          <cell r="M217">
            <v>0</v>
          </cell>
          <cell r="N217">
            <v>0</v>
          </cell>
          <cell r="O217" t="str">
            <v/>
          </cell>
          <cell r="P217" t="str">
            <v/>
          </cell>
          <cell r="Q217" t="str">
            <v/>
          </cell>
          <cell r="R217" t="str">
            <v/>
          </cell>
          <cell r="V217" t="str">
            <v/>
          </cell>
          <cell r="W217" t="str">
            <v/>
          </cell>
          <cell r="Y217" t="str">
            <v/>
          </cell>
          <cell r="Z217" t="str">
            <v/>
          </cell>
        </row>
        <row r="218">
          <cell r="A218">
            <v>985128</v>
          </cell>
          <cell r="B218">
            <v>9242.89</v>
          </cell>
          <cell r="C218">
            <v>5410.45</v>
          </cell>
          <cell r="E218">
            <v>985128</v>
          </cell>
          <cell r="F218">
            <v>2321</v>
          </cell>
          <cell r="G218">
            <v>71</v>
          </cell>
          <cell r="H218">
            <v>290</v>
          </cell>
          <cell r="I218">
            <v>517</v>
          </cell>
          <cell r="J218">
            <v>2209</v>
          </cell>
          <cell r="K218">
            <v>5410.45</v>
          </cell>
          <cell r="L218">
            <v>9242.89</v>
          </cell>
          <cell r="M218">
            <v>0</v>
          </cell>
          <cell r="N218">
            <v>0</v>
          </cell>
          <cell r="O218" t="str">
            <v/>
          </cell>
          <cell r="P218" t="str">
            <v/>
          </cell>
          <cell r="Q218" t="str">
            <v/>
          </cell>
          <cell r="R218" t="str">
            <v/>
          </cell>
          <cell r="V218" t="str">
            <v/>
          </cell>
          <cell r="W218" t="str">
            <v/>
          </cell>
          <cell r="Y218" t="str">
            <v/>
          </cell>
          <cell r="Z218" t="str">
            <v/>
          </cell>
        </row>
        <row r="219">
          <cell r="A219">
            <v>985129</v>
          </cell>
          <cell r="B219">
            <v>4564.6000000000004</v>
          </cell>
          <cell r="C219">
            <v>2692.86</v>
          </cell>
          <cell r="E219">
            <v>985129</v>
          </cell>
          <cell r="F219">
            <v>1037</v>
          </cell>
          <cell r="G219">
            <v>34</v>
          </cell>
          <cell r="H219">
            <v>290</v>
          </cell>
          <cell r="I219">
            <v>258</v>
          </cell>
          <cell r="J219">
            <v>1071</v>
          </cell>
          <cell r="K219">
            <v>2692.86</v>
          </cell>
          <cell r="L219">
            <v>4564.6000000000004</v>
          </cell>
          <cell r="M219">
            <v>0</v>
          </cell>
          <cell r="N219">
            <v>0</v>
          </cell>
          <cell r="O219" t="str">
            <v/>
          </cell>
          <cell r="P219" t="str">
            <v/>
          </cell>
          <cell r="Q219" t="str">
            <v/>
          </cell>
          <cell r="R219" t="str">
            <v/>
          </cell>
          <cell r="V219" t="str">
            <v/>
          </cell>
          <cell r="W219" t="str">
            <v/>
          </cell>
          <cell r="Y219" t="str">
            <v/>
          </cell>
          <cell r="Z219" t="str">
            <v/>
          </cell>
        </row>
        <row r="220">
          <cell r="A220">
            <v>985131</v>
          </cell>
          <cell r="B220">
            <v>361.49</v>
          </cell>
          <cell r="C220">
            <v>639.85</v>
          </cell>
          <cell r="E220">
            <v>985131</v>
          </cell>
          <cell r="F220">
            <v>117</v>
          </cell>
          <cell r="G220">
            <v>2</v>
          </cell>
          <cell r="H220">
            <v>290</v>
          </cell>
          <cell r="I220">
            <v>142</v>
          </cell>
          <cell r="J220">
            <v>86</v>
          </cell>
          <cell r="K220">
            <v>639.85</v>
          </cell>
          <cell r="L220">
            <v>361.49</v>
          </cell>
          <cell r="M220">
            <v>0</v>
          </cell>
          <cell r="N220">
            <v>0</v>
          </cell>
          <cell r="O220" t="str">
            <v/>
          </cell>
          <cell r="P220" t="str">
            <v/>
          </cell>
          <cell r="Q220" t="str">
            <v/>
          </cell>
          <cell r="R220" t="str">
            <v/>
          </cell>
          <cell r="V220" t="str">
            <v/>
          </cell>
          <cell r="W220" t="str">
            <v/>
          </cell>
          <cell r="Y220" t="str">
            <v/>
          </cell>
          <cell r="Z220" t="str">
            <v/>
          </cell>
        </row>
        <row r="221">
          <cell r="A221">
            <v>985132</v>
          </cell>
          <cell r="B221">
            <v>2111.0300000000002</v>
          </cell>
          <cell r="C221">
            <v>694.27</v>
          </cell>
          <cell r="E221">
            <v>985132</v>
          </cell>
          <cell r="F221">
            <v>96</v>
          </cell>
          <cell r="G221">
            <v>5</v>
          </cell>
          <cell r="H221">
            <v>290</v>
          </cell>
          <cell r="I221">
            <v>150</v>
          </cell>
          <cell r="J221">
            <v>152</v>
          </cell>
          <cell r="K221">
            <v>694.27</v>
          </cell>
          <cell r="L221">
            <v>2111.0300000000002</v>
          </cell>
          <cell r="M221">
            <v>0</v>
          </cell>
          <cell r="N221">
            <v>0</v>
          </cell>
          <cell r="O221" t="str">
            <v/>
          </cell>
          <cell r="P221" t="str">
            <v/>
          </cell>
          <cell r="Q221" t="str">
            <v/>
          </cell>
          <cell r="R221" t="str">
            <v/>
          </cell>
          <cell r="V221" t="str">
            <v/>
          </cell>
          <cell r="W221" t="str">
            <v/>
          </cell>
          <cell r="Y221" t="str">
            <v/>
          </cell>
          <cell r="Z221" t="str">
            <v/>
          </cell>
        </row>
        <row r="222">
          <cell r="A222">
            <v>985133</v>
          </cell>
          <cell r="B222">
            <v>34665.33</v>
          </cell>
          <cell r="C222">
            <v>6640.79</v>
          </cell>
          <cell r="E222">
            <v>985133</v>
          </cell>
          <cell r="F222">
            <v>174</v>
          </cell>
          <cell r="G222">
            <v>216</v>
          </cell>
          <cell r="H222">
            <v>290</v>
          </cell>
          <cell r="I222">
            <v>1045</v>
          </cell>
          <cell r="J222">
            <v>4914</v>
          </cell>
          <cell r="K222">
            <v>6640.79</v>
          </cell>
          <cell r="L222">
            <v>34665.33</v>
          </cell>
          <cell r="M222">
            <v>0</v>
          </cell>
          <cell r="N222">
            <v>0</v>
          </cell>
          <cell r="O222" t="str">
            <v/>
          </cell>
          <cell r="P222" t="str">
            <v/>
          </cell>
          <cell r="Q222" t="str">
            <v/>
          </cell>
          <cell r="R222" t="str">
            <v/>
          </cell>
          <cell r="V222" t="str">
            <v/>
          </cell>
          <cell r="W222" t="str">
            <v/>
          </cell>
          <cell r="Y222" t="str">
            <v/>
          </cell>
          <cell r="Z222" t="str">
            <v/>
          </cell>
        </row>
        <row r="223">
          <cell r="A223">
            <v>985134</v>
          </cell>
          <cell r="B223">
            <v>949.06</v>
          </cell>
          <cell r="C223">
            <v>4649.08</v>
          </cell>
          <cell r="E223">
            <v>985134</v>
          </cell>
          <cell r="F223">
            <v>3306</v>
          </cell>
          <cell r="G223">
            <v>13</v>
          </cell>
          <cell r="H223">
            <v>290</v>
          </cell>
          <cell r="I223">
            <v>227</v>
          </cell>
          <cell r="J223">
            <v>811</v>
          </cell>
          <cell r="K223">
            <v>4649.08</v>
          </cell>
          <cell r="L223">
            <v>949.06</v>
          </cell>
          <cell r="M223">
            <v>0</v>
          </cell>
          <cell r="N223">
            <v>0</v>
          </cell>
          <cell r="O223" t="str">
            <v/>
          </cell>
          <cell r="P223" t="str">
            <v/>
          </cell>
          <cell r="Q223" t="str">
            <v/>
          </cell>
          <cell r="R223" t="str">
            <v/>
          </cell>
          <cell r="V223" t="str">
            <v/>
          </cell>
          <cell r="W223" t="str">
            <v/>
          </cell>
          <cell r="Y223" t="str">
            <v/>
          </cell>
          <cell r="Z223" t="str">
            <v/>
          </cell>
        </row>
        <row r="224">
          <cell r="A224">
            <v>985135</v>
          </cell>
          <cell r="B224">
            <v>2173.3200000000002</v>
          </cell>
          <cell r="C224">
            <v>1092.97</v>
          </cell>
          <cell r="E224">
            <v>985135</v>
          </cell>
          <cell r="F224">
            <v>164</v>
          </cell>
          <cell r="G224">
            <v>7</v>
          </cell>
          <cell r="H224">
            <v>290</v>
          </cell>
          <cell r="I224">
            <v>184</v>
          </cell>
          <cell r="J224">
            <v>445</v>
          </cell>
          <cell r="K224">
            <v>1092.97</v>
          </cell>
          <cell r="L224">
            <v>2173.3200000000002</v>
          </cell>
          <cell r="M224">
            <v>0</v>
          </cell>
          <cell r="N224">
            <v>0</v>
          </cell>
          <cell r="O224" t="str">
            <v/>
          </cell>
          <cell r="P224" t="str">
            <v/>
          </cell>
          <cell r="Q224" t="str">
            <v/>
          </cell>
          <cell r="R224" t="str">
            <v/>
          </cell>
          <cell r="V224" t="str">
            <v/>
          </cell>
          <cell r="W224" t="str">
            <v/>
          </cell>
          <cell r="Y224" t="str">
            <v/>
          </cell>
          <cell r="Z224" t="str">
            <v/>
          </cell>
        </row>
        <row r="225">
          <cell r="A225">
            <v>985137</v>
          </cell>
          <cell r="B225">
            <v>2374.62</v>
          </cell>
          <cell r="C225">
            <v>1263.3599999999999</v>
          </cell>
          <cell r="E225">
            <v>985137</v>
          </cell>
          <cell r="F225">
            <v>330</v>
          </cell>
          <cell r="G225">
            <v>16</v>
          </cell>
          <cell r="H225">
            <v>290</v>
          </cell>
          <cell r="I225">
            <v>192</v>
          </cell>
          <cell r="J225">
            <v>432</v>
          </cell>
          <cell r="K225">
            <v>1263.3599999999999</v>
          </cell>
          <cell r="L225">
            <v>2374.62</v>
          </cell>
          <cell r="M225">
            <v>0</v>
          </cell>
          <cell r="N225">
            <v>0</v>
          </cell>
          <cell r="O225" t="str">
            <v/>
          </cell>
          <cell r="P225" t="str">
            <v/>
          </cell>
          <cell r="Q225" t="str">
            <v/>
          </cell>
          <cell r="R225" t="str">
            <v/>
          </cell>
          <cell r="V225" t="str">
            <v/>
          </cell>
          <cell r="W225" t="str">
            <v/>
          </cell>
          <cell r="Y225" t="str">
            <v/>
          </cell>
          <cell r="Z225" t="str">
            <v/>
          </cell>
        </row>
        <row r="226">
          <cell r="A226">
            <v>985138</v>
          </cell>
          <cell r="B226">
            <v>7345.82</v>
          </cell>
          <cell r="C226">
            <v>2622.24</v>
          </cell>
          <cell r="E226">
            <v>985138</v>
          </cell>
          <cell r="F226">
            <v>461</v>
          </cell>
          <cell r="G226">
            <v>25</v>
          </cell>
          <cell r="H226">
            <v>290</v>
          </cell>
          <cell r="I226">
            <v>355</v>
          </cell>
          <cell r="J226">
            <v>1489</v>
          </cell>
          <cell r="K226">
            <v>2622.24</v>
          </cell>
          <cell r="L226">
            <v>7345.82</v>
          </cell>
          <cell r="M226">
            <v>0</v>
          </cell>
          <cell r="N226">
            <v>0</v>
          </cell>
          <cell r="O226" t="str">
            <v/>
          </cell>
          <cell r="P226" t="str">
            <v/>
          </cell>
          <cell r="Q226" t="str">
            <v/>
          </cell>
          <cell r="R226" t="str">
            <v/>
          </cell>
          <cell r="V226" t="str">
            <v/>
          </cell>
          <cell r="W226" t="str">
            <v/>
          </cell>
          <cell r="Y226" t="str">
            <v/>
          </cell>
          <cell r="Z226" t="str">
            <v/>
          </cell>
        </row>
        <row r="227">
          <cell r="A227">
            <v>985140</v>
          </cell>
          <cell r="B227">
            <v>118.85</v>
          </cell>
          <cell r="C227">
            <v>606.88</v>
          </cell>
          <cell r="E227">
            <v>985140</v>
          </cell>
          <cell r="F227">
            <v>130</v>
          </cell>
          <cell r="G227">
            <v>0</v>
          </cell>
          <cell r="H227">
            <v>290</v>
          </cell>
          <cell r="I227">
            <v>137</v>
          </cell>
          <cell r="J227">
            <v>47</v>
          </cell>
          <cell r="K227">
            <v>606.88</v>
          </cell>
          <cell r="L227">
            <v>118.85</v>
          </cell>
          <cell r="M227">
            <v>0</v>
          </cell>
          <cell r="N227">
            <v>0</v>
          </cell>
          <cell r="O227" t="str">
            <v/>
          </cell>
          <cell r="P227" t="str">
            <v/>
          </cell>
          <cell r="Q227" t="str">
            <v/>
          </cell>
          <cell r="R227" t="str">
            <v/>
          </cell>
          <cell r="V227" t="str">
            <v/>
          </cell>
          <cell r="W227" t="str">
            <v/>
          </cell>
          <cell r="Y227" t="str">
            <v/>
          </cell>
          <cell r="Z227" t="str">
            <v/>
          </cell>
        </row>
        <row r="228">
          <cell r="A228">
            <v>985141</v>
          </cell>
          <cell r="B228">
            <v>859586.67</v>
          </cell>
          <cell r="C228">
            <v>210157.08</v>
          </cell>
          <cell r="E228">
            <v>985141</v>
          </cell>
          <cell r="F228">
            <v>55111</v>
          </cell>
          <cell r="G228">
            <v>5873</v>
          </cell>
          <cell r="H228">
            <v>290</v>
          </cell>
          <cell r="I228">
            <v>21561</v>
          </cell>
          <cell r="J228">
            <v>47507</v>
          </cell>
          <cell r="K228">
            <v>210157.08</v>
          </cell>
          <cell r="L228">
            <v>859586.67</v>
          </cell>
          <cell r="M228">
            <v>79813</v>
          </cell>
          <cell r="N228">
            <v>0</v>
          </cell>
          <cell r="O228" t="str">
            <v/>
          </cell>
          <cell r="P228" t="str">
            <v/>
          </cell>
          <cell r="Q228" t="str">
            <v/>
          </cell>
          <cell r="R228" t="str">
            <v/>
          </cell>
          <cell r="V228" t="str">
            <v/>
          </cell>
          <cell r="W228" t="str">
            <v/>
          </cell>
          <cell r="Y228" t="str">
            <v/>
          </cell>
          <cell r="Z228" t="str">
            <v/>
          </cell>
        </row>
        <row r="229">
          <cell r="A229">
            <v>985144</v>
          </cell>
          <cell r="B229">
            <v>3575.09</v>
          </cell>
          <cell r="C229">
            <v>1191.1199999999999</v>
          </cell>
          <cell r="E229">
            <v>985144</v>
          </cell>
          <cell r="F229">
            <v>114</v>
          </cell>
          <cell r="G229">
            <v>11</v>
          </cell>
          <cell r="H229">
            <v>290</v>
          </cell>
          <cell r="I229">
            <v>215</v>
          </cell>
          <cell r="J229">
            <v>559</v>
          </cell>
          <cell r="K229">
            <v>1191.1199999999999</v>
          </cell>
          <cell r="L229">
            <v>3575.09</v>
          </cell>
          <cell r="M229">
            <v>0</v>
          </cell>
          <cell r="N229">
            <v>0</v>
          </cell>
          <cell r="O229" t="str">
            <v/>
          </cell>
          <cell r="P229" t="str">
            <v/>
          </cell>
          <cell r="Q229" t="str">
            <v/>
          </cell>
          <cell r="R229" t="str">
            <v/>
          </cell>
          <cell r="V229" t="str">
            <v/>
          </cell>
          <cell r="W229" t="str">
            <v/>
          </cell>
          <cell r="Y229" t="str">
            <v/>
          </cell>
          <cell r="Z229" t="str">
            <v/>
          </cell>
        </row>
        <row r="230">
          <cell r="A230">
            <v>985148</v>
          </cell>
          <cell r="B230">
            <v>6715.92</v>
          </cell>
          <cell r="C230">
            <v>2018.85</v>
          </cell>
          <cell r="E230">
            <v>985148</v>
          </cell>
          <cell r="F230">
            <v>96</v>
          </cell>
          <cell r="G230">
            <v>21</v>
          </cell>
          <cell r="H230">
            <v>290</v>
          </cell>
          <cell r="I230">
            <v>311</v>
          </cell>
          <cell r="J230">
            <v>1299</v>
          </cell>
          <cell r="K230">
            <v>2018.85</v>
          </cell>
          <cell r="L230">
            <v>6715.92</v>
          </cell>
          <cell r="M230">
            <v>0</v>
          </cell>
          <cell r="N230">
            <v>0</v>
          </cell>
          <cell r="O230" t="str">
            <v/>
          </cell>
          <cell r="P230" t="str">
            <v/>
          </cell>
          <cell r="Q230" t="str">
            <v/>
          </cell>
          <cell r="R230" t="str">
            <v/>
          </cell>
          <cell r="V230" t="str">
            <v/>
          </cell>
          <cell r="W230" t="str">
            <v/>
          </cell>
          <cell r="Y230" t="str">
            <v/>
          </cell>
          <cell r="Z230" t="str">
            <v/>
          </cell>
        </row>
        <row r="231">
          <cell r="A231">
            <v>985150</v>
          </cell>
          <cell r="B231">
            <v>40585.440000000002</v>
          </cell>
          <cell r="C231">
            <v>10942.47</v>
          </cell>
          <cell r="E231">
            <v>985150</v>
          </cell>
          <cell r="F231">
            <v>161</v>
          </cell>
          <cell r="G231">
            <v>183</v>
          </cell>
          <cell r="H231">
            <v>409</v>
          </cell>
          <cell r="I231">
            <v>1448</v>
          </cell>
          <cell r="J231">
            <v>8738</v>
          </cell>
          <cell r="K231">
            <v>10942.47</v>
          </cell>
          <cell r="L231">
            <v>40585.440000000002</v>
          </cell>
          <cell r="M231">
            <v>0</v>
          </cell>
          <cell r="N231">
            <v>0</v>
          </cell>
          <cell r="O231" t="str">
            <v/>
          </cell>
          <cell r="P231" t="str">
            <v/>
          </cell>
          <cell r="Q231" t="str">
            <v/>
          </cell>
          <cell r="R231" t="str">
            <v/>
          </cell>
          <cell r="V231" t="str">
            <v/>
          </cell>
          <cell r="W231" t="str">
            <v/>
          </cell>
          <cell r="Y231" t="str">
            <v/>
          </cell>
          <cell r="Z231" t="str">
            <v/>
          </cell>
        </row>
        <row r="232">
          <cell r="A232">
            <v>985151</v>
          </cell>
          <cell r="B232">
            <v>108711</v>
          </cell>
          <cell r="C232">
            <v>18882.27</v>
          </cell>
          <cell r="E232">
            <v>985151</v>
          </cell>
          <cell r="F232">
            <v>221</v>
          </cell>
          <cell r="G232">
            <v>348</v>
          </cell>
          <cell r="H232">
            <v>290</v>
          </cell>
          <cell r="I232">
            <v>2715</v>
          </cell>
          <cell r="J232">
            <v>15305</v>
          </cell>
          <cell r="K232">
            <v>18882.27</v>
          </cell>
          <cell r="L232">
            <v>108711</v>
          </cell>
          <cell r="M232">
            <v>0</v>
          </cell>
          <cell r="N232">
            <v>0</v>
          </cell>
          <cell r="O232" t="str">
            <v/>
          </cell>
          <cell r="P232" t="str">
            <v/>
          </cell>
          <cell r="Q232" t="str">
            <v/>
          </cell>
          <cell r="R232" t="str">
            <v/>
          </cell>
          <cell r="V232" t="str">
            <v/>
          </cell>
          <cell r="W232" t="str">
            <v/>
          </cell>
          <cell r="Y232" t="str">
            <v/>
          </cell>
          <cell r="Z232" t="str">
            <v/>
          </cell>
        </row>
        <row r="233">
          <cell r="A233">
            <v>985158</v>
          </cell>
          <cell r="B233">
            <v>2616.6799999999998</v>
          </cell>
          <cell r="C233">
            <v>994.74</v>
          </cell>
          <cell r="E233">
            <v>985158</v>
          </cell>
          <cell r="F233">
            <v>117</v>
          </cell>
          <cell r="G233">
            <v>8</v>
          </cell>
          <cell r="H233">
            <v>290</v>
          </cell>
          <cell r="I233">
            <v>193</v>
          </cell>
          <cell r="J233">
            <v>384</v>
          </cell>
          <cell r="K233">
            <v>994.74</v>
          </cell>
          <cell r="L233">
            <v>2616.6799999999998</v>
          </cell>
          <cell r="M233">
            <v>0</v>
          </cell>
          <cell r="N233">
            <v>0</v>
          </cell>
          <cell r="O233" t="str">
            <v/>
          </cell>
          <cell r="P233" t="str">
            <v/>
          </cell>
          <cell r="Q233" t="str">
            <v/>
          </cell>
          <cell r="R233" t="str">
            <v/>
          </cell>
          <cell r="V233" t="str">
            <v/>
          </cell>
          <cell r="W233" t="str">
            <v/>
          </cell>
          <cell r="Y233" t="str">
            <v/>
          </cell>
          <cell r="Z233" t="str">
            <v/>
          </cell>
        </row>
        <row r="234">
          <cell r="A234">
            <v>985160</v>
          </cell>
          <cell r="B234">
            <v>2181.4699999999998</v>
          </cell>
          <cell r="C234">
            <v>958.49</v>
          </cell>
          <cell r="E234">
            <v>985160</v>
          </cell>
          <cell r="F234">
            <v>148</v>
          </cell>
          <cell r="G234">
            <v>7</v>
          </cell>
          <cell r="H234">
            <v>290</v>
          </cell>
          <cell r="I234">
            <v>184</v>
          </cell>
          <cell r="J234">
            <v>327</v>
          </cell>
          <cell r="K234">
            <v>958.49</v>
          </cell>
          <cell r="L234">
            <v>2181.4699999999998</v>
          </cell>
          <cell r="M234">
            <v>0</v>
          </cell>
          <cell r="N234">
            <v>0</v>
          </cell>
          <cell r="O234" t="str">
            <v/>
          </cell>
          <cell r="P234" t="str">
            <v/>
          </cell>
          <cell r="Q234" t="str">
            <v/>
          </cell>
          <cell r="R234" t="str">
            <v/>
          </cell>
          <cell r="V234" t="str">
            <v/>
          </cell>
          <cell r="W234" t="str">
            <v/>
          </cell>
          <cell r="Y234" t="str">
            <v/>
          </cell>
          <cell r="Z234" t="str">
            <v/>
          </cell>
        </row>
        <row r="235">
          <cell r="A235">
            <v>985161</v>
          </cell>
          <cell r="B235">
            <v>3382.12</v>
          </cell>
          <cell r="C235">
            <v>1121.8599999999999</v>
          </cell>
          <cell r="E235">
            <v>985161</v>
          </cell>
          <cell r="F235">
            <v>117</v>
          </cell>
          <cell r="G235">
            <v>11</v>
          </cell>
          <cell r="H235">
            <v>290</v>
          </cell>
          <cell r="I235">
            <v>211</v>
          </cell>
          <cell r="J235">
            <v>491</v>
          </cell>
          <cell r="K235">
            <v>1121.8599999999999</v>
          </cell>
          <cell r="L235">
            <v>3382.12</v>
          </cell>
          <cell r="M235">
            <v>0</v>
          </cell>
          <cell r="N235">
            <v>0</v>
          </cell>
          <cell r="O235" t="str">
            <v/>
          </cell>
          <cell r="P235" t="str">
            <v/>
          </cell>
          <cell r="Q235" t="str">
            <v/>
          </cell>
          <cell r="R235" t="str">
            <v/>
          </cell>
          <cell r="V235" t="str">
            <v/>
          </cell>
          <cell r="W235" t="str">
            <v/>
          </cell>
          <cell r="Y235" t="str">
            <v/>
          </cell>
          <cell r="Z235" t="str">
            <v/>
          </cell>
        </row>
        <row r="236">
          <cell r="A236">
            <v>985164</v>
          </cell>
          <cell r="B236">
            <v>9195.92</v>
          </cell>
          <cell r="C236">
            <v>2211.62</v>
          </cell>
          <cell r="E236">
            <v>985164</v>
          </cell>
          <cell r="F236">
            <v>154</v>
          </cell>
          <cell r="G236">
            <v>29</v>
          </cell>
          <cell r="H236">
            <v>290</v>
          </cell>
          <cell r="I236">
            <v>424</v>
          </cell>
          <cell r="J236">
            <v>1313</v>
          </cell>
          <cell r="K236">
            <v>2211.62</v>
          </cell>
          <cell r="L236">
            <v>9195.92</v>
          </cell>
          <cell r="M236">
            <v>0</v>
          </cell>
          <cell r="N236">
            <v>0</v>
          </cell>
          <cell r="O236" t="str">
            <v/>
          </cell>
          <cell r="P236" t="str">
            <v/>
          </cell>
          <cell r="Q236" t="str">
            <v/>
          </cell>
          <cell r="R236" t="str">
            <v/>
          </cell>
          <cell r="V236" t="str">
            <v/>
          </cell>
          <cell r="W236" t="str">
            <v/>
          </cell>
          <cell r="Y236" t="str">
            <v/>
          </cell>
          <cell r="Z236" t="str">
            <v/>
          </cell>
        </row>
        <row r="237">
          <cell r="A237">
            <v>985166</v>
          </cell>
          <cell r="B237">
            <v>1344.73</v>
          </cell>
          <cell r="C237">
            <v>859.64</v>
          </cell>
          <cell r="E237">
            <v>985166</v>
          </cell>
          <cell r="F237">
            <v>96</v>
          </cell>
          <cell r="G237">
            <v>4</v>
          </cell>
          <cell r="H237">
            <v>290</v>
          </cell>
          <cell r="I237">
            <v>164</v>
          </cell>
          <cell r="J237">
            <v>303</v>
          </cell>
          <cell r="K237">
            <v>859.64</v>
          </cell>
          <cell r="L237">
            <v>1344.73</v>
          </cell>
          <cell r="M237">
            <v>0</v>
          </cell>
          <cell r="N237">
            <v>0</v>
          </cell>
          <cell r="O237" t="str">
            <v/>
          </cell>
          <cell r="P237" t="str">
            <v/>
          </cell>
          <cell r="Q237" t="str">
            <v/>
          </cell>
          <cell r="R237" t="str">
            <v/>
          </cell>
          <cell r="V237" t="str">
            <v/>
          </cell>
          <cell r="W237" t="str">
            <v/>
          </cell>
          <cell r="Y237" t="str">
            <v/>
          </cell>
          <cell r="Z237" t="str">
            <v/>
          </cell>
        </row>
        <row r="238">
          <cell r="A238">
            <v>985168</v>
          </cell>
          <cell r="B238">
            <v>1578.07</v>
          </cell>
          <cell r="C238">
            <v>964.4</v>
          </cell>
          <cell r="E238">
            <v>985168</v>
          </cell>
          <cell r="F238">
            <v>164</v>
          </cell>
          <cell r="G238">
            <v>5</v>
          </cell>
          <cell r="H238">
            <v>290</v>
          </cell>
          <cell r="I238">
            <v>171</v>
          </cell>
          <cell r="J238">
            <v>332</v>
          </cell>
          <cell r="K238">
            <v>964.4</v>
          </cell>
          <cell r="L238">
            <v>1578.07</v>
          </cell>
          <cell r="M238">
            <v>0</v>
          </cell>
          <cell r="N238">
            <v>0</v>
          </cell>
          <cell r="O238" t="str">
            <v/>
          </cell>
          <cell r="P238" t="str">
            <v/>
          </cell>
          <cell r="Q238" t="str">
            <v/>
          </cell>
          <cell r="R238" t="str">
            <v/>
          </cell>
          <cell r="V238" t="str">
            <v/>
          </cell>
          <cell r="W238" t="str">
            <v/>
          </cell>
          <cell r="Y238" t="str">
            <v/>
          </cell>
          <cell r="Z238" t="str">
            <v/>
          </cell>
        </row>
        <row r="239">
          <cell r="A239">
            <v>985170</v>
          </cell>
          <cell r="B239">
            <v>786.83</v>
          </cell>
          <cell r="C239">
            <v>732.17</v>
          </cell>
          <cell r="E239">
            <v>985170</v>
          </cell>
          <cell r="F239">
            <v>114</v>
          </cell>
          <cell r="G239">
            <v>2</v>
          </cell>
          <cell r="H239">
            <v>290</v>
          </cell>
          <cell r="I239">
            <v>152</v>
          </cell>
          <cell r="J239">
            <v>172</v>
          </cell>
          <cell r="K239">
            <v>732.17</v>
          </cell>
          <cell r="L239">
            <v>786.83</v>
          </cell>
          <cell r="M239">
            <v>0</v>
          </cell>
          <cell r="N239">
            <v>0</v>
          </cell>
          <cell r="O239" t="str">
            <v/>
          </cell>
          <cell r="P239" t="str">
            <v/>
          </cell>
          <cell r="Q239" t="str">
            <v/>
          </cell>
          <cell r="R239" t="str">
            <v/>
          </cell>
          <cell r="V239" t="str">
            <v/>
          </cell>
          <cell r="W239" t="str">
            <v/>
          </cell>
          <cell r="Y239" t="str">
            <v/>
          </cell>
          <cell r="Z239" t="str">
            <v/>
          </cell>
        </row>
        <row r="240">
          <cell r="A240">
            <v>985171</v>
          </cell>
          <cell r="B240">
            <v>482.96</v>
          </cell>
          <cell r="C240">
            <v>622.16999999999996</v>
          </cell>
          <cell r="E240">
            <v>985171</v>
          </cell>
          <cell r="F240">
            <v>102</v>
          </cell>
          <cell r="G240">
            <v>1</v>
          </cell>
          <cell r="H240">
            <v>290</v>
          </cell>
          <cell r="I240">
            <v>145</v>
          </cell>
          <cell r="J240">
            <v>82</v>
          </cell>
          <cell r="K240">
            <v>622.16999999999996</v>
          </cell>
          <cell r="L240">
            <v>482.96</v>
          </cell>
          <cell r="M240">
            <v>0</v>
          </cell>
          <cell r="N240">
            <v>0</v>
          </cell>
          <cell r="O240" t="str">
            <v/>
          </cell>
          <cell r="P240" t="str">
            <v/>
          </cell>
          <cell r="Q240" t="str">
            <v/>
          </cell>
          <cell r="R240" t="str">
            <v/>
          </cell>
          <cell r="V240" t="str">
            <v/>
          </cell>
          <cell r="W240" t="str">
            <v/>
          </cell>
          <cell r="Y240" t="str">
            <v/>
          </cell>
          <cell r="Z240" t="str">
            <v/>
          </cell>
        </row>
        <row r="241">
          <cell r="A241">
            <v>985173</v>
          </cell>
          <cell r="B241">
            <v>1430.77</v>
          </cell>
          <cell r="C241">
            <v>893.58</v>
          </cell>
          <cell r="E241">
            <v>985173</v>
          </cell>
          <cell r="F241">
            <v>132</v>
          </cell>
          <cell r="G241">
            <v>5</v>
          </cell>
          <cell r="H241">
            <v>290</v>
          </cell>
          <cell r="I241">
            <v>167</v>
          </cell>
          <cell r="J241">
            <v>298</v>
          </cell>
          <cell r="K241">
            <v>893.58</v>
          </cell>
          <cell r="L241">
            <v>1430.77</v>
          </cell>
          <cell r="M241">
            <v>0</v>
          </cell>
          <cell r="N241">
            <v>0</v>
          </cell>
          <cell r="O241" t="str">
            <v/>
          </cell>
          <cell r="P241" t="str">
            <v/>
          </cell>
          <cell r="Q241" t="str">
            <v/>
          </cell>
          <cell r="R241" t="str">
            <v/>
          </cell>
          <cell r="V241" t="str">
            <v/>
          </cell>
          <cell r="W241" t="str">
            <v/>
          </cell>
          <cell r="Y241" t="str">
            <v/>
          </cell>
          <cell r="Z241" t="str">
            <v/>
          </cell>
        </row>
        <row r="242">
          <cell r="A242">
            <v>985179</v>
          </cell>
          <cell r="B242">
            <v>3409.7</v>
          </cell>
          <cell r="C242">
            <v>1338.95</v>
          </cell>
          <cell r="E242">
            <v>985179</v>
          </cell>
          <cell r="F242">
            <v>136</v>
          </cell>
          <cell r="G242">
            <v>22</v>
          </cell>
          <cell r="H242">
            <v>290</v>
          </cell>
          <cell r="I242">
            <v>212</v>
          </cell>
          <cell r="J242">
            <v>678</v>
          </cell>
          <cell r="K242">
            <v>1338.95</v>
          </cell>
          <cell r="L242">
            <v>3409.7</v>
          </cell>
          <cell r="M242">
            <v>0</v>
          </cell>
          <cell r="N242">
            <v>0</v>
          </cell>
          <cell r="O242" t="str">
            <v/>
          </cell>
          <cell r="P242" t="str">
            <v/>
          </cell>
          <cell r="Q242" t="str">
            <v/>
          </cell>
          <cell r="R242" t="str">
            <v/>
          </cell>
          <cell r="V242" t="str">
            <v/>
          </cell>
          <cell r="W242" t="str">
            <v/>
          </cell>
          <cell r="Y242" t="str">
            <v/>
          </cell>
          <cell r="Z242" t="str">
            <v/>
          </cell>
        </row>
        <row r="243">
          <cell r="A243">
            <v>985183</v>
          </cell>
          <cell r="B243">
            <v>44289</v>
          </cell>
          <cell r="C243">
            <v>8357.6299999999992</v>
          </cell>
          <cell r="E243">
            <v>985183</v>
          </cell>
          <cell r="F243">
            <v>131</v>
          </cell>
          <cell r="G243">
            <v>278</v>
          </cell>
          <cell r="H243">
            <v>362</v>
          </cell>
          <cell r="I243">
            <v>1267</v>
          </cell>
          <cell r="J243">
            <v>6317</v>
          </cell>
          <cell r="K243">
            <v>8357.6299999999992</v>
          </cell>
          <cell r="L243">
            <v>44289</v>
          </cell>
          <cell r="M243">
            <v>0</v>
          </cell>
          <cell r="N243">
            <v>0</v>
          </cell>
          <cell r="O243" t="str">
            <v/>
          </cell>
          <cell r="P243" t="str">
            <v/>
          </cell>
          <cell r="Q243" t="str">
            <v/>
          </cell>
          <cell r="R243" t="str">
            <v/>
          </cell>
          <cell r="V243" t="str">
            <v/>
          </cell>
          <cell r="W243" t="str">
            <v/>
          </cell>
          <cell r="Y243" t="str">
            <v/>
          </cell>
          <cell r="Z243" t="str">
            <v/>
          </cell>
        </row>
        <row r="244">
          <cell r="A244">
            <v>985184</v>
          </cell>
          <cell r="B244">
            <v>1396.58</v>
          </cell>
          <cell r="C244">
            <v>735.07</v>
          </cell>
          <cell r="E244">
            <v>985184</v>
          </cell>
          <cell r="F244">
            <v>62</v>
          </cell>
          <cell r="G244">
            <v>9</v>
          </cell>
          <cell r="H244">
            <v>290</v>
          </cell>
          <cell r="I244">
            <v>165</v>
          </cell>
          <cell r="J244">
            <v>207</v>
          </cell>
          <cell r="K244">
            <v>735.07</v>
          </cell>
          <cell r="L244">
            <v>1396.58</v>
          </cell>
          <cell r="M244">
            <v>0</v>
          </cell>
          <cell r="N244">
            <v>0</v>
          </cell>
          <cell r="O244" t="str">
            <v/>
          </cell>
          <cell r="P244" t="str">
            <v/>
          </cell>
          <cell r="Q244" t="str">
            <v/>
          </cell>
          <cell r="R244" t="str">
            <v/>
          </cell>
          <cell r="V244" t="str">
            <v/>
          </cell>
          <cell r="W244" t="str">
            <v/>
          </cell>
          <cell r="Y244" t="str">
            <v/>
          </cell>
          <cell r="Z244" t="str">
            <v/>
          </cell>
        </row>
        <row r="245">
          <cell r="A245">
            <v>985185</v>
          </cell>
          <cell r="B245">
            <v>7359.43</v>
          </cell>
          <cell r="C245">
            <v>1826.45</v>
          </cell>
          <cell r="E245">
            <v>985185</v>
          </cell>
          <cell r="F245">
            <v>117</v>
          </cell>
          <cell r="G245">
            <v>24</v>
          </cell>
          <cell r="H245">
            <v>290</v>
          </cell>
          <cell r="I245">
            <v>341</v>
          </cell>
          <cell r="J245">
            <v>1052</v>
          </cell>
          <cell r="K245">
            <v>1826.45</v>
          </cell>
          <cell r="L245">
            <v>7359.43</v>
          </cell>
          <cell r="M245">
            <v>0</v>
          </cell>
          <cell r="N245">
            <v>0</v>
          </cell>
          <cell r="O245" t="str">
            <v/>
          </cell>
          <cell r="P245" t="str">
            <v/>
          </cell>
          <cell r="Q245" t="str">
            <v/>
          </cell>
          <cell r="R245" t="str">
            <v/>
          </cell>
          <cell r="V245" t="str">
            <v/>
          </cell>
          <cell r="W245" t="str">
            <v/>
          </cell>
          <cell r="Y245" t="str">
            <v/>
          </cell>
          <cell r="Z245" t="str">
            <v/>
          </cell>
        </row>
        <row r="246">
          <cell r="A246">
            <v>985187</v>
          </cell>
          <cell r="B246">
            <v>9305.2000000000007</v>
          </cell>
          <cell r="C246">
            <v>2864.98</v>
          </cell>
          <cell r="E246">
            <v>985187</v>
          </cell>
          <cell r="F246">
            <v>126</v>
          </cell>
          <cell r="G246">
            <v>30</v>
          </cell>
          <cell r="H246">
            <v>290</v>
          </cell>
          <cell r="I246">
            <v>428</v>
          </cell>
          <cell r="J246">
            <v>1989</v>
          </cell>
          <cell r="K246">
            <v>2864.98</v>
          </cell>
          <cell r="L246">
            <v>9305.2000000000007</v>
          </cell>
          <cell r="M246">
            <v>0</v>
          </cell>
          <cell r="N246">
            <v>0</v>
          </cell>
          <cell r="O246" t="str">
            <v/>
          </cell>
          <cell r="P246" t="str">
            <v/>
          </cell>
          <cell r="Q246" t="str">
            <v/>
          </cell>
          <cell r="R246" t="str">
            <v/>
          </cell>
          <cell r="V246" t="str">
            <v/>
          </cell>
          <cell r="W246" t="str">
            <v/>
          </cell>
          <cell r="Y246" t="str">
            <v/>
          </cell>
          <cell r="Z246" t="str">
            <v/>
          </cell>
        </row>
        <row r="247">
          <cell r="A247">
            <v>985188</v>
          </cell>
          <cell r="B247">
            <v>3720.82</v>
          </cell>
          <cell r="C247">
            <v>1200.6600000000001</v>
          </cell>
          <cell r="E247">
            <v>985188</v>
          </cell>
          <cell r="F247">
            <v>96</v>
          </cell>
          <cell r="G247">
            <v>23</v>
          </cell>
          <cell r="H247">
            <v>290</v>
          </cell>
          <cell r="I247">
            <v>218</v>
          </cell>
          <cell r="J247">
            <v>571</v>
          </cell>
          <cell r="K247">
            <v>1200.6600000000001</v>
          </cell>
          <cell r="L247">
            <v>3720.82</v>
          </cell>
          <cell r="M247">
            <v>0</v>
          </cell>
          <cell r="N247">
            <v>0</v>
          </cell>
          <cell r="O247" t="str">
            <v/>
          </cell>
          <cell r="P247" t="str">
            <v/>
          </cell>
          <cell r="Q247" t="str">
            <v/>
          </cell>
          <cell r="R247" t="str">
            <v/>
          </cell>
          <cell r="V247" t="str">
            <v/>
          </cell>
          <cell r="W247" t="str">
            <v/>
          </cell>
          <cell r="Y247" t="str">
            <v/>
          </cell>
          <cell r="Z247" t="str">
            <v/>
          </cell>
        </row>
        <row r="248">
          <cell r="A248">
            <v>985193</v>
          </cell>
          <cell r="B248">
            <v>14534.99</v>
          </cell>
          <cell r="C248">
            <v>3156.88</v>
          </cell>
          <cell r="E248">
            <v>985193</v>
          </cell>
          <cell r="F248">
            <v>122</v>
          </cell>
          <cell r="G248">
            <v>91</v>
          </cell>
          <cell r="H248">
            <v>290</v>
          </cell>
          <cell r="I248">
            <v>587</v>
          </cell>
          <cell r="J248">
            <v>2064</v>
          </cell>
          <cell r="K248">
            <v>3156.88</v>
          </cell>
          <cell r="L248">
            <v>14534.99</v>
          </cell>
          <cell r="M248">
            <v>0</v>
          </cell>
          <cell r="N248">
            <v>0</v>
          </cell>
          <cell r="O248" t="str">
            <v/>
          </cell>
          <cell r="P248" t="str">
            <v/>
          </cell>
          <cell r="Q248" t="str">
            <v/>
          </cell>
          <cell r="R248" t="str">
            <v/>
          </cell>
          <cell r="V248" t="str">
            <v/>
          </cell>
          <cell r="W248" t="str">
            <v/>
          </cell>
          <cell r="Y248" t="str">
            <v/>
          </cell>
          <cell r="Z248" t="str">
            <v/>
          </cell>
        </row>
        <row r="249">
          <cell r="A249">
            <v>985195</v>
          </cell>
          <cell r="B249">
            <v>255792.62</v>
          </cell>
          <cell r="C249">
            <v>44005.13</v>
          </cell>
          <cell r="E249">
            <v>985195</v>
          </cell>
          <cell r="F249">
            <v>713</v>
          </cell>
          <cell r="G249">
            <v>822</v>
          </cell>
          <cell r="H249">
            <v>290</v>
          </cell>
          <cell r="I249">
            <v>6060</v>
          </cell>
          <cell r="J249">
            <v>36118</v>
          </cell>
          <cell r="K249">
            <v>44005.13</v>
          </cell>
          <cell r="L249">
            <v>255792.62</v>
          </cell>
          <cell r="M249">
            <v>0</v>
          </cell>
          <cell r="N249">
            <v>0</v>
          </cell>
          <cell r="O249" t="str">
            <v/>
          </cell>
          <cell r="P249" t="str">
            <v/>
          </cell>
          <cell r="Q249" t="str">
            <v/>
          </cell>
          <cell r="R249" t="str">
            <v/>
          </cell>
          <cell r="V249" t="str">
            <v/>
          </cell>
          <cell r="W249" t="str">
            <v/>
          </cell>
          <cell r="Y249" t="str">
            <v/>
          </cell>
          <cell r="Z249" t="str">
            <v/>
          </cell>
        </row>
        <row r="250">
          <cell r="A250">
            <v>985196</v>
          </cell>
          <cell r="B250">
            <v>5996.63</v>
          </cell>
          <cell r="C250">
            <v>1901.89</v>
          </cell>
          <cell r="E250">
            <v>985196</v>
          </cell>
          <cell r="F250">
            <v>397</v>
          </cell>
          <cell r="G250">
            <v>20</v>
          </cell>
          <cell r="H250">
            <v>290</v>
          </cell>
          <cell r="I250">
            <v>293</v>
          </cell>
          <cell r="J250">
            <v>900</v>
          </cell>
          <cell r="K250">
            <v>1901.89</v>
          </cell>
          <cell r="L250">
            <v>5996.63</v>
          </cell>
          <cell r="M250">
            <v>0</v>
          </cell>
          <cell r="N250">
            <v>0</v>
          </cell>
          <cell r="O250" t="str">
            <v/>
          </cell>
          <cell r="P250" t="str">
            <v/>
          </cell>
          <cell r="Q250" t="str">
            <v/>
          </cell>
          <cell r="R250" t="str">
            <v/>
          </cell>
          <cell r="V250" t="str">
            <v/>
          </cell>
          <cell r="W250" t="str">
            <v/>
          </cell>
          <cell r="Y250" t="str">
            <v/>
          </cell>
          <cell r="Z250" t="str">
            <v/>
          </cell>
        </row>
        <row r="251">
          <cell r="A251">
            <v>985197</v>
          </cell>
          <cell r="B251">
            <v>5486.56</v>
          </cell>
          <cell r="C251">
            <v>1469.33</v>
          </cell>
          <cell r="E251">
            <v>985197</v>
          </cell>
          <cell r="F251">
            <v>114</v>
          </cell>
          <cell r="G251">
            <v>17</v>
          </cell>
          <cell r="H251">
            <v>290</v>
          </cell>
          <cell r="I251">
            <v>258</v>
          </cell>
          <cell r="J251">
            <v>787</v>
          </cell>
          <cell r="K251">
            <v>1469.33</v>
          </cell>
          <cell r="L251">
            <v>5486.56</v>
          </cell>
          <cell r="M251">
            <v>0</v>
          </cell>
          <cell r="N251">
            <v>0</v>
          </cell>
          <cell r="O251" t="str">
            <v/>
          </cell>
          <cell r="P251" t="str">
            <v/>
          </cell>
          <cell r="Q251" t="str">
            <v/>
          </cell>
          <cell r="R251" t="str">
            <v/>
          </cell>
          <cell r="V251" t="str">
            <v/>
          </cell>
          <cell r="W251" t="str">
            <v/>
          </cell>
          <cell r="Y251" t="str">
            <v/>
          </cell>
          <cell r="Z251" t="str">
            <v/>
          </cell>
        </row>
        <row r="252">
          <cell r="A252">
            <v>985198</v>
          </cell>
          <cell r="B252">
            <v>25083.14</v>
          </cell>
          <cell r="C252">
            <v>4881.74</v>
          </cell>
          <cell r="E252">
            <v>985198</v>
          </cell>
          <cell r="F252">
            <v>137</v>
          </cell>
          <cell r="G252">
            <v>80</v>
          </cell>
          <cell r="H252">
            <v>290</v>
          </cell>
          <cell r="I252">
            <v>826</v>
          </cell>
          <cell r="J252">
            <v>3547</v>
          </cell>
          <cell r="K252">
            <v>4881.74</v>
          </cell>
          <cell r="L252">
            <v>25083.14</v>
          </cell>
          <cell r="M252">
            <v>0</v>
          </cell>
          <cell r="N252">
            <v>0</v>
          </cell>
          <cell r="O252" t="str">
            <v/>
          </cell>
          <cell r="P252" t="str">
            <v/>
          </cell>
          <cell r="Q252" t="str">
            <v/>
          </cell>
          <cell r="R252" t="str">
            <v/>
          </cell>
          <cell r="V252" t="str">
            <v/>
          </cell>
          <cell r="W252" t="str">
            <v/>
          </cell>
          <cell r="Y252" t="str">
            <v/>
          </cell>
          <cell r="Z252" t="str">
            <v/>
          </cell>
        </row>
        <row r="253">
          <cell r="A253">
            <v>985200</v>
          </cell>
          <cell r="B253">
            <v>4327.9399999999996</v>
          </cell>
          <cell r="C253">
            <v>1543.43</v>
          </cell>
          <cell r="E253">
            <v>985200</v>
          </cell>
          <cell r="F253">
            <v>151</v>
          </cell>
          <cell r="G253">
            <v>14</v>
          </cell>
          <cell r="H253">
            <v>290</v>
          </cell>
          <cell r="I253">
            <v>233</v>
          </cell>
          <cell r="J253">
            <v>854</v>
          </cell>
          <cell r="K253">
            <v>1543.43</v>
          </cell>
          <cell r="L253">
            <v>4327.9399999999996</v>
          </cell>
          <cell r="M253">
            <v>0</v>
          </cell>
          <cell r="N253">
            <v>0</v>
          </cell>
          <cell r="O253" t="str">
            <v/>
          </cell>
          <cell r="P253" t="str">
            <v/>
          </cell>
          <cell r="Q253" t="str">
            <v/>
          </cell>
          <cell r="R253" t="str">
            <v/>
          </cell>
          <cell r="V253" t="str">
            <v/>
          </cell>
          <cell r="W253" t="str">
            <v/>
          </cell>
          <cell r="Y253" t="str">
            <v/>
          </cell>
          <cell r="Z253" t="str">
            <v/>
          </cell>
        </row>
        <row r="254">
          <cell r="A254">
            <v>985201</v>
          </cell>
          <cell r="B254">
            <v>7519.09</v>
          </cell>
          <cell r="C254">
            <v>1489.75</v>
          </cell>
          <cell r="E254">
            <v>985201</v>
          </cell>
          <cell r="F254">
            <v>114</v>
          </cell>
          <cell r="G254">
            <v>24</v>
          </cell>
          <cell r="H254">
            <v>362</v>
          </cell>
          <cell r="I254">
            <v>348</v>
          </cell>
          <cell r="J254">
            <v>639</v>
          </cell>
          <cell r="K254">
            <v>1489.75</v>
          </cell>
          <cell r="L254">
            <v>7519.09</v>
          </cell>
          <cell r="M254">
            <v>0</v>
          </cell>
          <cell r="N254">
            <v>0</v>
          </cell>
          <cell r="O254" t="str">
            <v/>
          </cell>
          <cell r="P254" t="str">
            <v/>
          </cell>
          <cell r="Q254" t="str">
            <v/>
          </cell>
          <cell r="R254" t="str">
            <v/>
          </cell>
          <cell r="V254" t="str">
            <v/>
          </cell>
          <cell r="W254" t="str">
            <v/>
          </cell>
          <cell r="Y254" t="str">
            <v/>
          </cell>
          <cell r="Z254" t="str">
            <v/>
          </cell>
        </row>
        <row r="255">
          <cell r="A255">
            <v>985202</v>
          </cell>
          <cell r="B255">
            <v>4365.12</v>
          </cell>
          <cell r="C255">
            <v>1303.58</v>
          </cell>
          <cell r="E255">
            <v>985202</v>
          </cell>
          <cell r="F255">
            <v>119</v>
          </cell>
          <cell r="G255">
            <v>27</v>
          </cell>
          <cell r="H255">
            <v>290</v>
          </cell>
          <cell r="I255">
            <v>233</v>
          </cell>
          <cell r="J255">
            <v>632</v>
          </cell>
          <cell r="K255">
            <v>1303.58</v>
          </cell>
          <cell r="L255">
            <v>4365.12</v>
          </cell>
          <cell r="M255">
            <v>0</v>
          </cell>
          <cell r="N255">
            <v>0</v>
          </cell>
          <cell r="O255" t="str">
            <v/>
          </cell>
          <cell r="P255" t="str">
            <v/>
          </cell>
          <cell r="Q255" t="str">
            <v/>
          </cell>
          <cell r="R255" t="str">
            <v/>
          </cell>
          <cell r="V255" t="str">
            <v/>
          </cell>
          <cell r="W255" t="str">
            <v/>
          </cell>
          <cell r="Y255" t="str">
            <v/>
          </cell>
          <cell r="Z255" t="str">
            <v/>
          </cell>
        </row>
        <row r="256">
          <cell r="A256">
            <v>985204</v>
          </cell>
          <cell r="B256">
            <v>78986.8</v>
          </cell>
          <cell r="C256">
            <v>14288</v>
          </cell>
          <cell r="E256">
            <v>985204</v>
          </cell>
          <cell r="F256">
            <v>219</v>
          </cell>
          <cell r="G256">
            <v>495</v>
          </cell>
          <cell r="H256">
            <v>290</v>
          </cell>
          <cell r="I256">
            <v>2054</v>
          </cell>
          <cell r="J256">
            <v>11228</v>
          </cell>
          <cell r="K256">
            <v>14288</v>
          </cell>
          <cell r="L256">
            <v>78986.8</v>
          </cell>
          <cell r="M256">
            <v>0</v>
          </cell>
          <cell r="N256">
            <v>0</v>
          </cell>
          <cell r="O256" t="str">
            <v/>
          </cell>
          <cell r="P256" t="str">
            <v/>
          </cell>
          <cell r="Q256" t="str">
            <v/>
          </cell>
          <cell r="R256" t="str">
            <v/>
          </cell>
          <cell r="V256" t="str">
            <v/>
          </cell>
          <cell r="W256" t="str">
            <v/>
          </cell>
          <cell r="Y256" t="str">
            <v/>
          </cell>
          <cell r="Z256" t="str">
            <v/>
          </cell>
        </row>
        <row r="257">
          <cell r="A257">
            <v>985206</v>
          </cell>
          <cell r="B257">
            <v>25095.02</v>
          </cell>
          <cell r="C257">
            <v>7087.44</v>
          </cell>
          <cell r="E257">
            <v>985206</v>
          </cell>
          <cell r="F257">
            <v>1163</v>
          </cell>
          <cell r="G257">
            <v>162</v>
          </cell>
          <cell r="H257">
            <v>183</v>
          </cell>
          <cell r="I257">
            <v>590</v>
          </cell>
          <cell r="J257">
            <v>4988</v>
          </cell>
          <cell r="K257">
            <v>7087.44</v>
          </cell>
          <cell r="L257">
            <v>25095.02</v>
          </cell>
          <cell r="M257">
            <v>0</v>
          </cell>
          <cell r="N257">
            <v>0</v>
          </cell>
          <cell r="O257" t="str">
            <v/>
          </cell>
          <cell r="P257" t="str">
            <v/>
          </cell>
          <cell r="Q257" t="str">
            <v/>
          </cell>
          <cell r="R257" t="str">
            <v/>
          </cell>
          <cell r="V257" t="str">
            <v/>
          </cell>
          <cell r="W257" t="str">
            <v/>
          </cell>
          <cell r="Y257" t="str">
            <v/>
          </cell>
          <cell r="Z257" t="str">
            <v/>
          </cell>
        </row>
        <row r="258">
          <cell r="A258">
            <v>985211</v>
          </cell>
          <cell r="B258">
            <v>297.20999999999998</v>
          </cell>
          <cell r="C258">
            <v>645.46</v>
          </cell>
          <cell r="E258">
            <v>985211</v>
          </cell>
          <cell r="F258">
            <v>130</v>
          </cell>
          <cell r="G258">
            <v>1</v>
          </cell>
          <cell r="H258">
            <v>290</v>
          </cell>
          <cell r="I258">
            <v>141</v>
          </cell>
          <cell r="J258">
            <v>81</v>
          </cell>
          <cell r="K258">
            <v>645.46</v>
          </cell>
          <cell r="L258">
            <v>297.20999999999998</v>
          </cell>
          <cell r="M258">
            <v>0</v>
          </cell>
          <cell r="N258">
            <v>0</v>
          </cell>
          <cell r="O258" t="str">
            <v/>
          </cell>
          <cell r="P258" t="str">
            <v/>
          </cell>
          <cell r="Q258" t="str">
            <v/>
          </cell>
          <cell r="R258" t="str">
            <v/>
          </cell>
          <cell r="V258" t="str">
            <v/>
          </cell>
          <cell r="W258" t="str">
            <v/>
          </cell>
          <cell r="Y258" t="str">
            <v/>
          </cell>
          <cell r="Z258" t="str">
            <v/>
          </cell>
        </row>
        <row r="259">
          <cell r="A259">
            <v>985212</v>
          </cell>
          <cell r="B259">
            <v>9534.2800000000007</v>
          </cell>
          <cell r="C259">
            <v>2214.29</v>
          </cell>
          <cell r="E259">
            <v>985212</v>
          </cell>
          <cell r="F259">
            <v>102</v>
          </cell>
          <cell r="G259">
            <v>30</v>
          </cell>
          <cell r="H259">
            <v>290</v>
          </cell>
          <cell r="I259">
            <v>437</v>
          </cell>
          <cell r="J259">
            <v>1353</v>
          </cell>
          <cell r="K259">
            <v>2214.29</v>
          </cell>
          <cell r="L259">
            <v>9534.2800000000007</v>
          </cell>
          <cell r="M259">
            <v>0</v>
          </cell>
          <cell r="N259">
            <v>0</v>
          </cell>
          <cell r="O259" t="str">
            <v/>
          </cell>
          <cell r="P259" t="str">
            <v/>
          </cell>
          <cell r="Q259" t="str">
            <v/>
          </cell>
          <cell r="R259" t="str">
            <v/>
          </cell>
          <cell r="V259" t="str">
            <v/>
          </cell>
          <cell r="W259" t="str">
            <v/>
          </cell>
          <cell r="Y259" t="str">
            <v/>
          </cell>
          <cell r="Z259" t="str">
            <v/>
          </cell>
        </row>
        <row r="260">
          <cell r="A260">
            <v>985218</v>
          </cell>
          <cell r="B260">
            <v>6736.83</v>
          </cell>
          <cell r="C260">
            <v>1774.23</v>
          </cell>
          <cell r="E260">
            <v>985218</v>
          </cell>
          <cell r="F260">
            <v>117</v>
          </cell>
          <cell r="G260">
            <v>21</v>
          </cell>
          <cell r="H260">
            <v>290</v>
          </cell>
          <cell r="I260">
            <v>312</v>
          </cell>
          <cell r="J260">
            <v>1031</v>
          </cell>
          <cell r="K260">
            <v>1774.23</v>
          </cell>
          <cell r="L260">
            <v>6736.83</v>
          </cell>
          <cell r="M260">
            <v>0</v>
          </cell>
          <cell r="N260">
            <v>0</v>
          </cell>
          <cell r="O260" t="str">
            <v/>
          </cell>
          <cell r="P260" t="str">
            <v/>
          </cell>
          <cell r="Q260" t="str">
            <v/>
          </cell>
          <cell r="R260" t="str">
            <v/>
          </cell>
          <cell r="V260" t="str">
            <v/>
          </cell>
          <cell r="W260" t="str">
            <v/>
          </cell>
          <cell r="Y260" t="str">
            <v/>
          </cell>
          <cell r="Z260" t="str">
            <v/>
          </cell>
        </row>
        <row r="261">
          <cell r="A261">
            <v>985219</v>
          </cell>
          <cell r="B261">
            <v>55098.48</v>
          </cell>
          <cell r="C261">
            <v>14512.29</v>
          </cell>
          <cell r="E261">
            <v>985219</v>
          </cell>
          <cell r="F261">
            <v>1679</v>
          </cell>
          <cell r="G261">
            <v>181</v>
          </cell>
          <cell r="H261">
            <v>290</v>
          </cell>
          <cell r="I261">
            <v>1537</v>
          </cell>
          <cell r="J261">
            <v>10823</v>
          </cell>
          <cell r="K261">
            <v>14512.29</v>
          </cell>
          <cell r="L261">
            <v>55098.48</v>
          </cell>
          <cell r="M261">
            <v>0</v>
          </cell>
          <cell r="N261">
            <v>0</v>
          </cell>
          <cell r="O261" t="str">
            <v/>
          </cell>
          <cell r="P261" t="str">
            <v/>
          </cell>
          <cell r="Q261" t="str">
            <v/>
          </cell>
          <cell r="R261" t="str">
            <v/>
          </cell>
          <cell r="V261" t="str">
            <v/>
          </cell>
          <cell r="W261" t="str">
            <v/>
          </cell>
          <cell r="Y261" t="str">
            <v/>
          </cell>
          <cell r="Z261" t="str">
            <v/>
          </cell>
        </row>
        <row r="262">
          <cell r="A262">
            <v>985220</v>
          </cell>
          <cell r="B262">
            <v>34127.31</v>
          </cell>
          <cell r="C262">
            <v>7797.11</v>
          </cell>
          <cell r="E262">
            <v>985220</v>
          </cell>
          <cell r="F262">
            <v>1243</v>
          </cell>
          <cell r="G262">
            <v>219</v>
          </cell>
          <cell r="H262">
            <v>290</v>
          </cell>
          <cell r="I262">
            <v>1057</v>
          </cell>
          <cell r="J262">
            <v>4986</v>
          </cell>
          <cell r="K262">
            <v>7797.11</v>
          </cell>
          <cell r="L262">
            <v>34127.31</v>
          </cell>
          <cell r="M262">
            <v>0</v>
          </cell>
          <cell r="N262">
            <v>0</v>
          </cell>
          <cell r="O262" t="str">
            <v/>
          </cell>
          <cell r="P262" t="str">
            <v/>
          </cell>
          <cell r="Q262" t="str">
            <v/>
          </cell>
          <cell r="R262" t="str">
            <v/>
          </cell>
          <cell r="V262" t="str">
            <v/>
          </cell>
          <cell r="W262" t="str">
            <v/>
          </cell>
          <cell r="Y262" t="str">
            <v/>
          </cell>
          <cell r="Z262" t="str">
            <v/>
          </cell>
        </row>
        <row r="263">
          <cell r="A263">
            <v>985221</v>
          </cell>
          <cell r="B263">
            <v>3744.49</v>
          </cell>
          <cell r="C263">
            <v>1206.19</v>
          </cell>
          <cell r="E263">
            <v>985221</v>
          </cell>
          <cell r="F263">
            <v>126</v>
          </cell>
          <cell r="G263">
            <v>24</v>
          </cell>
          <cell r="H263">
            <v>290</v>
          </cell>
          <cell r="I263">
            <v>219</v>
          </cell>
          <cell r="J263">
            <v>545</v>
          </cell>
          <cell r="K263">
            <v>1206.19</v>
          </cell>
          <cell r="L263">
            <v>3744.49</v>
          </cell>
          <cell r="M263">
            <v>0</v>
          </cell>
          <cell r="N263">
            <v>0</v>
          </cell>
          <cell r="O263" t="str">
            <v/>
          </cell>
          <cell r="P263" t="str">
            <v/>
          </cell>
          <cell r="Q263" t="str">
            <v/>
          </cell>
          <cell r="R263" t="str">
            <v/>
          </cell>
          <cell r="V263" t="str">
            <v/>
          </cell>
          <cell r="W263" t="str">
            <v/>
          </cell>
          <cell r="Y263" t="str">
            <v/>
          </cell>
          <cell r="Z263" t="str">
            <v/>
          </cell>
        </row>
        <row r="264">
          <cell r="A264">
            <v>985224</v>
          </cell>
          <cell r="B264">
            <v>1231.55</v>
          </cell>
          <cell r="C264">
            <v>848.03</v>
          </cell>
          <cell r="E264">
            <v>985224</v>
          </cell>
          <cell r="F264">
            <v>126</v>
          </cell>
          <cell r="G264">
            <v>8</v>
          </cell>
          <cell r="H264">
            <v>290</v>
          </cell>
          <cell r="I264">
            <v>162</v>
          </cell>
          <cell r="J264">
            <v>259</v>
          </cell>
          <cell r="K264">
            <v>848.03</v>
          </cell>
          <cell r="L264">
            <v>1231.55</v>
          </cell>
          <cell r="M264">
            <v>0</v>
          </cell>
          <cell r="N264">
            <v>0</v>
          </cell>
          <cell r="O264" t="str">
            <v/>
          </cell>
          <cell r="P264" t="str">
            <v/>
          </cell>
          <cell r="Q264" t="str">
            <v/>
          </cell>
          <cell r="R264" t="str">
            <v/>
          </cell>
          <cell r="V264" t="str">
            <v/>
          </cell>
          <cell r="W264" t="str">
            <v/>
          </cell>
          <cell r="Y264" t="str">
            <v/>
          </cell>
          <cell r="Z264" t="str">
            <v/>
          </cell>
        </row>
        <row r="265">
          <cell r="A265">
            <v>985225</v>
          </cell>
          <cell r="B265">
            <v>5153.51</v>
          </cell>
          <cell r="C265">
            <v>1705.15</v>
          </cell>
          <cell r="E265">
            <v>985225</v>
          </cell>
          <cell r="F265">
            <v>348</v>
          </cell>
          <cell r="G265">
            <v>34</v>
          </cell>
          <cell r="H265">
            <v>290</v>
          </cell>
          <cell r="I265">
            <v>256</v>
          </cell>
          <cell r="J265">
            <v>775</v>
          </cell>
          <cell r="K265">
            <v>1705.15</v>
          </cell>
          <cell r="L265">
            <v>5153.51</v>
          </cell>
          <cell r="M265">
            <v>0</v>
          </cell>
          <cell r="N265">
            <v>0</v>
          </cell>
          <cell r="O265" t="str">
            <v/>
          </cell>
          <cell r="P265" t="str">
            <v/>
          </cell>
          <cell r="Q265" t="str">
            <v/>
          </cell>
          <cell r="R265" t="str">
            <v/>
          </cell>
          <cell r="V265" t="str">
            <v/>
          </cell>
          <cell r="W265" t="str">
            <v/>
          </cell>
          <cell r="Y265" t="str">
            <v/>
          </cell>
          <cell r="Z265" t="str">
            <v/>
          </cell>
        </row>
        <row r="266">
          <cell r="A266">
            <v>985226</v>
          </cell>
          <cell r="B266">
            <v>47597.56</v>
          </cell>
          <cell r="C266">
            <v>13675.08</v>
          </cell>
          <cell r="E266">
            <v>985226</v>
          </cell>
          <cell r="F266">
            <v>2137</v>
          </cell>
          <cell r="G266">
            <v>310</v>
          </cell>
          <cell r="H266">
            <v>290</v>
          </cell>
          <cell r="I266">
            <v>1386</v>
          </cell>
          <cell r="J266">
            <v>9550</v>
          </cell>
          <cell r="K266">
            <v>13675.08</v>
          </cell>
          <cell r="L266">
            <v>47597.56</v>
          </cell>
          <cell r="M266">
            <v>0</v>
          </cell>
          <cell r="N266">
            <v>0</v>
          </cell>
          <cell r="O266" t="str">
            <v/>
          </cell>
          <cell r="P266" t="str">
            <v/>
          </cell>
          <cell r="Q266" t="str">
            <v/>
          </cell>
          <cell r="R266" t="str">
            <v/>
          </cell>
          <cell r="V266" t="str">
            <v/>
          </cell>
          <cell r="W266" t="str">
            <v/>
          </cell>
          <cell r="Y266" t="str">
            <v/>
          </cell>
          <cell r="Z266" t="str">
            <v/>
          </cell>
        </row>
        <row r="267">
          <cell r="A267">
            <v>985227</v>
          </cell>
          <cell r="B267">
            <v>461.83</v>
          </cell>
          <cell r="C267">
            <v>641.13</v>
          </cell>
          <cell r="E267">
            <v>985227</v>
          </cell>
          <cell r="F267">
            <v>120</v>
          </cell>
          <cell r="G267">
            <v>3</v>
          </cell>
          <cell r="H267">
            <v>290</v>
          </cell>
          <cell r="I267">
            <v>145</v>
          </cell>
          <cell r="J267">
            <v>82</v>
          </cell>
          <cell r="K267">
            <v>641.13</v>
          </cell>
          <cell r="L267">
            <v>461.83</v>
          </cell>
          <cell r="M267">
            <v>0</v>
          </cell>
          <cell r="N267">
            <v>0</v>
          </cell>
          <cell r="O267" t="str">
            <v/>
          </cell>
          <cell r="P267" t="str">
            <v/>
          </cell>
          <cell r="Q267" t="str">
            <v/>
          </cell>
          <cell r="R267" t="str">
            <v/>
          </cell>
          <cell r="V267" t="str">
            <v/>
          </cell>
          <cell r="W267" t="str">
            <v/>
          </cell>
          <cell r="Y267" t="str">
            <v/>
          </cell>
          <cell r="Z267" t="str">
            <v/>
          </cell>
        </row>
        <row r="268">
          <cell r="A268">
            <v>985228</v>
          </cell>
          <cell r="B268">
            <v>4198.62</v>
          </cell>
          <cell r="C268">
            <v>1571.26</v>
          </cell>
          <cell r="E268">
            <v>985228</v>
          </cell>
          <cell r="F268">
            <v>112</v>
          </cell>
          <cell r="G268">
            <v>26</v>
          </cell>
          <cell r="H268">
            <v>290</v>
          </cell>
          <cell r="I268">
            <v>229</v>
          </cell>
          <cell r="J268">
            <v>912</v>
          </cell>
          <cell r="K268">
            <v>1571.26</v>
          </cell>
          <cell r="L268">
            <v>4198.62</v>
          </cell>
          <cell r="M268">
            <v>0</v>
          </cell>
          <cell r="N268">
            <v>0</v>
          </cell>
          <cell r="O268" t="str">
            <v/>
          </cell>
          <cell r="P268" t="str">
            <v/>
          </cell>
          <cell r="Q268" t="str">
            <v/>
          </cell>
          <cell r="R268" t="str">
            <v/>
          </cell>
          <cell r="V268" t="str">
            <v/>
          </cell>
          <cell r="W268" t="str">
            <v/>
          </cell>
          <cell r="Y268" t="str">
            <v/>
          </cell>
          <cell r="Z268" t="str">
            <v/>
          </cell>
        </row>
        <row r="269">
          <cell r="A269">
            <v>985229</v>
          </cell>
          <cell r="B269">
            <v>392.41</v>
          </cell>
          <cell r="C269">
            <v>592.41</v>
          </cell>
          <cell r="E269">
            <v>985229</v>
          </cell>
          <cell r="F269">
            <v>86</v>
          </cell>
          <cell r="G269">
            <v>1</v>
          </cell>
          <cell r="H269">
            <v>290</v>
          </cell>
          <cell r="I269">
            <v>142</v>
          </cell>
          <cell r="J269">
            <v>72</v>
          </cell>
          <cell r="K269">
            <v>592.41</v>
          </cell>
          <cell r="L269">
            <v>392.41</v>
          </cell>
          <cell r="M269">
            <v>0</v>
          </cell>
          <cell r="N269">
            <v>0</v>
          </cell>
          <cell r="O269" t="str">
            <v/>
          </cell>
          <cell r="P269" t="str">
            <v/>
          </cell>
          <cell r="Q269" t="str">
            <v/>
          </cell>
          <cell r="R269" t="str">
            <v/>
          </cell>
          <cell r="V269" t="str">
            <v/>
          </cell>
          <cell r="W269" t="str">
            <v/>
          </cell>
          <cell r="Y269" t="str">
            <v/>
          </cell>
          <cell r="Z269" t="str">
            <v/>
          </cell>
        </row>
        <row r="270">
          <cell r="A270">
            <v>985230</v>
          </cell>
          <cell r="B270">
            <v>1359.45</v>
          </cell>
          <cell r="C270">
            <v>1214.97</v>
          </cell>
          <cell r="E270">
            <v>985230</v>
          </cell>
          <cell r="F270">
            <v>486</v>
          </cell>
          <cell r="G270">
            <v>5</v>
          </cell>
          <cell r="H270">
            <v>290</v>
          </cell>
          <cell r="I270">
            <v>173</v>
          </cell>
          <cell r="J270">
            <v>259</v>
          </cell>
          <cell r="K270">
            <v>1214.97</v>
          </cell>
          <cell r="L270">
            <v>1359.45</v>
          </cell>
          <cell r="M270">
            <v>0</v>
          </cell>
          <cell r="N270">
            <v>0</v>
          </cell>
          <cell r="O270" t="str">
            <v/>
          </cell>
          <cell r="P270" t="str">
            <v/>
          </cell>
          <cell r="Q270" t="str">
            <v/>
          </cell>
          <cell r="R270" t="str">
            <v/>
          </cell>
          <cell r="V270" t="str">
            <v/>
          </cell>
          <cell r="W270" t="str">
            <v/>
          </cell>
          <cell r="Y270" t="str">
            <v/>
          </cell>
          <cell r="Z270" t="str">
            <v/>
          </cell>
        </row>
        <row r="271">
          <cell r="A271">
            <v>985231</v>
          </cell>
          <cell r="B271">
            <v>22638.75</v>
          </cell>
          <cell r="C271">
            <v>4446.05</v>
          </cell>
          <cell r="E271">
            <v>985231</v>
          </cell>
          <cell r="F271">
            <v>114</v>
          </cell>
          <cell r="G271">
            <v>72</v>
          </cell>
          <cell r="H271">
            <v>290</v>
          </cell>
          <cell r="I271">
            <v>770</v>
          </cell>
          <cell r="J271">
            <v>3198</v>
          </cell>
          <cell r="K271">
            <v>4446.05</v>
          </cell>
          <cell r="L271">
            <v>22638.75</v>
          </cell>
          <cell r="M271">
            <v>0</v>
          </cell>
          <cell r="N271">
            <v>0</v>
          </cell>
          <cell r="O271" t="str">
            <v/>
          </cell>
          <cell r="P271" t="str">
            <v/>
          </cell>
          <cell r="Q271" t="str">
            <v/>
          </cell>
          <cell r="R271" t="str">
            <v/>
          </cell>
          <cell r="V271" t="str">
            <v/>
          </cell>
          <cell r="W271" t="str">
            <v/>
          </cell>
          <cell r="Y271" t="str">
            <v/>
          </cell>
          <cell r="Z271" t="str">
            <v/>
          </cell>
        </row>
        <row r="272">
          <cell r="A272">
            <v>985232</v>
          </cell>
          <cell r="B272">
            <v>17330.400000000001</v>
          </cell>
          <cell r="C272">
            <v>3646.74</v>
          </cell>
          <cell r="E272">
            <v>985232</v>
          </cell>
          <cell r="F272">
            <v>126</v>
          </cell>
          <cell r="G272">
            <v>108</v>
          </cell>
          <cell r="H272">
            <v>290</v>
          </cell>
          <cell r="I272">
            <v>652</v>
          </cell>
          <cell r="J272">
            <v>2469</v>
          </cell>
          <cell r="K272">
            <v>3646.74</v>
          </cell>
          <cell r="L272">
            <v>17330.400000000001</v>
          </cell>
          <cell r="M272">
            <v>0</v>
          </cell>
          <cell r="N272">
            <v>0</v>
          </cell>
          <cell r="O272" t="str">
            <v/>
          </cell>
          <cell r="P272" t="str">
            <v/>
          </cell>
          <cell r="Q272" t="str">
            <v/>
          </cell>
          <cell r="R272" t="str">
            <v/>
          </cell>
          <cell r="V272" t="str">
            <v/>
          </cell>
          <cell r="W272" t="str">
            <v/>
          </cell>
          <cell r="Y272" t="str">
            <v/>
          </cell>
          <cell r="Z272" t="str">
            <v/>
          </cell>
        </row>
        <row r="273">
          <cell r="A273">
            <v>985233</v>
          </cell>
          <cell r="B273">
            <v>1285.25</v>
          </cell>
          <cell r="C273">
            <v>1490.41</v>
          </cell>
          <cell r="E273">
            <v>985233</v>
          </cell>
          <cell r="F273">
            <v>645</v>
          </cell>
          <cell r="G273">
            <v>11</v>
          </cell>
          <cell r="H273">
            <v>290</v>
          </cell>
          <cell r="I273">
            <v>175</v>
          </cell>
          <cell r="J273">
            <v>367</v>
          </cell>
          <cell r="K273">
            <v>1490.41</v>
          </cell>
          <cell r="L273">
            <v>1285.25</v>
          </cell>
          <cell r="M273">
            <v>0</v>
          </cell>
          <cell r="N273">
            <v>0</v>
          </cell>
          <cell r="O273" t="str">
            <v/>
          </cell>
          <cell r="P273" t="str">
            <v/>
          </cell>
          <cell r="Q273" t="str">
            <v/>
          </cell>
          <cell r="R273" t="str">
            <v/>
          </cell>
          <cell r="V273" t="str">
            <v/>
          </cell>
          <cell r="W273" t="str">
            <v/>
          </cell>
          <cell r="Y273" t="str">
            <v/>
          </cell>
          <cell r="Z273" t="str">
            <v/>
          </cell>
        </row>
        <row r="274">
          <cell r="A274">
            <v>985234</v>
          </cell>
          <cell r="B274">
            <v>79994.33</v>
          </cell>
          <cell r="C274">
            <v>25026.12</v>
          </cell>
          <cell r="E274">
            <v>985234</v>
          </cell>
          <cell r="F274">
            <v>5301</v>
          </cell>
          <cell r="G274">
            <v>542</v>
          </cell>
          <cell r="H274">
            <v>290</v>
          </cell>
          <cell r="I274">
            <v>2225</v>
          </cell>
          <cell r="J274">
            <v>16666</v>
          </cell>
          <cell r="K274">
            <v>25026.12</v>
          </cell>
          <cell r="L274">
            <v>79994.33</v>
          </cell>
          <cell r="M274">
            <v>0</v>
          </cell>
          <cell r="N274">
            <v>0</v>
          </cell>
          <cell r="O274" t="str">
            <v/>
          </cell>
          <cell r="P274" t="str">
            <v/>
          </cell>
          <cell r="Q274" t="str">
            <v/>
          </cell>
          <cell r="R274" t="str">
            <v/>
          </cell>
          <cell r="V274" t="str">
            <v/>
          </cell>
          <cell r="W274" t="str">
            <v/>
          </cell>
          <cell r="Y274" t="str">
            <v/>
          </cell>
          <cell r="Z274" t="str">
            <v/>
          </cell>
        </row>
        <row r="275">
          <cell r="A275">
            <v>985235</v>
          </cell>
          <cell r="B275">
            <v>188812.92</v>
          </cell>
          <cell r="C275">
            <v>65916.13</v>
          </cell>
          <cell r="E275">
            <v>985235</v>
          </cell>
          <cell r="F275">
            <v>16056</v>
          </cell>
          <cell r="G275">
            <v>1273</v>
          </cell>
          <cell r="H275">
            <v>290</v>
          </cell>
          <cell r="I275">
            <v>4904</v>
          </cell>
          <cell r="J275">
            <v>43391</v>
          </cell>
          <cell r="K275">
            <v>65916.13</v>
          </cell>
          <cell r="L275">
            <v>188812.92</v>
          </cell>
          <cell r="M275">
            <v>0</v>
          </cell>
          <cell r="N275">
            <v>0</v>
          </cell>
          <cell r="O275" t="str">
            <v/>
          </cell>
          <cell r="P275" t="str">
            <v/>
          </cell>
          <cell r="Q275" t="str">
            <v/>
          </cell>
          <cell r="R275" t="str">
            <v/>
          </cell>
          <cell r="V275" t="str">
            <v/>
          </cell>
          <cell r="W275" t="str">
            <v/>
          </cell>
          <cell r="Y275" t="str">
            <v/>
          </cell>
          <cell r="Z275" t="str">
            <v/>
          </cell>
        </row>
        <row r="276">
          <cell r="A276">
            <v>985236</v>
          </cell>
          <cell r="B276">
            <v>175226.96</v>
          </cell>
          <cell r="C276">
            <v>31564.79</v>
          </cell>
          <cell r="E276">
            <v>985236</v>
          </cell>
          <cell r="F276">
            <v>3134</v>
          </cell>
          <cell r="G276">
            <v>574</v>
          </cell>
          <cell r="H276">
            <v>290</v>
          </cell>
          <cell r="I276">
            <v>4285</v>
          </cell>
          <cell r="J276">
            <v>23280</v>
          </cell>
          <cell r="K276">
            <v>31564.79</v>
          </cell>
          <cell r="L276">
            <v>175226.96</v>
          </cell>
          <cell r="M276">
            <v>0</v>
          </cell>
          <cell r="N276">
            <v>0</v>
          </cell>
          <cell r="O276" t="str">
            <v/>
          </cell>
          <cell r="P276" t="str">
            <v/>
          </cell>
          <cell r="Q276" t="str">
            <v/>
          </cell>
          <cell r="R276" t="str">
            <v/>
          </cell>
          <cell r="V276" t="str">
            <v/>
          </cell>
          <cell r="W276" t="str">
            <v/>
          </cell>
          <cell r="Y276" t="str">
            <v/>
          </cell>
          <cell r="Z276" t="str">
            <v/>
          </cell>
        </row>
        <row r="277">
          <cell r="A277">
            <v>985241</v>
          </cell>
          <cell r="B277">
            <v>4153.53</v>
          </cell>
          <cell r="C277">
            <v>1479.97</v>
          </cell>
          <cell r="E277">
            <v>985241</v>
          </cell>
          <cell r="F277">
            <v>130</v>
          </cell>
          <cell r="G277">
            <v>13</v>
          </cell>
          <cell r="H277">
            <v>290</v>
          </cell>
          <cell r="I277">
            <v>228</v>
          </cell>
          <cell r="J277">
            <v>816</v>
          </cell>
          <cell r="K277">
            <v>1479.97</v>
          </cell>
          <cell r="L277">
            <v>4153.53</v>
          </cell>
          <cell r="M277">
            <v>0</v>
          </cell>
          <cell r="N277">
            <v>0</v>
          </cell>
          <cell r="O277" t="str">
            <v/>
          </cell>
          <cell r="P277" t="str">
            <v/>
          </cell>
          <cell r="Q277" t="str">
            <v/>
          </cell>
          <cell r="R277" t="str">
            <v/>
          </cell>
          <cell r="V277" t="str">
            <v/>
          </cell>
          <cell r="W277" t="str">
            <v/>
          </cell>
          <cell r="Y277" t="str">
            <v/>
          </cell>
          <cell r="Z277" t="str">
            <v/>
          </cell>
        </row>
        <row r="278">
          <cell r="A278">
            <v>985242</v>
          </cell>
          <cell r="B278">
            <v>43399.3</v>
          </cell>
          <cell r="C278">
            <v>9303.0300000000007</v>
          </cell>
          <cell r="E278">
            <v>985242</v>
          </cell>
          <cell r="F278">
            <v>1323</v>
          </cell>
          <cell r="G278">
            <v>143</v>
          </cell>
          <cell r="H278">
            <v>290</v>
          </cell>
          <cell r="I278">
            <v>1265</v>
          </cell>
          <cell r="J278">
            <v>6281</v>
          </cell>
          <cell r="K278">
            <v>9303.0300000000007</v>
          </cell>
          <cell r="L278">
            <v>43399.3</v>
          </cell>
          <cell r="M278">
            <v>0</v>
          </cell>
          <cell r="N278">
            <v>0</v>
          </cell>
          <cell r="O278" t="str">
            <v/>
          </cell>
          <cell r="P278" t="str">
            <v/>
          </cell>
          <cell r="Q278" t="str">
            <v/>
          </cell>
          <cell r="R278" t="str">
            <v/>
          </cell>
          <cell r="V278" t="str">
            <v/>
          </cell>
          <cell r="W278" t="str">
            <v/>
          </cell>
          <cell r="Y278" t="str">
            <v/>
          </cell>
          <cell r="Z278" t="str">
            <v/>
          </cell>
        </row>
        <row r="279">
          <cell r="A279">
            <v>985245</v>
          </cell>
          <cell r="B279">
            <v>6428.16</v>
          </cell>
          <cell r="C279">
            <v>2012.34</v>
          </cell>
          <cell r="E279">
            <v>985245</v>
          </cell>
          <cell r="F279">
            <v>147</v>
          </cell>
          <cell r="G279">
            <v>21</v>
          </cell>
          <cell r="H279">
            <v>290</v>
          </cell>
          <cell r="I279">
            <v>300</v>
          </cell>
          <cell r="J279">
            <v>1253</v>
          </cell>
          <cell r="K279">
            <v>2012.34</v>
          </cell>
          <cell r="L279">
            <v>6428.16</v>
          </cell>
          <cell r="M279">
            <v>0</v>
          </cell>
          <cell r="N279">
            <v>0</v>
          </cell>
          <cell r="O279" t="str">
            <v/>
          </cell>
          <cell r="P279" t="str">
            <v/>
          </cell>
          <cell r="Q279" t="str">
            <v/>
          </cell>
          <cell r="R279" t="str">
            <v/>
          </cell>
          <cell r="V279" t="str">
            <v/>
          </cell>
          <cell r="W279" t="str">
            <v/>
          </cell>
          <cell r="Y279" t="str">
            <v/>
          </cell>
          <cell r="Z279" t="str">
            <v/>
          </cell>
        </row>
        <row r="280">
          <cell r="A280">
            <v>985246</v>
          </cell>
          <cell r="B280">
            <v>872.95</v>
          </cell>
          <cell r="C280">
            <v>704.58</v>
          </cell>
          <cell r="E280">
            <v>985246</v>
          </cell>
          <cell r="F280">
            <v>123</v>
          </cell>
          <cell r="G280">
            <v>6</v>
          </cell>
          <cell r="H280">
            <v>290</v>
          </cell>
          <cell r="I280">
            <v>154</v>
          </cell>
          <cell r="J280">
            <v>130</v>
          </cell>
          <cell r="K280">
            <v>704.58</v>
          </cell>
          <cell r="L280">
            <v>872.95</v>
          </cell>
          <cell r="M280">
            <v>0</v>
          </cell>
          <cell r="N280">
            <v>0</v>
          </cell>
          <cell r="O280" t="str">
            <v/>
          </cell>
          <cell r="P280" t="str">
            <v/>
          </cell>
          <cell r="Q280" t="str">
            <v/>
          </cell>
          <cell r="R280" t="str">
            <v/>
          </cell>
          <cell r="V280" t="str">
            <v/>
          </cell>
          <cell r="W280" t="str">
            <v/>
          </cell>
          <cell r="Y280" t="str">
            <v/>
          </cell>
          <cell r="Z280" t="str">
            <v/>
          </cell>
        </row>
        <row r="281">
          <cell r="A281">
            <v>985248</v>
          </cell>
          <cell r="B281">
            <v>3266.54</v>
          </cell>
          <cell r="C281">
            <v>2247.42</v>
          </cell>
          <cell r="E281">
            <v>985248</v>
          </cell>
          <cell r="F281">
            <v>906</v>
          </cell>
          <cell r="G281">
            <v>25</v>
          </cell>
          <cell r="H281">
            <v>290</v>
          </cell>
          <cell r="I281">
            <v>226</v>
          </cell>
          <cell r="J281">
            <v>798</v>
          </cell>
          <cell r="K281">
            <v>2247.42</v>
          </cell>
          <cell r="L281">
            <v>3266.54</v>
          </cell>
          <cell r="M281">
            <v>0</v>
          </cell>
          <cell r="N281">
            <v>0</v>
          </cell>
          <cell r="O281" t="str">
            <v/>
          </cell>
          <cell r="P281" t="str">
            <v/>
          </cell>
          <cell r="Q281" t="str">
            <v/>
          </cell>
          <cell r="R281" t="str">
            <v/>
          </cell>
          <cell r="V281" t="str">
            <v/>
          </cell>
          <cell r="W281" t="str">
            <v/>
          </cell>
          <cell r="Y281" t="str">
            <v/>
          </cell>
          <cell r="Z281" t="str">
            <v/>
          </cell>
        </row>
        <row r="282">
          <cell r="A282">
            <v>985249</v>
          </cell>
          <cell r="B282">
            <v>5189.3</v>
          </cell>
          <cell r="C282">
            <v>4491.09</v>
          </cell>
          <cell r="E282">
            <v>985249</v>
          </cell>
          <cell r="F282">
            <v>2374</v>
          </cell>
          <cell r="G282">
            <v>46</v>
          </cell>
          <cell r="H282">
            <v>290</v>
          </cell>
          <cell r="I282">
            <v>343</v>
          </cell>
          <cell r="J282">
            <v>1436</v>
          </cell>
          <cell r="K282">
            <v>4491.09</v>
          </cell>
          <cell r="L282">
            <v>5189.3</v>
          </cell>
          <cell r="M282">
            <v>0</v>
          </cell>
          <cell r="N282">
            <v>0</v>
          </cell>
          <cell r="O282" t="str">
            <v/>
          </cell>
          <cell r="P282" t="str">
            <v/>
          </cell>
          <cell r="Q282" t="str">
            <v/>
          </cell>
          <cell r="R282" t="str">
            <v/>
          </cell>
          <cell r="V282" t="str">
            <v/>
          </cell>
          <cell r="W282" t="str">
            <v/>
          </cell>
          <cell r="Y282" t="str">
            <v/>
          </cell>
          <cell r="Z282" t="str">
            <v/>
          </cell>
        </row>
        <row r="283">
          <cell r="A283">
            <v>985250</v>
          </cell>
          <cell r="B283">
            <v>67087.25</v>
          </cell>
          <cell r="C283">
            <v>12783.52</v>
          </cell>
          <cell r="E283">
            <v>985250</v>
          </cell>
          <cell r="F283">
            <v>1515</v>
          </cell>
          <cell r="G283">
            <v>221</v>
          </cell>
          <cell r="H283">
            <v>290</v>
          </cell>
          <cell r="I283">
            <v>1805</v>
          </cell>
          <cell r="J283">
            <v>8951</v>
          </cell>
          <cell r="K283">
            <v>12783.52</v>
          </cell>
          <cell r="L283">
            <v>67087.25</v>
          </cell>
          <cell r="M283">
            <v>0</v>
          </cell>
          <cell r="N283">
            <v>0</v>
          </cell>
          <cell r="O283" t="str">
            <v/>
          </cell>
          <cell r="P283" t="str">
            <v/>
          </cell>
          <cell r="Q283" t="str">
            <v/>
          </cell>
          <cell r="R283" t="str">
            <v/>
          </cell>
          <cell r="V283" t="str">
            <v/>
          </cell>
          <cell r="W283" t="str">
            <v/>
          </cell>
          <cell r="Y283" t="str">
            <v/>
          </cell>
          <cell r="Z283" t="str">
            <v/>
          </cell>
        </row>
        <row r="284">
          <cell r="A284">
            <v>985256</v>
          </cell>
          <cell r="B284">
            <v>89723.7</v>
          </cell>
          <cell r="C284">
            <v>15701.49</v>
          </cell>
          <cell r="E284">
            <v>985256</v>
          </cell>
          <cell r="F284">
            <v>205</v>
          </cell>
          <cell r="G284">
            <v>289</v>
          </cell>
          <cell r="H284">
            <v>290</v>
          </cell>
          <cell r="I284">
            <v>2285</v>
          </cell>
          <cell r="J284">
            <v>12630</v>
          </cell>
          <cell r="K284">
            <v>15701.49</v>
          </cell>
          <cell r="L284">
            <v>89723.7</v>
          </cell>
          <cell r="M284">
            <v>0</v>
          </cell>
          <cell r="N284">
            <v>0</v>
          </cell>
          <cell r="O284" t="str">
            <v/>
          </cell>
          <cell r="P284" t="str">
            <v/>
          </cell>
          <cell r="Q284" t="str">
            <v/>
          </cell>
          <cell r="R284" t="str">
            <v/>
          </cell>
          <cell r="V284" t="str">
            <v/>
          </cell>
          <cell r="W284" t="str">
            <v/>
          </cell>
          <cell r="Y284" t="str">
            <v/>
          </cell>
          <cell r="Z284" t="str">
            <v/>
          </cell>
        </row>
        <row r="285">
          <cell r="A285">
            <v>985257</v>
          </cell>
          <cell r="B285">
            <v>8791.11</v>
          </cell>
          <cell r="C285">
            <v>2088.7199999999998</v>
          </cell>
          <cell r="E285">
            <v>985257</v>
          </cell>
          <cell r="F285">
            <v>114</v>
          </cell>
          <cell r="G285">
            <v>28</v>
          </cell>
          <cell r="H285">
            <v>290</v>
          </cell>
          <cell r="I285">
            <v>404</v>
          </cell>
          <cell r="J285">
            <v>1250</v>
          </cell>
          <cell r="K285">
            <v>2088.7199999999998</v>
          </cell>
          <cell r="L285">
            <v>8791.11</v>
          </cell>
          <cell r="M285">
            <v>0</v>
          </cell>
          <cell r="N285">
            <v>0</v>
          </cell>
          <cell r="O285" t="str">
            <v/>
          </cell>
          <cell r="P285" t="str">
            <v/>
          </cell>
          <cell r="Q285" t="str">
            <v/>
          </cell>
          <cell r="R285" t="str">
            <v/>
          </cell>
          <cell r="V285" t="str">
            <v/>
          </cell>
          <cell r="W285" t="str">
            <v/>
          </cell>
          <cell r="Y285" t="str">
            <v/>
          </cell>
          <cell r="Z285" t="str">
            <v/>
          </cell>
        </row>
        <row r="286">
          <cell r="A286">
            <v>985258</v>
          </cell>
          <cell r="B286">
            <v>7612.92</v>
          </cell>
          <cell r="C286">
            <v>1866.9</v>
          </cell>
          <cell r="E286">
            <v>985258</v>
          </cell>
          <cell r="F286">
            <v>114</v>
          </cell>
          <cell r="G286">
            <v>24</v>
          </cell>
          <cell r="H286">
            <v>290</v>
          </cell>
          <cell r="I286">
            <v>352</v>
          </cell>
          <cell r="J286">
            <v>1085</v>
          </cell>
          <cell r="K286">
            <v>1866.9</v>
          </cell>
          <cell r="L286">
            <v>7612.92</v>
          </cell>
          <cell r="M286">
            <v>0</v>
          </cell>
          <cell r="N286">
            <v>0</v>
          </cell>
          <cell r="O286" t="str">
            <v/>
          </cell>
          <cell r="P286" t="str">
            <v/>
          </cell>
          <cell r="Q286" t="str">
            <v/>
          </cell>
          <cell r="R286" t="str">
            <v/>
          </cell>
          <cell r="V286" t="str">
            <v/>
          </cell>
          <cell r="W286" t="str">
            <v/>
          </cell>
          <cell r="Y286" t="str">
            <v/>
          </cell>
          <cell r="Z286" t="str">
            <v/>
          </cell>
        </row>
        <row r="287">
          <cell r="A287">
            <v>985264</v>
          </cell>
          <cell r="B287">
            <v>1049.3699999999999</v>
          </cell>
          <cell r="C287">
            <v>1132.71</v>
          </cell>
          <cell r="E287">
            <v>985264</v>
          </cell>
          <cell r="F287">
            <v>392</v>
          </cell>
          <cell r="G287">
            <v>8</v>
          </cell>
          <cell r="H287">
            <v>290</v>
          </cell>
          <cell r="I287">
            <v>164</v>
          </cell>
          <cell r="J287">
            <v>276</v>
          </cell>
          <cell r="K287">
            <v>1132.71</v>
          </cell>
          <cell r="L287">
            <v>1049.3699999999999</v>
          </cell>
          <cell r="M287">
            <v>0</v>
          </cell>
          <cell r="N287">
            <v>0</v>
          </cell>
          <cell r="O287" t="str">
            <v/>
          </cell>
          <cell r="P287" t="str">
            <v/>
          </cell>
          <cell r="Q287" t="str">
            <v/>
          </cell>
          <cell r="R287" t="str">
            <v/>
          </cell>
          <cell r="V287" t="str">
            <v/>
          </cell>
          <cell r="W287" t="str">
            <v/>
          </cell>
          <cell r="Y287" t="str">
            <v/>
          </cell>
          <cell r="Z287" t="str">
            <v/>
          </cell>
        </row>
        <row r="288">
          <cell r="A288">
            <v>985265</v>
          </cell>
          <cell r="B288">
            <v>46893.96</v>
          </cell>
          <cell r="C288">
            <v>10716.54</v>
          </cell>
          <cell r="E288">
            <v>985265</v>
          </cell>
          <cell r="F288">
            <v>681</v>
          </cell>
          <cell r="G288">
            <v>296</v>
          </cell>
          <cell r="H288">
            <v>290</v>
          </cell>
          <cell r="I288">
            <v>1333</v>
          </cell>
          <cell r="J288">
            <v>8115</v>
          </cell>
          <cell r="K288">
            <v>10716.54</v>
          </cell>
          <cell r="L288">
            <v>46893.96</v>
          </cell>
          <cell r="M288">
            <v>0</v>
          </cell>
          <cell r="N288">
            <v>0</v>
          </cell>
          <cell r="O288" t="str">
            <v/>
          </cell>
          <cell r="P288" t="str">
            <v/>
          </cell>
          <cell r="Q288" t="str">
            <v/>
          </cell>
          <cell r="R288" t="str">
            <v/>
          </cell>
          <cell r="V288" t="str">
            <v/>
          </cell>
          <cell r="W288" t="str">
            <v/>
          </cell>
          <cell r="Y288" t="str">
            <v/>
          </cell>
          <cell r="Z288" t="str">
            <v/>
          </cell>
        </row>
        <row r="289">
          <cell r="A289">
            <v>985266</v>
          </cell>
          <cell r="B289">
            <v>3742.95</v>
          </cell>
          <cell r="C289">
            <v>2132.2800000000002</v>
          </cell>
          <cell r="E289">
            <v>985266</v>
          </cell>
          <cell r="F289">
            <v>726</v>
          </cell>
          <cell r="G289">
            <v>27</v>
          </cell>
          <cell r="H289">
            <v>290</v>
          </cell>
          <cell r="I289">
            <v>233</v>
          </cell>
          <cell r="J289">
            <v>854</v>
          </cell>
          <cell r="K289">
            <v>2132.2800000000002</v>
          </cell>
          <cell r="L289">
            <v>3742.95</v>
          </cell>
          <cell r="M289">
            <v>0</v>
          </cell>
          <cell r="N289">
            <v>0</v>
          </cell>
          <cell r="O289" t="str">
            <v/>
          </cell>
          <cell r="P289" t="str">
            <v/>
          </cell>
          <cell r="Q289" t="str">
            <v/>
          </cell>
          <cell r="R289" t="str">
            <v/>
          </cell>
          <cell r="V289" t="str">
            <v/>
          </cell>
          <cell r="W289" t="str">
            <v/>
          </cell>
          <cell r="Y289" t="str">
            <v/>
          </cell>
          <cell r="Z289" t="str">
            <v/>
          </cell>
        </row>
        <row r="290">
          <cell r="A290">
            <v>985267</v>
          </cell>
          <cell r="B290">
            <v>9344.51</v>
          </cell>
          <cell r="C290">
            <v>3385.45</v>
          </cell>
          <cell r="E290">
            <v>985267</v>
          </cell>
          <cell r="F290">
            <v>503</v>
          </cell>
          <cell r="G290">
            <v>61</v>
          </cell>
          <cell r="H290">
            <v>290</v>
          </cell>
          <cell r="I290">
            <v>448</v>
          </cell>
          <cell r="J290">
            <v>2082</v>
          </cell>
          <cell r="K290">
            <v>3385.45</v>
          </cell>
          <cell r="L290">
            <v>9344.51</v>
          </cell>
          <cell r="M290">
            <v>0</v>
          </cell>
          <cell r="N290">
            <v>0</v>
          </cell>
          <cell r="O290" t="str">
            <v/>
          </cell>
          <cell r="P290" t="str">
            <v/>
          </cell>
          <cell r="Q290" t="str">
            <v/>
          </cell>
          <cell r="R290" t="str">
            <v/>
          </cell>
          <cell r="V290" t="str">
            <v/>
          </cell>
          <cell r="W290" t="str">
            <v/>
          </cell>
          <cell r="Y290" t="str">
            <v/>
          </cell>
          <cell r="Z290" t="str">
            <v/>
          </cell>
        </row>
        <row r="291">
          <cell r="A291">
            <v>985268</v>
          </cell>
          <cell r="B291">
            <v>7415.69</v>
          </cell>
          <cell r="C291">
            <v>2448.79</v>
          </cell>
          <cell r="E291">
            <v>985268</v>
          </cell>
          <cell r="F291">
            <v>285</v>
          </cell>
          <cell r="G291">
            <v>47</v>
          </cell>
          <cell r="H291">
            <v>290</v>
          </cell>
          <cell r="I291">
            <v>352</v>
          </cell>
          <cell r="J291">
            <v>1473</v>
          </cell>
          <cell r="K291">
            <v>2448.79</v>
          </cell>
          <cell r="L291">
            <v>7415.69</v>
          </cell>
          <cell r="M291">
            <v>0</v>
          </cell>
          <cell r="N291">
            <v>0</v>
          </cell>
          <cell r="O291" t="str">
            <v/>
          </cell>
          <cell r="P291" t="str">
            <v/>
          </cell>
          <cell r="Q291" t="str">
            <v/>
          </cell>
          <cell r="R291" t="str">
            <v/>
          </cell>
          <cell r="V291" t="str">
            <v/>
          </cell>
          <cell r="W291" t="str">
            <v/>
          </cell>
          <cell r="Y291" t="str">
            <v/>
          </cell>
          <cell r="Z291" t="str">
            <v/>
          </cell>
        </row>
        <row r="292">
          <cell r="A292">
            <v>985269</v>
          </cell>
          <cell r="B292">
            <v>956.34</v>
          </cell>
          <cell r="C292">
            <v>1013.65</v>
          </cell>
          <cell r="E292">
            <v>985269</v>
          </cell>
          <cell r="F292">
            <v>312</v>
          </cell>
          <cell r="G292">
            <v>7</v>
          </cell>
          <cell r="H292">
            <v>290</v>
          </cell>
          <cell r="I292">
            <v>160</v>
          </cell>
          <cell r="J292">
            <v>242</v>
          </cell>
          <cell r="K292">
            <v>1013.65</v>
          </cell>
          <cell r="L292">
            <v>956.34</v>
          </cell>
          <cell r="M292">
            <v>0</v>
          </cell>
          <cell r="N292">
            <v>0</v>
          </cell>
          <cell r="O292" t="str">
            <v/>
          </cell>
          <cell r="P292" t="str">
            <v/>
          </cell>
          <cell r="Q292" t="str">
            <v/>
          </cell>
          <cell r="R292" t="str">
            <v/>
          </cell>
          <cell r="V292" t="str">
            <v/>
          </cell>
          <cell r="W292" t="str">
            <v/>
          </cell>
          <cell r="Y292" t="str">
            <v/>
          </cell>
          <cell r="Z292" t="str">
            <v/>
          </cell>
        </row>
        <row r="293">
          <cell r="A293">
            <v>985271</v>
          </cell>
          <cell r="B293">
            <v>1232.57</v>
          </cell>
          <cell r="C293">
            <v>870.36</v>
          </cell>
          <cell r="E293">
            <v>985271</v>
          </cell>
          <cell r="F293">
            <v>126</v>
          </cell>
          <cell r="G293">
            <v>4</v>
          </cell>
          <cell r="H293">
            <v>290</v>
          </cell>
          <cell r="I293">
            <v>162</v>
          </cell>
          <cell r="J293">
            <v>286</v>
          </cell>
          <cell r="K293">
            <v>870.36</v>
          </cell>
          <cell r="L293">
            <v>1232.57</v>
          </cell>
          <cell r="M293">
            <v>0</v>
          </cell>
          <cell r="N293">
            <v>0</v>
          </cell>
          <cell r="O293" t="str">
            <v/>
          </cell>
          <cell r="P293" t="str">
            <v/>
          </cell>
          <cell r="Q293" t="str">
            <v/>
          </cell>
          <cell r="R293" t="str">
            <v/>
          </cell>
          <cell r="V293" t="str">
            <v/>
          </cell>
          <cell r="W293" t="str">
            <v/>
          </cell>
          <cell r="Y293" t="str">
            <v/>
          </cell>
          <cell r="Z293" t="str">
            <v/>
          </cell>
        </row>
        <row r="294">
          <cell r="A294">
            <v>985272</v>
          </cell>
          <cell r="B294">
            <v>15733.37</v>
          </cell>
          <cell r="C294">
            <v>4422.9399999999996</v>
          </cell>
          <cell r="E294">
            <v>985272</v>
          </cell>
          <cell r="F294">
            <v>126</v>
          </cell>
          <cell r="G294">
            <v>50</v>
          </cell>
          <cell r="H294">
            <v>290</v>
          </cell>
          <cell r="I294">
            <v>614</v>
          </cell>
          <cell r="J294">
            <v>3341</v>
          </cell>
          <cell r="K294">
            <v>4422.9399999999996</v>
          </cell>
          <cell r="L294">
            <v>15733.37</v>
          </cell>
          <cell r="M294">
            <v>0</v>
          </cell>
          <cell r="N294">
            <v>0</v>
          </cell>
          <cell r="O294" t="str">
            <v/>
          </cell>
          <cell r="P294" t="str">
            <v/>
          </cell>
          <cell r="Q294" t="str">
            <v/>
          </cell>
          <cell r="R294" t="str">
            <v/>
          </cell>
          <cell r="V294" t="str">
            <v/>
          </cell>
          <cell r="W294" t="str">
            <v/>
          </cell>
          <cell r="Y294" t="str">
            <v/>
          </cell>
          <cell r="Z294" t="str">
            <v/>
          </cell>
        </row>
        <row r="295">
          <cell r="A295">
            <v>985276</v>
          </cell>
          <cell r="B295">
            <v>3478.75</v>
          </cell>
          <cell r="C295">
            <v>1427.87</v>
          </cell>
          <cell r="E295">
            <v>985276</v>
          </cell>
          <cell r="F295">
            <v>137</v>
          </cell>
          <cell r="G295">
            <v>22</v>
          </cell>
          <cell r="H295">
            <v>290</v>
          </cell>
          <cell r="I295">
            <v>213</v>
          </cell>
          <cell r="J295">
            <v>764</v>
          </cell>
          <cell r="K295">
            <v>1427.87</v>
          </cell>
          <cell r="L295">
            <v>3478.75</v>
          </cell>
          <cell r="M295">
            <v>0</v>
          </cell>
          <cell r="N295">
            <v>0</v>
          </cell>
          <cell r="O295" t="str">
            <v/>
          </cell>
          <cell r="P295" t="str">
            <v/>
          </cell>
          <cell r="Q295" t="str">
            <v/>
          </cell>
          <cell r="R295" t="str">
            <v/>
          </cell>
          <cell r="V295" t="str">
            <v/>
          </cell>
          <cell r="W295" t="str">
            <v/>
          </cell>
          <cell r="Y295" t="str">
            <v/>
          </cell>
          <cell r="Z295" t="str">
            <v/>
          </cell>
        </row>
        <row r="296">
          <cell r="A296">
            <v>985279</v>
          </cell>
          <cell r="B296">
            <v>1205.82</v>
          </cell>
          <cell r="C296">
            <v>700.39</v>
          </cell>
          <cell r="E296">
            <v>985279</v>
          </cell>
          <cell r="F296">
            <v>62</v>
          </cell>
          <cell r="G296">
            <v>7</v>
          </cell>
          <cell r="H296">
            <v>290</v>
          </cell>
          <cell r="I296">
            <v>160</v>
          </cell>
          <cell r="J296">
            <v>179</v>
          </cell>
          <cell r="K296">
            <v>700.39</v>
          </cell>
          <cell r="L296">
            <v>1205.82</v>
          </cell>
          <cell r="M296">
            <v>0</v>
          </cell>
          <cell r="N296">
            <v>0</v>
          </cell>
          <cell r="O296" t="str">
            <v/>
          </cell>
          <cell r="P296" t="str">
            <v/>
          </cell>
          <cell r="Q296" t="str">
            <v/>
          </cell>
          <cell r="R296" t="str">
            <v/>
          </cell>
          <cell r="V296" t="str">
            <v/>
          </cell>
          <cell r="W296" t="str">
            <v/>
          </cell>
          <cell r="Y296" t="str">
            <v/>
          </cell>
          <cell r="Z296" t="str">
            <v/>
          </cell>
        </row>
        <row r="297">
          <cell r="A297">
            <v>985281</v>
          </cell>
          <cell r="B297">
            <v>201.46</v>
          </cell>
          <cell r="C297">
            <v>599.55999999999995</v>
          </cell>
          <cell r="E297">
            <v>985281</v>
          </cell>
          <cell r="F297">
            <v>62</v>
          </cell>
          <cell r="G297">
            <v>1</v>
          </cell>
          <cell r="H297">
            <v>290</v>
          </cell>
          <cell r="I297">
            <v>138</v>
          </cell>
          <cell r="J297">
            <v>50</v>
          </cell>
          <cell r="K297">
            <v>599.55999999999995</v>
          </cell>
          <cell r="L297">
            <v>201.46</v>
          </cell>
          <cell r="M297">
            <v>55</v>
          </cell>
          <cell r="N297">
            <v>0</v>
          </cell>
          <cell r="O297" t="str">
            <v/>
          </cell>
          <cell r="P297" t="str">
            <v/>
          </cell>
          <cell r="Q297" t="str">
            <v/>
          </cell>
          <cell r="R297" t="str">
            <v/>
          </cell>
          <cell r="V297" t="str">
            <v/>
          </cell>
          <cell r="W297" t="str">
            <v/>
          </cell>
          <cell r="Y297" t="str">
            <v/>
          </cell>
          <cell r="Z297" t="str">
            <v/>
          </cell>
        </row>
        <row r="298">
          <cell r="A298">
            <v>985284</v>
          </cell>
          <cell r="B298">
            <v>836.5</v>
          </cell>
          <cell r="C298">
            <v>1157.9000000000001</v>
          </cell>
          <cell r="E298">
            <v>985284</v>
          </cell>
          <cell r="F298">
            <v>471</v>
          </cell>
          <cell r="G298">
            <v>8</v>
          </cell>
          <cell r="H298">
            <v>290</v>
          </cell>
          <cell r="I298">
            <v>161</v>
          </cell>
          <cell r="J298">
            <v>226</v>
          </cell>
          <cell r="K298">
            <v>1157.9000000000001</v>
          </cell>
          <cell r="L298">
            <v>836.5</v>
          </cell>
          <cell r="M298">
            <v>0</v>
          </cell>
          <cell r="N298">
            <v>0</v>
          </cell>
          <cell r="O298" t="str">
            <v/>
          </cell>
          <cell r="P298" t="str">
            <v/>
          </cell>
          <cell r="Q298" t="str">
            <v/>
          </cell>
          <cell r="R298" t="str">
            <v/>
          </cell>
          <cell r="V298" t="str">
            <v/>
          </cell>
          <cell r="W298" t="str">
            <v/>
          </cell>
          <cell r="Y298" t="str">
            <v/>
          </cell>
          <cell r="Z298" t="str">
            <v/>
          </cell>
        </row>
        <row r="299">
          <cell r="A299">
            <v>990001</v>
          </cell>
          <cell r="B299">
            <v>487.01</v>
          </cell>
          <cell r="C299">
            <v>605.76</v>
          </cell>
          <cell r="E299">
            <v>990001</v>
          </cell>
          <cell r="F299">
            <v>64</v>
          </cell>
          <cell r="G299">
            <v>1</v>
          </cell>
          <cell r="H299">
            <v>290</v>
          </cell>
          <cell r="I299">
            <v>144</v>
          </cell>
          <cell r="J299">
            <v>105</v>
          </cell>
          <cell r="K299">
            <v>605.76</v>
          </cell>
          <cell r="L299">
            <v>487.01</v>
          </cell>
          <cell r="M299">
            <v>0</v>
          </cell>
          <cell r="N299">
            <v>0</v>
          </cell>
          <cell r="O299" t="str">
            <v/>
          </cell>
          <cell r="P299" t="str">
            <v/>
          </cell>
          <cell r="Q299" t="str">
            <v/>
          </cell>
          <cell r="R299" t="str">
            <v/>
          </cell>
          <cell r="V299" t="str">
            <v/>
          </cell>
          <cell r="W299" t="str">
            <v/>
          </cell>
          <cell r="Y299" t="str">
            <v/>
          </cell>
          <cell r="Z299" t="str">
            <v/>
          </cell>
        </row>
        <row r="300">
          <cell r="A300">
            <v>990003</v>
          </cell>
          <cell r="B300">
            <v>5952.61</v>
          </cell>
          <cell r="C300">
            <v>1557.57</v>
          </cell>
          <cell r="E300">
            <v>990003</v>
          </cell>
          <cell r="F300">
            <v>117</v>
          </cell>
          <cell r="G300">
            <v>19</v>
          </cell>
          <cell r="H300">
            <v>290</v>
          </cell>
          <cell r="I300">
            <v>277</v>
          </cell>
          <cell r="J300">
            <v>852</v>
          </cell>
          <cell r="K300">
            <v>1557.57</v>
          </cell>
          <cell r="L300">
            <v>5952.61</v>
          </cell>
          <cell r="M300">
            <v>0</v>
          </cell>
          <cell r="N300">
            <v>0</v>
          </cell>
          <cell r="O300" t="str">
            <v/>
          </cell>
          <cell r="P300" t="str">
            <v/>
          </cell>
          <cell r="Q300" t="str">
            <v/>
          </cell>
          <cell r="R300" t="str">
            <v/>
          </cell>
          <cell r="V300" t="str">
            <v/>
          </cell>
          <cell r="W300" t="str">
            <v/>
          </cell>
          <cell r="Y300" t="str">
            <v/>
          </cell>
          <cell r="Z300" t="str">
            <v/>
          </cell>
        </row>
        <row r="301">
          <cell r="A301">
            <v>990006</v>
          </cell>
          <cell r="B301">
            <v>1532.12</v>
          </cell>
          <cell r="C301">
            <v>810.65</v>
          </cell>
          <cell r="E301">
            <v>990006</v>
          </cell>
          <cell r="F301">
            <v>114</v>
          </cell>
          <cell r="G301">
            <v>5</v>
          </cell>
          <cell r="H301">
            <v>290</v>
          </cell>
          <cell r="I301">
            <v>169</v>
          </cell>
          <cell r="J301">
            <v>231</v>
          </cell>
          <cell r="K301">
            <v>810.65</v>
          </cell>
          <cell r="L301">
            <v>1532.12</v>
          </cell>
          <cell r="M301">
            <v>0</v>
          </cell>
          <cell r="N301">
            <v>0</v>
          </cell>
          <cell r="O301" t="str">
            <v/>
          </cell>
          <cell r="P301" t="str">
            <v/>
          </cell>
          <cell r="Q301" t="str">
            <v/>
          </cell>
          <cell r="R301" t="str">
            <v/>
          </cell>
          <cell r="V301" t="str">
            <v/>
          </cell>
          <cell r="W301" t="str">
            <v/>
          </cell>
          <cell r="Y301" t="str">
            <v/>
          </cell>
          <cell r="Z301" t="str">
            <v/>
          </cell>
        </row>
        <row r="302">
          <cell r="A302">
            <v>990007</v>
          </cell>
          <cell r="B302">
            <v>1522.58</v>
          </cell>
          <cell r="C302">
            <v>809.04</v>
          </cell>
          <cell r="E302">
            <v>990007</v>
          </cell>
          <cell r="F302">
            <v>114</v>
          </cell>
          <cell r="G302">
            <v>5</v>
          </cell>
          <cell r="H302">
            <v>290</v>
          </cell>
          <cell r="I302">
            <v>169</v>
          </cell>
          <cell r="J302">
            <v>229</v>
          </cell>
          <cell r="K302">
            <v>809.04</v>
          </cell>
          <cell r="L302">
            <v>1522.58</v>
          </cell>
          <cell r="M302">
            <v>0</v>
          </cell>
          <cell r="N302">
            <v>0</v>
          </cell>
          <cell r="O302" t="str">
            <v/>
          </cell>
          <cell r="P302" t="str">
            <v/>
          </cell>
          <cell r="Q302" t="str">
            <v/>
          </cell>
          <cell r="R302" t="str">
            <v/>
          </cell>
          <cell r="V302" t="str">
            <v/>
          </cell>
          <cell r="W302" t="str">
            <v/>
          </cell>
          <cell r="Y302" t="str">
            <v/>
          </cell>
          <cell r="Z302" t="str">
            <v/>
          </cell>
        </row>
        <row r="303">
          <cell r="A303">
            <v>990011</v>
          </cell>
          <cell r="B303">
            <v>6510.04</v>
          </cell>
          <cell r="C303">
            <v>1659.85</v>
          </cell>
          <cell r="E303">
            <v>990011</v>
          </cell>
          <cell r="F303">
            <v>114</v>
          </cell>
          <cell r="G303">
            <v>21</v>
          </cell>
          <cell r="H303">
            <v>290</v>
          </cell>
          <cell r="I303">
            <v>302</v>
          </cell>
          <cell r="J303">
            <v>930</v>
          </cell>
          <cell r="K303">
            <v>1659.85</v>
          </cell>
          <cell r="L303">
            <v>6510.04</v>
          </cell>
          <cell r="M303">
            <v>0</v>
          </cell>
          <cell r="N303">
            <v>0</v>
          </cell>
          <cell r="O303" t="str">
            <v/>
          </cell>
          <cell r="P303" t="str">
            <v/>
          </cell>
          <cell r="Q303" t="str">
            <v/>
          </cell>
          <cell r="R303" t="str">
            <v/>
          </cell>
          <cell r="V303" t="str">
            <v/>
          </cell>
          <cell r="W303" t="str">
            <v/>
          </cell>
          <cell r="Y303" t="str">
            <v/>
          </cell>
          <cell r="Z303" t="str">
            <v/>
          </cell>
        </row>
        <row r="304">
          <cell r="A304">
            <v>990013</v>
          </cell>
          <cell r="B304">
            <v>201409.35</v>
          </cell>
          <cell r="C304">
            <v>34432.68</v>
          </cell>
          <cell r="E304">
            <v>990013</v>
          </cell>
          <cell r="F304">
            <v>335</v>
          </cell>
          <cell r="G304">
            <v>645</v>
          </cell>
          <cell r="H304">
            <v>290</v>
          </cell>
          <cell r="I304">
            <v>4812</v>
          </cell>
          <cell r="J304">
            <v>28348</v>
          </cell>
          <cell r="K304">
            <v>34432.68</v>
          </cell>
          <cell r="L304">
            <v>201409.35</v>
          </cell>
          <cell r="M304">
            <v>0</v>
          </cell>
          <cell r="N304">
            <v>0</v>
          </cell>
          <cell r="O304" t="str">
            <v/>
          </cell>
          <cell r="P304" t="str">
            <v/>
          </cell>
          <cell r="Q304" t="str">
            <v/>
          </cell>
          <cell r="R304" t="str">
            <v/>
          </cell>
          <cell r="V304" t="str">
            <v/>
          </cell>
          <cell r="W304" t="str">
            <v/>
          </cell>
          <cell r="Y304" t="str">
            <v/>
          </cell>
          <cell r="Z304" t="str">
            <v/>
          </cell>
        </row>
        <row r="305">
          <cell r="A305">
            <v>990014</v>
          </cell>
          <cell r="B305">
            <v>1829.43</v>
          </cell>
          <cell r="C305">
            <v>1147.79</v>
          </cell>
          <cell r="E305">
            <v>990014</v>
          </cell>
          <cell r="F305">
            <v>355</v>
          </cell>
          <cell r="G305">
            <v>13</v>
          </cell>
          <cell r="H305">
            <v>290</v>
          </cell>
          <cell r="I305">
            <v>181</v>
          </cell>
          <cell r="J305">
            <v>307</v>
          </cell>
          <cell r="K305">
            <v>1147.79</v>
          </cell>
          <cell r="L305">
            <v>1829.43</v>
          </cell>
          <cell r="M305">
            <v>0</v>
          </cell>
          <cell r="N305">
            <v>0</v>
          </cell>
          <cell r="O305" t="str">
            <v/>
          </cell>
          <cell r="P305" t="str">
            <v/>
          </cell>
          <cell r="Q305" t="str">
            <v/>
          </cell>
          <cell r="R305" t="str">
            <v/>
          </cell>
          <cell r="V305" t="str">
            <v/>
          </cell>
          <cell r="W305" t="str">
            <v/>
          </cell>
          <cell r="Y305" t="str">
            <v/>
          </cell>
          <cell r="Z305" t="str">
            <v/>
          </cell>
        </row>
        <row r="306">
          <cell r="A306">
            <v>990018</v>
          </cell>
          <cell r="B306">
            <v>13987.77</v>
          </cell>
          <cell r="C306">
            <v>5361.91</v>
          </cell>
          <cell r="E306">
            <v>990018</v>
          </cell>
          <cell r="F306">
            <v>201</v>
          </cell>
          <cell r="G306">
            <v>126</v>
          </cell>
          <cell r="H306">
            <v>422</v>
          </cell>
          <cell r="I306">
            <v>717</v>
          </cell>
          <cell r="J306">
            <v>3893</v>
          </cell>
          <cell r="K306">
            <v>5361.91</v>
          </cell>
          <cell r="L306">
            <v>13987.77</v>
          </cell>
          <cell r="M306">
            <v>0</v>
          </cell>
          <cell r="N306">
            <v>0</v>
          </cell>
          <cell r="O306" t="str">
            <v/>
          </cell>
          <cell r="P306" t="str">
            <v/>
          </cell>
          <cell r="Q306" t="str">
            <v/>
          </cell>
          <cell r="R306" t="str">
            <v/>
          </cell>
          <cell r="V306" t="str">
            <v/>
          </cell>
          <cell r="W306" t="str">
            <v/>
          </cell>
          <cell r="Y306" t="str">
            <v/>
          </cell>
          <cell r="Z306" t="str">
            <v/>
          </cell>
        </row>
        <row r="307">
          <cell r="A307">
            <v>990020</v>
          </cell>
          <cell r="B307">
            <v>2120.7399999999998</v>
          </cell>
          <cell r="C307">
            <v>892.87</v>
          </cell>
          <cell r="E307">
            <v>990020</v>
          </cell>
          <cell r="F307">
            <v>120</v>
          </cell>
          <cell r="G307">
            <v>7</v>
          </cell>
          <cell r="H307">
            <v>290</v>
          </cell>
          <cell r="I307">
            <v>182</v>
          </cell>
          <cell r="J307">
            <v>292</v>
          </cell>
          <cell r="K307">
            <v>892.87</v>
          </cell>
          <cell r="L307">
            <v>2120.7399999999998</v>
          </cell>
          <cell r="M307">
            <v>0</v>
          </cell>
          <cell r="N307">
            <v>0</v>
          </cell>
          <cell r="O307" t="str">
            <v/>
          </cell>
          <cell r="P307" t="str">
            <v/>
          </cell>
          <cell r="Q307" t="str">
            <v/>
          </cell>
          <cell r="R307" t="str">
            <v/>
          </cell>
          <cell r="V307" t="str">
            <v/>
          </cell>
          <cell r="W307" t="str">
            <v/>
          </cell>
          <cell r="Y307" t="str">
            <v/>
          </cell>
          <cell r="Z307" t="str">
            <v/>
          </cell>
        </row>
        <row r="308">
          <cell r="A308">
            <v>990022</v>
          </cell>
          <cell r="B308">
            <v>2465.14</v>
          </cell>
          <cell r="C308">
            <v>1112.26</v>
          </cell>
          <cell r="E308">
            <v>990022</v>
          </cell>
          <cell r="F308">
            <v>128</v>
          </cell>
          <cell r="G308">
            <v>8</v>
          </cell>
          <cell r="H308">
            <v>290</v>
          </cell>
          <cell r="I308">
            <v>190</v>
          </cell>
          <cell r="J308">
            <v>494</v>
          </cell>
          <cell r="K308">
            <v>1112.26</v>
          </cell>
          <cell r="L308">
            <v>2465.14</v>
          </cell>
          <cell r="M308">
            <v>0</v>
          </cell>
          <cell r="N308">
            <v>0</v>
          </cell>
          <cell r="O308" t="str">
            <v/>
          </cell>
          <cell r="P308" t="str">
            <v/>
          </cell>
          <cell r="Q308" t="str">
            <v/>
          </cell>
          <cell r="R308" t="str">
            <v/>
          </cell>
          <cell r="V308" t="str">
            <v/>
          </cell>
          <cell r="W308" t="str">
            <v/>
          </cell>
          <cell r="Y308" t="str">
            <v/>
          </cell>
          <cell r="Z308" t="str">
            <v/>
          </cell>
        </row>
        <row r="309">
          <cell r="A309">
            <v>990024</v>
          </cell>
          <cell r="B309">
            <v>108.58</v>
          </cell>
          <cell r="C309">
            <v>718.18</v>
          </cell>
          <cell r="E309">
            <v>990024</v>
          </cell>
          <cell r="F309">
            <v>226</v>
          </cell>
          <cell r="G309">
            <v>2</v>
          </cell>
          <cell r="H309">
            <v>290</v>
          </cell>
          <cell r="I309">
            <v>139</v>
          </cell>
          <cell r="J309">
            <v>60</v>
          </cell>
          <cell r="K309">
            <v>718.18</v>
          </cell>
          <cell r="L309">
            <v>108.58</v>
          </cell>
          <cell r="M309">
            <v>0</v>
          </cell>
          <cell r="N309">
            <v>0</v>
          </cell>
          <cell r="O309" t="str">
            <v/>
          </cell>
          <cell r="P309" t="str">
            <v/>
          </cell>
          <cell r="Q309" t="str">
            <v/>
          </cell>
          <cell r="R309" t="str">
            <v/>
          </cell>
          <cell r="V309" t="str">
            <v/>
          </cell>
          <cell r="W309" t="str">
            <v/>
          </cell>
          <cell r="Y309" t="str">
            <v/>
          </cell>
          <cell r="Z309" t="str">
            <v/>
          </cell>
        </row>
        <row r="310">
          <cell r="A310">
            <v>990025</v>
          </cell>
          <cell r="B310">
            <v>38651.82</v>
          </cell>
          <cell r="C310">
            <v>12856.79</v>
          </cell>
          <cell r="E310">
            <v>990025</v>
          </cell>
          <cell r="F310">
            <v>634</v>
          </cell>
          <cell r="G310">
            <v>351</v>
          </cell>
          <cell r="H310">
            <v>409</v>
          </cell>
          <cell r="I310">
            <v>1539</v>
          </cell>
          <cell r="J310">
            <v>9922</v>
          </cell>
          <cell r="K310">
            <v>12856.79</v>
          </cell>
          <cell r="L310">
            <v>38651.82</v>
          </cell>
          <cell r="M310">
            <v>0</v>
          </cell>
          <cell r="N310">
            <v>0</v>
          </cell>
          <cell r="O310" t="str">
            <v/>
          </cell>
          <cell r="P310" t="str">
            <v/>
          </cell>
          <cell r="Q310" t="str">
            <v/>
          </cell>
          <cell r="R310" t="str">
            <v/>
          </cell>
          <cell r="V310" t="str">
            <v/>
          </cell>
          <cell r="W310" t="str">
            <v/>
          </cell>
          <cell r="Y310" t="str">
            <v/>
          </cell>
          <cell r="Z310" t="str">
            <v/>
          </cell>
        </row>
        <row r="311">
          <cell r="A311">
            <v>990026</v>
          </cell>
          <cell r="B311">
            <v>965.82</v>
          </cell>
          <cell r="C311">
            <v>4066.63</v>
          </cell>
          <cell r="E311">
            <v>990026</v>
          </cell>
          <cell r="F311">
            <v>2755</v>
          </cell>
          <cell r="G311">
            <v>23</v>
          </cell>
          <cell r="H311">
            <v>290</v>
          </cell>
          <cell r="I311">
            <v>215</v>
          </cell>
          <cell r="J311">
            <v>782</v>
          </cell>
          <cell r="K311">
            <v>4066.63</v>
          </cell>
          <cell r="L311">
            <v>965.82</v>
          </cell>
          <cell r="M311">
            <v>0</v>
          </cell>
          <cell r="N311">
            <v>0</v>
          </cell>
          <cell r="O311" t="str">
            <v/>
          </cell>
          <cell r="P311" t="str">
            <v/>
          </cell>
          <cell r="Q311" t="str">
            <v/>
          </cell>
          <cell r="R311" t="str">
            <v/>
          </cell>
          <cell r="V311" t="str">
            <v/>
          </cell>
          <cell r="W311" t="str">
            <v/>
          </cell>
          <cell r="Y311" t="str">
            <v/>
          </cell>
          <cell r="Z311" t="str">
            <v/>
          </cell>
        </row>
        <row r="312">
          <cell r="A312">
            <v>990032</v>
          </cell>
          <cell r="B312">
            <v>962.04</v>
          </cell>
          <cell r="C312">
            <v>814.29</v>
          </cell>
          <cell r="E312">
            <v>990032</v>
          </cell>
          <cell r="F312">
            <v>193</v>
          </cell>
          <cell r="G312">
            <v>7</v>
          </cell>
          <cell r="H312">
            <v>290</v>
          </cell>
          <cell r="I312">
            <v>158</v>
          </cell>
          <cell r="J312">
            <v>165</v>
          </cell>
          <cell r="K312">
            <v>814.29</v>
          </cell>
          <cell r="L312">
            <v>962.04</v>
          </cell>
          <cell r="M312">
            <v>0</v>
          </cell>
          <cell r="N312">
            <v>0</v>
          </cell>
          <cell r="O312" t="str">
            <v/>
          </cell>
          <cell r="P312" t="str">
            <v/>
          </cell>
          <cell r="Q312" t="str">
            <v/>
          </cell>
          <cell r="R312" t="str">
            <v/>
          </cell>
          <cell r="V312" t="str">
            <v/>
          </cell>
          <cell r="W312" t="str">
            <v/>
          </cell>
          <cell r="Y312" t="str">
            <v/>
          </cell>
          <cell r="Z312" t="str">
            <v/>
          </cell>
        </row>
        <row r="313">
          <cell r="A313">
            <v>990037</v>
          </cell>
          <cell r="B313">
            <v>1464.7</v>
          </cell>
          <cell r="C313">
            <v>909.4</v>
          </cell>
          <cell r="E313">
            <v>990037</v>
          </cell>
          <cell r="F313">
            <v>140</v>
          </cell>
          <cell r="G313">
            <v>5</v>
          </cell>
          <cell r="H313">
            <v>290</v>
          </cell>
          <cell r="I313">
            <v>168</v>
          </cell>
          <cell r="J313">
            <v>305</v>
          </cell>
          <cell r="K313">
            <v>909.4</v>
          </cell>
          <cell r="L313">
            <v>1464.7</v>
          </cell>
          <cell r="M313">
            <v>0</v>
          </cell>
          <cell r="N313">
            <v>0</v>
          </cell>
          <cell r="O313" t="str">
            <v/>
          </cell>
          <cell r="P313" t="str">
            <v/>
          </cell>
          <cell r="Q313" t="str">
            <v/>
          </cell>
          <cell r="R313" t="str">
            <v/>
          </cell>
          <cell r="V313" t="str">
            <v/>
          </cell>
          <cell r="W313" t="str">
            <v/>
          </cell>
          <cell r="Y313" t="str">
            <v/>
          </cell>
          <cell r="Z313" t="str">
            <v/>
          </cell>
        </row>
        <row r="314">
          <cell r="A314">
            <v>990038</v>
          </cell>
          <cell r="B314">
            <v>706.97</v>
          </cell>
          <cell r="C314">
            <v>714.64</v>
          </cell>
          <cell r="E314">
            <v>990038</v>
          </cell>
          <cell r="F314">
            <v>114</v>
          </cell>
          <cell r="G314">
            <v>2</v>
          </cell>
          <cell r="H314">
            <v>290</v>
          </cell>
          <cell r="I314">
            <v>150</v>
          </cell>
          <cell r="J314">
            <v>156</v>
          </cell>
          <cell r="K314">
            <v>714.64</v>
          </cell>
          <cell r="L314">
            <v>706.97</v>
          </cell>
          <cell r="M314">
            <v>0</v>
          </cell>
          <cell r="N314">
            <v>0</v>
          </cell>
          <cell r="O314" t="str">
            <v/>
          </cell>
          <cell r="P314" t="str">
            <v/>
          </cell>
          <cell r="Q314" t="str">
            <v/>
          </cell>
          <cell r="R314" t="str">
            <v/>
          </cell>
          <cell r="V314" t="str">
            <v/>
          </cell>
          <cell r="W314" t="str">
            <v/>
          </cell>
          <cell r="Y314" t="str">
            <v/>
          </cell>
          <cell r="Z314" t="str">
            <v/>
          </cell>
        </row>
        <row r="315">
          <cell r="A315">
            <v>990040</v>
          </cell>
          <cell r="B315">
            <v>2459.3000000000002</v>
          </cell>
          <cell r="C315">
            <v>1097.32</v>
          </cell>
          <cell r="E315">
            <v>990040</v>
          </cell>
          <cell r="F315">
            <v>220</v>
          </cell>
          <cell r="G315">
            <v>16</v>
          </cell>
          <cell r="H315">
            <v>290</v>
          </cell>
          <cell r="I315">
            <v>192</v>
          </cell>
          <cell r="J315">
            <v>377</v>
          </cell>
          <cell r="K315">
            <v>1097.32</v>
          </cell>
          <cell r="L315">
            <v>2459.3000000000002</v>
          </cell>
          <cell r="M315">
            <v>0</v>
          </cell>
          <cell r="N315">
            <v>0</v>
          </cell>
          <cell r="O315" t="str">
            <v/>
          </cell>
          <cell r="P315" t="str">
            <v/>
          </cell>
          <cell r="Q315" t="str">
            <v/>
          </cell>
          <cell r="R315" t="str">
            <v/>
          </cell>
          <cell r="V315" t="str">
            <v/>
          </cell>
          <cell r="W315" t="str">
            <v/>
          </cell>
          <cell r="Y315" t="str">
            <v/>
          </cell>
          <cell r="Z315" t="str">
            <v/>
          </cell>
        </row>
        <row r="316">
          <cell r="A316">
            <v>990046</v>
          </cell>
          <cell r="B316">
            <v>2175.3000000000002</v>
          </cell>
          <cell r="C316">
            <v>1281.54</v>
          </cell>
          <cell r="E316">
            <v>990046</v>
          </cell>
          <cell r="F316">
            <v>171</v>
          </cell>
          <cell r="G316">
            <v>10</v>
          </cell>
          <cell r="H316">
            <v>422</v>
          </cell>
          <cell r="I316">
            <v>207</v>
          </cell>
          <cell r="J316">
            <v>469</v>
          </cell>
          <cell r="K316">
            <v>1281.54</v>
          </cell>
          <cell r="L316">
            <v>2175.3000000000002</v>
          </cell>
          <cell r="M316">
            <v>0</v>
          </cell>
          <cell r="N316">
            <v>0</v>
          </cell>
          <cell r="O316" t="str">
            <v/>
          </cell>
          <cell r="P316" t="str">
            <v/>
          </cell>
          <cell r="Q316" t="str">
            <v/>
          </cell>
          <cell r="R316" t="str">
            <v/>
          </cell>
          <cell r="V316" t="str">
            <v/>
          </cell>
          <cell r="W316" t="str">
            <v/>
          </cell>
          <cell r="Y316" t="str">
            <v/>
          </cell>
          <cell r="Z316" t="str">
            <v/>
          </cell>
        </row>
        <row r="317">
          <cell r="A317">
            <v>990048</v>
          </cell>
          <cell r="B317">
            <v>22625.439999999999</v>
          </cell>
          <cell r="C317">
            <v>4609.4799999999996</v>
          </cell>
          <cell r="E317">
            <v>990048</v>
          </cell>
          <cell r="F317">
            <v>259</v>
          </cell>
          <cell r="G317">
            <v>73</v>
          </cell>
          <cell r="H317">
            <v>290</v>
          </cell>
          <cell r="I317">
            <v>772</v>
          </cell>
          <cell r="J317">
            <v>3213</v>
          </cell>
          <cell r="K317">
            <v>4609.4799999999996</v>
          </cell>
          <cell r="L317">
            <v>22625.439999999999</v>
          </cell>
          <cell r="M317">
            <v>0</v>
          </cell>
          <cell r="N317">
            <v>0</v>
          </cell>
          <cell r="O317" t="str">
            <v/>
          </cell>
          <cell r="P317" t="str">
            <v/>
          </cell>
          <cell r="Q317" t="str">
            <v/>
          </cell>
          <cell r="R317" t="str">
            <v/>
          </cell>
          <cell r="V317" t="str">
            <v/>
          </cell>
          <cell r="W317" t="str">
            <v/>
          </cell>
          <cell r="Y317" t="str">
            <v/>
          </cell>
          <cell r="Z317" t="str">
            <v/>
          </cell>
        </row>
        <row r="318">
          <cell r="A318">
            <v>990050</v>
          </cell>
          <cell r="B318">
            <v>1027.23</v>
          </cell>
          <cell r="C318">
            <v>730.17</v>
          </cell>
          <cell r="E318">
            <v>990050</v>
          </cell>
          <cell r="F318">
            <v>117</v>
          </cell>
          <cell r="G318">
            <v>3</v>
          </cell>
          <cell r="H318">
            <v>290</v>
          </cell>
          <cell r="I318">
            <v>157</v>
          </cell>
          <cell r="J318">
            <v>160</v>
          </cell>
          <cell r="K318">
            <v>730.17</v>
          </cell>
          <cell r="L318">
            <v>1027.23</v>
          </cell>
          <cell r="M318">
            <v>0</v>
          </cell>
          <cell r="N318">
            <v>0</v>
          </cell>
          <cell r="O318" t="str">
            <v/>
          </cell>
          <cell r="P318" t="str">
            <v/>
          </cell>
          <cell r="Q318" t="str">
            <v/>
          </cell>
          <cell r="R318" t="str">
            <v/>
          </cell>
          <cell r="V318" t="str">
            <v/>
          </cell>
          <cell r="W318" t="str">
            <v/>
          </cell>
          <cell r="Y318" t="str">
            <v/>
          </cell>
          <cell r="Z318" t="str">
            <v/>
          </cell>
        </row>
        <row r="319">
          <cell r="A319">
            <v>990051</v>
          </cell>
          <cell r="B319">
            <v>5583.27</v>
          </cell>
          <cell r="C319">
            <v>1474.6</v>
          </cell>
          <cell r="E319">
            <v>990051</v>
          </cell>
          <cell r="F319">
            <v>106</v>
          </cell>
          <cell r="G319">
            <v>18</v>
          </cell>
          <cell r="H319">
            <v>290</v>
          </cell>
          <cell r="I319">
            <v>261</v>
          </cell>
          <cell r="J319">
            <v>799</v>
          </cell>
          <cell r="K319">
            <v>1474.6</v>
          </cell>
          <cell r="L319">
            <v>5583.27</v>
          </cell>
          <cell r="M319">
            <v>0</v>
          </cell>
          <cell r="N319">
            <v>0</v>
          </cell>
          <cell r="O319" t="str">
            <v/>
          </cell>
          <cell r="P319" t="str">
            <v/>
          </cell>
          <cell r="Q319" t="str">
            <v/>
          </cell>
          <cell r="R319" t="str">
            <v/>
          </cell>
          <cell r="V319" t="str">
            <v/>
          </cell>
          <cell r="W319" t="str">
            <v/>
          </cell>
          <cell r="Y319" t="str">
            <v/>
          </cell>
          <cell r="Z319" t="str">
            <v/>
          </cell>
        </row>
        <row r="320">
          <cell r="A320">
            <v>990052</v>
          </cell>
          <cell r="B320">
            <v>3967.75</v>
          </cell>
          <cell r="C320">
            <v>1218.9000000000001</v>
          </cell>
          <cell r="E320">
            <v>990052</v>
          </cell>
          <cell r="F320">
            <v>117</v>
          </cell>
          <cell r="G320">
            <v>13</v>
          </cell>
          <cell r="H320">
            <v>290</v>
          </cell>
          <cell r="I320">
            <v>224</v>
          </cell>
          <cell r="J320">
            <v>573</v>
          </cell>
          <cell r="K320">
            <v>1218.9000000000001</v>
          </cell>
          <cell r="L320">
            <v>3967.75</v>
          </cell>
          <cell r="M320">
            <v>0</v>
          </cell>
          <cell r="N320">
            <v>0</v>
          </cell>
          <cell r="O320" t="str">
            <v/>
          </cell>
          <cell r="P320" t="str">
            <v/>
          </cell>
          <cell r="Q320" t="str">
            <v/>
          </cell>
          <cell r="R320" t="str">
            <v/>
          </cell>
          <cell r="V320" t="str">
            <v/>
          </cell>
          <cell r="W320" t="str">
            <v/>
          </cell>
          <cell r="Y320" t="str">
            <v/>
          </cell>
          <cell r="Z320" t="str">
            <v/>
          </cell>
        </row>
        <row r="321">
          <cell r="A321">
            <v>990053</v>
          </cell>
          <cell r="B321">
            <v>7221.79</v>
          </cell>
          <cell r="C321">
            <v>2262.58</v>
          </cell>
          <cell r="E321">
            <v>990053</v>
          </cell>
          <cell r="F321">
            <v>174</v>
          </cell>
          <cell r="G321">
            <v>45</v>
          </cell>
          <cell r="H321">
            <v>290</v>
          </cell>
          <cell r="I321">
            <v>338</v>
          </cell>
          <cell r="J321">
            <v>1414</v>
          </cell>
          <cell r="K321">
            <v>2262.58</v>
          </cell>
          <cell r="L321">
            <v>7221.79</v>
          </cell>
          <cell r="M321">
            <v>0</v>
          </cell>
          <cell r="N321">
            <v>0</v>
          </cell>
          <cell r="O321" t="str">
            <v/>
          </cell>
          <cell r="P321" t="str">
            <v/>
          </cell>
          <cell r="Q321" t="str">
            <v/>
          </cell>
          <cell r="R321" t="str">
            <v/>
          </cell>
          <cell r="V321" t="str">
            <v/>
          </cell>
          <cell r="W321" t="str">
            <v/>
          </cell>
          <cell r="Y321" t="str">
            <v/>
          </cell>
          <cell r="Z321" t="str">
            <v/>
          </cell>
        </row>
        <row r="322">
          <cell r="A322">
            <v>990054</v>
          </cell>
          <cell r="B322">
            <v>1566.48</v>
          </cell>
          <cell r="C322">
            <v>948.73</v>
          </cell>
          <cell r="E322">
            <v>990054</v>
          </cell>
          <cell r="F322">
            <v>121</v>
          </cell>
          <cell r="G322">
            <v>10</v>
          </cell>
          <cell r="H322">
            <v>290</v>
          </cell>
          <cell r="I322">
            <v>170</v>
          </cell>
          <cell r="J322">
            <v>356</v>
          </cell>
          <cell r="K322">
            <v>948.73</v>
          </cell>
          <cell r="L322">
            <v>1566.48</v>
          </cell>
          <cell r="M322">
            <v>0</v>
          </cell>
          <cell r="N322">
            <v>0</v>
          </cell>
          <cell r="O322" t="str">
            <v/>
          </cell>
          <cell r="P322" t="str">
            <v/>
          </cell>
          <cell r="Q322" t="str">
            <v/>
          </cell>
          <cell r="R322" t="str">
            <v/>
          </cell>
          <cell r="V322" t="str">
            <v/>
          </cell>
          <cell r="W322" t="str">
            <v/>
          </cell>
          <cell r="Y322" t="str">
            <v/>
          </cell>
          <cell r="Z322" t="str">
            <v/>
          </cell>
        </row>
        <row r="323">
          <cell r="A323">
            <v>990055</v>
          </cell>
          <cell r="B323">
            <v>503846.6</v>
          </cell>
          <cell r="C323">
            <v>158992.09</v>
          </cell>
          <cell r="E323">
            <v>990055</v>
          </cell>
          <cell r="F323">
            <v>65288</v>
          </cell>
          <cell r="G323">
            <v>3528</v>
          </cell>
          <cell r="H323">
            <v>290</v>
          </cell>
          <cell r="I323">
            <v>13141</v>
          </cell>
          <cell r="J323">
            <v>28635</v>
          </cell>
          <cell r="K323">
            <v>158992.09</v>
          </cell>
          <cell r="L323">
            <v>503846.6</v>
          </cell>
          <cell r="M323">
            <v>48107</v>
          </cell>
          <cell r="N323">
            <v>0</v>
          </cell>
          <cell r="O323" t="str">
            <v/>
          </cell>
          <cell r="P323" t="str">
            <v/>
          </cell>
          <cell r="Q323" t="str">
            <v/>
          </cell>
          <cell r="R323" t="str">
            <v/>
          </cell>
          <cell r="V323" t="str">
            <v/>
          </cell>
          <cell r="W323" t="str">
            <v/>
          </cell>
          <cell r="Y323" t="str">
            <v/>
          </cell>
          <cell r="Z323" t="str">
            <v/>
          </cell>
        </row>
        <row r="324">
          <cell r="A324">
            <v>990057</v>
          </cell>
          <cell r="B324">
            <v>22453</v>
          </cell>
          <cell r="C324">
            <v>8419.84</v>
          </cell>
          <cell r="E324">
            <v>990057</v>
          </cell>
          <cell r="F324">
            <v>661</v>
          </cell>
          <cell r="G324">
            <v>74</v>
          </cell>
          <cell r="H324">
            <v>290</v>
          </cell>
          <cell r="I324">
            <v>778</v>
          </cell>
          <cell r="J324">
            <v>4407</v>
          </cell>
          <cell r="K324">
            <v>8419.84</v>
          </cell>
          <cell r="L324">
            <v>22453</v>
          </cell>
          <cell r="M324">
            <v>2208</v>
          </cell>
          <cell r="N324">
            <v>0</v>
          </cell>
          <cell r="O324" t="str">
            <v/>
          </cell>
          <cell r="P324" t="str">
            <v/>
          </cell>
          <cell r="Q324" t="str">
            <v/>
          </cell>
          <cell r="R324" t="str">
            <v/>
          </cell>
          <cell r="V324" t="str">
            <v/>
          </cell>
          <cell r="W324" t="str">
            <v/>
          </cell>
          <cell r="Y324" t="str">
            <v/>
          </cell>
          <cell r="Z324" t="str">
            <v/>
          </cell>
        </row>
        <row r="325">
          <cell r="A325">
            <v>990059</v>
          </cell>
          <cell r="B325">
            <v>4302.97</v>
          </cell>
          <cell r="C325">
            <v>1582.76</v>
          </cell>
          <cell r="E325">
            <v>990059</v>
          </cell>
          <cell r="F325">
            <v>116</v>
          </cell>
          <cell r="G325">
            <v>14</v>
          </cell>
          <cell r="H325">
            <v>290</v>
          </cell>
          <cell r="I325">
            <v>231</v>
          </cell>
          <cell r="J325">
            <v>930</v>
          </cell>
          <cell r="K325">
            <v>1582.76</v>
          </cell>
          <cell r="L325">
            <v>4302.97</v>
          </cell>
          <cell r="M325">
            <v>0</v>
          </cell>
          <cell r="N325">
            <v>0</v>
          </cell>
          <cell r="O325" t="str">
            <v/>
          </cell>
          <cell r="P325" t="str">
            <v/>
          </cell>
          <cell r="Q325" t="str">
            <v/>
          </cell>
          <cell r="R325" t="str">
            <v/>
          </cell>
          <cell r="V325" t="str">
            <v/>
          </cell>
          <cell r="W325" t="str">
            <v/>
          </cell>
          <cell r="Y325" t="str">
            <v/>
          </cell>
          <cell r="Z325" t="str">
            <v/>
          </cell>
        </row>
        <row r="326">
          <cell r="A326">
            <v>990060</v>
          </cell>
          <cell r="B326">
            <v>21083.87</v>
          </cell>
          <cell r="C326">
            <v>9013.5300000000007</v>
          </cell>
          <cell r="E326">
            <v>990060</v>
          </cell>
          <cell r="F326">
            <v>833</v>
          </cell>
          <cell r="G326">
            <v>260</v>
          </cell>
          <cell r="H326">
            <v>450</v>
          </cell>
          <cell r="I326">
            <v>1018</v>
          </cell>
          <cell r="J326">
            <v>6450</v>
          </cell>
          <cell r="K326">
            <v>9013.5300000000007</v>
          </cell>
          <cell r="L326">
            <v>21083.87</v>
          </cell>
          <cell r="M326">
            <v>0</v>
          </cell>
          <cell r="N326">
            <v>0</v>
          </cell>
          <cell r="O326" t="str">
            <v/>
          </cell>
          <cell r="P326" t="str">
            <v/>
          </cell>
          <cell r="Q326" t="str">
            <v/>
          </cell>
          <cell r="R326" t="str">
            <v/>
          </cell>
          <cell r="V326" t="str">
            <v/>
          </cell>
          <cell r="W326" t="str">
            <v/>
          </cell>
          <cell r="Y326" t="str">
            <v/>
          </cell>
          <cell r="Z326" t="str">
            <v/>
          </cell>
        </row>
        <row r="327">
          <cell r="A327">
            <v>990061</v>
          </cell>
          <cell r="B327">
            <v>2295.0100000000002</v>
          </cell>
          <cell r="C327">
            <v>1030.26</v>
          </cell>
          <cell r="E327">
            <v>990061</v>
          </cell>
          <cell r="F327">
            <v>91</v>
          </cell>
          <cell r="G327">
            <v>7</v>
          </cell>
          <cell r="H327">
            <v>290</v>
          </cell>
          <cell r="I327">
            <v>185</v>
          </cell>
          <cell r="J327">
            <v>455</v>
          </cell>
          <cell r="K327">
            <v>1030.26</v>
          </cell>
          <cell r="L327">
            <v>2295.0100000000002</v>
          </cell>
          <cell r="M327">
            <v>0</v>
          </cell>
          <cell r="N327">
            <v>0</v>
          </cell>
          <cell r="O327" t="str">
            <v/>
          </cell>
          <cell r="P327" t="str">
            <v/>
          </cell>
          <cell r="Q327" t="str">
            <v/>
          </cell>
          <cell r="R327" t="str">
            <v/>
          </cell>
          <cell r="V327" t="str">
            <v/>
          </cell>
          <cell r="W327" t="str">
            <v/>
          </cell>
          <cell r="Y327" t="str">
            <v/>
          </cell>
          <cell r="Z327" t="str">
            <v/>
          </cell>
        </row>
        <row r="328">
          <cell r="A328">
            <v>990063</v>
          </cell>
          <cell r="B328">
            <v>143.09</v>
          </cell>
          <cell r="C328">
            <v>702.93</v>
          </cell>
          <cell r="E328">
            <v>990063</v>
          </cell>
          <cell r="F328">
            <v>204</v>
          </cell>
          <cell r="G328">
            <v>2</v>
          </cell>
          <cell r="H328">
            <v>290</v>
          </cell>
          <cell r="I328">
            <v>140</v>
          </cell>
          <cell r="J328">
            <v>66</v>
          </cell>
          <cell r="K328">
            <v>702.93</v>
          </cell>
          <cell r="L328">
            <v>143.09</v>
          </cell>
          <cell r="M328">
            <v>0</v>
          </cell>
          <cell r="N328">
            <v>0</v>
          </cell>
          <cell r="O328" t="str">
            <v/>
          </cell>
          <cell r="P328" t="str">
            <v/>
          </cell>
          <cell r="Q328" t="str">
            <v/>
          </cell>
          <cell r="R328" t="str">
            <v/>
          </cell>
          <cell r="V328" t="str">
            <v/>
          </cell>
          <cell r="W328" t="str">
            <v/>
          </cell>
          <cell r="Y328" t="str">
            <v/>
          </cell>
          <cell r="Z328" t="str">
            <v/>
          </cell>
        </row>
        <row r="329">
          <cell r="A329">
            <v>990064</v>
          </cell>
          <cell r="B329">
            <v>8264.77</v>
          </cell>
          <cell r="C329">
            <v>1989.78</v>
          </cell>
          <cell r="E329">
            <v>990064</v>
          </cell>
          <cell r="F329">
            <v>114</v>
          </cell>
          <cell r="G329">
            <v>26</v>
          </cell>
          <cell r="H329">
            <v>290</v>
          </cell>
          <cell r="I329">
            <v>381</v>
          </cell>
          <cell r="J329">
            <v>1176</v>
          </cell>
          <cell r="K329">
            <v>1989.78</v>
          </cell>
          <cell r="L329">
            <v>8264.77</v>
          </cell>
          <cell r="M329">
            <v>0</v>
          </cell>
          <cell r="N329">
            <v>0</v>
          </cell>
          <cell r="O329" t="str">
            <v/>
          </cell>
          <cell r="P329" t="str">
            <v/>
          </cell>
          <cell r="Q329" t="str">
            <v/>
          </cell>
          <cell r="R329" t="str">
            <v/>
          </cell>
          <cell r="V329" t="str">
            <v/>
          </cell>
          <cell r="W329" t="str">
            <v/>
          </cell>
          <cell r="Y329" t="str">
            <v/>
          </cell>
          <cell r="Z329" t="str">
            <v/>
          </cell>
        </row>
        <row r="330">
          <cell r="A330">
            <v>990067</v>
          </cell>
          <cell r="B330">
            <v>10340.629999999999</v>
          </cell>
          <cell r="C330">
            <v>2680.9</v>
          </cell>
          <cell r="E330">
            <v>990067</v>
          </cell>
          <cell r="F330">
            <v>335</v>
          </cell>
          <cell r="G330">
            <v>66</v>
          </cell>
          <cell r="H330">
            <v>290</v>
          </cell>
          <cell r="I330">
            <v>485</v>
          </cell>
          <cell r="J330">
            <v>1504</v>
          </cell>
          <cell r="K330">
            <v>2680.9</v>
          </cell>
          <cell r="L330">
            <v>10340.629999999999</v>
          </cell>
          <cell r="M330">
            <v>0</v>
          </cell>
          <cell r="N330">
            <v>0</v>
          </cell>
          <cell r="O330" t="str">
            <v/>
          </cell>
          <cell r="P330" t="str">
            <v/>
          </cell>
          <cell r="Q330" t="str">
            <v/>
          </cell>
          <cell r="R330" t="str">
            <v/>
          </cell>
          <cell r="V330" t="str">
            <v/>
          </cell>
          <cell r="W330" t="str">
            <v/>
          </cell>
          <cell r="Y330" t="str">
            <v/>
          </cell>
          <cell r="Z330" t="str">
            <v/>
          </cell>
        </row>
        <row r="331">
          <cell r="A331">
            <v>990070</v>
          </cell>
          <cell r="B331">
            <v>11111.76</v>
          </cell>
          <cell r="C331">
            <v>3330.69</v>
          </cell>
          <cell r="E331">
            <v>990070</v>
          </cell>
          <cell r="F331">
            <v>126</v>
          </cell>
          <cell r="G331">
            <v>35</v>
          </cell>
          <cell r="H331">
            <v>290</v>
          </cell>
          <cell r="I331">
            <v>509</v>
          </cell>
          <cell r="J331">
            <v>2368</v>
          </cell>
          <cell r="K331">
            <v>3330.69</v>
          </cell>
          <cell r="L331">
            <v>11111.76</v>
          </cell>
          <cell r="M331">
            <v>0</v>
          </cell>
          <cell r="N331">
            <v>0</v>
          </cell>
          <cell r="O331" t="str">
            <v/>
          </cell>
          <cell r="P331" t="str">
            <v/>
          </cell>
          <cell r="Q331" t="str">
            <v/>
          </cell>
          <cell r="R331" t="str">
            <v/>
          </cell>
          <cell r="V331" t="str">
            <v/>
          </cell>
          <cell r="W331" t="str">
            <v/>
          </cell>
          <cell r="Y331" t="str">
            <v/>
          </cell>
          <cell r="Z331" t="str">
            <v/>
          </cell>
        </row>
        <row r="332">
          <cell r="A332">
            <v>990074</v>
          </cell>
          <cell r="B332">
            <v>8170.13</v>
          </cell>
          <cell r="C332">
            <v>3357.69</v>
          </cell>
          <cell r="E332">
            <v>990074</v>
          </cell>
          <cell r="F332">
            <v>79</v>
          </cell>
          <cell r="G332">
            <v>38</v>
          </cell>
          <cell r="H332">
            <v>422</v>
          </cell>
          <cell r="I332">
            <v>527</v>
          </cell>
          <cell r="J332">
            <v>2289</v>
          </cell>
          <cell r="K332">
            <v>3357.69</v>
          </cell>
          <cell r="L332">
            <v>8170.13</v>
          </cell>
          <cell r="M332">
            <v>0</v>
          </cell>
          <cell r="N332">
            <v>0</v>
          </cell>
          <cell r="O332" t="str">
            <v/>
          </cell>
          <cell r="P332" t="str">
            <v/>
          </cell>
          <cell r="Q332" t="str">
            <v/>
          </cell>
          <cell r="R332" t="str">
            <v/>
          </cell>
          <cell r="V332" t="str">
            <v/>
          </cell>
          <cell r="W332" t="str">
            <v/>
          </cell>
          <cell r="Y332" t="str">
            <v/>
          </cell>
          <cell r="Z332" t="str">
            <v/>
          </cell>
        </row>
        <row r="333">
          <cell r="A333">
            <v>990075</v>
          </cell>
          <cell r="B333">
            <v>33310.93</v>
          </cell>
          <cell r="C333">
            <v>6653.43</v>
          </cell>
          <cell r="E333">
            <v>990075</v>
          </cell>
          <cell r="F333">
            <v>1063</v>
          </cell>
          <cell r="G333">
            <v>213</v>
          </cell>
          <cell r="H333">
            <v>290</v>
          </cell>
          <cell r="I333">
            <v>248</v>
          </cell>
          <cell r="J333">
            <v>4837</v>
          </cell>
          <cell r="K333">
            <v>6653.43</v>
          </cell>
          <cell r="L333">
            <v>33310.93</v>
          </cell>
          <cell r="M333">
            <v>0</v>
          </cell>
          <cell r="N333">
            <v>0</v>
          </cell>
          <cell r="O333" t="str">
            <v/>
          </cell>
          <cell r="P333" t="str">
            <v/>
          </cell>
          <cell r="Q333" t="str">
            <v/>
          </cell>
          <cell r="R333" t="str">
            <v/>
          </cell>
          <cell r="V333" t="str">
            <v/>
          </cell>
          <cell r="W333" t="str">
            <v/>
          </cell>
          <cell r="Y333" t="str">
            <v/>
          </cell>
          <cell r="Z333" t="str">
            <v/>
          </cell>
        </row>
        <row r="334">
          <cell r="A334">
            <v>990076</v>
          </cell>
          <cell r="B334">
            <v>8767.67</v>
          </cell>
          <cell r="C334">
            <v>2166.7199999999998</v>
          </cell>
          <cell r="E334">
            <v>990076</v>
          </cell>
          <cell r="F334">
            <v>184</v>
          </cell>
          <cell r="G334">
            <v>28</v>
          </cell>
          <cell r="H334">
            <v>290</v>
          </cell>
          <cell r="I334">
            <v>406</v>
          </cell>
          <cell r="J334">
            <v>1257</v>
          </cell>
          <cell r="K334">
            <v>2166.7199999999998</v>
          </cell>
          <cell r="L334">
            <v>8767.67</v>
          </cell>
          <cell r="M334">
            <v>0</v>
          </cell>
          <cell r="N334">
            <v>0</v>
          </cell>
          <cell r="O334" t="str">
            <v/>
          </cell>
          <cell r="P334" t="str">
            <v/>
          </cell>
          <cell r="Q334" t="str">
            <v/>
          </cell>
          <cell r="R334" t="str">
            <v/>
          </cell>
          <cell r="V334" t="str">
            <v/>
          </cell>
          <cell r="W334" t="str">
            <v/>
          </cell>
          <cell r="Y334" t="str">
            <v/>
          </cell>
          <cell r="Z334" t="str">
            <v/>
          </cell>
        </row>
        <row r="335">
          <cell r="A335">
            <v>990078</v>
          </cell>
          <cell r="B335">
            <v>6531.84</v>
          </cell>
          <cell r="C335">
            <v>2347.1999999999998</v>
          </cell>
          <cell r="E335">
            <v>990078</v>
          </cell>
          <cell r="F335">
            <v>166</v>
          </cell>
          <cell r="G335">
            <v>29</v>
          </cell>
          <cell r="H335">
            <v>409</v>
          </cell>
          <cell r="I335">
            <v>425</v>
          </cell>
          <cell r="J335">
            <v>1316</v>
          </cell>
          <cell r="K335">
            <v>2347.1999999999998</v>
          </cell>
          <cell r="L335">
            <v>6531.84</v>
          </cell>
          <cell r="M335">
            <v>0</v>
          </cell>
          <cell r="N335">
            <v>0</v>
          </cell>
          <cell r="O335" t="str">
            <v/>
          </cell>
          <cell r="P335" t="str">
            <v/>
          </cell>
          <cell r="Q335" t="str">
            <v/>
          </cell>
          <cell r="R335" t="str">
            <v/>
          </cell>
          <cell r="V335" t="str">
            <v/>
          </cell>
          <cell r="W335" t="str">
            <v/>
          </cell>
          <cell r="Y335" t="str">
            <v/>
          </cell>
          <cell r="Z335" t="str">
            <v/>
          </cell>
        </row>
        <row r="336">
          <cell r="A336">
            <v>990079</v>
          </cell>
          <cell r="B336">
            <v>28200.13</v>
          </cell>
          <cell r="C336">
            <v>5559.01</v>
          </cell>
          <cell r="E336">
            <v>990079</v>
          </cell>
          <cell r="F336">
            <v>283</v>
          </cell>
          <cell r="G336">
            <v>91</v>
          </cell>
          <cell r="H336">
            <v>290</v>
          </cell>
          <cell r="I336">
            <v>898</v>
          </cell>
          <cell r="J336">
            <v>3996</v>
          </cell>
          <cell r="K336">
            <v>5559.01</v>
          </cell>
          <cell r="L336">
            <v>28200.13</v>
          </cell>
          <cell r="M336">
            <v>0</v>
          </cell>
          <cell r="N336">
            <v>0</v>
          </cell>
          <cell r="O336" t="str">
            <v/>
          </cell>
          <cell r="P336" t="str">
            <v/>
          </cell>
          <cell r="Q336" t="str">
            <v/>
          </cell>
          <cell r="R336" t="str">
            <v/>
          </cell>
          <cell r="V336" t="str">
            <v/>
          </cell>
          <cell r="W336" t="str">
            <v/>
          </cell>
          <cell r="Y336" t="str">
            <v/>
          </cell>
          <cell r="Z336" t="str">
            <v/>
          </cell>
        </row>
        <row r="337">
          <cell r="A337">
            <v>990080</v>
          </cell>
          <cell r="B337">
            <v>5470.42</v>
          </cell>
          <cell r="C337">
            <v>878.98</v>
          </cell>
          <cell r="E337">
            <v>990080</v>
          </cell>
          <cell r="F337">
            <v>126</v>
          </cell>
          <cell r="G337">
            <v>34</v>
          </cell>
          <cell r="H337">
            <v>290</v>
          </cell>
          <cell r="I337">
            <v>258</v>
          </cell>
          <cell r="J337">
            <v>168</v>
          </cell>
          <cell r="K337">
            <v>878.98</v>
          </cell>
          <cell r="L337">
            <v>5470.42</v>
          </cell>
          <cell r="M337">
            <v>0</v>
          </cell>
          <cell r="N337">
            <v>0</v>
          </cell>
          <cell r="O337" t="str">
            <v/>
          </cell>
          <cell r="P337" t="str">
            <v/>
          </cell>
          <cell r="Q337" t="str">
            <v/>
          </cell>
          <cell r="R337" t="str">
            <v/>
          </cell>
          <cell r="V337" t="str">
            <v/>
          </cell>
          <cell r="W337" t="str">
            <v/>
          </cell>
          <cell r="Y337" t="str">
            <v/>
          </cell>
          <cell r="Z337" t="str">
            <v/>
          </cell>
        </row>
        <row r="338">
          <cell r="A338">
            <v>990083</v>
          </cell>
          <cell r="B338">
            <v>4162.74</v>
          </cell>
          <cell r="C338">
            <v>2129.5</v>
          </cell>
          <cell r="E338">
            <v>990083</v>
          </cell>
          <cell r="F338">
            <v>585</v>
          </cell>
          <cell r="G338">
            <v>15</v>
          </cell>
          <cell r="H338">
            <v>290</v>
          </cell>
          <cell r="I338">
            <v>239</v>
          </cell>
          <cell r="J338">
            <v>999</v>
          </cell>
          <cell r="K338">
            <v>2129.5</v>
          </cell>
          <cell r="L338">
            <v>4162.74</v>
          </cell>
          <cell r="M338">
            <v>0</v>
          </cell>
          <cell r="N338">
            <v>0</v>
          </cell>
          <cell r="O338" t="str">
            <v/>
          </cell>
          <cell r="P338" t="str">
            <v/>
          </cell>
          <cell r="Q338" t="str">
            <v/>
          </cell>
          <cell r="R338" t="str">
            <v/>
          </cell>
          <cell r="V338" t="str">
            <v/>
          </cell>
          <cell r="W338" t="str">
            <v/>
          </cell>
          <cell r="Y338" t="str">
            <v/>
          </cell>
          <cell r="Z338" t="str">
            <v/>
          </cell>
        </row>
        <row r="339">
          <cell r="A339">
            <v>990085</v>
          </cell>
          <cell r="B339">
            <v>2573.21</v>
          </cell>
          <cell r="C339">
            <v>1161.03</v>
          </cell>
          <cell r="E339">
            <v>990085</v>
          </cell>
          <cell r="F339">
            <v>253</v>
          </cell>
          <cell r="G339">
            <v>17</v>
          </cell>
          <cell r="H339">
            <v>290</v>
          </cell>
          <cell r="I339">
            <v>196</v>
          </cell>
          <cell r="J339">
            <v>403</v>
          </cell>
          <cell r="K339">
            <v>1161.03</v>
          </cell>
          <cell r="L339">
            <v>2573.21</v>
          </cell>
          <cell r="M339">
            <v>0</v>
          </cell>
          <cell r="N339">
            <v>0</v>
          </cell>
          <cell r="O339" t="str">
            <v/>
          </cell>
          <cell r="P339" t="str">
            <v/>
          </cell>
          <cell r="Q339" t="str">
            <v/>
          </cell>
          <cell r="R339" t="str">
            <v/>
          </cell>
          <cell r="V339" t="str">
            <v/>
          </cell>
          <cell r="W339" t="str">
            <v/>
          </cell>
          <cell r="Y339" t="str">
            <v/>
          </cell>
          <cell r="Z339" t="str">
            <v/>
          </cell>
        </row>
        <row r="340">
          <cell r="A340">
            <v>990087</v>
          </cell>
          <cell r="B340">
            <v>5616.27</v>
          </cell>
          <cell r="C340">
            <v>1491.47</v>
          </cell>
          <cell r="E340">
            <v>990087</v>
          </cell>
          <cell r="F340">
            <v>114</v>
          </cell>
          <cell r="G340">
            <v>18</v>
          </cell>
          <cell r="H340">
            <v>290</v>
          </cell>
          <cell r="I340">
            <v>263</v>
          </cell>
          <cell r="J340">
            <v>805</v>
          </cell>
          <cell r="K340">
            <v>1491.47</v>
          </cell>
          <cell r="L340">
            <v>5616.27</v>
          </cell>
          <cell r="M340">
            <v>0</v>
          </cell>
          <cell r="N340">
            <v>0</v>
          </cell>
          <cell r="O340" t="str">
            <v/>
          </cell>
          <cell r="P340" t="str">
            <v/>
          </cell>
          <cell r="Q340" t="str">
            <v/>
          </cell>
          <cell r="R340" t="str">
            <v/>
          </cell>
          <cell r="V340" t="str">
            <v/>
          </cell>
          <cell r="W340" t="str">
            <v/>
          </cell>
          <cell r="Y340" t="str">
            <v/>
          </cell>
          <cell r="Z340" t="str">
            <v/>
          </cell>
        </row>
        <row r="341">
          <cell r="A341">
            <v>990088</v>
          </cell>
          <cell r="B341">
            <v>2355.14</v>
          </cell>
          <cell r="C341">
            <v>674.9</v>
          </cell>
          <cell r="E341">
            <v>990088</v>
          </cell>
          <cell r="F341">
            <v>114</v>
          </cell>
          <cell r="G341">
            <v>7</v>
          </cell>
          <cell r="H341">
            <v>290</v>
          </cell>
          <cell r="I341">
            <v>187</v>
          </cell>
          <cell r="J341">
            <v>74</v>
          </cell>
          <cell r="K341">
            <v>674.9</v>
          </cell>
          <cell r="L341">
            <v>2355.14</v>
          </cell>
          <cell r="M341">
            <v>0</v>
          </cell>
          <cell r="N341">
            <v>0</v>
          </cell>
          <cell r="O341" t="str">
            <v/>
          </cell>
          <cell r="P341" t="str">
            <v/>
          </cell>
          <cell r="Q341" t="str">
            <v/>
          </cell>
          <cell r="R341" t="str">
            <v/>
          </cell>
          <cell r="V341" t="str">
            <v/>
          </cell>
          <cell r="W341" t="str">
            <v/>
          </cell>
          <cell r="Y341" t="str">
            <v/>
          </cell>
          <cell r="Z341" t="str">
            <v/>
          </cell>
        </row>
        <row r="342">
          <cell r="A342">
            <v>990089</v>
          </cell>
          <cell r="B342">
            <v>761.48</v>
          </cell>
          <cell r="C342">
            <v>743.99</v>
          </cell>
          <cell r="E342">
            <v>990089</v>
          </cell>
          <cell r="F342">
            <v>114</v>
          </cell>
          <cell r="G342">
            <v>2</v>
          </cell>
          <cell r="H342">
            <v>290</v>
          </cell>
          <cell r="I342">
            <v>151</v>
          </cell>
          <cell r="J342">
            <v>184</v>
          </cell>
          <cell r="K342">
            <v>743.99</v>
          </cell>
          <cell r="L342">
            <v>761.48</v>
          </cell>
          <cell r="M342">
            <v>0</v>
          </cell>
          <cell r="N342">
            <v>0</v>
          </cell>
          <cell r="O342" t="str">
            <v/>
          </cell>
          <cell r="P342" t="str">
            <v/>
          </cell>
          <cell r="Q342" t="str">
            <v/>
          </cell>
          <cell r="R342" t="str">
            <v/>
          </cell>
          <cell r="V342" t="str">
            <v/>
          </cell>
          <cell r="W342" t="str">
            <v/>
          </cell>
          <cell r="Y342" t="str">
            <v/>
          </cell>
          <cell r="Z342" t="str">
            <v/>
          </cell>
        </row>
        <row r="343">
          <cell r="A343">
            <v>990094</v>
          </cell>
          <cell r="B343">
            <v>2903.04</v>
          </cell>
          <cell r="C343">
            <v>1030.31</v>
          </cell>
          <cell r="E343">
            <v>990094</v>
          </cell>
          <cell r="F343">
            <v>108</v>
          </cell>
          <cell r="G343">
            <v>9</v>
          </cell>
          <cell r="H343">
            <v>290</v>
          </cell>
          <cell r="I343">
            <v>199</v>
          </cell>
          <cell r="J343">
            <v>422</v>
          </cell>
          <cell r="K343">
            <v>1030.31</v>
          </cell>
          <cell r="L343">
            <v>2903.04</v>
          </cell>
          <cell r="M343">
            <v>0</v>
          </cell>
          <cell r="N343">
            <v>0</v>
          </cell>
          <cell r="O343" t="str">
            <v/>
          </cell>
          <cell r="P343" t="str">
            <v/>
          </cell>
          <cell r="Q343" t="str">
            <v/>
          </cell>
          <cell r="R343" t="str">
            <v/>
          </cell>
          <cell r="V343" t="str">
            <v/>
          </cell>
          <cell r="W343" t="str">
            <v/>
          </cell>
          <cell r="Y343" t="str">
            <v/>
          </cell>
          <cell r="Z343" t="str">
            <v/>
          </cell>
        </row>
        <row r="344">
          <cell r="A344">
            <v>990098</v>
          </cell>
          <cell r="B344">
            <v>2056.3200000000002</v>
          </cell>
          <cell r="C344">
            <v>1013.54</v>
          </cell>
          <cell r="E344">
            <v>990098</v>
          </cell>
          <cell r="F344">
            <v>120</v>
          </cell>
          <cell r="G344">
            <v>6</v>
          </cell>
          <cell r="H344">
            <v>290</v>
          </cell>
          <cell r="I344">
            <v>181</v>
          </cell>
          <cell r="J344">
            <v>414</v>
          </cell>
          <cell r="K344">
            <v>1013.54</v>
          </cell>
          <cell r="L344">
            <v>2056.3200000000002</v>
          </cell>
          <cell r="M344">
            <v>0</v>
          </cell>
          <cell r="N344">
            <v>0</v>
          </cell>
          <cell r="O344" t="str">
            <v/>
          </cell>
          <cell r="P344" t="str">
            <v/>
          </cell>
          <cell r="Q344" t="str">
            <v/>
          </cell>
          <cell r="R344" t="str">
            <v/>
          </cell>
          <cell r="V344" t="str">
            <v/>
          </cell>
          <cell r="W344" t="str">
            <v/>
          </cell>
          <cell r="Y344" t="str">
            <v/>
          </cell>
          <cell r="Z344" t="str">
            <v/>
          </cell>
        </row>
        <row r="345">
          <cell r="A345">
            <v>990100</v>
          </cell>
          <cell r="B345">
            <v>3925.35</v>
          </cell>
          <cell r="C345">
            <v>1728.69</v>
          </cell>
          <cell r="E345">
            <v>990100</v>
          </cell>
          <cell r="F345">
            <v>169</v>
          </cell>
          <cell r="G345">
            <v>36</v>
          </cell>
          <cell r="H345">
            <v>422</v>
          </cell>
          <cell r="I345">
            <v>270</v>
          </cell>
          <cell r="J345">
            <v>829</v>
          </cell>
          <cell r="K345">
            <v>1728.69</v>
          </cell>
          <cell r="L345">
            <v>3925.35</v>
          </cell>
          <cell r="M345">
            <v>0</v>
          </cell>
          <cell r="N345">
            <v>0</v>
          </cell>
          <cell r="O345" t="str">
            <v/>
          </cell>
          <cell r="P345" t="str">
            <v/>
          </cell>
          <cell r="Q345" t="str">
            <v/>
          </cell>
          <cell r="R345" t="str">
            <v/>
          </cell>
          <cell r="V345" t="str">
            <v/>
          </cell>
          <cell r="W345" t="str">
            <v/>
          </cell>
          <cell r="Y345" t="str">
            <v/>
          </cell>
          <cell r="Z345" t="str">
            <v/>
          </cell>
        </row>
        <row r="346">
          <cell r="A346">
            <v>990103</v>
          </cell>
          <cell r="B346">
            <v>213984.27</v>
          </cell>
          <cell r="C346">
            <v>13502.73</v>
          </cell>
          <cell r="E346">
            <v>990103</v>
          </cell>
          <cell r="F346">
            <v>916</v>
          </cell>
          <cell r="G346">
            <v>687</v>
          </cell>
          <cell r="H346">
            <v>450</v>
          </cell>
          <cell r="I346">
            <v>248</v>
          </cell>
          <cell r="J346">
            <v>11199</v>
          </cell>
          <cell r="K346">
            <v>13502.73</v>
          </cell>
          <cell r="L346">
            <v>213984.27</v>
          </cell>
          <cell r="M346">
            <v>0</v>
          </cell>
          <cell r="N346">
            <v>0</v>
          </cell>
          <cell r="O346" t="str">
            <v/>
          </cell>
          <cell r="P346" t="str">
            <v/>
          </cell>
          <cell r="Q346" t="str">
            <v/>
          </cell>
          <cell r="R346" t="str">
            <v/>
          </cell>
          <cell r="V346" t="str">
            <v/>
          </cell>
          <cell r="W346" t="str">
            <v/>
          </cell>
          <cell r="Y346" t="str">
            <v/>
          </cell>
          <cell r="Z346" t="str">
            <v/>
          </cell>
        </row>
        <row r="347">
          <cell r="A347">
            <v>990104</v>
          </cell>
          <cell r="B347">
            <v>18039</v>
          </cell>
          <cell r="C347">
            <v>3769.91</v>
          </cell>
          <cell r="E347">
            <v>990104</v>
          </cell>
          <cell r="F347">
            <v>138</v>
          </cell>
          <cell r="G347">
            <v>112</v>
          </cell>
          <cell r="H347">
            <v>290</v>
          </cell>
          <cell r="I347">
            <v>667</v>
          </cell>
          <cell r="J347">
            <v>2560</v>
          </cell>
          <cell r="K347">
            <v>3769.91</v>
          </cell>
          <cell r="L347">
            <v>18039</v>
          </cell>
          <cell r="M347">
            <v>0</v>
          </cell>
          <cell r="N347">
            <v>0</v>
          </cell>
          <cell r="O347" t="str">
            <v/>
          </cell>
          <cell r="P347" t="str">
            <v/>
          </cell>
          <cell r="Q347" t="str">
            <v/>
          </cell>
          <cell r="R347" t="str">
            <v/>
          </cell>
          <cell r="V347" t="str">
            <v/>
          </cell>
          <cell r="W347" t="str">
            <v/>
          </cell>
          <cell r="Y347" t="str">
            <v/>
          </cell>
          <cell r="Z347" t="str">
            <v/>
          </cell>
        </row>
        <row r="348">
          <cell r="A348">
            <v>990105</v>
          </cell>
          <cell r="B348">
            <v>7971.48</v>
          </cell>
          <cell r="C348">
            <v>1935.15</v>
          </cell>
          <cell r="E348">
            <v>990105</v>
          </cell>
          <cell r="F348">
            <v>114</v>
          </cell>
          <cell r="G348">
            <v>25</v>
          </cell>
          <cell r="H348">
            <v>290</v>
          </cell>
          <cell r="I348">
            <v>368</v>
          </cell>
          <cell r="J348">
            <v>1136</v>
          </cell>
          <cell r="K348">
            <v>1935.15</v>
          </cell>
          <cell r="L348">
            <v>7971.48</v>
          </cell>
          <cell r="M348">
            <v>0</v>
          </cell>
          <cell r="N348">
            <v>0</v>
          </cell>
          <cell r="O348" t="str">
            <v/>
          </cell>
          <cell r="P348" t="str">
            <v/>
          </cell>
          <cell r="Q348" t="str">
            <v/>
          </cell>
          <cell r="R348" t="str">
            <v/>
          </cell>
          <cell r="V348" t="str">
            <v/>
          </cell>
          <cell r="W348" t="str">
            <v/>
          </cell>
          <cell r="Y348" t="str">
            <v/>
          </cell>
          <cell r="Z348" t="str">
            <v/>
          </cell>
        </row>
        <row r="349">
          <cell r="A349">
            <v>990106</v>
          </cell>
          <cell r="B349">
            <v>811.37</v>
          </cell>
          <cell r="C349">
            <v>740.51</v>
          </cell>
          <cell r="E349">
            <v>990106</v>
          </cell>
          <cell r="F349">
            <v>108</v>
          </cell>
          <cell r="G349">
            <v>5</v>
          </cell>
          <cell r="H349">
            <v>290</v>
          </cell>
          <cell r="I349">
            <v>290</v>
          </cell>
          <cell r="J349">
            <v>46</v>
          </cell>
          <cell r="K349">
            <v>740.51</v>
          </cell>
          <cell r="L349">
            <v>811.37</v>
          </cell>
          <cell r="M349">
            <v>0</v>
          </cell>
          <cell r="N349">
            <v>0</v>
          </cell>
          <cell r="O349" t="str">
            <v/>
          </cell>
          <cell r="P349" t="str">
            <v/>
          </cell>
          <cell r="Q349" t="str">
            <v/>
          </cell>
          <cell r="R349" t="str">
            <v/>
          </cell>
          <cell r="V349" t="str">
            <v/>
          </cell>
          <cell r="W349" t="str">
            <v/>
          </cell>
          <cell r="Y349" t="str">
            <v/>
          </cell>
          <cell r="Z349" t="str">
            <v/>
          </cell>
        </row>
        <row r="350">
          <cell r="A350">
            <v>990107</v>
          </cell>
          <cell r="B350">
            <v>7105.18</v>
          </cell>
          <cell r="C350">
            <v>2644.74</v>
          </cell>
          <cell r="E350">
            <v>990107</v>
          </cell>
          <cell r="F350">
            <v>485</v>
          </cell>
          <cell r="G350">
            <v>47</v>
          </cell>
          <cell r="H350">
            <v>290</v>
          </cell>
          <cell r="I350">
            <v>351</v>
          </cell>
          <cell r="J350">
            <v>1470</v>
          </cell>
          <cell r="K350">
            <v>2644.74</v>
          </cell>
          <cell r="L350">
            <v>7105.18</v>
          </cell>
          <cell r="M350">
            <v>0</v>
          </cell>
          <cell r="N350">
            <v>0</v>
          </cell>
          <cell r="O350" t="str">
            <v/>
          </cell>
          <cell r="P350" t="str">
            <v/>
          </cell>
          <cell r="Q350" t="str">
            <v/>
          </cell>
          <cell r="R350" t="str">
            <v/>
          </cell>
          <cell r="V350" t="str">
            <v/>
          </cell>
          <cell r="W350" t="str">
            <v/>
          </cell>
          <cell r="Y350" t="str">
            <v/>
          </cell>
          <cell r="Z350" t="str">
            <v/>
          </cell>
        </row>
        <row r="351">
          <cell r="A351">
            <v>990108</v>
          </cell>
          <cell r="B351">
            <v>946.92</v>
          </cell>
          <cell r="C351">
            <v>762.85</v>
          </cell>
          <cell r="E351">
            <v>990108</v>
          </cell>
          <cell r="F351">
            <v>108</v>
          </cell>
          <cell r="G351">
            <v>6</v>
          </cell>
          <cell r="H351">
            <v>290</v>
          </cell>
          <cell r="I351">
            <v>155</v>
          </cell>
          <cell r="J351">
            <v>201</v>
          </cell>
          <cell r="K351">
            <v>762.85</v>
          </cell>
          <cell r="L351">
            <v>946.92</v>
          </cell>
          <cell r="M351">
            <v>0</v>
          </cell>
          <cell r="N351">
            <v>0</v>
          </cell>
          <cell r="O351" t="str">
            <v/>
          </cell>
          <cell r="P351" t="str">
            <v/>
          </cell>
          <cell r="Q351" t="str">
            <v/>
          </cell>
          <cell r="R351" t="str">
            <v/>
          </cell>
          <cell r="V351" t="str">
            <v/>
          </cell>
          <cell r="W351" t="str">
            <v/>
          </cell>
          <cell r="Y351" t="str">
            <v/>
          </cell>
          <cell r="Z351" t="str">
            <v/>
          </cell>
        </row>
        <row r="352">
          <cell r="A352">
            <v>990109</v>
          </cell>
          <cell r="B352">
            <v>294.43</v>
          </cell>
          <cell r="C352">
            <v>619.29999999999995</v>
          </cell>
          <cell r="E352">
            <v>990109</v>
          </cell>
          <cell r="F352">
            <v>108</v>
          </cell>
          <cell r="G352">
            <v>2</v>
          </cell>
          <cell r="H352">
            <v>290</v>
          </cell>
          <cell r="I352">
            <v>141</v>
          </cell>
          <cell r="J352">
            <v>77</v>
          </cell>
          <cell r="K352">
            <v>619.29999999999995</v>
          </cell>
          <cell r="L352">
            <v>294.43</v>
          </cell>
          <cell r="M352">
            <v>0</v>
          </cell>
          <cell r="N352">
            <v>0</v>
          </cell>
          <cell r="O352" t="str">
            <v/>
          </cell>
          <cell r="P352" t="str">
            <v/>
          </cell>
          <cell r="Q352" t="str">
            <v/>
          </cell>
          <cell r="R352" t="str">
            <v/>
          </cell>
          <cell r="V352" t="str">
            <v/>
          </cell>
          <cell r="W352" t="str">
            <v/>
          </cell>
          <cell r="Y352" t="str">
            <v/>
          </cell>
          <cell r="Z352" t="str">
            <v/>
          </cell>
        </row>
        <row r="353">
          <cell r="A353">
            <v>990110</v>
          </cell>
          <cell r="B353">
            <v>19554.88</v>
          </cell>
          <cell r="C353">
            <v>5387.4</v>
          </cell>
          <cell r="E353">
            <v>990110</v>
          </cell>
          <cell r="F353">
            <v>525</v>
          </cell>
          <cell r="G353">
            <v>122</v>
          </cell>
          <cell r="H353">
            <v>290</v>
          </cell>
          <cell r="I353">
            <v>699</v>
          </cell>
          <cell r="J353">
            <v>3749</v>
          </cell>
          <cell r="K353">
            <v>5387.4</v>
          </cell>
          <cell r="L353">
            <v>19554.88</v>
          </cell>
          <cell r="M353">
            <v>0</v>
          </cell>
          <cell r="N353">
            <v>0</v>
          </cell>
          <cell r="O353" t="str">
            <v/>
          </cell>
          <cell r="P353" t="str">
            <v/>
          </cell>
          <cell r="Q353" t="str">
            <v/>
          </cell>
          <cell r="R353" t="str">
            <v/>
          </cell>
          <cell r="V353" t="str">
            <v/>
          </cell>
          <cell r="W353" t="str">
            <v/>
          </cell>
          <cell r="Y353" t="str">
            <v/>
          </cell>
          <cell r="Z353" t="str">
            <v/>
          </cell>
        </row>
        <row r="354">
          <cell r="A354">
            <v>990111</v>
          </cell>
          <cell r="B354">
            <v>1766.77</v>
          </cell>
          <cell r="C354">
            <v>943.08</v>
          </cell>
          <cell r="E354">
            <v>990111</v>
          </cell>
          <cell r="F354">
            <v>108</v>
          </cell>
          <cell r="G354">
            <v>11</v>
          </cell>
          <cell r="H354">
            <v>290</v>
          </cell>
          <cell r="I354">
            <v>174</v>
          </cell>
          <cell r="J354">
            <v>358</v>
          </cell>
          <cell r="K354">
            <v>943.08</v>
          </cell>
          <cell r="L354">
            <v>1766.77</v>
          </cell>
          <cell r="M354">
            <v>0</v>
          </cell>
          <cell r="N354">
            <v>0</v>
          </cell>
          <cell r="O354" t="str">
            <v/>
          </cell>
          <cell r="P354" t="str">
            <v/>
          </cell>
          <cell r="Q354" t="str">
            <v/>
          </cell>
          <cell r="R354" t="str">
            <v/>
          </cell>
          <cell r="V354" t="str">
            <v/>
          </cell>
          <cell r="W354" t="str">
            <v/>
          </cell>
          <cell r="Y354" t="str">
            <v/>
          </cell>
          <cell r="Z354" t="str">
            <v/>
          </cell>
        </row>
        <row r="355">
          <cell r="A355">
            <v>990113</v>
          </cell>
          <cell r="B355">
            <v>2223.9699999999998</v>
          </cell>
          <cell r="C355">
            <v>1277.23</v>
          </cell>
          <cell r="E355">
            <v>990113</v>
          </cell>
          <cell r="F355">
            <v>293</v>
          </cell>
          <cell r="G355">
            <v>15</v>
          </cell>
          <cell r="H355">
            <v>290</v>
          </cell>
          <cell r="I355">
            <v>189</v>
          </cell>
          <cell r="J355">
            <v>488</v>
          </cell>
          <cell r="K355">
            <v>1277.23</v>
          </cell>
          <cell r="L355">
            <v>2223.9699999999998</v>
          </cell>
          <cell r="M355">
            <v>0</v>
          </cell>
          <cell r="N355">
            <v>0</v>
          </cell>
          <cell r="O355" t="str">
            <v/>
          </cell>
          <cell r="P355" t="str">
            <v/>
          </cell>
          <cell r="Q355" t="str">
            <v/>
          </cell>
          <cell r="R355" t="str">
            <v/>
          </cell>
          <cell r="V355" t="str">
            <v/>
          </cell>
          <cell r="W355" t="str">
            <v/>
          </cell>
          <cell r="Y355" t="str">
            <v/>
          </cell>
          <cell r="Z355" t="str">
            <v/>
          </cell>
        </row>
        <row r="356">
          <cell r="A356">
            <v>990114</v>
          </cell>
          <cell r="B356">
            <v>11080.5</v>
          </cell>
          <cell r="C356">
            <v>3495.82</v>
          </cell>
          <cell r="E356">
            <v>990114</v>
          </cell>
          <cell r="F356">
            <v>381</v>
          </cell>
          <cell r="G356">
            <v>72</v>
          </cell>
          <cell r="H356">
            <v>290</v>
          </cell>
          <cell r="I356">
            <v>520</v>
          </cell>
          <cell r="J356">
            <v>2231</v>
          </cell>
          <cell r="K356">
            <v>3495.82</v>
          </cell>
          <cell r="L356">
            <v>11080.5</v>
          </cell>
          <cell r="M356">
            <v>0</v>
          </cell>
          <cell r="N356">
            <v>0</v>
          </cell>
          <cell r="O356" t="str">
            <v/>
          </cell>
          <cell r="P356" t="str">
            <v/>
          </cell>
          <cell r="Q356" t="str">
            <v/>
          </cell>
          <cell r="R356" t="str">
            <v/>
          </cell>
          <cell r="V356" t="str">
            <v/>
          </cell>
          <cell r="W356" t="str">
            <v/>
          </cell>
          <cell r="Y356" t="str">
            <v/>
          </cell>
          <cell r="Z356" t="str">
            <v/>
          </cell>
        </row>
        <row r="357">
          <cell r="A357">
            <v>990117</v>
          </cell>
          <cell r="B357">
            <v>3643.01</v>
          </cell>
          <cell r="C357">
            <v>1564.92</v>
          </cell>
          <cell r="E357">
            <v>990117</v>
          </cell>
          <cell r="F357">
            <v>292</v>
          </cell>
          <cell r="G357">
            <v>12</v>
          </cell>
          <cell r="H357">
            <v>290</v>
          </cell>
          <cell r="I357">
            <v>220</v>
          </cell>
          <cell r="J357">
            <v>749</v>
          </cell>
          <cell r="K357">
            <v>1564.92</v>
          </cell>
          <cell r="L357">
            <v>3643.01</v>
          </cell>
          <cell r="M357">
            <v>0</v>
          </cell>
          <cell r="N357">
            <v>0</v>
          </cell>
          <cell r="O357" t="str">
            <v/>
          </cell>
          <cell r="P357" t="str">
            <v/>
          </cell>
          <cell r="Q357" t="str">
            <v/>
          </cell>
          <cell r="R357" t="str">
            <v/>
          </cell>
          <cell r="V357" t="str">
            <v/>
          </cell>
          <cell r="W357" t="str">
            <v/>
          </cell>
          <cell r="Y357" t="str">
            <v/>
          </cell>
          <cell r="Z357" t="str">
            <v/>
          </cell>
        </row>
        <row r="358">
          <cell r="A358">
            <v>990120</v>
          </cell>
          <cell r="B358">
            <v>7967.58</v>
          </cell>
          <cell r="C358">
            <v>1070.05</v>
          </cell>
          <cell r="E358">
            <v>990120</v>
          </cell>
          <cell r="F358">
            <v>141</v>
          </cell>
          <cell r="G358">
            <v>25</v>
          </cell>
          <cell r="H358">
            <v>290</v>
          </cell>
          <cell r="I358">
            <v>368</v>
          </cell>
          <cell r="J358">
            <v>243</v>
          </cell>
          <cell r="K358">
            <v>1070.05</v>
          </cell>
          <cell r="L358">
            <v>7967.58</v>
          </cell>
          <cell r="M358">
            <v>0</v>
          </cell>
          <cell r="N358">
            <v>0</v>
          </cell>
          <cell r="O358" t="str">
            <v/>
          </cell>
          <cell r="P358" t="str">
            <v/>
          </cell>
          <cell r="Q358" t="str">
            <v/>
          </cell>
          <cell r="R358" t="str">
            <v/>
          </cell>
          <cell r="V358" t="str">
            <v/>
          </cell>
          <cell r="W358" t="str">
            <v/>
          </cell>
          <cell r="Y358" t="str">
            <v/>
          </cell>
          <cell r="Z358" t="str">
            <v/>
          </cell>
        </row>
        <row r="359">
          <cell r="A359">
            <v>990121</v>
          </cell>
          <cell r="B359">
            <v>29255.38</v>
          </cell>
          <cell r="C359">
            <v>8284.89</v>
          </cell>
          <cell r="E359">
            <v>990121</v>
          </cell>
          <cell r="F359">
            <v>455</v>
          </cell>
          <cell r="G359">
            <v>137</v>
          </cell>
          <cell r="H359">
            <v>422</v>
          </cell>
          <cell r="I359">
            <v>1227</v>
          </cell>
          <cell r="J359">
            <v>6042</v>
          </cell>
          <cell r="K359">
            <v>8284.89</v>
          </cell>
          <cell r="L359">
            <v>29255.38</v>
          </cell>
          <cell r="M359">
            <v>0</v>
          </cell>
          <cell r="N359">
            <v>0</v>
          </cell>
          <cell r="O359" t="str">
            <v/>
          </cell>
          <cell r="P359" t="str">
            <v/>
          </cell>
          <cell r="Q359" t="str">
            <v/>
          </cell>
          <cell r="R359" t="str">
            <v/>
          </cell>
          <cell r="V359" t="str">
            <v/>
          </cell>
          <cell r="W359" t="str">
            <v/>
          </cell>
          <cell r="Y359" t="str">
            <v/>
          </cell>
          <cell r="Z359" t="str">
            <v/>
          </cell>
        </row>
        <row r="360">
          <cell r="A360">
            <v>990122</v>
          </cell>
          <cell r="B360">
            <v>1588.86</v>
          </cell>
          <cell r="C360">
            <v>998.48</v>
          </cell>
          <cell r="E360">
            <v>990122</v>
          </cell>
          <cell r="F360">
            <v>134</v>
          </cell>
          <cell r="G360">
            <v>5</v>
          </cell>
          <cell r="H360">
            <v>290</v>
          </cell>
          <cell r="I360">
            <v>170</v>
          </cell>
          <cell r="J360">
            <v>397</v>
          </cell>
          <cell r="K360">
            <v>998.48</v>
          </cell>
          <cell r="L360">
            <v>1588.86</v>
          </cell>
          <cell r="M360">
            <v>0</v>
          </cell>
          <cell r="N360">
            <v>0</v>
          </cell>
          <cell r="O360" t="str">
            <v/>
          </cell>
          <cell r="P360" t="str">
            <v/>
          </cell>
          <cell r="Q360" t="str">
            <v/>
          </cell>
          <cell r="R360" t="str">
            <v/>
          </cell>
          <cell r="V360" t="str">
            <v/>
          </cell>
          <cell r="W360" t="str">
            <v/>
          </cell>
          <cell r="Y360" t="str">
            <v/>
          </cell>
          <cell r="Z360" t="str">
            <v/>
          </cell>
        </row>
        <row r="361">
          <cell r="A361">
            <v>990124</v>
          </cell>
          <cell r="B361">
            <v>38213.57</v>
          </cell>
          <cell r="C361">
            <v>10266.51</v>
          </cell>
          <cell r="E361">
            <v>990124</v>
          </cell>
          <cell r="F361">
            <v>297</v>
          </cell>
          <cell r="G361">
            <v>178</v>
          </cell>
          <cell r="H361">
            <v>422</v>
          </cell>
          <cell r="I361">
            <v>1517</v>
          </cell>
          <cell r="J361">
            <v>7850</v>
          </cell>
          <cell r="K361">
            <v>10266.51</v>
          </cell>
          <cell r="L361">
            <v>38213.57</v>
          </cell>
          <cell r="M361">
            <v>0</v>
          </cell>
          <cell r="N361">
            <v>0</v>
          </cell>
          <cell r="O361" t="str">
            <v/>
          </cell>
          <cell r="P361" t="str">
            <v/>
          </cell>
          <cell r="Q361" t="str">
            <v/>
          </cell>
          <cell r="R361" t="str">
            <v/>
          </cell>
          <cell r="V361" t="str">
            <v/>
          </cell>
          <cell r="W361" t="str">
            <v/>
          </cell>
          <cell r="Y361" t="str">
            <v/>
          </cell>
          <cell r="Z361" t="str">
            <v/>
          </cell>
        </row>
        <row r="362">
          <cell r="A362">
            <v>990125</v>
          </cell>
          <cell r="B362">
            <v>2331.14</v>
          </cell>
          <cell r="C362">
            <v>946.38</v>
          </cell>
          <cell r="E362">
            <v>990125</v>
          </cell>
          <cell r="F362">
            <v>117</v>
          </cell>
          <cell r="G362">
            <v>7</v>
          </cell>
          <cell r="H362">
            <v>290</v>
          </cell>
          <cell r="I362">
            <v>187</v>
          </cell>
          <cell r="J362">
            <v>343</v>
          </cell>
          <cell r="K362">
            <v>946.38</v>
          </cell>
          <cell r="L362">
            <v>2331.14</v>
          </cell>
          <cell r="M362">
            <v>0</v>
          </cell>
          <cell r="N362">
            <v>0</v>
          </cell>
          <cell r="O362" t="str">
            <v/>
          </cell>
          <cell r="P362" t="str">
            <v/>
          </cell>
          <cell r="Q362" t="str">
            <v/>
          </cell>
          <cell r="R362" t="str">
            <v/>
          </cell>
          <cell r="V362" t="str">
            <v/>
          </cell>
          <cell r="W362" t="str">
            <v/>
          </cell>
          <cell r="Y362" t="str">
            <v/>
          </cell>
          <cell r="Z362" t="str">
            <v/>
          </cell>
        </row>
        <row r="363">
          <cell r="A363">
            <v>990126</v>
          </cell>
          <cell r="B363">
            <v>23500.14</v>
          </cell>
          <cell r="C363">
            <v>3810.65</v>
          </cell>
          <cell r="E363">
            <v>990126</v>
          </cell>
          <cell r="F363">
            <v>335</v>
          </cell>
          <cell r="G363">
            <v>110</v>
          </cell>
          <cell r="H363">
            <v>422</v>
          </cell>
          <cell r="I363">
            <v>1035</v>
          </cell>
          <cell r="J363">
            <v>1906</v>
          </cell>
          <cell r="K363">
            <v>3810.65</v>
          </cell>
          <cell r="L363">
            <v>23500.14</v>
          </cell>
          <cell r="M363">
            <v>0</v>
          </cell>
          <cell r="N363">
            <v>0</v>
          </cell>
          <cell r="O363" t="str">
            <v/>
          </cell>
          <cell r="P363" t="str">
            <v/>
          </cell>
          <cell r="Q363" t="str">
            <v/>
          </cell>
          <cell r="R363" t="str">
            <v/>
          </cell>
          <cell r="V363" t="str">
            <v/>
          </cell>
          <cell r="W363" t="str">
            <v/>
          </cell>
          <cell r="Y363" t="str">
            <v/>
          </cell>
          <cell r="Z363" t="str">
            <v/>
          </cell>
        </row>
        <row r="364">
          <cell r="A364">
            <v>990131</v>
          </cell>
          <cell r="B364">
            <v>45200.74</v>
          </cell>
          <cell r="C364">
            <v>8116.3</v>
          </cell>
          <cell r="E364">
            <v>990131</v>
          </cell>
          <cell r="F364">
            <v>768</v>
          </cell>
          <cell r="G364">
            <v>146</v>
          </cell>
          <cell r="H364">
            <v>290</v>
          </cell>
          <cell r="I364">
            <v>1292</v>
          </cell>
          <cell r="J364">
            <v>5618</v>
          </cell>
          <cell r="K364">
            <v>8116.3</v>
          </cell>
          <cell r="L364">
            <v>45200.74</v>
          </cell>
          <cell r="M364">
            <v>0</v>
          </cell>
          <cell r="N364">
            <v>0</v>
          </cell>
          <cell r="O364" t="str">
            <v/>
          </cell>
          <cell r="P364" t="str">
            <v/>
          </cell>
          <cell r="Q364" t="str">
            <v/>
          </cell>
          <cell r="R364" t="str">
            <v/>
          </cell>
          <cell r="V364" t="str">
            <v/>
          </cell>
          <cell r="W364" t="str">
            <v/>
          </cell>
          <cell r="Y364" t="str">
            <v/>
          </cell>
          <cell r="Z364" t="str">
            <v/>
          </cell>
        </row>
        <row r="365">
          <cell r="A365">
            <v>990137</v>
          </cell>
          <cell r="B365">
            <v>922.09</v>
          </cell>
          <cell r="C365">
            <v>1484.88</v>
          </cell>
          <cell r="E365">
            <v>990137</v>
          </cell>
          <cell r="F365">
            <v>507</v>
          </cell>
          <cell r="G365">
            <v>11</v>
          </cell>
          <cell r="H365">
            <v>422</v>
          </cell>
          <cell r="I365">
            <v>175</v>
          </cell>
          <cell r="J365">
            <v>367</v>
          </cell>
          <cell r="K365">
            <v>1484.88</v>
          </cell>
          <cell r="L365">
            <v>922.09</v>
          </cell>
          <cell r="M365">
            <v>0</v>
          </cell>
          <cell r="N365">
            <v>0</v>
          </cell>
          <cell r="O365" t="str">
            <v/>
          </cell>
          <cell r="P365" t="str">
            <v/>
          </cell>
          <cell r="Q365" t="str">
            <v/>
          </cell>
          <cell r="R365" t="str">
            <v/>
          </cell>
          <cell r="V365" t="str">
            <v/>
          </cell>
          <cell r="W365" t="str">
            <v/>
          </cell>
          <cell r="Y365" t="str">
            <v/>
          </cell>
          <cell r="Z365" t="str">
            <v/>
          </cell>
        </row>
        <row r="366">
          <cell r="A366">
            <v>990138</v>
          </cell>
          <cell r="B366">
            <v>2682.43</v>
          </cell>
          <cell r="C366">
            <v>1770.18</v>
          </cell>
          <cell r="E366">
            <v>990138</v>
          </cell>
          <cell r="F366">
            <v>291</v>
          </cell>
          <cell r="G366">
            <v>26</v>
          </cell>
          <cell r="H366">
            <v>422</v>
          </cell>
          <cell r="I366">
            <v>227</v>
          </cell>
          <cell r="J366">
            <v>802</v>
          </cell>
          <cell r="K366">
            <v>1770.18</v>
          </cell>
          <cell r="L366">
            <v>2682.43</v>
          </cell>
          <cell r="M366">
            <v>0</v>
          </cell>
          <cell r="N366">
            <v>0</v>
          </cell>
          <cell r="O366" t="str">
            <v/>
          </cell>
          <cell r="P366" t="str">
            <v/>
          </cell>
          <cell r="Q366" t="str">
            <v/>
          </cell>
          <cell r="R366" t="str">
            <v/>
          </cell>
          <cell r="V366" t="str">
            <v/>
          </cell>
          <cell r="W366" t="str">
            <v/>
          </cell>
          <cell r="Y366" t="str">
            <v/>
          </cell>
          <cell r="Z366" t="str">
            <v/>
          </cell>
        </row>
        <row r="367">
          <cell r="A367">
            <v>990140</v>
          </cell>
          <cell r="B367">
            <v>5948.96</v>
          </cell>
          <cell r="C367">
            <v>2852.24</v>
          </cell>
          <cell r="E367">
            <v>990140</v>
          </cell>
          <cell r="F367">
            <v>784</v>
          </cell>
          <cell r="G367">
            <v>41</v>
          </cell>
          <cell r="H367">
            <v>290</v>
          </cell>
          <cell r="I367">
            <v>309</v>
          </cell>
          <cell r="J367">
            <v>1426</v>
          </cell>
          <cell r="K367">
            <v>2852.24</v>
          </cell>
          <cell r="L367">
            <v>5948.96</v>
          </cell>
          <cell r="M367">
            <v>0</v>
          </cell>
          <cell r="N367">
            <v>0</v>
          </cell>
          <cell r="O367" t="str">
            <v/>
          </cell>
          <cell r="P367" t="str">
            <v/>
          </cell>
          <cell r="Q367" t="str">
            <v/>
          </cell>
          <cell r="R367" t="str">
            <v/>
          </cell>
          <cell r="V367" t="str">
            <v/>
          </cell>
          <cell r="W367" t="str">
            <v/>
          </cell>
          <cell r="Y367" t="str">
            <v/>
          </cell>
          <cell r="Z367" t="str">
            <v/>
          </cell>
        </row>
        <row r="368">
          <cell r="A368">
            <v>990141</v>
          </cell>
          <cell r="B368">
            <v>3758.26</v>
          </cell>
          <cell r="C368">
            <v>1738.39</v>
          </cell>
          <cell r="E368">
            <v>990141</v>
          </cell>
          <cell r="F368">
            <v>331</v>
          </cell>
          <cell r="G368">
            <v>25</v>
          </cell>
          <cell r="H368">
            <v>290</v>
          </cell>
          <cell r="I368">
            <v>224</v>
          </cell>
          <cell r="J368">
            <v>866</v>
          </cell>
          <cell r="K368">
            <v>1738.39</v>
          </cell>
          <cell r="L368">
            <v>3758.26</v>
          </cell>
          <cell r="M368">
            <v>0</v>
          </cell>
          <cell r="N368">
            <v>0</v>
          </cell>
          <cell r="O368" t="str">
            <v/>
          </cell>
          <cell r="P368" t="str">
            <v/>
          </cell>
          <cell r="Q368" t="str">
            <v/>
          </cell>
          <cell r="R368" t="str">
            <v/>
          </cell>
          <cell r="V368" t="str">
            <v/>
          </cell>
          <cell r="W368" t="str">
            <v/>
          </cell>
          <cell r="Y368" t="str">
            <v/>
          </cell>
          <cell r="Z368" t="str">
            <v/>
          </cell>
        </row>
        <row r="369">
          <cell r="A369">
            <v>990149</v>
          </cell>
          <cell r="B369">
            <v>4156.8999999999996</v>
          </cell>
          <cell r="C369">
            <v>2143.02</v>
          </cell>
          <cell r="E369">
            <v>990149</v>
          </cell>
          <cell r="F369">
            <v>582</v>
          </cell>
          <cell r="G369">
            <v>29</v>
          </cell>
          <cell r="H369">
            <v>290</v>
          </cell>
          <cell r="I369">
            <v>239</v>
          </cell>
          <cell r="J369">
            <v>1001</v>
          </cell>
          <cell r="K369">
            <v>2143.02</v>
          </cell>
          <cell r="L369">
            <v>4156.8999999999996</v>
          </cell>
          <cell r="M369">
            <v>0</v>
          </cell>
          <cell r="N369">
            <v>0</v>
          </cell>
          <cell r="O369" t="str">
            <v/>
          </cell>
          <cell r="P369" t="str">
            <v/>
          </cell>
          <cell r="Q369" t="str">
            <v/>
          </cell>
          <cell r="R369" t="str">
            <v/>
          </cell>
          <cell r="V369" t="str">
            <v/>
          </cell>
          <cell r="W369" t="str">
            <v/>
          </cell>
          <cell r="Y369" t="str">
            <v/>
          </cell>
          <cell r="Z369" t="str">
            <v/>
          </cell>
        </row>
        <row r="370">
          <cell r="A370">
            <v>990151</v>
          </cell>
          <cell r="B370">
            <v>30147.09</v>
          </cell>
          <cell r="C370">
            <v>5677.26</v>
          </cell>
          <cell r="E370">
            <v>990151</v>
          </cell>
          <cell r="F370">
            <v>102</v>
          </cell>
          <cell r="G370">
            <v>96</v>
          </cell>
          <cell r="H370">
            <v>290</v>
          </cell>
          <cell r="I370">
            <v>938</v>
          </cell>
          <cell r="J370">
            <v>4248</v>
          </cell>
          <cell r="K370">
            <v>5677.26</v>
          </cell>
          <cell r="L370">
            <v>30147.09</v>
          </cell>
          <cell r="M370">
            <v>0</v>
          </cell>
          <cell r="N370">
            <v>0</v>
          </cell>
          <cell r="O370" t="str">
            <v/>
          </cell>
          <cell r="P370" t="str">
            <v/>
          </cell>
          <cell r="Q370" t="str">
            <v/>
          </cell>
          <cell r="R370" t="str">
            <v/>
          </cell>
          <cell r="V370" t="str">
            <v/>
          </cell>
          <cell r="W370" t="str">
            <v/>
          </cell>
          <cell r="Y370" t="str">
            <v/>
          </cell>
          <cell r="Z370" t="str">
            <v/>
          </cell>
        </row>
        <row r="371">
          <cell r="A371">
            <v>990152</v>
          </cell>
          <cell r="B371">
            <v>2495.7399999999998</v>
          </cell>
          <cell r="C371">
            <v>1312.05</v>
          </cell>
          <cell r="E371">
            <v>990152</v>
          </cell>
          <cell r="F371">
            <v>305</v>
          </cell>
          <cell r="G371">
            <v>17</v>
          </cell>
          <cell r="H371">
            <v>290</v>
          </cell>
          <cell r="I371">
            <v>195</v>
          </cell>
          <cell r="J371">
            <v>503</v>
          </cell>
          <cell r="K371">
            <v>1312.05</v>
          </cell>
          <cell r="L371">
            <v>2495.7399999999998</v>
          </cell>
          <cell r="M371">
            <v>0</v>
          </cell>
          <cell r="N371">
            <v>0</v>
          </cell>
          <cell r="O371" t="str">
            <v/>
          </cell>
          <cell r="P371" t="str">
            <v/>
          </cell>
          <cell r="Q371" t="str">
            <v/>
          </cell>
          <cell r="R371" t="str">
            <v/>
          </cell>
          <cell r="V371" t="str">
            <v/>
          </cell>
          <cell r="W371" t="str">
            <v/>
          </cell>
          <cell r="Y371" t="str">
            <v/>
          </cell>
          <cell r="Z371" t="str">
            <v/>
          </cell>
        </row>
        <row r="372">
          <cell r="A372">
            <v>990159</v>
          </cell>
          <cell r="B372">
            <v>754.93</v>
          </cell>
          <cell r="C372">
            <v>778.95</v>
          </cell>
          <cell r="E372">
            <v>990159</v>
          </cell>
          <cell r="F372">
            <v>204</v>
          </cell>
          <cell r="G372">
            <v>5</v>
          </cell>
          <cell r="H372">
            <v>290</v>
          </cell>
          <cell r="I372">
            <v>153</v>
          </cell>
          <cell r="J372">
            <v>125</v>
          </cell>
          <cell r="K372">
            <v>778.95</v>
          </cell>
          <cell r="L372">
            <v>754.93</v>
          </cell>
          <cell r="M372">
            <v>0</v>
          </cell>
          <cell r="N372">
            <v>0</v>
          </cell>
          <cell r="O372" t="str">
            <v/>
          </cell>
          <cell r="P372" t="str">
            <v/>
          </cell>
          <cell r="Q372" t="str">
            <v/>
          </cell>
          <cell r="R372" t="str">
            <v/>
          </cell>
          <cell r="V372" t="str">
            <v/>
          </cell>
          <cell r="W372" t="str">
            <v/>
          </cell>
          <cell r="Y372" t="str">
            <v/>
          </cell>
          <cell r="Z372" t="str">
            <v/>
          </cell>
        </row>
        <row r="373">
          <cell r="A373">
            <v>990163</v>
          </cell>
          <cell r="B373">
            <v>8801.75</v>
          </cell>
          <cell r="C373">
            <v>4900.6899999999996</v>
          </cell>
          <cell r="E373">
            <v>990163</v>
          </cell>
          <cell r="F373">
            <v>797</v>
          </cell>
          <cell r="G373">
            <v>87</v>
          </cell>
          <cell r="H373">
            <v>422</v>
          </cell>
          <cell r="I373">
            <v>573</v>
          </cell>
          <cell r="J373">
            <v>3020</v>
          </cell>
          <cell r="K373">
            <v>4900.6899999999996</v>
          </cell>
          <cell r="L373">
            <v>8801.75</v>
          </cell>
          <cell r="M373">
            <v>0</v>
          </cell>
          <cell r="N373">
            <v>0</v>
          </cell>
          <cell r="O373" t="str">
            <v/>
          </cell>
          <cell r="P373" t="str">
            <v/>
          </cell>
          <cell r="Q373" t="str">
            <v/>
          </cell>
          <cell r="R373" t="str">
            <v/>
          </cell>
          <cell r="V373" t="str">
            <v/>
          </cell>
          <cell r="W373" t="str">
            <v/>
          </cell>
          <cell r="Y373" t="str">
            <v/>
          </cell>
          <cell r="Z373" t="str">
            <v/>
          </cell>
        </row>
        <row r="374">
          <cell r="A374">
            <v>990165</v>
          </cell>
          <cell r="B374">
            <v>1550.14</v>
          </cell>
          <cell r="C374">
            <v>927.42</v>
          </cell>
          <cell r="E374">
            <v>990165</v>
          </cell>
          <cell r="F374">
            <v>140</v>
          </cell>
          <cell r="G374">
            <v>5</v>
          </cell>
          <cell r="H374">
            <v>290</v>
          </cell>
          <cell r="I374">
            <v>170</v>
          </cell>
          <cell r="J374">
            <v>321</v>
          </cell>
          <cell r="K374">
            <v>927.42</v>
          </cell>
          <cell r="L374">
            <v>1550.14</v>
          </cell>
          <cell r="M374">
            <v>0</v>
          </cell>
          <cell r="N374">
            <v>0</v>
          </cell>
          <cell r="O374" t="str">
            <v/>
          </cell>
          <cell r="P374" t="str">
            <v/>
          </cell>
          <cell r="Q374" t="str">
            <v/>
          </cell>
          <cell r="R374" t="str">
            <v/>
          </cell>
          <cell r="V374" t="str">
            <v/>
          </cell>
          <cell r="W374" t="str">
            <v/>
          </cell>
          <cell r="Y374" t="str">
            <v/>
          </cell>
          <cell r="Z374" t="str">
            <v/>
          </cell>
        </row>
        <row r="375">
          <cell r="A375">
            <v>990167</v>
          </cell>
          <cell r="B375">
            <v>8180.99</v>
          </cell>
          <cell r="C375">
            <v>2025.27</v>
          </cell>
          <cell r="E375">
            <v>990167</v>
          </cell>
          <cell r="F375">
            <v>122</v>
          </cell>
          <cell r="G375">
            <v>52</v>
          </cell>
          <cell r="H375">
            <v>290</v>
          </cell>
          <cell r="I375">
            <v>381</v>
          </cell>
          <cell r="J375">
            <v>1178</v>
          </cell>
          <cell r="K375">
            <v>2025.27</v>
          </cell>
          <cell r="L375">
            <v>8180.99</v>
          </cell>
          <cell r="M375">
            <v>0</v>
          </cell>
          <cell r="N375">
            <v>0</v>
          </cell>
          <cell r="O375" t="str">
            <v/>
          </cell>
          <cell r="P375" t="str">
            <v/>
          </cell>
          <cell r="Q375" t="str">
            <v/>
          </cell>
          <cell r="R375" t="str">
            <v/>
          </cell>
          <cell r="V375" t="str">
            <v/>
          </cell>
          <cell r="W375" t="str">
            <v/>
          </cell>
          <cell r="Y375" t="str">
            <v/>
          </cell>
          <cell r="Z375" t="str">
            <v/>
          </cell>
        </row>
        <row r="376">
          <cell r="A376">
            <v>990169</v>
          </cell>
          <cell r="B376">
            <v>363.12</v>
          </cell>
          <cell r="C376">
            <v>795.23</v>
          </cell>
          <cell r="E376">
            <v>990169</v>
          </cell>
          <cell r="F376">
            <v>144</v>
          </cell>
          <cell r="G376">
            <v>2</v>
          </cell>
          <cell r="H376">
            <v>409</v>
          </cell>
          <cell r="I376">
            <v>146</v>
          </cell>
          <cell r="J376">
            <v>92</v>
          </cell>
          <cell r="K376">
            <v>795.23</v>
          </cell>
          <cell r="L376">
            <v>363.12</v>
          </cell>
          <cell r="M376">
            <v>0</v>
          </cell>
          <cell r="N376">
            <v>0</v>
          </cell>
          <cell r="O376" t="str">
            <v/>
          </cell>
          <cell r="P376" t="str">
            <v/>
          </cell>
          <cell r="Q376" t="str">
            <v/>
          </cell>
          <cell r="R376" t="str">
            <v/>
          </cell>
          <cell r="V376" t="str">
            <v/>
          </cell>
          <cell r="W376" t="str">
            <v/>
          </cell>
          <cell r="Y376" t="str">
            <v/>
          </cell>
          <cell r="Z376" t="str">
            <v/>
          </cell>
        </row>
        <row r="377">
          <cell r="A377">
            <v>990171</v>
          </cell>
          <cell r="B377">
            <v>4240.09</v>
          </cell>
          <cell r="C377">
            <v>2177.02</v>
          </cell>
          <cell r="E377">
            <v>990171</v>
          </cell>
          <cell r="F377">
            <v>516</v>
          </cell>
          <cell r="G377">
            <v>40</v>
          </cell>
          <cell r="H377">
            <v>409</v>
          </cell>
          <cell r="I377">
            <v>297</v>
          </cell>
          <cell r="J377">
            <v>913</v>
          </cell>
          <cell r="K377">
            <v>2177.02</v>
          </cell>
          <cell r="L377">
            <v>4240.09</v>
          </cell>
          <cell r="M377">
            <v>0</v>
          </cell>
          <cell r="N377">
            <v>0</v>
          </cell>
          <cell r="O377" t="str">
            <v/>
          </cell>
          <cell r="P377" t="str">
            <v/>
          </cell>
          <cell r="Q377" t="str">
            <v/>
          </cell>
          <cell r="R377" t="str">
            <v/>
          </cell>
          <cell r="V377" t="str">
            <v/>
          </cell>
          <cell r="W377" t="str">
            <v/>
          </cell>
          <cell r="Y377" t="str">
            <v/>
          </cell>
          <cell r="Z377" t="str">
            <v/>
          </cell>
        </row>
        <row r="378">
          <cell r="A378">
            <v>990172</v>
          </cell>
          <cell r="B378">
            <v>5467.21</v>
          </cell>
          <cell r="C378">
            <v>3659.02</v>
          </cell>
          <cell r="E378">
            <v>990172</v>
          </cell>
          <cell r="F378">
            <v>906</v>
          </cell>
          <cell r="G378">
            <v>55</v>
          </cell>
          <cell r="H378">
            <v>422</v>
          </cell>
          <cell r="I378">
            <v>403</v>
          </cell>
          <cell r="J378">
            <v>1871</v>
          </cell>
          <cell r="K378">
            <v>3659.02</v>
          </cell>
          <cell r="L378">
            <v>5467.21</v>
          </cell>
          <cell r="M378">
            <v>0</v>
          </cell>
          <cell r="N378">
            <v>0</v>
          </cell>
          <cell r="O378" t="str">
            <v/>
          </cell>
          <cell r="P378" t="str">
            <v/>
          </cell>
          <cell r="Q378" t="str">
            <v/>
          </cell>
          <cell r="R378" t="str">
            <v/>
          </cell>
          <cell r="V378" t="str">
            <v/>
          </cell>
          <cell r="W378" t="str">
            <v/>
          </cell>
          <cell r="Y378" t="str">
            <v/>
          </cell>
          <cell r="Z378" t="str">
            <v/>
          </cell>
        </row>
        <row r="379">
          <cell r="A379">
            <v>990173</v>
          </cell>
          <cell r="B379">
            <v>2797.18</v>
          </cell>
          <cell r="C379">
            <v>1187.73</v>
          </cell>
          <cell r="E379">
            <v>990173</v>
          </cell>
          <cell r="F379">
            <v>132</v>
          </cell>
          <cell r="G379">
            <v>9</v>
          </cell>
          <cell r="H379">
            <v>290</v>
          </cell>
          <cell r="I379">
            <v>198</v>
          </cell>
          <cell r="J379">
            <v>557</v>
          </cell>
          <cell r="K379">
            <v>1187.73</v>
          </cell>
          <cell r="L379">
            <v>2797.18</v>
          </cell>
          <cell r="M379">
            <v>0</v>
          </cell>
          <cell r="N379">
            <v>0</v>
          </cell>
          <cell r="O379" t="str">
            <v/>
          </cell>
          <cell r="P379" t="str">
            <v/>
          </cell>
          <cell r="Q379" t="str">
            <v/>
          </cell>
          <cell r="R379" t="str">
            <v/>
          </cell>
          <cell r="V379" t="str">
            <v/>
          </cell>
          <cell r="W379" t="str">
            <v/>
          </cell>
          <cell r="Y379" t="str">
            <v/>
          </cell>
          <cell r="Z379" t="str">
            <v/>
          </cell>
        </row>
        <row r="380">
          <cell r="A380">
            <v>990174</v>
          </cell>
          <cell r="B380">
            <v>12831.69</v>
          </cell>
          <cell r="C380">
            <v>4727.53</v>
          </cell>
          <cell r="E380">
            <v>990174</v>
          </cell>
          <cell r="F380">
            <v>1285</v>
          </cell>
          <cell r="G380">
            <v>90</v>
          </cell>
          <cell r="H380">
            <v>290</v>
          </cell>
          <cell r="I380">
            <v>584</v>
          </cell>
          <cell r="J380">
            <v>2478</v>
          </cell>
          <cell r="K380">
            <v>4727.53</v>
          </cell>
          <cell r="L380">
            <v>12831.69</v>
          </cell>
          <cell r="M380">
            <v>0</v>
          </cell>
          <cell r="N380">
            <v>0</v>
          </cell>
          <cell r="O380" t="str">
            <v/>
          </cell>
          <cell r="P380" t="str">
            <v/>
          </cell>
          <cell r="Q380" t="str">
            <v/>
          </cell>
          <cell r="R380" t="str">
            <v/>
          </cell>
          <cell r="V380" t="str">
            <v/>
          </cell>
          <cell r="W380" t="str">
            <v/>
          </cell>
          <cell r="Y380" t="str">
            <v/>
          </cell>
          <cell r="Z380" t="str">
            <v/>
          </cell>
        </row>
        <row r="381">
          <cell r="A381">
            <v>990177</v>
          </cell>
          <cell r="B381">
            <v>16524.900000000001</v>
          </cell>
          <cell r="C381">
            <v>7820.84</v>
          </cell>
          <cell r="E381">
            <v>990177</v>
          </cell>
          <cell r="F381">
            <v>1029</v>
          </cell>
          <cell r="G381">
            <v>140</v>
          </cell>
          <cell r="H381">
            <v>422</v>
          </cell>
          <cell r="I381">
            <v>834</v>
          </cell>
          <cell r="J381">
            <v>5394</v>
          </cell>
          <cell r="K381">
            <v>7820.84</v>
          </cell>
          <cell r="L381">
            <v>16524.900000000001</v>
          </cell>
          <cell r="M381">
            <v>0</v>
          </cell>
          <cell r="N381">
            <v>0</v>
          </cell>
          <cell r="O381" t="str">
            <v/>
          </cell>
          <cell r="P381" t="str">
            <v/>
          </cell>
          <cell r="Q381" t="str">
            <v/>
          </cell>
          <cell r="R381" t="str">
            <v/>
          </cell>
          <cell r="V381" t="str">
            <v/>
          </cell>
          <cell r="W381" t="str">
            <v/>
          </cell>
          <cell r="Y381" t="str">
            <v/>
          </cell>
          <cell r="Z381" t="str">
            <v/>
          </cell>
        </row>
        <row r="382">
          <cell r="A382">
            <v>990180</v>
          </cell>
          <cell r="B382">
            <v>3938.93</v>
          </cell>
          <cell r="C382">
            <v>1405.73</v>
          </cell>
          <cell r="E382">
            <v>990180</v>
          </cell>
          <cell r="F382">
            <v>96</v>
          </cell>
          <cell r="G382">
            <v>25</v>
          </cell>
          <cell r="H382">
            <v>290</v>
          </cell>
          <cell r="I382">
            <v>223</v>
          </cell>
          <cell r="J382">
            <v>770</v>
          </cell>
          <cell r="K382">
            <v>1405.73</v>
          </cell>
          <cell r="L382">
            <v>3938.93</v>
          </cell>
          <cell r="M382">
            <v>0</v>
          </cell>
          <cell r="N382">
            <v>0</v>
          </cell>
          <cell r="O382" t="str">
            <v/>
          </cell>
          <cell r="P382" t="str">
            <v/>
          </cell>
          <cell r="Q382" t="str">
            <v/>
          </cell>
          <cell r="R382" t="str">
            <v/>
          </cell>
          <cell r="V382" t="str">
            <v/>
          </cell>
          <cell r="W382" t="str">
            <v/>
          </cell>
          <cell r="Y382" t="str">
            <v/>
          </cell>
          <cell r="Z382" t="str">
            <v/>
          </cell>
        </row>
        <row r="383">
          <cell r="A383">
            <v>990181</v>
          </cell>
          <cell r="B383">
            <v>11249.28</v>
          </cell>
          <cell r="C383">
            <v>2551.42</v>
          </cell>
          <cell r="E383">
            <v>990181</v>
          </cell>
          <cell r="F383">
            <v>117</v>
          </cell>
          <cell r="G383">
            <v>36</v>
          </cell>
          <cell r="H383">
            <v>290</v>
          </cell>
          <cell r="I383">
            <v>512</v>
          </cell>
          <cell r="J383">
            <v>1594</v>
          </cell>
          <cell r="K383">
            <v>2551.42</v>
          </cell>
          <cell r="L383">
            <v>11249.28</v>
          </cell>
          <cell r="M383">
            <v>0</v>
          </cell>
          <cell r="N383">
            <v>0</v>
          </cell>
          <cell r="O383" t="str">
            <v/>
          </cell>
          <cell r="P383" t="str">
            <v/>
          </cell>
          <cell r="Q383" t="str">
            <v/>
          </cell>
          <cell r="R383" t="str">
            <v/>
          </cell>
          <cell r="V383" t="str">
            <v/>
          </cell>
          <cell r="W383" t="str">
            <v/>
          </cell>
          <cell r="Y383" t="str">
            <v/>
          </cell>
          <cell r="Z383" t="str">
            <v/>
          </cell>
        </row>
        <row r="384">
          <cell r="A384">
            <v>990182</v>
          </cell>
          <cell r="B384">
            <v>7799.37</v>
          </cell>
          <cell r="C384">
            <v>2919.17</v>
          </cell>
          <cell r="E384">
            <v>990182</v>
          </cell>
          <cell r="F384">
            <v>614</v>
          </cell>
          <cell r="G384">
            <v>26</v>
          </cell>
          <cell r="H384">
            <v>290</v>
          </cell>
          <cell r="I384">
            <v>382</v>
          </cell>
          <cell r="J384">
            <v>1604</v>
          </cell>
          <cell r="K384">
            <v>2919.17</v>
          </cell>
          <cell r="L384">
            <v>7799.37</v>
          </cell>
          <cell r="M384">
            <v>0</v>
          </cell>
          <cell r="N384">
            <v>0</v>
          </cell>
          <cell r="O384" t="str">
            <v/>
          </cell>
          <cell r="P384" t="str">
            <v/>
          </cell>
          <cell r="Q384" t="str">
            <v/>
          </cell>
          <cell r="R384" t="str">
            <v/>
          </cell>
          <cell r="V384" t="str">
            <v/>
          </cell>
          <cell r="W384" t="str">
            <v/>
          </cell>
          <cell r="Y384" t="str">
            <v/>
          </cell>
          <cell r="Z384" t="str">
            <v/>
          </cell>
        </row>
        <row r="385">
          <cell r="A385">
            <v>990183</v>
          </cell>
          <cell r="B385">
            <v>3546.2</v>
          </cell>
          <cell r="C385">
            <v>1422.25</v>
          </cell>
          <cell r="E385">
            <v>990183</v>
          </cell>
          <cell r="F385">
            <v>192</v>
          </cell>
          <cell r="G385">
            <v>11</v>
          </cell>
          <cell r="H385">
            <v>290</v>
          </cell>
          <cell r="I385">
            <v>216</v>
          </cell>
          <cell r="J385">
            <v>711</v>
          </cell>
          <cell r="K385">
            <v>1422.25</v>
          </cell>
          <cell r="L385">
            <v>3546.2</v>
          </cell>
          <cell r="M385">
            <v>0</v>
          </cell>
          <cell r="N385">
            <v>0</v>
          </cell>
          <cell r="O385" t="str">
            <v/>
          </cell>
          <cell r="P385" t="str">
            <v/>
          </cell>
          <cell r="Q385" t="str">
            <v/>
          </cell>
          <cell r="R385" t="str">
            <v/>
          </cell>
          <cell r="V385" t="str">
            <v/>
          </cell>
          <cell r="W385" t="str">
            <v/>
          </cell>
          <cell r="Y385" t="str">
            <v/>
          </cell>
          <cell r="Z385" t="str">
            <v/>
          </cell>
        </row>
        <row r="386">
          <cell r="A386">
            <v>990185</v>
          </cell>
          <cell r="B386">
            <v>16238.73</v>
          </cell>
          <cell r="C386">
            <v>6164.51</v>
          </cell>
          <cell r="E386">
            <v>990185</v>
          </cell>
          <cell r="F386">
            <v>184</v>
          </cell>
          <cell r="G386">
            <v>147</v>
          </cell>
          <cell r="H386">
            <v>450</v>
          </cell>
          <cell r="I386">
            <v>830</v>
          </cell>
          <cell r="J386">
            <v>4551</v>
          </cell>
          <cell r="K386">
            <v>6164.51</v>
          </cell>
          <cell r="L386">
            <v>16238.73</v>
          </cell>
          <cell r="M386">
            <v>0</v>
          </cell>
          <cell r="N386">
            <v>0</v>
          </cell>
          <cell r="O386" t="str">
            <v/>
          </cell>
          <cell r="P386" t="str">
            <v/>
          </cell>
          <cell r="Q386" t="str">
            <v/>
          </cell>
          <cell r="R386" t="str">
            <v/>
          </cell>
          <cell r="V386" t="str">
            <v/>
          </cell>
          <cell r="W386" t="str">
            <v/>
          </cell>
          <cell r="Y386" t="str">
            <v/>
          </cell>
          <cell r="Z386" t="str">
            <v/>
          </cell>
        </row>
        <row r="387">
          <cell r="A387">
            <v>990186</v>
          </cell>
          <cell r="B387">
            <v>3281.52</v>
          </cell>
          <cell r="C387">
            <v>1570.49</v>
          </cell>
          <cell r="E387">
            <v>990186</v>
          </cell>
          <cell r="F387">
            <v>223</v>
          </cell>
          <cell r="G387">
            <v>15</v>
          </cell>
          <cell r="H387">
            <v>409</v>
          </cell>
          <cell r="I387">
            <v>241</v>
          </cell>
          <cell r="J387">
            <v>680</v>
          </cell>
          <cell r="K387">
            <v>1570.49</v>
          </cell>
          <cell r="L387">
            <v>3281.52</v>
          </cell>
          <cell r="M387">
            <v>0</v>
          </cell>
          <cell r="N387">
            <v>0</v>
          </cell>
          <cell r="O387" t="str">
            <v/>
          </cell>
          <cell r="P387" t="str">
            <v/>
          </cell>
          <cell r="Q387" t="str">
            <v/>
          </cell>
          <cell r="R387" t="str">
            <v/>
          </cell>
          <cell r="V387" t="str">
            <v/>
          </cell>
          <cell r="W387" t="str">
            <v/>
          </cell>
          <cell r="Y387" t="str">
            <v/>
          </cell>
          <cell r="Z387" t="str">
            <v/>
          </cell>
        </row>
        <row r="388">
          <cell r="A388">
            <v>990188</v>
          </cell>
          <cell r="B388">
            <v>472.25</v>
          </cell>
          <cell r="C388">
            <v>882.11</v>
          </cell>
          <cell r="E388">
            <v>990188</v>
          </cell>
          <cell r="F388">
            <v>161</v>
          </cell>
          <cell r="G388">
            <v>2</v>
          </cell>
          <cell r="H388">
            <v>409</v>
          </cell>
          <cell r="I388">
            <v>150</v>
          </cell>
          <cell r="J388">
            <v>157</v>
          </cell>
          <cell r="K388">
            <v>882.11</v>
          </cell>
          <cell r="L388">
            <v>472.25</v>
          </cell>
          <cell r="M388">
            <v>0</v>
          </cell>
          <cell r="N388">
            <v>0</v>
          </cell>
          <cell r="O388" t="str">
            <v/>
          </cell>
          <cell r="P388" t="str">
            <v/>
          </cell>
          <cell r="Q388" t="str">
            <v/>
          </cell>
          <cell r="R388" t="str">
            <v/>
          </cell>
          <cell r="V388" t="str">
            <v/>
          </cell>
          <cell r="W388" t="str">
            <v/>
          </cell>
          <cell r="Y388" t="str">
            <v/>
          </cell>
          <cell r="Z388" t="str">
            <v/>
          </cell>
        </row>
        <row r="389">
          <cell r="A389">
            <v>990197</v>
          </cell>
          <cell r="B389">
            <v>82168.84</v>
          </cell>
          <cell r="C389">
            <v>17455.78</v>
          </cell>
          <cell r="E389">
            <v>990197</v>
          </cell>
          <cell r="F389">
            <v>1084</v>
          </cell>
          <cell r="G389">
            <v>516</v>
          </cell>
          <cell r="H389">
            <v>290</v>
          </cell>
          <cell r="I389">
            <v>2136</v>
          </cell>
          <cell r="J389">
            <v>13427</v>
          </cell>
          <cell r="K389">
            <v>17455.78</v>
          </cell>
          <cell r="L389">
            <v>82168.84</v>
          </cell>
          <cell r="M389">
            <v>0</v>
          </cell>
          <cell r="N389">
            <v>0</v>
          </cell>
          <cell r="O389" t="str">
            <v/>
          </cell>
          <cell r="P389" t="str">
            <v/>
          </cell>
          <cell r="Q389" t="str">
            <v/>
          </cell>
          <cell r="R389" t="str">
            <v/>
          </cell>
          <cell r="V389" t="str">
            <v/>
          </cell>
          <cell r="W389" t="str">
            <v/>
          </cell>
          <cell r="Y389" t="str">
            <v/>
          </cell>
          <cell r="Z389" t="str">
            <v/>
          </cell>
        </row>
        <row r="390">
          <cell r="A390">
            <v>990202</v>
          </cell>
          <cell r="B390">
            <v>5812.32</v>
          </cell>
          <cell r="C390">
            <v>2149.56</v>
          </cell>
          <cell r="E390">
            <v>990202</v>
          </cell>
          <cell r="F390">
            <v>161</v>
          </cell>
          <cell r="G390">
            <v>26</v>
          </cell>
          <cell r="H390">
            <v>409</v>
          </cell>
          <cell r="I390">
            <v>379</v>
          </cell>
          <cell r="J390">
            <v>1172</v>
          </cell>
          <cell r="K390">
            <v>2149.56</v>
          </cell>
          <cell r="L390">
            <v>5812.32</v>
          </cell>
          <cell r="M390">
            <v>0</v>
          </cell>
          <cell r="N390">
            <v>0</v>
          </cell>
          <cell r="O390" t="str">
            <v/>
          </cell>
          <cell r="P390" t="str">
            <v/>
          </cell>
          <cell r="Q390" t="str">
            <v/>
          </cell>
          <cell r="R390" t="str">
            <v/>
          </cell>
          <cell r="V390" t="str">
            <v/>
          </cell>
          <cell r="W390" t="str">
            <v/>
          </cell>
          <cell r="Y390" t="str">
            <v/>
          </cell>
          <cell r="Z390" t="str">
            <v/>
          </cell>
        </row>
        <row r="391">
          <cell r="A391">
            <v>990204</v>
          </cell>
          <cell r="B391">
            <v>2383.4299999999998</v>
          </cell>
          <cell r="C391">
            <v>1250.51</v>
          </cell>
          <cell r="E391">
            <v>990204</v>
          </cell>
          <cell r="F391">
            <v>236</v>
          </cell>
          <cell r="G391">
            <v>8</v>
          </cell>
          <cell r="H391">
            <v>290</v>
          </cell>
          <cell r="I391">
            <v>190</v>
          </cell>
          <cell r="J391">
            <v>525</v>
          </cell>
          <cell r="K391">
            <v>1250.51</v>
          </cell>
          <cell r="L391">
            <v>2383.4299999999998</v>
          </cell>
          <cell r="M391">
            <v>0</v>
          </cell>
          <cell r="N391">
            <v>0</v>
          </cell>
          <cell r="O391" t="str">
            <v/>
          </cell>
          <cell r="P391" t="str">
            <v/>
          </cell>
          <cell r="Q391" t="str">
            <v/>
          </cell>
          <cell r="R391" t="str">
            <v/>
          </cell>
          <cell r="V391" t="str">
            <v/>
          </cell>
          <cell r="W391" t="str">
            <v/>
          </cell>
          <cell r="Y391" t="str">
            <v/>
          </cell>
          <cell r="Z391" t="str">
            <v/>
          </cell>
        </row>
        <row r="392">
          <cell r="A392">
            <v>990207</v>
          </cell>
          <cell r="B392">
            <v>5074.51</v>
          </cell>
          <cell r="C392">
            <v>1698.11</v>
          </cell>
          <cell r="E392">
            <v>990207</v>
          </cell>
          <cell r="F392">
            <v>131</v>
          </cell>
          <cell r="G392">
            <v>32</v>
          </cell>
          <cell r="H392">
            <v>290</v>
          </cell>
          <cell r="I392">
            <v>249</v>
          </cell>
          <cell r="J392">
            <v>994</v>
          </cell>
          <cell r="K392">
            <v>1698.11</v>
          </cell>
          <cell r="L392">
            <v>5074.51</v>
          </cell>
          <cell r="M392">
            <v>0</v>
          </cell>
          <cell r="N392">
            <v>0</v>
          </cell>
          <cell r="O392" t="str">
            <v/>
          </cell>
          <cell r="P392" t="str">
            <v/>
          </cell>
          <cell r="Q392" t="str">
            <v/>
          </cell>
          <cell r="R392" t="str">
            <v/>
          </cell>
          <cell r="V392" t="str">
            <v/>
          </cell>
          <cell r="W392" t="str">
            <v/>
          </cell>
          <cell r="Y392" t="str">
            <v/>
          </cell>
          <cell r="Z392" t="str">
            <v/>
          </cell>
        </row>
        <row r="393">
          <cell r="A393">
            <v>990209</v>
          </cell>
          <cell r="B393">
            <v>462.64</v>
          </cell>
          <cell r="C393">
            <v>704.55</v>
          </cell>
          <cell r="E393">
            <v>990209</v>
          </cell>
          <cell r="F393">
            <v>142</v>
          </cell>
          <cell r="G393">
            <v>3</v>
          </cell>
          <cell r="H393">
            <v>290</v>
          </cell>
          <cell r="I393">
            <v>146</v>
          </cell>
          <cell r="J393">
            <v>121</v>
          </cell>
          <cell r="K393">
            <v>704.55</v>
          </cell>
          <cell r="L393">
            <v>462.64</v>
          </cell>
          <cell r="M393">
            <v>0</v>
          </cell>
          <cell r="N393">
            <v>0</v>
          </cell>
          <cell r="O393" t="str">
            <v/>
          </cell>
          <cell r="P393" t="str">
            <v/>
          </cell>
          <cell r="Q393" t="str">
            <v/>
          </cell>
          <cell r="R393" t="str">
            <v/>
          </cell>
          <cell r="V393" t="str">
            <v/>
          </cell>
          <cell r="W393" t="str">
            <v/>
          </cell>
          <cell r="Y393" t="str">
            <v/>
          </cell>
          <cell r="Z393" t="str">
            <v/>
          </cell>
        </row>
        <row r="394">
          <cell r="A394">
            <v>990210</v>
          </cell>
          <cell r="B394">
            <v>11042.67</v>
          </cell>
          <cell r="C394">
            <v>2512.5100000000002</v>
          </cell>
          <cell r="E394">
            <v>990210</v>
          </cell>
          <cell r="F394">
            <v>114</v>
          </cell>
          <cell r="G394">
            <v>35</v>
          </cell>
          <cell r="H394">
            <v>290</v>
          </cell>
          <cell r="I394">
            <v>505</v>
          </cell>
          <cell r="J394">
            <v>1566</v>
          </cell>
          <cell r="K394">
            <v>2512.5100000000002</v>
          </cell>
          <cell r="L394">
            <v>11042.67</v>
          </cell>
          <cell r="M394">
            <v>0</v>
          </cell>
          <cell r="N394">
            <v>0</v>
          </cell>
          <cell r="O394" t="str">
            <v/>
          </cell>
          <cell r="P394" t="str">
            <v/>
          </cell>
          <cell r="Q394" t="str">
            <v/>
          </cell>
          <cell r="R394" t="str">
            <v/>
          </cell>
          <cell r="V394" t="str">
            <v/>
          </cell>
          <cell r="W394" t="str">
            <v/>
          </cell>
          <cell r="Y394" t="str">
            <v/>
          </cell>
          <cell r="Z394" t="str">
            <v/>
          </cell>
        </row>
        <row r="395">
          <cell r="A395">
            <v>990211</v>
          </cell>
          <cell r="B395">
            <v>6171.51</v>
          </cell>
          <cell r="C395">
            <v>917.29</v>
          </cell>
          <cell r="E395">
            <v>990211</v>
          </cell>
          <cell r="F395">
            <v>129</v>
          </cell>
          <cell r="G395">
            <v>20</v>
          </cell>
          <cell r="H395">
            <v>290</v>
          </cell>
          <cell r="I395">
            <v>287</v>
          </cell>
          <cell r="J395">
            <v>189</v>
          </cell>
          <cell r="K395">
            <v>917.29</v>
          </cell>
          <cell r="L395">
            <v>6171.51</v>
          </cell>
          <cell r="M395">
            <v>0</v>
          </cell>
          <cell r="N395">
            <v>0</v>
          </cell>
          <cell r="O395" t="str">
            <v/>
          </cell>
          <cell r="P395" t="str">
            <v/>
          </cell>
          <cell r="Q395" t="str">
            <v/>
          </cell>
          <cell r="R395" t="str">
            <v/>
          </cell>
          <cell r="V395" t="str">
            <v/>
          </cell>
          <cell r="W395" t="str">
            <v/>
          </cell>
          <cell r="Y395" t="str">
            <v/>
          </cell>
          <cell r="Z395" t="str">
            <v/>
          </cell>
        </row>
        <row r="396">
          <cell r="A396">
            <v>990214</v>
          </cell>
          <cell r="B396">
            <v>210.56</v>
          </cell>
          <cell r="C396">
            <v>608.01</v>
          </cell>
          <cell r="E396">
            <v>990214</v>
          </cell>
          <cell r="F396">
            <v>117</v>
          </cell>
          <cell r="G396">
            <v>2</v>
          </cell>
          <cell r="H396">
            <v>290</v>
          </cell>
          <cell r="I396">
            <v>139</v>
          </cell>
          <cell r="J396">
            <v>59</v>
          </cell>
          <cell r="K396">
            <v>608.01</v>
          </cell>
          <cell r="L396">
            <v>210.56</v>
          </cell>
          <cell r="M396">
            <v>0</v>
          </cell>
          <cell r="N396">
            <v>0</v>
          </cell>
          <cell r="O396" t="str">
            <v/>
          </cell>
          <cell r="P396" t="str">
            <v/>
          </cell>
          <cell r="Q396" t="str">
            <v/>
          </cell>
          <cell r="R396" t="str">
            <v/>
          </cell>
          <cell r="V396" t="str">
            <v/>
          </cell>
          <cell r="W396" t="str">
            <v/>
          </cell>
          <cell r="Y396" t="str">
            <v/>
          </cell>
          <cell r="Z396" t="str">
            <v/>
          </cell>
        </row>
        <row r="397">
          <cell r="A397">
            <v>990229</v>
          </cell>
          <cell r="B397">
            <v>9.09</v>
          </cell>
          <cell r="C397">
            <v>772.09</v>
          </cell>
          <cell r="E397">
            <v>990229</v>
          </cell>
          <cell r="F397">
            <v>187</v>
          </cell>
          <cell r="G397">
            <v>0</v>
          </cell>
          <cell r="H397">
            <v>409</v>
          </cell>
          <cell r="I397">
            <v>136</v>
          </cell>
          <cell r="J397">
            <v>38</v>
          </cell>
          <cell r="K397">
            <v>772.09</v>
          </cell>
          <cell r="L397">
            <v>9.09</v>
          </cell>
          <cell r="M397">
            <v>0</v>
          </cell>
          <cell r="N397">
            <v>0</v>
          </cell>
          <cell r="O397" t="str">
            <v/>
          </cell>
          <cell r="P397" t="str">
            <v/>
          </cell>
          <cell r="Q397" t="str">
            <v/>
          </cell>
          <cell r="R397" t="str">
            <v/>
          </cell>
          <cell r="V397" t="str">
            <v/>
          </cell>
          <cell r="W397" t="str">
            <v/>
          </cell>
          <cell r="Y397" t="str">
            <v/>
          </cell>
          <cell r="Z397" t="str">
            <v/>
          </cell>
        </row>
        <row r="398">
          <cell r="A398">
            <v>990236</v>
          </cell>
          <cell r="B398">
            <v>10893.6</v>
          </cell>
          <cell r="C398">
            <v>2520.31</v>
          </cell>
          <cell r="E398">
            <v>990236</v>
          </cell>
          <cell r="F398">
            <v>114</v>
          </cell>
          <cell r="G398">
            <v>68</v>
          </cell>
          <cell r="H398">
            <v>290</v>
          </cell>
          <cell r="I398">
            <v>499</v>
          </cell>
          <cell r="J398">
            <v>1548</v>
          </cell>
          <cell r="K398">
            <v>2520.31</v>
          </cell>
          <cell r="L398">
            <v>10893.6</v>
          </cell>
          <cell r="M398">
            <v>0</v>
          </cell>
          <cell r="N398">
            <v>0</v>
          </cell>
          <cell r="O398" t="str">
            <v/>
          </cell>
          <cell r="P398" t="str">
            <v/>
          </cell>
          <cell r="Q398" t="str">
            <v/>
          </cell>
          <cell r="R398" t="str">
            <v/>
          </cell>
          <cell r="V398" t="str">
            <v/>
          </cell>
          <cell r="W398" t="str">
            <v/>
          </cell>
          <cell r="Y398" t="str">
            <v/>
          </cell>
          <cell r="Z398" t="str">
            <v/>
          </cell>
        </row>
        <row r="399">
          <cell r="A399">
            <v>990237</v>
          </cell>
          <cell r="B399">
            <v>6439.33</v>
          </cell>
          <cell r="C399">
            <v>2272.41</v>
          </cell>
          <cell r="E399">
            <v>990237</v>
          </cell>
          <cell r="F399">
            <v>143</v>
          </cell>
          <cell r="G399">
            <v>40</v>
          </cell>
          <cell r="H399">
            <v>409</v>
          </cell>
          <cell r="I399">
            <v>422</v>
          </cell>
          <cell r="J399">
            <v>1256</v>
          </cell>
          <cell r="K399">
            <v>2272.41</v>
          </cell>
          <cell r="L399">
            <v>6439.33</v>
          </cell>
          <cell r="M399">
            <v>0</v>
          </cell>
          <cell r="N399">
            <v>0</v>
          </cell>
          <cell r="O399" t="str">
            <v/>
          </cell>
          <cell r="P399" t="str">
            <v/>
          </cell>
          <cell r="Q399" t="str">
            <v/>
          </cell>
          <cell r="R399" t="str">
            <v/>
          </cell>
          <cell r="V399" t="str">
            <v/>
          </cell>
          <cell r="W399" t="str">
            <v/>
          </cell>
          <cell r="Y399" t="str">
            <v/>
          </cell>
          <cell r="Z399" t="str">
            <v/>
          </cell>
        </row>
        <row r="400">
          <cell r="A400">
            <v>990240</v>
          </cell>
          <cell r="B400">
            <v>2705.47</v>
          </cell>
          <cell r="C400">
            <v>1654.92</v>
          </cell>
          <cell r="E400">
            <v>990240</v>
          </cell>
          <cell r="F400">
            <v>158</v>
          </cell>
          <cell r="G400">
            <v>24</v>
          </cell>
          <cell r="H400">
            <v>409</v>
          </cell>
          <cell r="I400">
            <v>222</v>
          </cell>
          <cell r="J400">
            <v>840</v>
          </cell>
          <cell r="K400">
            <v>1654.92</v>
          </cell>
          <cell r="L400">
            <v>2705.47</v>
          </cell>
          <cell r="M400">
            <v>0</v>
          </cell>
          <cell r="N400">
            <v>0</v>
          </cell>
          <cell r="O400" t="str">
            <v/>
          </cell>
          <cell r="P400" t="str">
            <v/>
          </cell>
          <cell r="Q400" t="str">
            <v/>
          </cell>
          <cell r="R400" t="str">
            <v/>
          </cell>
          <cell r="V400" t="str">
            <v/>
          </cell>
          <cell r="W400" t="str">
            <v/>
          </cell>
          <cell r="Y400" t="str">
            <v/>
          </cell>
          <cell r="Z400" t="str">
            <v/>
          </cell>
        </row>
        <row r="401">
          <cell r="A401">
            <v>990243</v>
          </cell>
          <cell r="B401">
            <v>4535.8500000000004</v>
          </cell>
          <cell r="C401">
            <v>1868.96</v>
          </cell>
          <cell r="E401">
            <v>990243</v>
          </cell>
          <cell r="F401">
            <v>478</v>
          </cell>
          <cell r="G401">
            <v>31</v>
          </cell>
          <cell r="H401">
            <v>130</v>
          </cell>
          <cell r="I401">
            <v>257</v>
          </cell>
          <cell r="J401">
            <v>971</v>
          </cell>
          <cell r="K401">
            <v>1868.96</v>
          </cell>
          <cell r="L401">
            <v>4535.8500000000004</v>
          </cell>
          <cell r="M401">
            <v>0</v>
          </cell>
          <cell r="N401">
            <v>0</v>
          </cell>
          <cell r="O401" t="str">
            <v/>
          </cell>
          <cell r="P401" t="str">
            <v/>
          </cell>
          <cell r="Q401" t="str">
            <v/>
          </cell>
          <cell r="R401" t="str">
            <v/>
          </cell>
          <cell r="V401" t="str">
            <v/>
          </cell>
          <cell r="W401" t="str">
            <v/>
          </cell>
          <cell r="Y401" t="str">
            <v/>
          </cell>
          <cell r="Z401" t="str">
            <v/>
          </cell>
        </row>
        <row r="402">
          <cell r="A402">
            <v>990244</v>
          </cell>
          <cell r="B402">
            <v>1028.6099999999999</v>
          </cell>
          <cell r="C402">
            <v>1417.7</v>
          </cell>
          <cell r="E402">
            <v>990244</v>
          </cell>
          <cell r="F402">
            <v>477</v>
          </cell>
          <cell r="G402">
            <v>11</v>
          </cell>
          <cell r="H402">
            <v>409</v>
          </cell>
          <cell r="I402">
            <v>173</v>
          </cell>
          <cell r="J402">
            <v>346</v>
          </cell>
          <cell r="K402">
            <v>1417.7</v>
          </cell>
          <cell r="L402">
            <v>1028.6099999999999</v>
          </cell>
          <cell r="M402">
            <v>0</v>
          </cell>
          <cell r="N402">
            <v>0</v>
          </cell>
          <cell r="O402" t="str">
            <v/>
          </cell>
          <cell r="P402" t="str">
            <v/>
          </cell>
          <cell r="Q402" t="str">
            <v/>
          </cell>
          <cell r="R402" t="str">
            <v/>
          </cell>
          <cell r="V402" t="str">
            <v/>
          </cell>
          <cell r="W402" t="str">
            <v/>
          </cell>
          <cell r="Y402" t="str">
            <v/>
          </cell>
          <cell r="Z402" t="str">
            <v/>
          </cell>
        </row>
        <row r="403">
          <cell r="A403">
            <v>990245</v>
          </cell>
          <cell r="B403">
            <v>5831.69</v>
          </cell>
          <cell r="C403">
            <v>3344.09</v>
          </cell>
          <cell r="E403">
            <v>990245</v>
          </cell>
          <cell r="F403">
            <v>693</v>
          </cell>
          <cell r="G403">
            <v>56</v>
          </cell>
          <cell r="H403">
            <v>422</v>
          </cell>
          <cell r="I403">
            <v>417</v>
          </cell>
          <cell r="J403">
            <v>1753</v>
          </cell>
          <cell r="K403">
            <v>3344.09</v>
          </cell>
          <cell r="L403">
            <v>5831.69</v>
          </cell>
          <cell r="M403">
            <v>0</v>
          </cell>
          <cell r="N403">
            <v>0</v>
          </cell>
          <cell r="O403" t="str">
            <v/>
          </cell>
          <cell r="P403" t="str">
            <v/>
          </cell>
          <cell r="Q403" t="str">
            <v/>
          </cell>
          <cell r="R403" t="str">
            <v/>
          </cell>
          <cell r="V403" t="str">
            <v/>
          </cell>
          <cell r="W403" t="str">
            <v/>
          </cell>
          <cell r="Y403" t="str">
            <v/>
          </cell>
          <cell r="Z403" t="str">
            <v/>
          </cell>
        </row>
        <row r="404">
          <cell r="A404">
            <v>990252</v>
          </cell>
          <cell r="B404">
            <v>13004.01</v>
          </cell>
          <cell r="C404">
            <v>3391.72</v>
          </cell>
          <cell r="E404">
            <v>990252</v>
          </cell>
          <cell r="F404">
            <v>184</v>
          </cell>
          <cell r="G404">
            <v>75</v>
          </cell>
          <cell r="H404">
            <v>290</v>
          </cell>
          <cell r="I404">
            <v>529</v>
          </cell>
          <cell r="J404">
            <v>2312</v>
          </cell>
          <cell r="K404">
            <v>3391.72</v>
          </cell>
          <cell r="L404">
            <v>13004.01</v>
          </cell>
          <cell r="M404">
            <v>0</v>
          </cell>
          <cell r="N404">
            <v>0</v>
          </cell>
          <cell r="O404" t="str">
            <v/>
          </cell>
          <cell r="P404" t="str">
            <v/>
          </cell>
          <cell r="Q404" t="str">
            <v/>
          </cell>
          <cell r="R404" t="str">
            <v/>
          </cell>
          <cell r="V404" t="str">
            <v/>
          </cell>
          <cell r="W404" t="str">
            <v/>
          </cell>
          <cell r="Y404" t="str">
            <v/>
          </cell>
          <cell r="Z404" t="str">
            <v/>
          </cell>
        </row>
        <row r="405">
          <cell r="A405">
            <v>990259</v>
          </cell>
          <cell r="B405">
            <v>1377.35</v>
          </cell>
          <cell r="C405">
            <v>1206.6500000000001</v>
          </cell>
          <cell r="E405">
            <v>990259</v>
          </cell>
          <cell r="F405">
            <v>166</v>
          </cell>
          <cell r="G405">
            <v>6</v>
          </cell>
          <cell r="H405">
            <v>409</v>
          </cell>
          <cell r="I405">
            <v>175</v>
          </cell>
          <cell r="J405">
            <v>449</v>
          </cell>
          <cell r="K405">
            <v>1206.6500000000001</v>
          </cell>
          <cell r="L405">
            <v>1377.35</v>
          </cell>
          <cell r="M405">
            <v>0</v>
          </cell>
          <cell r="N405">
            <v>0</v>
          </cell>
          <cell r="O405" t="str">
            <v/>
          </cell>
          <cell r="P405" t="str">
            <v/>
          </cell>
          <cell r="Q405" t="str">
            <v/>
          </cell>
          <cell r="R405" t="str">
            <v/>
          </cell>
          <cell r="V405" t="str">
            <v/>
          </cell>
          <cell r="W405" t="str">
            <v/>
          </cell>
          <cell r="Y405" t="str">
            <v/>
          </cell>
          <cell r="Z405" t="str">
            <v/>
          </cell>
        </row>
        <row r="406">
          <cell r="A406">
            <v>990260</v>
          </cell>
          <cell r="B406">
            <v>3869.17</v>
          </cell>
          <cell r="C406">
            <v>2167.63</v>
          </cell>
          <cell r="E406">
            <v>990260</v>
          </cell>
          <cell r="F406">
            <v>488</v>
          </cell>
          <cell r="G406">
            <v>37</v>
          </cell>
          <cell r="H406">
            <v>409</v>
          </cell>
          <cell r="I406">
            <v>277</v>
          </cell>
          <cell r="J406">
            <v>954</v>
          </cell>
          <cell r="K406">
            <v>2167.63</v>
          </cell>
          <cell r="L406">
            <v>3869.17</v>
          </cell>
          <cell r="M406">
            <v>0</v>
          </cell>
          <cell r="N406">
            <v>0</v>
          </cell>
          <cell r="O406" t="str">
            <v/>
          </cell>
          <cell r="P406" t="str">
            <v/>
          </cell>
          <cell r="Q406" t="str">
            <v/>
          </cell>
          <cell r="R406" t="str">
            <v/>
          </cell>
          <cell r="V406" t="str">
            <v/>
          </cell>
          <cell r="W406" t="str">
            <v/>
          </cell>
          <cell r="Y406" t="str">
            <v/>
          </cell>
          <cell r="Z406" t="str">
            <v/>
          </cell>
        </row>
        <row r="407">
          <cell r="A407">
            <v>990263</v>
          </cell>
          <cell r="B407">
            <v>8540.3700000000008</v>
          </cell>
          <cell r="C407">
            <v>2856.96</v>
          </cell>
          <cell r="E407">
            <v>990263</v>
          </cell>
          <cell r="F407">
            <v>166</v>
          </cell>
          <cell r="G407">
            <v>38</v>
          </cell>
          <cell r="H407">
            <v>409</v>
          </cell>
          <cell r="I407">
            <v>531</v>
          </cell>
          <cell r="J407">
            <v>1711</v>
          </cell>
          <cell r="K407">
            <v>2856.96</v>
          </cell>
          <cell r="L407">
            <v>8540.3700000000008</v>
          </cell>
          <cell r="M407">
            <v>0</v>
          </cell>
          <cell r="N407">
            <v>0</v>
          </cell>
          <cell r="O407" t="str">
            <v/>
          </cell>
          <cell r="P407" t="str">
            <v/>
          </cell>
          <cell r="Q407" t="str">
            <v/>
          </cell>
          <cell r="R407" t="str">
            <v/>
          </cell>
          <cell r="V407" t="str">
            <v/>
          </cell>
          <cell r="W407" t="str">
            <v/>
          </cell>
          <cell r="Y407" t="str">
            <v/>
          </cell>
          <cell r="Z407" t="str">
            <v/>
          </cell>
        </row>
        <row r="408">
          <cell r="A408">
            <v>990264</v>
          </cell>
          <cell r="B408">
            <v>2511.9499999999998</v>
          </cell>
          <cell r="C408">
            <v>1274.6300000000001</v>
          </cell>
          <cell r="E408">
            <v>990264</v>
          </cell>
          <cell r="F408">
            <v>166</v>
          </cell>
          <cell r="G408">
            <v>10</v>
          </cell>
          <cell r="H408">
            <v>409</v>
          </cell>
          <cell r="I408">
            <v>209</v>
          </cell>
          <cell r="J408">
            <v>479</v>
          </cell>
          <cell r="K408">
            <v>1274.6300000000001</v>
          </cell>
          <cell r="L408">
            <v>2511.9499999999998</v>
          </cell>
          <cell r="M408">
            <v>0</v>
          </cell>
          <cell r="N408">
            <v>0</v>
          </cell>
          <cell r="O408" t="str">
            <v/>
          </cell>
          <cell r="P408" t="str">
            <v/>
          </cell>
          <cell r="Q408" t="str">
            <v/>
          </cell>
          <cell r="R408" t="str">
            <v/>
          </cell>
          <cell r="V408" t="str">
            <v/>
          </cell>
          <cell r="W408" t="str">
            <v/>
          </cell>
          <cell r="Y408" t="str">
            <v/>
          </cell>
          <cell r="Z408" t="str">
            <v/>
          </cell>
        </row>
        <row r="409">
          <cell r="A409">
            <v>990267</v>
          </cell>
          <cell r="B409">
            <v>7388.08</v>
          </cell>
          <cell r="C409">
            <v>2067.9499999999998</v>
          </cell>
          <cell r="E409">
            <v>990267</v>
          </cell>
          <cell r="F409">
            <v>126</v>
          </cell>
          <cell r="G409">
            <v>22</v>
          </cell>
          <cell r="H409">
            <v>290</v>
          </cell>
          <cell r="I409">
            <v>314</v>
          </cell>
          <cell r="J409">
            <v>1314</v>
          </cell>
          <cell r="K409">
            <v>2067.9499999999998</v>
          </cell>
          <cell r="L409">
            <v>7388.08</v>
          </cell>
          <cell r="M409">
            <v>0</v>
          </cell>
          <cell r="N409">
            <v>0</v>
          </cell>
          <cell r="O409" t="str">
            <v/>
          </cell>
          <cell r="P409" t="str">
            <v/>
          </cell>
          <cell r="Q409" t="str">
            <v/>
          </cell>
          <cell r="R409" t="str">
            <v/>
          </cell>
          <cell r="V409" t="str">
            <v/>
          </cell>
          <cell r="W409" t="str">
            <v/>
          </cell>
          <cell r="Y409" t="str">
            <v/>
          </cell>
          <cell r="Z409" t="str">
            <v/>
          </cell>
        </row>
        <row r="410">
          <cell r="A410">
            <v>990268</v>
          </cell>
          <cell r="B410">
            <v>2296.8000000000002</v>
          </cell>
          <cell r="C410">
            <v>937.2</v>
          </cell>
          <cell r="E410">
            <v>990268</v>
          </cell>
          <cell r="F410">
            <v>106</v>
          </cell>
          <cell r="G410">
            <v>14</v>
          </cell>
          <cell r="H410">
            <v>290</v>
          </cell>
          <cell r="I410">
            <v>186</v>
          </cell>
          <cell r="J410">
            <v>339</v>
          </cell>
          <cell r="K410">
            <v>937.2</v>
          </cell>
          <cell r="L410">
            <v>2296.8000000000002</v>
          </cell>
          <cell r="M410">
            <v>0</v>
          </cell>
          <cell r="N410">
            <v>0</v>
          </cell>
          <cell r="O410" t="str">
            <v/>
          </cell>
          <cell r="P410" t="str">
            <v/>
          </cell>
          <cell r="Q410" t="str">
            <v/>
          </cell>
          <cell r="R410" t="str">
            <v/>
          </cell>
          <cell r="V410" t="str">
            <v/>
          </cell>
          <cell r="W410" t="str">
            <v/>
          </cell>
          <cell r="Y410" t="str">
            <v/>
          </cell>
          <cell r="Z410" t="str">
            <v/>
          </cell>
        </row>
        <row r="411">
          <cell r="A411">
            <v>990274</v>
          </cell>
          <cell r="B411">
            <v>7483.36</v>
          </cell>
          <cell r="C411">
            <v>2806.69</v>
          </cell>
          <cell r="E411">
            <v>990274</v>
          </cell>
          <cell r="F411">
            <v>564</v>
          </cell>
          <cell r="G411">
            <v>49</v>
          </cell>
          <cell r="H411">
            <v>290</v>
          </cell>
          <cell r="I411">
            <v>366</v>
          </cell>
          <cell r="J411">
            <v>1535</v>
          </cell>
          <cell r="K411">
            <v>2806.69</v>
          </cell>
          <cell r="L411">
            <v>7483.36</v>
          </cell>
          <cell r="M411">
            <v>0</v>
          </cell>
          <cell r="N411">
            <v>0</v>
          </cell>
          <cell r="O411" t="str">
            <v/>
          </cell>
          <cell r="P411" t="str">
            <v/>
          </cell>
          <cell r="Q411" t="str">
            <v/>
          </cell>
          <cell r="R411" t="str">
            <v/>
          </cell>
          <cell r="V411" t="str">
            <v/>
          </cell>
          <cell r="W411" t="str">
            <v/>
          </cell>
          <cell r="Y411" t="str">
            <v/>
          </cell>
          <cell r="Z411" t="str">
            <v/>
          </cell>
        </row>
        <row r="412">
          <cell r="A412">
            <v>990275</v>
          </cell>
          <cell r="B412">
            <v>1096.3800000000001</v>
          </cell>
          <cell r="C412">
            <v>894.9</v>
          </cell>
          <cell r="E412">
            <v>990275</v>
          </cell>
          <cell r="F412">
            <v>248</v>
          </cell>
          <cell r="G412">
            <v>8</v>
          </cell>
          <cell r="H412">
            <v>130</v>
          </cell>
          <cell r="I412">
            <v>257</v>
          </cell>
          <cell r="J412">
            <v>250</v>
          </cell>
          <cell r="K412">
            <v>894.9</v>
          </cell>
          <cell r="L412">
            <v>1096.3800000000001</v>
          </cell>
          <cell r="M412">
            <v>0</v>
          </cell>
          <cell r="N412">
            <v>0</v>
          </cell>
          <cell r="O412" t="str">
            <v/>
          </cell>
          <cell r="P412" t="str">
            <v/>
          </cell>
          <cell r="Q412" t="str">
            <v/>
          </cell>
          <cell r="R412" t="str">
            <v/>
          </cell>
          <cell r="V412" t="str">
            <v/>
          </cell>
          <cell r="W412" t="str">
            <v/>
          </cell>
          <cell r="Y412" t="str">
            <v/>
          </cell>
          <cell r="Z412" t="str">
            <v/>
          </cell>
        </row>
        <row r="413">
          <cell r="A413">
            <v>990276</v>
          </cell>
          <cell r="B413">
            <v>1114.03</v>
          </cell>
          <cell r="C413">
            <v>610.9</v>
          </cell>
          <cell r="E413">
            <v>990276</v>
          </cell>
          <cell r="F413">
            <v>52</v>
          </cell>
          <cell r="G413">
            <v>7</v>
          </cell>
          <cell r="H413">
            <v>130</v>
          </cell>
          <cell r="I413">
            <v>257</v>
          </cell>
          <cell r="J413">
            <v>163</v>
          </cell>
          <cell r="K413">
            <v>610.9</v>
          </cell>
          <cell r="L413">
            <v>1114.03</v>
          </cell>
          <cell r="M413">
            <v>0</v>
          </cell>
          <cell r="N413">
            <v>0</v>
          </cell>
          <cell r="O413" t="str">
            <v/>
          </cell>
          <cell r="P413" t="str">
            <v/>
          </cell>
          <cell r="Q413" t="str">
            <v/>
          </cell>
          <cell r="R413" t="str">
            <v/>
          </cell>
          <cell r="V413" t="str">
            <v/>
          </cell>
          <cell r="W413" t="str">
            <v/>
          </cell>
          <cell r="Y413" t="str">
            <v/>
          </cell>
          <cell r="Z413" t="str">
            <v/>
          </cell>
        </row>
        <row r="414">
          <cell r="A414">
            <v>990277</v>
          </cell>
          <cell r="B414">
            <v>903.65</v>
          </cell>
          <cell r="C414">
            <v>858.01</v>
          </cell>
          <cell r="E414">
            <v>990277</v>
          </cell>
          <cell r="F414">
            <v>248</v>
          </cell>
          <cell r="G414">
            <v>7</v>
          </cell>
          <cell r="H414">
            <v>130</v>
          </cell>
          <cell r="I414">
            <v>257</v>
          </cell>
          <cell r="J414">
            <v>215</v>
          </cell>
          <cell r="K414">
            <v>858.01</v>
          </cell>
          <cell r="L414">
            <v>903.65</v>
          </cell>
          <cell r="M414">
            <v>0</v>
          </cell>
          <cell r="N414">
            <v>0</v>
          </cell>
          <cell r="O414" t="str">
            <v/>
          </cell>
          <cell r="P414" t="str">
            <v/>
          </cell>
          <cell r="Q414" t="str">
            <v/>
          </cell>
          <cell r="R414" t="str">
            <v/>
          </cell>
          <cell r="V414" t="str">
            <v/>
          </cell>
          <cell r="W414" t="str">
            <v/>
          </cell>
          <cell r="Y414" t="str">
            <v/>
          </cell>
          <cell r="Z414" t="str">
            <v/>
          </cell>
        </row>
        <row r="415">
          <cell r="A415">
            <v>990278</v>
          </cell>
          <cell r="B415">
            <v>7548.77</v>
          </cell>
          <cell r="C415">
            <v>1968.37</v>
          </cell>
          <cell r="E415">
            <v>990278</v>
          </cell>
          <cell r="F415">
            <v>134</v>
          </cell>
          <cell r="G415">
            <v>47</v>
          </cell>
          <cell r="H415">
            <v>130</v>
          </cell>
          <cell r="I415">
            <v>302</v>
          </cell>
          <cell r="J415">
            <v>1353</v>
          </cell>
          <cell r="K415">
            <v>1968.37</v>
          </cell>
          <cell r="L415">
            <v>7548.77</v>
          </cell>
          <cell r="M415">
            <v>0</v>
          </cell>
          <cell r="N415">
            <v>0</v>
          </cell>
          <cell r="O415" t="str">
            <v/>
          </cell>
          <cell r="P415" t="str">
            <v/>
          </cell>
          <cell r="Q415" t="str">
            <v/>
          </cell>
          <cell r="R415" t="str">
            <v/>
          </cell>
          <cell r="V415" t="str">
            <v/>
          </cell>
          <cell r="W415" t="str">
            <v/>
          </cell>
          <cell r="Y415" t="str">
            <v/>
          </cell>
          <cell r="Z415" t="str">
            <v/>
          </cell>
        </row>
        <row r="416">
          <cell r="A416">
            <v>990283</v>
          </cell>
          <cell r="B416">
            <v>1926.77</v>
          </cell>
          <cell r="C416">
            <v>1441.03</v>
          </cell>
          <cell r="E416">
            <v>990283</v>
          </cell>
          <cell r="F416">
            <v>511</v>
          </cell>
          <cell r="G416">
            <v>13</v>
          </cell>
          <cell r="H416">
            <v>290</v>
          </cell>
          <cell r="I416">
            <v>182</v>
          </cell>
          <cell r="J416">
            <v>443</v>
          </cell>
          <cell r="K416">
            <v>1441.03</v>
          </cell>
          <cell r="L416">
            <v>1926.77</v>
          </cell>
          <cell r="M416">
            <v>0</v>
          </cell>
          <cell r="N416">
            <v>0</v>
          </cell>
          <cell r="O416" t="str">
            <v/>
          </cell>
          <cell r="P416" t="str">
            <v/>
          </cell>
          <cell r="Q416" t="str">
            <v/>
          </cell>
          <cell r="R416" t="str">
            <v/>
          </cell>
          <cell r="V416" t="str">
            <v/>
          </cell>
          <cell r="W416" t="str">
            <v/>
          </cell>
          <cell r="Y416" t="str">
            <v/>
          </cell>
          <cell r="Z416" t="str">
            <v/>
          </cell>
        </row>
        <row r="417">
          <cell r="A417">
            <v>990284</v>
          </cell>
          <cell r="B417">
            <v>6032.59</v>
          </cell>
          <cell r="C417">
            <v>2767.04</v>
          </cell>
          <cell r="E417">
            <v>990284</v>
          </cell>
          <cell r="F417">
            <v>367</v>
          </cell>
          <cell r="G417">
            <v>50</v>
          </cell>
          <cell r="H417">
            <v>409</v>
          </cell>
          <cell r="I417">
            <v>373</v>
          </cell>
          <cell r="J417">
            <v>1566</v>
          </cell>
          <cell r="K417">
            <v>2767.04</v>
          </cell>
          <cell r="L417">
            <v>6032.59</v>
          </cell>
          <cell r="M417">
            <v>0</v>
          </cell>
          <cell r="N417">
            <v>0</v>
          </cell>
          <cell r="O417" t="str">
            <v/>
          </cell>
          <cell r="P417" t="str">
            <v/>
          </cell>
          <cell r="Q417" t="str">
            <v/>
          </cell>
          <cell r="R417" t="str">
            <v/>
          </cell>
          <cell r="V417" t="str">
            <v/>
          </cell>
          <cell r="W417" t="str">
            <v/>
          </cell>
          <cell r="Y417" t="str">
            <v/>
          </cell>
          <cell r="Z417" t="str">
            <v/>
          </cell>
        </row>
        <row r="418">
          <cell r="A418">
            <v>990286</v>
          </cell>
          <cell r="B418">
            <v>2077.2399999999998</v>
          </cell>
          <cell r="C418">
            <v>1206.1400000000001</v>
          </cell>
          <cell r="E418">
            <v>990286</v>
          </cell>
          <cell r="F418">
            <v>179</v>
          </cell>
          <cell r="G418">
            <v>17</v>
          </cell>
          <cell r="H418">
            <v>409</v>
          </cell>
          <cell r="I418">
            <v>196</v>
          </cell>
          <cell r="J418">
            <v>403</v>
          </cell>
          <cell r="K418">
            <v>1206.1400000000001</v>
          </cell>
          <cell r="L418">
            <v>2077.2399999999998</v>
          </cell>
          <cell r="M418">
            <v>0</v>
          </cell>
          <cell r="N418">
            <v>0</v>
          </cell>
          <cell r="O418" t="str">
            <v/>
          </cell>
          <cell r="P418" t="str">
            <v/>
          </cell>
          <cell r="Q418" t="str">
            <v/>
          </cell>
          <cell r="R418" t="str">
            <v/>
          </cell>
          <cell r="V418" t="str">
            <v/>
          </cell>
          <cell r="W418" t="str">
            <v/>
          </cell>
          <cell r="Y418" t="str">
            <v/>
          </cell>
          <cell r="Z418" t="str">
            <v/>
          </cell>
        </row>
        <row r="419">
          <cell r="A419">
            <v>990299</v>
          </cell>
          <cell r="B419">
            <v>92.35</v>
          </cell>
          <cell r="C419">
            <v>785.85</v>
          </cell>
          <cell r="E419">
            <v>990299</v>
          </cell>
          <cell r="F419">
            <v>179</v>
          </cell>
          <cell r="G419">
            <v>1</v>
          </cell>
          <cell r="H419">
            <v>409</v>
          </cell>
          <cell r="I419">
            <v>138</v>
          </cell>
          <cell r="J419">
            <v>57</v>
          </cell>
          <cell r="K419">
            <v>785.85</v>
          </cell>
          <cell r="L419">
            <v>92.35</v>
          </cell>
          <cell r="M419">
            <v>0</v>
          </cell>
          <cell r="N419">
            <v>0</v>
          </cell>
          <cell r="O419" t="str">
            <v/>
          </cell>
          <cell r="P419" t="str">
            <v/>
          </cell>
          <cell r="Q419" t="str">
            <v/>
          </cell>
          <cell r="R419" t="str">
            <v/>
          </cell>
          <cell r="V419" t="str">
            <v/>
          </cell>
          <cell r="W419" t="str">
            <v/>
          </cell>
          <cell r="Y419" t="str">
            <v/>
          </cell>
          <cell r="Z419" t="str">
            <v/>
          </cell>
        </row>
        <row r="420">
          <cell r="A420">
            <v>990312</v>
          </cell>
          <cell r="B420">
            <v>736.23</v>
          </cell>
          <cell r="C420">
            <v>802.78</v>
          </cell>
          <cell r="E420">
            <v>990312</v>
          </cell>
          <cell r="F420">
            <v>190</v>
          </cell>
          <cell r="G420">
            <v>5</v>
          </cell>
          <cell r="H420">
            <v>290</v>
          </cell>
          <cell r="I420">
            <v>151</v>
          </cell>
          <cell r="J420">
            <v>165</v>
          </cell>
          <cell r="K420">
            <v>802.78</v>
          </cell>
          <cell r="L420">
            <v>736.23</v>
          </cell>
          <cell r="M420">
            <v>0</v>
          </cell>
          <cell r="N420">
            <v>0</v>
          </cell>
          <cell r="O420" t="str">
            <v/>
          </cell>
          <cell r="P420" t="str">
            <v/>
          </cell>
          <cell r="Q420" t="str">
            <v/>
          </cell>
          <cell r="R420" t="str">
            <v/>
          </cell>
          <cell r="V420" t="str">
            <v/>
          </cell>
          <cell r="W420" t="str">
            <v/>
          </cell>
          <cell r="Y420" t="str">
            <v/>
          </cell>
          <cell r="Z420" t="str">
            <v/>
          </cell>
        </row>
        <row r="421">
          <cell r="A421">
            <v>990313</v>
          </cell>
          <cell r="B421">
            <v>1010.48</v>
          </cell>
          <cell r="C421">
            <v>1466.59</v>
          </cell>
          <cell r="E421">
            <v>990313</v>
          </cell>
          <cell r="F421">
            <v>489</v>
          </cell>
          <cell r="G421">
            <v>11</v>
          </cell>
          <cell r="H421">
            <v>409</v>
          </cell>
          <cell r="I421">
            <v>173</v>
          </cell>
          <cell r="J421">
            <v>383</v>
          </cell>
          <cell r="K421">
            <v>1466.59</v>
          </cell>
          <cell r="L421">
            <v>1010.48</v>
          </cell>
          <cell r="M421">
            <v>0</v>
          </cell>
          <cell r="N421">
            <v>0</v>
          </cell>
          <cell r="O421" t="str">
            <v/>
          </cell>
          <cell r="P421" t="str">
            <v/>
          </cell>
          <cell r="Q421" t="str">
            <v/>
          </cell>
          <cell r="R421" t="str">
            <v/>
          </cell>
          <cell r="V421" t="str">
            <v/>
          </cell>
          <cell r="W421" t="str">
            <v/>
          </cell>
          <cell r="Y421" t="str">
            <v/>
          </cell>
          <cell r="Z421" t="str">
            <v/>
          </cell>
        </row>
        <row r="422">
          <cell r="A422">
            <v>990314</v>
          </cell>
          <cell r="B422">
            <v>2566.54</v>
          </cell>
          <cell r="C422">
            <v>2279.61</v>
          </cell>
          <cell r="E422">
            <v>990314</v>
          </cell>
          <cell r="F422">
            <v>884</v>
          </cell>
          <cell r="G422">
            <v>26</v>
          </cell>
          <cell r="H422">
            <v>409</v>
          </cell>
          <cell r="I422">
            <v>228</v>
          </cell>
          <cell r="J422">
            <v>731</v>
          </cell>
          <cell r="K422">
            <v>2279.61</v>
          </cell>
          <cell r="L422">
            <v>2566.54</v>
          </cell>
          <cell r="M422">
            <v>0</v>
          </cell>
          <cell r="N422">
            <v>0</v>
          </cell>
          <cell r="O422" t="str">
            <v/>
          </cell>
          <cell r="P422" t="str">
            <v/>
          </cell>
          <cell r="Q422" t="str">
            <v/>
          </cell>
          <cell r="R422" t="str">
            <v/>
          </cell>
          <cell r="V422" t="str">
            <v/>
          </cell>
          <cell r="W422" t="str">
            <v/>
          </cell>
          <cell r="Y422" t="str">
            <v/>
          </cell>
          <cell r="Z422" t="str">
            <v/>
          </cell>
        </row>
        <row r="423">
          <cell r="A423">
            <v>990317</v>
          </cell>
          <cell r="B423">
            <v>3719.54</v>
          </cell>
          <cell r="C423">
            <v>3802.84</v>
          </cell>
          <cell r="E423">
            <v>990317</v>
          </cell>
          <cell r="F423">
            <v>1767</v>
          </cell>
          <cell r="G423">
            <v>38</v>
          </cell>
          <cell r="H423">
            <v>409</v>
          </cell>
          <cell r="I423">
            <v>283</v>
          </cell>
          <cell r="J423">
            <v>1304</v>
          </cell>
          <cell r="K423">
            <v>3802.84</v>
          </cell>
          <cell r="L423">
            <v>3719.54</v>
          </cell>
          <cell r="M423">
            <v>0</v>
          </cell>
          <cell r="N423">
            <v>0</v>
          </cell>
          <cell r="O423" t="str">
            <v/>
          </cell>
          <cell r="P423" t="str">
            <v/>
          </cell>
          <cell r="Q423" t="str">
            <v/>
          </cell>
          <cell r="R423" t="str">
            <v/>
          </cell>
          <cell r="V423" t="str">
            <v/>
          </cell>
          <cell r="W423" t="str">
            <v/>
          </cell>
          <cell r="Y423" t="str">
            <v/>
          </cell>
          <cell r="Z423" t="str">
            <v/>
          </cell>
        </row>
        <row r="424">
          <cell r="A424">
            <v>990319</v>
          </cell>
          <cell r="B424">
            <v>16955.64</v>
          </cell>
          <cell r="C424">
            <v>4293.1000000000004</v>
          </cell>
          <cell r="E424">
            <v>990319</v>
          </cell>
          <cell r="F424">
            <v>244</v>
          </cell>
          <cell r="G424">
            <v>98</v>
          </cell>
          <cell r="H424">
            <v>290</v>
          </cell>
          <cell r="I424">
            <v>613</v>
          </cell>
          <cell r="J424">
            <v>3047</v>
          </cell>
          <cell r="K424">
            <v>4293.1000000000004</v>
          </cell>
          <cell r="L424">
            <v>16955.64</v>
          </cell>
          <cell r="M424">
            <v>0</v>
          </cell>
          <cell r="N424">
            <v>0</v>
          </cell>
          <cell r="O424" t="str">
            <v/>
          </cell>
          <cell r="P424" t="str">
            <v/>
          </cell>
          <cell r="Q424" t="str">
            <v/>
          </cell>
          <cell r="R424" t="str">
            <v/>
          </cell>
          <cell r="V424" t="str">
            <v/>
          </cell>
          <cell r="W424" t="str">
            <v/>
          </cell>
          <cell r="Y424" t="str">
            <v/>
          </cell>
          <cell r="Z424" t="str">
            <v/>
          </cell>
        </row>
        <row r="425">
          <cell r="A425">
            <v>990325</v>
          </cell>
          <cell r="B425">
            <v>1543.63</v>
          </cell>
          <cell r="C425">
            <v>1392.59</v>
          </cell>
          <cell r="E425">
            <v>990325</v>
          </cell>
          <cell r="F425">
            <v>281</v>
          </cell>
          <cell r="G425">
            <v>15</v>
          </cell>
          <cell r="H425">
            <v>422</v>
          </cell>
          <cell r="I425">
            <v>189</v>
          </cell>
          <cell r="J425">
            <v>483</v>
          </cell>
          <cell r="K425">
            <v>1392.59</v>
          </cell>
          <cell r="L425">
            <v>1543.63</v>
          </cell>
          <cell r="M425">
            <v>0</v>
          </cell>
          <cell r="N425">
            <v>0</v>
          </cell>
          <cell r="O425" t="str">
            <v/>
          </cell>
          <cell r="P425" t="str">
            <v/>
          </cell>
          <cell r="Q425" t="str">
            <v/>
          </cell>
          <cell r="R425" t="str">
            <v/>
          </cell>
          <cell r="V425" t="str">
            <v/>
          </cell>
          <cell r="W425" t="str">
            <v/>
          </cell>
          <cell r="Y425" t="str">
            <v/>
          </cell>
          <cell r="Z425" t="str">
            <v/>
          </cell>
        </row>
        <row r="426">
          <cell r="A426">
            <v>990326</v>
          </cell>
          <cell r="B426">
            <v>1938.94</v>
          </cell>
          <cell r="C426">
            <v>1463.21</v>
          </cell>
          <cell r="E426">
            <v>990326</v>
          </cell>
          <cell r="F426">
            <v>281</v>
          </cell>
          <cell r="G426">
            <v>17</v>
          </cell>
          <cell r="H426">
            <v>422</v>
          </cell>
          <cell r="I426">
            <v>196</v>
          </cell>
          <cell r="J426">
            <v>544</v>
          </cell>
          <cell r="K426">
            <v>1463.21</v>
          </cell>
          <cell r="L426">
            <v>1938.94</v>
          </cell>
          <cell r="M426">
            <v>0</v>
          </cell>
          <cell r="N426">
            <v>0</v>
          </cell>
          <cell r="O426" t="str">
            <v/>
          </cell>
          <cell r="P426" t="str">
            <v/>
          </cell>
          <cell r="Q426" t="str">
            <v/>
          </cell>
          <cell r="R426" t="str">
            <v/>
          </cell>
          <cell r="V426" t="str">
            <v/>
          </cell>
          <cell r="W426" t="str">
            <v/>
          </cell>
          <cell r="Y426" t="str">
            <v/>
          </cell>
          <cell r="Z426" t="str">
            <v/>
          </cell>
        </row>
        <row r="427">
          <cell r="A427">
            <v>990328</v>
          </cell>
          <cell r="B427">
            <v>666.3</v>
          </cell>
          <cell r="C427">
            <v>955.67</v>
          </cell>
          <cell r="E427">
            <v>990328</v>
          </cell>
          <cell r="F427">
            <v>187</v>
          </cell>
          <cell r="G427">
            <v>3</v>
          </cell>
          <cell r="H427">
            <v>409</v>
          </cell>
          <cell r="I427">
            <v>155</v>
          </cell>
          <cell r="J427">
            <v>199</v>
          </cell>
          <cell r="K427">
            <v>955.67</v>
          </cell>
          <cell r="L427">
            <v>666.3</v>
          </cell>
          <cell r="M427">
            <v>0</v>
          </cell>
          <cell r="N427">
            <v>0</v>
          </cell>
          <cell r="O427" t="str">
            <v/>
          </cell>
          <cell r="P427" t="str">
            <v/>
          </cell>
          <cell r="Q427" t="str">
            <v/>
          </cell>
          <cell r="R427" t="str">
            <v/>
          </cell>
          <cell r="V427" t="str">
            <v/>
          </cell>
          <cell r="W427" t="str">
            <v/>
          </cell>
          <cell r="Y427" t="str">
            <v/>
          </cell>
          <cell r="Z427" t="str">
            <v/>
          </cell>
        </row>
        <row r="428">
          <cell r="A428">
            <v>990330</v>
          </cell>
          <cell r="B428">
            <v>1763.48</v>
          </cell>
          <cell r="C428">
            <v>1243.1500000000001</v>
          </cell>
          <cell r="E428">
            <v>990330</v>
          </cell>
          <cell r="F428">
            <v>302</v>
          </cell>
          <cell r="G428">
            <v>14</v>
          </cell>
          <cell r="H428">
            <v>409</v>
          </cell>
          <cell r="I428">
            <v>185</v>
          </cell>
          <cell r="J428">
            <v>331</v>
          </cell>
          <cell r="K428">
            <v>1243.1500000000001</v>
          </cell>
          <cell r="L428">
            <v>1763.48</v>
          </cell>
          <cell r="M428">
            <v>0</v>
          </cell>
          <cell r="N428">
            <v>0</v>
          </cell>
          <cell r="O428" t="str">
            <v/>
          </cell>
          <cell r="P428" t="str">
            <v/>
          </cell>
          <cell r="Q428" t="str">
            <v/>
          </cell>
          <cell r="R428" t="str">
            <v/>
          </cell>
          <cell r="V428" t="str">
            <v/>
          </cell>
          <cell r="W428" t="str">
            <v/>
          </cell>
          <cell r="Y428" t="str">
            <v/>
          </cell>
          <cell r="Z428" t="str">
            <v/>
          </cell>
        </row>
        <row r="429">
          <cell r="A429">
            <v>990333</v>
          </cell>
          <cell r="B429">
            <v>6156.78</v>
          </cell>
          <cell r="C429">
            <v>2003.28</v>
          </cell>
          <cell r="E429">
            <v>990333</v>
          </cell>
          <cell r="F429">
            <v>179</v>
          </cell>
          <cell r="G429">
            <v>45</v>
          </cell>
          <cell r="H429">
            <v>409</v>
          </cell>
          <cell r="I429">
            <v>335</v>
          </cell>
          <cell r="J429">
            <v>1033</v>
          </cell>
          <cell r="K429">
            <v>2003.28</v>
          </cell>
          <cell r="L429">
            <v>6156.78</v>
          </cell>
          <cell r="M429">
            <v>0</v>
          </cell>
          <cell r="N429">
            <v>0</v>
          </cell>
          <cell r="O429" t="str">
            <v/>
          </cell>
          <cell r="P429" t="str">
            <v/>
          </cell>
          <cell r="Q429" t="str">
            <v/>
          </cell>
          <cell r="R429" t="str">
            <v/>
          </cell>
          <cell r="V429" t="str">
            <v/>
          </cell>
          <cell r="W429" t="str">
            <v/>
          </cell>
          <cell r="Y429" t="str">
            <v/>
          </cell>
          <cell r="Z429" t="str">
            <v/>
          </cell>
        </row>
        <row r="430">
          <cell r="A430">
            <v>990337</v>
          </cell>
          <cell r="B430">
            <v>2517.6</v>
          </cell>
          <cell r="C430">
            <v>1291.83</v>
          </cell>
          <cell r="E430">
            <v>990337</v>
          </cell>
          <cell r="F430">
            <v>248</v>
          </cell>
          <cell r="G430">
            <v>20</v>
          </cell>
          <cell r="H430">
            <v>422</v>
          </cell>
          <cell r="I430">
            <v>205</v>
          </cell>
          <cell r="J430">
            <v>424</v>
          </cell>
          <cell r="K430">
            <v>1291.83</v>
          </cell>
          <cell r="L430">
            <v>2517.6</v>
          </cell>
          <cell r="M430">
            <v>0</v>
          </cell>
          <cell r="N430">
            <v>0</v>
          </cell>
          <cell r="O430" t="str">
            <v/>
          </cell>
          <cell r="P430" t="str">
            <v/>
          </cell>
          <cell r="Q430" t="str">
            <v/>
          </cell>
          <cell r="R430" t="str">
            <v/>
          </cell>
          <cell r="V430" t="str">
            <v/>
          </cell>
          <cell r="W430" t="str">
            <v/>
          </cell>
          <cell r="Y430" t="str">
            <v/>
          </cell>
          <cell r="Z430" t="str">
            <v/>
          </cell>
        </row>
        <row r="431">
          <cell r="A431">
            <v>990341</v>
          </cell>
          <cell r="B431">
            <v>6670.86</v>
          </cell>
          <cell r="C431">
            <v>2180.23</v>
          </cell>
          <cell r="E431">
            <v>990341</v>
          </cell>
          <cell r="F431">
            <v>177</v>
          </cell>
          <cell r="G431">
            <v>51</v>
          </cell>
          <cell r="H431">
            <v>422</v>
          </cell>
          <cell r="I431">
            <v>374</v>
          </cell>
          <cell r="J431">
            <v>1155</v>
          </cell>
          <cell r="K431">
            <v>2180.23</v>
          </cell>
          <cell r="L431">
            <v>6670.86</v>
          </cell>
          <cell r="M431">
            <v>0</v>
          </cell>
          <cell r="N431">
            <v>0</v>
          </cell>
          <cell r="O431" t="str">
            <v/>
          </cell>
          <cell r="P431" t="str">
            <v/>
          </cell>
          <cell r="Q431" t="str">
            <v/>
          </cell>
          <cell r="R431" t="str">
            <v/>
          </cell>
          <cell r="V431" t="str">
            <v/>
          </cell>
          <cell r="W431" t="str">
            <v/>
          </cell>
          <cell r="Y431" t="str">
            <v/>
          </cell>
          <cell r="Z431" t="str">
            <v/>
          </cell>
        </row>
        <row r="432">
          <cell r="A432">
            <v>990342</v>
          </cell>
          <cell r="B432">
            <v>130.38999999999999</v>
          </cell>
          <cell r="C432">
            <v>784.48</v>
          </cell>
          <cell r="E432">
            <v>990342</v>
          </cell>
          <cell r="F432">
            <v>171</v>
          </cell>
          <cell r="G432">
            <v>2</v>
          </cell>
          <cell r="H432">
            <v>409</v>
          </cell>
          <cell r="I432">
            <v>139</v>
          </cell>
          <cell r="J432">
            <v>61</v>
          </cell>
          <cell r="K432">
            <v>784.48</v>
          </cell>
          <cell r="L432">
            <v>130.38999999999999</v>
          </cell>
          <cell r="M432">
            <v>0</v>
          </cell>
          <cell r="N432">
            <v>0</v>
          </cell>
          <cell r="O432" t="str">
            <v/>
          </cell>
          <cell r="P432" t="str">
            <v/>
          </cell>
          <cell r="Q432" t="str">
            <v/>
          </cell>
          <cell r="R432" t="str">
            <v/>
          </cell>
          <cell r="V432" t="str">
            <v/>
          </cell>
          <cell r="W432" t="str">
            <v/>
          </cell>
          <cell r="Y432" t="str">
            <v/>
          </cell>
          <cell r="Z432" t="str">
            <v/>
          </cell>
        </row>
        <row r="433">
          <cell r="A433">
            <v>990343</v>
          </cell>
          <cell r="B433">
            <v>6307</v>
          </cell>
          <cell r="C433">
            <v>2145.9299999999998</v>
          </cell>
          <cell r="E433">
            <v>990343</v>
          </cell>
          <cell r="F433">
            <v>218</v>
          </cell>
          <cell r="G433">
            <v>48</v>
          </cell>
          <cell r="H433">
            <v>422</v>
          </cell>
          <cell r="I433">
            <v>356</v>
          </cell>
          <cell r="J433">
            <v>1099</v>
          </cell>
          <cell r="K433">
            <v>2145.9299999999998</v>
          </cell>
          <cell r="L433">
            <v>6307</v>
          </cell>
          <cell r="M433">
            <v>0</v>
          </cell>
          <cell r="N433">
            <v>0</v>
          </cell>
          <cell r="O433" t="str">
            <v/>
          </cell>
          <cell r="P433" t="str">
            <v/>
          </cell>
          <cell r="Q433" t="str">
            <v/>
          </cell>
          <cell r="R433" t="str">
            <v/>
          </cell>
          <cell r="V433" t="str">
            <v/>
          </cell>
          <cell r="W433" t="str">
            <v/>
          </cell>
          <cell r="Y433" t="str">
            <v/>
          </cell>
          <cell r="Z433" t="str">
            <v/>
          </cell>
        </row>
        <row r="434">
          <cell r="A434">
            <v>990346</v>
          </cell>
          <cell r="B434">
            <v>8738.11</v>
          </cell>
          <cell r="C434">
            <v>1363.91</v>
          </cell>
          <cell r="E434">
            <v>990346</v>
          </cell>
          <cell r="F434">
            <v>179</v>
          </cell>
          <cell r="G434">
            <v>31</v>
          </cell>
          <cell r="H434">
            <v>409</v>
          </cell>
          <cell r="I434">
            <v>447</v>
          </cell>
          <cell r="J434">
            <v>296</v>
          </cell>
          <cell r="K434">
            <v>1363.91</v>
          </cell>
          <cell r="L434">
            <v>8738.11</v>
          </cell>
          <cell r="M434">
            <v>0</v>
          </cell>
          <cell r="N434">
            <v>0</v>
          </cell>
          <cell r="O434" t="str">
            <v/>
          </cell>
          <cell r="P434" t="str">
            <v/>
          </cell>
          <cell r="Q434" t="str">
            <v/>
          </cell>
          <cell r="R434" t="str">
            <v/>
          </cell>
          <cell r="V434" t="str">
            <v/>
          </cell>
          <cell r="W434" t="str">
            <v/>
          </cell>
          <cell r="Y434" t="str">
            <v/>
          </cell>
          <cell r="Z434" t="str">
            <v/>
          </cell>
        </row>
        <row r="435">
          <cell r="A435">
            <v>990348</v>
          </cell>
          <cell r="B435">
            <v>4695.9399999999996</v>
          </cell>
          <cell r="C435">
            <v>1955.59</v>
          </cell>
          <cell r="E435">
            <v>990348</v>
          </cell>
          <cell r="F435">
            <v>161</v>
          </cell>
          <cell r="G435">
            <v>23</v>
          </cell>
          <cell r="H435">
            <v>409</v>
          </cell>
          <cell r="I435">
            <v>333</v>
          </cell>
          <cell r="J435">
            <v>1027</v>
          </cell>
          <cell r="K435">
            <v>1955.59</v>
          </cell>
          <cell r="L435">
            <v>4695.9399999999996</v>
          </cell>
          <cell r="M435">
            <v>0</v>
          </cell>
          <cell r="N435">
            <v>0</v>
          </cell>
          <cell r="O435" t="str">
            <v/>
          </cell>
          <cell r="P435" t="str">
            <v/>
          </cell>
          <cell r="Q435" t="str">
            <v/>
          </cell>
          <cell r="R435" t="str">
            <v/>
          </cell>
          <cell r="V435" t="str">
            <v/>
          </cell>
          <cell r="W435" t="str">
            <v/>
          </cell>
          <cell r="Y435" t="str">
            <v/>
          </cell>
          <cell r="Z435" t="str">
            <v/>
          </cell>
        </row>
        <row r="436">
          <cell r="A436">
            <v>990352</v>
          </cell>
          <cell r="B436">
            <v>23454.400000000001</v>
          </cell>
          <cell r="C436">
            <v>4550</v>
          </cell>
          <cell r="E436">
            <v>990352</v>
          </cell>
          <cell r="F436">
            <v>617</v>
          </cell>
          <cell r="G436">
            <v>124</v>
          </cell>
          <cell r="H436">
            <v>290</v>
          </cell>
          <cell r="I436">
            <v>707</v>
          </cell>
          <cell r="J436">
            <v>2810</v>
          </cell>
          <cell r="K436">
            <v>4550</v>
          </cell>
          <cell r="L436">
            <v>23454.400000000001</v>
          </cell>
          <cell r="M436">
            <v>0</v>
          </cell>
          <cell r="N436">
            <v>0</v>
          </cell>
          <cell r="O436" t="str">
            <v/>
          </cell>
          <cell r="P436" t="str">
            <v/>
          </cell>
          <cell r="Q436" t="str">
            <v/>
          </cell>
          <cell r="R436" t="str">
            <v/>
          </cell>
          <cell r="V436" t="str">
            <v/>
          </cell>
          <cell r="W436" t="str">
            <v/>
          </cell>
          <cell r="Y436" t="str">
            <v/>
          </cell>
          <cell r="Z436" t="str">
            <v/>
          </cell>
        </row>
        <row r="437">
          <cell r="A437">
            <v>990361</v>
          </cell>
          <cell r="B437">
            <v>8164.74</v>
          </cell>
          <cell r="C437">
            <v>1484.86</v>
          </cell>
          <cell r="E437">
            <v>990361</v>
          </cell>
          <cell r="F437">
            <v>168</v>
          </cell>
          <cell r="G437">
            <v>37</v>
          </cell>
          <cell r="H437">
            <v>409</v>
          </cell>
          <cell r="I437">
            <v>519</v>
          </cell>
          <cell r="J437">
            <v>350</v>
          </cell>
          <cell r="K437">
            <v>1484.86</v>
          </cell>
          <cell r="L437">
            <v>8164.74</v>
          </cell>
          <cell r="M437">
            <v>0</v>
          </cell>
          <cell r="N437">
            <v>0</v>
          </cell>
          <cell r="O437" t="str">
            <v/>
          </cell>
          <cell r="P437" t="str">
            <v/>
          </cell>
          <cell r="Q437" t="str">
            <v/>
          </cell>
          <cell r="R437" t="str">
            <v/>
          </cell>
          <cell r="V437" t="str">
            <v/>
          </cell>
          <cell r="W437" t="str">
            <v/>
          </cell>
          <cell r="Y437" t="str">
            <v/>
          </cell>
          <cell r="Z437" t="str">
            <v/>
          </cell>
        </row>
        <row r="438">
          <cell r="A438">
            <v>990367</v>
          </cell>
          <cell r="B438">
            <v>812.28</v>
          </cell>
          <cell r="C438">
            <v>903.34</v>
          </cell>
          <cell r="E438">
            <v>990367</v>
          </cell>
          <cell r="F438">
            <v>179</v>
          </cell>
          <cell r="G438">
            <v>6</v>
          </cell>
          <cell r="H438">
            <v>409</v>
          </cell>
          <cell r="I438">
            <v>156</v>
          </cell>
          <cell r="J438">
            <v>152</v>
          </cell>
          <cell r="K438">
            <v>903.34</v>
          </cell>
          <cell r="L438">
            <v>812.28</v>
          </cell>
          <cell r="M438">
            <v>0</v>
          </cell>
          <cell r="N438">
            <v>0</v>
          </cell>
          <cell r="O438" t="str">
            <v/>
          </cell>
          <cell r="P438" t="str">
            <v/>
          </cell>
          <cell r="Q438" t="str">
            <v/>
          </cell>
          <cell r="R438" t="str">
            <v/>
          </cell>
          <cell r="V438" t="str">
            <v/>
          </cell>
          <cell r="W438" t="str">
            <v/>
          </cell>
          <cell r="Y438" t="str">
            <v/>
          </cell>
          <cell r="Z438" t="str">
            <v/>
          </cell>
        </row>
        <row r="439">
          <cell r="A439">
            <v>990368</v>
          </cell>
          <cell r="B439">
            <v>1482.76</v>
          </cell>
          <cell r="C439">
            <v>1045.6500000000001</v>
          </cell>
          <cell r="E439">
            <v>990368</v>
          </cell>
          <cell r="F439">
            <v>167</v>
          </cell>
          <cell r="G439">
            <v>6</v>
          </cell>
          <cell r="H439">
            <v>422</v>
          </cell>
          <cell r="I439">
            <v>176</v>
          </cell>
          <cell r="J439">
            <v>273</v>
          </cell>
          <cell r="K439">
            <v>1045.6500000000001</v>
          </cell>
          <cell r="L439">
            <v>1482.76</v>
          </cell>
          <cell r="M439">
            <v>0</v>
          </cell>
          <cell r="N439">
            <v>0</v>
          </cell>
          <cell r="O439" t="str">
            <v/>
          </cell>
          <cell r="P439" t="str">
            <v/>
          </cell>
          <cell r="Q439" t="str">
            <v/>
          </cell>
          <cell r="R439" t="str">
            <v/>
          </cell>
          <cell r="V439" t="str">
            <v/>
          </cell>
          <cell r="W439" t="str">
            <v/>
          </cell>
          <cell r="Y439" t="str">
            <v/>
          </cell>
          <cell r="Z439" t="str">
            <v/>
          </cell>
        </row>
        <row r="440">
          <cell r="A440">
            <v>990379</v>
          </cell>
          <cell r="B440">
            <v>14860.94</v>
          </cell>
          <cell r="C440">
            <v>2544.17</v>
          </cell>
          <cell r="E440">
            <v>990379</v>
          </cell>
          <cell r="F440">
            <v>212</v>
          </cell>
          <cell r="G440">
            <v>62</v>
          </cell>
          <cell r="H440">
            <v>409</v>
          </cell>
          <cell r="I440">
            <v>454</v>
          </cell>
          <cell r="J440">
            <v>1406</v>
          </cell>
          <cell r="K440">
            <v>2544.17</v>
          </cell>
          <cell r="L440">
            <v>14860.94</v>
          </cell>
          <cell r="M440">
            <v>0</v>
          </cell>
          <cell r="N440">
            <v>0</v>
          </cell>
          <cell r="O440" t="str">
            <v/>
          </cell>
          <cell r="P440" t="str">
            <v/>
          </cell>
          <cell r="Q440" t="str">
            <v/>
          </cell>
          <cell r="R440" t="str">
            <v/>
          </cell>
          <cell r="V440" t="str">
            <v/>
          </cell>
          <cell r="W440" t="str">
            <v/>
          </cell>
          <cell r="Y440" t="str">
            <v/>
          </cell>
          <cell r="Z440" t="str">
            <v/>
          </cell>
        </row>
        <row r="441">
          <cell r="A441">
            <v>990387</v>
          </cell>
          <cell r="B441">
            <v>4649.8599999999997</v>
          </cell>
          <cell r="C441">
            <v>2454.9699999999998</v>
          </cell>
          <cell r="E441">
            <v>990387</v>
          </cell>
          <cell r="F441">
            <v>199</v>
          </cell>
          <cell r="G441">
            <v>43</v>
          </cell>
          <cell r="H441">
            <v>422</v>
          </cell>
          <cell r="I441">
            <v>318</v>
          </cell>
          <cell r="J441">
            <v>1470</v>
          </cell>
          <cell r="K441">
            <v>2454.9699999999998</v>
          </cell>
          <cell r="L441">
            <v>4649.8599999999997</v>
          </cell>
          <cell r="M441">
            <v>0</v>
          </cell>
          <cell r="N441">
            <v>0</v>
          </cell>
          <cell r="O441" t="str">
            <v/>
          </cell>
          <cell r="P441" t="str">
            <v/>
          </cell>
          <cell r="Q441" t="str">
            <v/>
          </cell>
          <cell r="R441" t="str">
            <v/>
          </cell>
          <cell r="V441" t="str">
            <v/>
          </cell>
          <cell r="W441" t="str">
            <v/>
          </cell>
          <cell r="Y441" t="str">
            <v/>
          </cell>
          <cell r="Z441" t="str">
            <v/>
          </cell>
        </row>
        <row r="442">
          <cell r="A442">
            <v>990418</v>
          </cell>
          <cell r="B442">
            <v>6808.99</v>
          </cell>
          <cell r="C442">
            <v>3329.69</v>
          </cell>
          <cell r="E442">
            <v>990418</v>
          </cell>
          <cell r="F442">
            <v>1020</v>
          </cell>
          <cell r="G442">
            <v>52</v>
          </cell>
          <cell r="H442">
            <v>409</v>
          </cell>
          <cell r="I442">
            <v>387</v>
          </cell>
          <cell r="J442">
            <v>1459</v>
          </cell>
          <cell r="K442">
            <v>3329.69</v>
          </cell>
          <cell r="L442">
            <v>6808.99</v>
          </cell>
          <cell r="M442">
            <v>0</v>
          </cell>
          <cell r="N442">
            <v>0</v>
          </cell>
          <cell r="O442" t="str">
            <v/>
          </cell>
          <cell r="P442" t="str">
            <v/>
          </cell>
          <cell r="Q442" t="str">
            <v/>
          </cell>
          <cell r="R442" t="str">
            <v/>
          </cell>
          <cell r="V442" t="str">
            <v/>
          </cell>
          <cell r="W442" t="str">
            <v/>
          </cell>
          <cell r="Y442" t="str">
            <v/>
          </cell>
          <cell r="Z442" t="str">
            <v/>
          </cell>
        </row>
        <row r="443">
          <cell r="A443">
            <v>990425</v>
          </cell>
          <cell r="B443">
            <v>5668.63</v>
          </cell>
          <cell r="C443">
            <v>1839.68</v>
          </cell>
          <cell r="E443">
            <v>990425</v>
          </cell>
          <cell r="F443">
            <v>171</v>
          </cell>
          <cell r="G443">
            <v>21</v>
          </cell>
          <cell r="H443">
            <v>422</v>
          </cell>
          <cell r="I443">
            <v>300</v>
          </cell>
          <cell r="J443">
            <v>923</v>
          </cell>
          <cell r="K443">
            <v>1839.68</v>
          </cell>
          <cell r="L443">
            <v>5668.63</v>
          </cell>
          <cell r="M443">
            <v>0</v>
          </cell>
          <cell r="N443">
            <v>0</v>
          </cell>
          <cell r="O443" t="str">
            <v/>
          </cell>
          <cell r="P443" t="str">
            <v/>
          </cell>
          <cell r="Q443" t="str">
            <v/>
          </cell>
          <cell r="R443" t="str">
            <v/>
          </cell>
          <cell r="V443" t="str">
            <v/>
          </cell>
          <cell r="W443" t="str">
            <v/>
          </cell>
          <cell r="Y443" t="str">
            <v/>
          </cell>
          <cell r="Z443" t="str">
            <v/>
          </cell>
        </row>
        <row r="444">
          <cell r="A444">
            <v>990426</v>
          </cell>
          <cell r="B444">
            <v>7912.45</v>
          </cell>
          <cell r="C444">
            <v>4114.33</v>
          </cell>
          <cell r="E444">
            <v>990426</v>
          </cell>
          <cell r="F444">
            <v>586</v>
          </cell>
          <cell r="G444">
            <v>74</v>
          </cell>
          <cell r="H444">
            <v>409</v>
          </cell>
          <cell r="I444">
            <v>525</v>
          </cell>
          <cell r="J444">
            <v>2519</v>
          </cell>
          <cell r="K444">
            <v>4114.33</v>
          </cell>
          <cell r="L444">
            <v>7912.45</v>
          </cell>
          <cell r="M444">
            <v>0</v>
          </cell>
          <cell r="N444">
            <v>0</v>
          </cell>
          <cell r="O444" t="str">
            <v/>
          </cell>
          <cell r="P444" t="str">
            <v/>
          </cell>
          <cell r="Q444" t="str">
            <v/>
          </cell>
          <cell r="R444" t="str">
            <v/>
          </cell>
          <cell r="V444" t="str">
            <v/>
          </cell>
          <cell r="W444" t="str">
            <v/>
          </cell>
          <cell r="Y444" t="str">
            <v/>
          </cell>
          <cell r="Z444" t="str">
            <v/>
          </cell>
        </row>
        <row r="445">
          <cell r="A445">
            <v>990430</v>
          </cell>
          <cell r="B445">
            <v>7912.45</v>
          </cell>
          <cell r="C445">
            <v>3956.15</v>
          </cell>
          <cell r="E445">
            <v>990430</v>
          </cell>
          <cell r="F445">
            <v>458</v>
          </cell>
          <cell r="G445">
            <v>73</v>
          </cell>
          <cell r="H445">
            <v>409</v>
          </cell>
          <cell r="I445">
            <v>523</v>
          </cell>
          <cell r="J445">
            <v>2492</v>
          </cell>
          <cell r="K445">
            <v>3956.15</v>
          </cell>
          <cell r="L445">
            <v>7912.45</v>
          </cell>
          <cell r="M445">
            <v>0</v>
          </cell>
          <cell r="N445">
            <v>0</v>
          </cell>
          <cell r="O445" t="str">
            <v/>
          </cell>
          <cell r="P445" t="str">
            <v/>
          </cell>
          <cell r="Q445" t="str">
            <v/>
          </cell>
          <cell r="R445" t="str">
            <v/>
          </cell>
          <cell r="V445" t="str">
            <v/>
          </cell>
          <cell r="W445" t="str">
            <v/>
          </cell>
          <cell r="Y445" t="str">
            <v/>
          </cell>
          <cell r="Z445" t="str">
            <v/>
          </cell>
        </row>
        <row r="446">
          <cell r="A446">
            <v>990434</v>
          </cell>
          <cell r="B446">
            <v>3428.26</v>
          </cell>
          <cell r="C446">
            <v>1869.34</v>
          </cell>
          <cell r="E446">
            <v>990434</v>
          </cell>
          <cell r="F446">
            <v>194</v>
          </cell>
          <cell r="G446">
            <v>16</v>
          </cell>
          <cell r="H446">
            <v>422</v>
          </cell>
          <cell r="I446">
            <v>248</v>
          </cell>
          <cell r="J446">
            <v>986</v>
          </cell>
          <cell r="K446">
            <v>1869.34</v>
          </cell>
          <cell r="L446">
            <v>3428.26</v>
          </cell>
          <cell r="M446">
            <v>0</v>
          </cell>
          <cell r="N446">
            <v>0</v>
          </cell>
          <cell r="O446" t="str">
            <v/>
          </cell>
          <cell r="P446" t="str">
            <v/>
          </cell>
          <cell r="Q446" t="str">
            <v/>
          </cell>
          <cell r="R446" t="str">
            <v/>
          </cell>
          <cell r="V446" t="str">
            <v/>
          </cell>
          <cell r="W446" t="str">
            <v/>
          </cell>
          <cell r="Y446" t="str">
            <v/>
          </cell>
          <cell r="Z446" t="str">
            <v/>
          </cell>
        </row>
        <row r="447">
          <cell r="A447">
            <v>990439</v>
          </cell>
          <cell r="B447">
            <v>31878.13</v>
          </cell>
          <cell r="C447">
            <v>16089.83</v>
          </cell>
          <cell r="E447">
            <v>990439</v>
          </cell>
          <cell r="F447">
            <v>5948</v>
          </cell>
          <cell r="G447">
            <v>280</v>
          </cell>
          <cell r="H447">
            <v>422</v>
          </cell>
          <cell r="I447">
            <v>1275</v>
          </cell>
          <cell r="J447">
            <v>8162</v>
          </cell>
          <cell r="K447">
            <v>16089.83</v>
          </cell>
          <cell r="L447">
            <v>31878.13</v>
          </cell>
          <cell r="M447">
            <v>0</v>
          </cell>
          <cell r="N447">
            <v>0</v>
          </cell>
          <cell r="O447" t="str">
            <v/>
          </cell>
          <cell r="P447" t="str">
            <v/>
          </cell>
          <cell r="Q447" t="str">
            <v/>
          </cell>
          <cell r="R447" t="str">
            <v/>
          </cell>
          <cell r="V447" t="str">
            <v/>
          </cell>
          <cell r="W447" t="str">
            <v/>
          </cell>
          <cell r="Y447" t="str">
            <v/>
          </cell>
          <cell r="Z447" t="str">
            <v/>
          </cell>
        </row>
        <row r="448">
          <cell r="A448">
            <v>990529</v>
          </cell>
          <cell r="B448">
            <v>4541.3599999999997</v>
          </cell>
          <cell r="C448">
            <v>1543.89</v>
          </cell>
          <cell r="E448">
            <v>990529</v>
          </cell>
          <cell r="F448">
            <v>127</v>
          </cell>
          <cell r="G448">
            <v>31</v>
          </cell>
          <cell r="H448">
            <v>409</v>
          </cell>
          <cell r="I448">
            <v>248</v>
          </cell>
          <cell r="J448">
            <v>726</v>
          </cell>
          <cell r="K448">
            <v>1543.89</v>
          </cell>
          <cell r="L448">
            <v>4541.3599999999997</v>
          </cell>
          <cell r="M448">
            <v>0</v>
          </cell>
          <cell r="N448">
            <v>0</v>
          </cell>
          <cell r="O448" t="str">
            <v/>
          </cell>
          <cell r="P448" t="str">
            <v/>
          </cell>
          <cell r="Q448" t="str">
            <v/>
          </cell>
          <cell r="R448" t="str">
            <v/>
          </cell>
          <cell r="V448" t="str">
            <v/>
          </cell>
          <cell r="W448" t="str">
            <v/>
          </cell>
          <cell r="Y448" t="str">
            <v/>
          </cell>
          <cell r="Z448" t="str">
            <v/>
          </cell>
        </row>
        <row r="449">
          <cell r="A449" t="str">
            <v/>
          </cell>
          <cell r="V449" t="str">
            <v/>
          </cell>
          <cell r="W449" t="str">
            <v/>
          </cell>
          <cell r="Y449" t="str">
            <v/>
          </cell>
          <cell r="Z449" t="str">
            <v/>
          </cell>
        </row>
        <row r="450">
          <cell r="V450" t="str">
            <v/>
          </cell>
          <cell r="W450" t="str">
            <v/>
          </cell>
          <cell r="Y450" t="str">
            <v/>
          </cell>
          <cell r="Z450" t="str">
            <v/>
          </cell>
        </row>
        <row r="451">
          <cell r="V451" t="str">
            <v/>
          </cell>
          <cell r="W451" t="str">
            <v/>
          </cell>
          <cell r="Y451" t="str">
            <v/>
          </cell>
          <cell r="Z451" t="str">
            <v/>
          </cell>
        </row>
        <row r="452">
          <cell r="V452" t="str">
            <v/>
          </cell>
          <cell r="W452" t="str">
            <v/>
          </cell>
          <cell r="Y452" t="str">
            <v/>
          </cell>
          <cell r="Z452" t="str">
            <v/>
          </cell>
        </row>
        <row r="453">
          <cell r="V453" t="str">
            <v/>
          </cell>
          <cell r="W453" t="str">
            <v/>
          </cell>
          <cell r="Y453" t="str">
            <v/>
          </cell>
          <cell r="Z453" t="str">
            <v/>
          </cell>
        </row>
        <row r="454">
          <cell r="V454" t="str">
            <v/>
          </cell>
          <cell r="W454" t="str">
            <v/>
          </cell>
          <cell r="Y454" t="str">
            <v/>
          </cell>
          <cell r="Z454" t="str">
            <v/>
          </cell>
        </row>
        <row r="455">
          <cell r="V455" t="str">
            <v/>
          </cell>
          <cell r="W455" t="str">
            <v/>
          </cell>
          <cell r="Y455" t="str">
            <v/>
          </cell>
          <cell r="Z455" t="str">
            <v/>
          </cell>
        </row>
        <row r="456">
          <cell r="V456" t="str">
            <v/>
          </cell>
          <cell r="W456" t="str">
            <v/>
          </cell>
          <cell r="Y456" t="str">
            <v/>
          </cell>
          <cell r="Z456" t="str">
            <v/>
          </cell>
        </row>
        <row r="457">
          <cell r="V457" t="str">
            <v/>
          </cell>
          <cell r="W457" t="str">
            <v/>
          </cell>
          <cell r="Y457" t="str">
            <v/>
          </cell>
          <cell r="Z457" t="str">
            <v/>
          </cell>
        </row>
        <row r="458">
          <cell r="V458" t="str">
            <v/>
          </cell>
          <cell r="W458" t="str">
            <v/>
          </cell>
          <cell r="Y458" t="str">
            <v/>
          </cell>
          <cell r="Z458" t="str">
            <v/>
          </cell>
        </row>
        <row r="459">
          <cell r="V459" t="str">
            <v/>
          </cell>
          <cell r="W459" t="str">
            <v/>
          </cell>
          <cell r="Y459" t="str">
            <v/>
          </cell>
          <cell r="Z459" t="str">
            <v/>
          </cell>
        </row>
        <row r="460">
          <cell r="V460" t="str">
            <v/>
          </cell>
          <cell r="W460" t="str">
            <v/>
          </cell>
          <cell r="Y460" t="str">
            <v/>
          </cell>
          <cell r="Z460" t="str">
            <v/>
          </cell>
        </row>
        <row r="461">
          <cell r="V461" t="str">
            <v/>
          </cell>
          <cell r="W461" t="str">
            <v/>
          </cell>
          <cell r="Y461" t="str">
            <v/>
          </cell>
          <cell r="Z461" t="str">
            <v/>
          </cell>
        </row>
        <row r="462">
          <cell r="V462" t="str">
            <v/>
          </cell>
          <cell r="W462" t="str">
            <v/>
          </cell>
          <cell r="Y462" t="str">
            <v/>
          </cell>
          <cell r="Z462" t="str">
            <v/>
          </cell>
        </row>
        <row r="463">
          <cell r="V463" t="str">
            <v/>
          </cell>
          <cell r="W463" t="str">
            <v/>
          </cell>
          <cell r="Y463" t="str">
            <v/>
          </cell>
          <cell r="Z463" t="str">
            <v/>
          </cell>
        </row>
        <row r="464">
          <cell r="V464" t="str">
            <v/>
          </cell>
          <cell r="W464" t="str">
            <v/>
          </cell>
          <cell r="Y464" t="str">
            <v/>
          </cell>
          <cell r="Z464" t="str">
            <v/>
          </cell>
        </row>
        <row r="465">
          <cell r="V465" t="str">
            <v/>
          </cell>
          <cell r="W465" t="str">
            <v/>
          </cell>
          <cell r="Y465" t="str">
            <v/>
          </cell>
          <cell r="Z465" t="str">
            <v/>
          </cell>
        </row>
        <row r="466">
          <cell r="V466" t="str">
            <v/>
          </cell>
          <cell r="W466" t="str">
            <v/>
          </cell>
          <cell r="Y466" t="str">
            <v/>
          </cell>
          <cell r="Z466" t="str">
            <v/>
          </cell>
        </row>
        <row r="467">
          <cell r="V467" t="str">
            <v/>
          </cell>
          <cell r="W467" t="str">
            <v/>
          </cell>
          <cell r="Y467" t="str">
            <v/>
          </cell>
          <cell r="Z467" t="str">
            <v/>
          </cell>
        </row>
        <row r="468">
          <cell r="V468" t="str">
            <v/>
          </cell>
          <cell r="W468" t="str">
            <v/>
          </cell>
          <cell r="Y468" t="str">
            <v/>
          </cell>
          <cell r="Z468" t="str">
            <v/>
          </cell>
        </row>
        <row r="469">
          <cell r="V469" t="str">
            <v/>
          </cell>
          <cell r="W469" t="str">
            <v/>
          </cell>
          <cell r="Y469" t="str">
            <v/>
          </cell>
          <cell r="Z469" t="str">
            <v/>
          </cell>
        </row>
        <row r="470">
          <cell r="V470" t="str">
            <v/>
          </cell>
          <cell r="W470" t="str">
            <v/>
          </cell>
          <cell r="Y470" t="str">
            <v/>
          </cell>
          <cell r="Z470" t="str">
            <v/>
          </cell>
        </row>
        <row r="471">
          <cell r="V471" t="str">
            <v/>
          </cell>
          <cell r="W471" t="str">
            <v/>
          </cell>
          <cell r="Y471" t="str">
            <v/>
          </cell>
          <cell r="Z471" t="str">
            <v/>
          </cell>
        </row>
        <row r="472">
          <cell r="V472" t="str">
            <v/>
          </cell>
          <cell r="W472" t="str">
            <v/>
          </cell>
          <cell r="Y472" t="str">
            <v/>
          </cell>
          <cell r="Z472" t="str">
            <v/>
          </cell>
        </row>
        <row r="473">
          <cell r="V473" t="str">
            <v/>
          </cell>
          <cell r="W473" t="str">
            <v/>
          </cell>
          <cell r="Y473" t="str">
            <v/>
          </cell>
          <cell r="Z473" t="str">
            <v/>
          </cell>
        </row>
        <row r="474">
          <cell r="V474" t="str">
            <v/>
          </cell>
          <cell r="W474" t="str">
            <v/>
          </cell>
          <cell r="Y474" t="str">
            <v/>
          </cell>
          <cell r="Z474" t="str">
            <v/>
          </cell>
        </row>
        <row r="475">
          <cell r="V475" t="str">
            <v/>
          </cell>
          <cell r="W475" t="str">
            <v/>
          </cell>
          <cell r="Y475" t="str">
            <v/>
          </cell>
          <cell r="Z475" t="str">
            <v/>
          </cell>
        </row>
        <row r="476">
          <cell r="V476" t="str">
            <v/>
          </cell>
          <cell r="W476" t="str">
            <v/>
          </cell>
          <cell r="Y476" t="str">
            <v/>
          </cell>
          <cell r="Z476" t="str">
            <v/>
          </cell>
        </row>
        <row r="477">
          <cell r="V477" t="str">
            <v/>
          </cell>
          <cell r="W477" t="str">
            <v/>
          </cell>
          <cell r="Y477" t="str">
            <v/>
          </cell>
          <cell r="Z477" t="str">
            <v/>
          </cell>
        </row>
        <row r="478">
          <cell r="V478" t="str">
            <v/>
          </cell>
          <cell r="W478" t="str">
            <v/>
          </cell>
          <cell r="Y478" t="str">
            <v/>
          </cell>
          <cell r="Z478" t="str">
            <v/>
          </cell>
        </row>
        <row r="479">
          <cell r="V479" t="str">
            <v/>
          </cell>
          <cell r="W479" t="str">
            <v/>
          </cell>
          <cell r="Y479" t="str">
            <v/>
          </cell>
          <cell r="Z479" t="str">
            <v/>
          </cell>
        </row>
        <row r="480">
          <cell r="V480" t="str">
            <v/>
          </cell>
          <cell r="W480" t="str">
            <v/>
          </cell>
          <cell r="Y480" t="str">
            <v/>
          </cell>
          <cell r="Z480" t="str">
            <v/>
          </cell>
        </row>
        <row r="481">
          <cell r="V481" t="str">
            <v/>
          </cell>
          <cell r="W481" t="str">
            <v/>
          </cell>
          <cell r="Y481" t="str">
            <v/>
          </cell>
          <cell r="Z481" t="str">
            <v/>
          </cell>
        </row>
        <row r="482">
          <cell r="V482" t="str">
            <v/>
          </cell>
          <cell r="W482" t="str">
            <v/>
          </cell>
          <cell r="Y482" t="str">
            <v/>
          </cell>
          <cell r="Z482" t="str">
            <v/>
          </cell>
        </row>
        <row r="483">
          <cell r="V483" t="str">
            <v/>
          </cell>
          <cell r="W483" t="str">
            <v/>
          </cell>
          <cell r="Y483" t="str">
            <v/>
          </cell>
          <cell r="Z483" t="str">
            <v/>
          </cell>
        </row>
        <row r="484">
          <cell r="V484" t="str">
            <v/>
          </cell>
          <cell r="W484" t="str">
            <v/>
          </cell>
          <cell r="Y484" t="str">
            <v/>
          </cell>
          <cell r="Z484" t="str">
            <v/>
          </cell>
        </row>
        <row r="485">
          <cell r="V485" t="str">
            <v/>
          </cell>
          <cell r="W485" t="str">
            <v/>
          </cell>
          <cell r="Y485" t="str">
            <v/>
          </cell>
          <cell r="Z485" t="str">
            <v/>
          </cell>
        </row>
        <row r="486">
          <cell r="V486" t="str">
            <v/>
          </cell>
          <cell r="W486" t="str">
            <v/>
          </cell>
          <cell r="Y486" t="str">
            <v/>
          </cell>
          <cell r="Z486" t="str">
            <v/>
          </cell>
        </row>
        <row r="487">
          <cell r="V487" t="str">
            <v/>
          </cell>
          <cell r="W487" t="str">
            <v/>
          </cell>
          <cell r="Y487" t="str">
            <v/>
          </cell>
          <cell r="Z487" t="str">
            <v/>
          </cell>
        </row>
        <row r="488">
          <cell r="V488" t="str">
            <v/>
          </cell>
          <cell r="W488" t="str">
            <v/>
          </cell>
          <cell r="Y488" t="str">
            <v/>
          </cell>
          <cell r="Z488" t="str">
            <v/>
          </cell>
        </row>
        <row r="489">
          <cell r="V489" t="str">
            <v/>
          </cell>
          <cell r="W489" t="str">
            <v/>
          </cell>
          <cell r="Y489" t="str">
            <v/>
          </cell>
          <cell r="Z489" t="str">
            <v/>
          </cell>
        </row>
        <row r="490">
          <cell r="V490" t="str">
            <v/>
          </cell>
          <cell r="W490" t="str">
            <v/>
          </cell>
          <cell r="Y490" t="str">
            <v/>
          </cell>
          <cell r="Z490" t="str">
            <v/>
          </cell>
        </row>
        <row r="491">
          <cell r="V491" t="str">
            <v/>
          </cell>
          <cell r="W491" t="str">
            <v/>
          </cell>
          <cell r="Y491" t="str">
            <v/>
          </cell>
          <cell r="Z491" t="str">
            <v/>
          </cell>
        </row>
        <row r="492">
          <cell r="V492" t="str">
            <v/>
          </cell>
          <cell r="W492" t="str">
            <v/>
          </cell>
          <cell r="Y492" t="str">
            <v/>
          </cell>
          <cell r="Z492" t="str">
            <v/>
          </cell>
        </row>
        <row r="493">
          <cell r="V493" t="str">
            <v/>
          </cell>
          <cell r="W493" t="str">
            <v/>
          </cell>
          <cell r="Y493" t="str">
            <v/>
          </cell>
          <cell r="Z493" t="str">
            <v/>
          </cell>
        </row>
        <row r="494">
          <cell r="V494" t="str">
            <v/>
          </cell>
          <cell r="W494" t="str">
            <v/>
          </cell>
          <cell r="Y494" t="str">
            <v/>
          </cell>
          <cell r="Z494" t="str">
            <v/>
          </cell>
        </row>
        <row r="495">
          <cell r="V495" t="str">
            <v/>
          </cell>
          <cell r="W495" t="str">
            <v/>
          </cell>
          <cell r="Y495" t="str">
            <v/>
          </cell>
          <cell r="Z495" t="str">
            <v/>
          </cell>
        </row>
        <row r="496">
          <cell r="V496" t="str">
            <v/>
          </cell>
          <cell r="W496" t="str">
            <v/>
          </cell>
          <cell r="Y496" t="str">
            <v/>
          </cell>
          <cell r="Z496" t="str">
            <v/>
          </cell>
        </row>
        <row r="497">
          <cell r="V497" t="str">
            <v/>
          </cell>
          <cell r="W497" t="str">
            <v/>
          </cell>
          <cell r="Y497" t="str">
            <v/>
          </cell>
          <cell r="Z497" t="str">
            <v/>
          </cell>
        </row>
        <row r="498">
          <cell r="V498" t="str">
            <v/>
          </cell>
          <cell r="W498" t="str">
            <v/>
          </cell>
          <cell r="Y498" t="str">
            <v/>
          </cell>
          <cell r="Z498" t="str">
            <v/>
          </cell>
        </row>
        <row r="499">
          <cell r="V499" t="str">
            <v/>
          </cell>
          <cell r="W499" t="str">
            <v/>
          </cell>
          <cell r="Y499" t="str">
            <v/>
          </cell>
          <cell r="Z499" t="str">
            <v/>
          </cell>
        </row>
        <row r="500">
          <cell r="V500" t="str">
            <v/>
          </cell>
          <cell r="W500" t="str">
            <v/>
          </cell>
          <cell r="Y500" t="str">
            <v/>
          </cell>
          <cell r="Z500" t="str">
            <v/>
          </cell>
        </row>
        <row r="501">
          <cell r="V501" t="str">
            <v/>
          </cell>
          <cell r="W501" t="str">
            <v/>
          </cell>
          <cell r="Y501" t="str">
            <v/>
          </cell>
          <cell r="Z501" t="str">
            <v/>
          </cell>
        </row>
        <row r="502">
          <cell r="V502" t="str">
            <v/>
          </cell>
          <cell r="W502" t="str">
            <v/>
          </cell>
          <cell r="Y502" t="str">
            <v/>
          </cell>
          <cell r="Z502" t="str">
            <v/>
          </cell>
        </row>
        <row r="503">
          <cell r="V503" t="str">
            <v/>
          </cell>
          <cell r="W503" t="str">
            <v/>
          </cell>
          <cell r="Y503" t="str">
            <v/>
          </cell>
          <cell r="Z503" t="str">
            <v/>
          </cell>
        </row>
        <row r="504">
          <cell r="V504" t="str">
            <v/>
          </cell>
          <cell r="W504" t="str">
            <v/>
          </cell>
          <cell r="Y504" t="str">
            <v/>
          </cell>
          <cell r="Z504" t="str">
            <v/>
          </cell>
        </row>
        <row r="505">
          <cell r="V505" t="str">
            <v/>
          </cell>
          <cell r="W505" t="str">
            <v/>
          </cell>
          <cell r="Y505" t="str">
            <v/>
          </cell>
          <cell r="Z505" t="str">
            <v/>
          </cell>
        </row>
        <row r="506">
          <cell r="V506" t="str">
            <v/>
          </cell>
          <cell r="W506" t="str">
            <v/>
          </cell>
          <cell r="Y506" t="str">
            <v/>
          </cell>
          <cell r="Z506" t="str">
            <v/>
          </cell>
        </row>
        <row r="507">
          <cell r="V507" t="str">
            <v/>
          </cell>
          <cell r="W507" t="str">
            <v/>
          </cell>
          <cell r="Y507" t="str">
            <v/>
          </cell>
          <cell r="Z507" t="str">
            <v/>
          </cell>
        </row>
        <row r="508">
          <cell r="V508" t="str">
            <v/>
          </cell>
          <cell r="W508" t="str">
            <v/>
          </cell>
          <cell r="Y508" t="str">
            <v/>
          </cell>
          <cell r="Z508" t="str">
            <v/>
          </cell>
        </row>
        <row r="509">
          <cell r="V509" t="str">
            <v/>
          </cell>
          <cell r="W509" t="str">
            <v/>
          </cell>
          <cell r="Y509" t="str">
            <v/>
          </cell>
          <cell r="Z509" t="str">
            <v/>
          </cell>
        </row>
        <row r="510">
          <cell r="V510" t="str">
            <v/>
          </cell>
          <cell r="W510" t="str">
            <v/>
          </cell>
          <cell r="Y510" t="str">
            <v/>
          </cell>
          <cell r="Z510" t="str">
            <v/>
          </cell>
        </row>
        <row r="511">
          <cell r="V511" t="str">
            <v/>
          </cell>
          <cell r="W511" t="str">
            <v/>
          </cell>
          <cell r="Y511" t="str">
            <v/>
          </cell>
          <cell r="Z511" t="str">
            <v/>
          </cell>
        </row>
        <row r="512">
          <cell r="V512" t="str">
            <v/>
          </cell>
          <cell r="W512" t="str">
            <v/>
          </cell>
          <cell r="Y512" t="str">
            <v/>
          </cell>
          <cell r="Z512" t="str">
            <v/>
          </cell>
        </row>
        <row r="513">
          <cell r="V513" t="str">
            <v/>
          </cell>
          <cell r="W513" t="str">
            <v/>
          </cell>
          <cell r="Y513" t="str">
            <v/>
          </cell>
          <cell r="Z513" t="str">
            <v/>
          </cell>
        </row>
        <row r="514">
          <cell r="V514" t="str">
            <v/>
          </cell>
          <cell r="W514" t="str">
            <v/>
          </cell>
          <cell r="Y514" t="str">
            <v/>
          </cell>
          <cell r="Z514" t="str">
            <v/>
          </cell>
        </row>
        <row r="515">
          <cell r="V515" t="str">
            <v/>
          </cell>
          <cell r="W515" t="str">
            <v/>
          </cell>
          <cell r="Y515" t="str">
            <v/>
          </cell>
          <cell r="Z515" t="str">
            <v/>
          </cell>
        </row>
        <row r="516">
          <cell r="V516" t="str">
            <v/>
          </cell>
          <cell r="W516" t="str">
            <v/>
          </cell>
          <cell r="Y516" t="str">
            <v/>
          </cell>
          <cell r="Z516" t="str">
            <v/>
          </cell>
        </row>
        <row r="517">
          <cell r="V517" t="str">
            <v/>
          </cell>
          <cell r="W517" t="str">
            <v/>
          </cell>
          <cell r="Y517" t="str">
            <v/>
          </cell>
          <cell r="Z517" t="str">
            <v/>
          </cell>
        </row>
        <row r="518">
          <cell r="V518" t="str">
            <v/>
          </cell>
          <cell r="W518" t="str">
            <v/>
          </cell>
          <cell r="Y518" t="str">
            <v/>
          </cell>
          <cell r="Z518" t="str">
            <v/>
          </cell>
        </row>
        <row r="519">
          <cell r="V519" t="str">
            <v/>
          </cell>
          <cell r="W519" t="str">
            <v/>
          </cell>
          <cell r="Y519" t="str">
            <v/>
          </cell>
          <cell r="Z519" t="str">
            <v/>
          </cell>
        </row>
        <row r="520">
          <cell r="V520" t="str">
            <v/>
          </cell>
          <cell r="W520" t="str">
            <v/>
          </cell>
          <cell r="Y520" t="str">
            <v/>
          </cell>
          <cell r="Z520" t="str">
            <v/>
          </cell>
        </row>
        <row r="521">
          <cell r="V521" t="str">
            <v/>
          </cell>
          <cell r="W521" t="str">
            <v/>
          </cell>
          <cell r="Y521" t="str">
            <v/>
          </cell>
          <cell r="Z521" t="str">
            <v/>
          </cell>
        </row>
        <row r="522">
          <cell r="V522" t="str">
            <v/>
          </cell>
          <cell r="W522" t="str">
            <v/>
          </cell>
          <cell r="Y522" t="str">
            <v/>
          </cell>
          <cell r="Z522" t="str">
            <v/>
          </cell>
        </row>
        <row r="523">
          <cell r="V523" t="str">
            <v/>
          </cell>
          <cell r="W523" t="str">
            <v/>
          </cell>
          <cell r="Y523" t="str">
            <v/>
          </cell>
          <cell r="Z523" t="str">
            <v/>
          </cell>
        </row>
        <row r="524">
          <cell r="V524" t="str">
            <v/>
          </cell>
          <cell r="W524" t="str">
            <v/>
          </cell>
          <cell r="Y524" t="str">
            <v/>
          </cell>
          <cell r="Z524" t="str">
            <v/>
          </cell>
        </row>
        <row r="525">
          <cell r="V525" t="str">
            <v/>
          </cell>
          <cell r="W525" t="str">
            <v/>
          </cell>
          <cell r="Y525" t="str">
            <v/>
          </cell>
          <cell r="Z525" t="str">
            <v/>
          </cell>
        </row>
        <row r="526">
          <cell r="V526" t="str">
            <v/>
          </cell>
          <cell r="W526" t="str">
            <v/>
          </cell>
          <cell r="Y526" t="str">
            <v/>
          </cell>
          <cell r="Z526" t="str">
            <v/>
          </cell>
        </row>
        <row r="527">
          <cell r="V527" t="str">
            <v/>
          </cell>
          <cell r="W527" t="str">
            <v/>
          </cell>
          <cell r="Y527" t="str">
            <v/>
          </cell>
          <cell r="Z527" t="str">
            <v/>
          </cell>
        </row>
        <row r="528">
          <cell r="V528" t="str">
            <v/>
          </cell>
          <cell r="W528" t="str">
            <v/>
          </cell>
          <cell r="Y528" t="str">
            <v/>
          </cell>
          <cell r="Z528" t="str">
            <v/>
          </cell>
        </row>
        <row r="529">
          <cell r="V529" t="str">
            <v/>
          </cell>
          <cell r="W529" t="str">
            <v/>
          </cell>
          <cell r="Y529" t="str">
            <v/>
          </cell>
          <cell r="Z529" t="str">
            <v/>
          </cell>
        </row>
        <row r="530">
          <cell r="V530" t="str">
            <v/>
          </cell>
          <cell r="W530" t="str">
            <v/>
          </cell>
          <cell r="Y530" t="str">
            <v/>
          </cell>
          <cell r="Z530" t="str">
            <v/>
          </cell>
        </row>
        <row r="531">
          <cell r="V531" t="str">
            <v/>
          </cell>
          <cell r="W531" t="str">
            <v/>
          </cell>
          <cell r="Y531" t="str">
            <v/>
          </cell>
          <cell r="Z531" t="str">
            <v/>
          </cell>
        </row>
        <row r="532">
          <cell r="V532" t="str">
            <v/>
          </cell>
          <cell r="W532" t="str">
            <v/>
          </cell>
          <cell r="Y532" t="str">
            <v/>
          </cell>
          <cell r="Z532" t="str">
            <v/>
          </cell>
        </row>
        <row r="533">
          <cell r="V533" t="str">
            <v/>
          </cell>
          <cell r="W533" t="str">
            <v/>
          </cell>
          <cell r="Y533" t="str">
            <v/>
          </cell>
          <cell r="Z533" t="str">
            <v/>
          </cell>
        </row>
        <row r="534">
          <cell r="V534" t="str">
            <v/>
          </cell>
          <cell r="W534" t="str">
            <v/>
          </cell>
          <cell r="Y534" t="str">
            <v/>
          </cell>
          <cell r="Z534" t="str">
            <v/>
          </cell>
        </row>
        <row r="535">
          <cell r="V535" t="str">
            <v/>
          </cell>
          <cell r="W535" t="str">
            <v/>
          </cell>
          <cell r="Y535" t="str">
            <v/>
          </cell>
          <cell r="Z535" t="str">
            <v/>
          </cell>
        </row>
        <row r="536">
          <cell r="V536" t="str">
            <v/>
          </cell>
          <cell r="W536" t="str">
            <v/>
          </cell>
          <cell r="Y536" t="str">
            <v/>
          </cell>
          <cell r="Z536" t="str">
            <v/>
          </cell>
        </row>
        <row r="537">
          <cell r="V537" t="str">
            <v/>
          </cell>
          <cell r="W537" t="str">
            <v/>
          </cell>
          <cell r="Y537" t="str">
            <v/>
          </cell>
          <cell r="Z537" t="str">
            <v/>
          </cell>
        </row>
        <row r="538">
          <cell r="V538" t="str">
            <v/>
          </cell>
          <cell r="W538" t="str">
            <v/>
          </cell>
          <cell r="Y538" t="str">
            <v/>
          </cell>
          <cell r="Z538" t="str">
            <v/>
          </cell>
        </row>
        <row r="539">
          <cell r="V539" t="str">
            <v/>
          </cell>
          <cell r="W539" t="str">
            <v/>
          </cell>
          <cell r="Y539" t="str">
            <v/>
          </cell>
          <cell r="Z539" t="str">
            <v/>
          </cell>
        </row>
        <row r="540">
          <cell r="V540" t="str">
            <v/>
          </cell>
          <cell r="W540" t="str">
            <v/>
          </cell>
          <cell r="Y540" t="str">
            <v/>
          </cell>
          <cell r="Z540" t="str">
            <v/>
          </cell>
        </row>
        <row r="541">
          <cell r="V541" t="str">
            <v/>
          </cell>
          <cell r="W541" t="str">
            <v/>
          </cell>
          <cell r="Y541" t="str">
            <v/>
          </cell>
          <cell r="Z541" t="str">
            <v/>
          </cell>
        </row>
        <row r="542">
          <cell r="V542" t="str">
            <v/>
          </cell>
          <cell r="W542" t="str">
            <v/>
          </cell>
          <cell r="Y542" t="str">
            <v/>
          </cell>
          <cell r="Z542" t="str">
            <v/>
          </cell>
        </row>
        <row r="543">
          <cell r="V543" t="str">
            <v/>
          </cell>
          <cell r="W543" t="str">
            <v/>
          </cell>
          <cell r="Y543" t="str">
            <v/>
          </cell>
          <cell r="Z543" t="str">
            <v/>
          </cell>
        </row>
        <row r="544">
          <cell r="V544" t="str">
            <v/>
          </cell>
          <cell r="W544" t="str">
            <v/>
          </cell>
          <cell r="Y544" t="str">
            <v/>
          </cell>
          <cell r="Z544" t="str">
            <v/>
          </cell>
        </row>
        <row r="545">
          <cell r="V545" t="str">
            <v/>
          </cell>
          <cell r="W545" t="str">
            <v/>
          </cell>
          <cell r="Y545" t="str">
            <v/>
          </cell>
          <cell r="Z545" t="str">
            <v/>
          </cell>
        </row>
        <row r="546">
          <cell r="V546" t="str">
            <v/>
          </cell>
          <cell r="W546" t="str">
            <v/>
          </cell>
          <cell r="Y546" t="str">
            <v/>
          </cell>
          <cell r="Z546" t="str">
            <v/>
          </cell>
        </row>
        <row r="547">
          <cell r="V547" t="str">
            <v/>
          </cell>
          <cell r="W547" t="str">
            <v/>
          </cell>
          <cell r="Y547" t="str">
            <v/>
          </cell>
          <cell r="Z547" t="str">
            <v/>
          </cell>
        </row>
        <row r="548">
          <cell r="V548" t="str">
            <v/>
          </cell>
          <cell r="W548" t="str">
            <v/>
          </cell>
          <cell r="Y548" t="str">
            <v/>
          </cell>
          <cell r="Z548" t="str">
            <v/>
          </cell>
        </row>
        <row r="549">
          <cell r="V549" t="str">
            <v/>
          </cell>
          <cell r="W549" t="str">
            <v/>
          </cell>
          <cell r="Y549" t="str">
            <v/>
          </cell>
          <cell r="Z549" t="str">
            <v/>
          </cell>
        </row>
        <row r="550">
          <cell r="V550" t="str">
            <v/>
          </cell>
          <cell r="W550" t="str">
            <v/>
          </cell>
          <cell r="Y550" t="str">
            <v/>
          </cell>
          <cell r="Z550" t="str">
            <v/>
          </cell>
        </row>
        <row r="551">
          <cell r="V551" t="str">
            <v/>
          </cell>
          <cell r="W551" t="str">
            <v/>
          </cell>
          <cell r="Y551" t="str">
            <v/>
          </cell>
          <cell r="Z551" t="str">
            <v/>
          </cell>
        </row>
        <row r="552">
          <cell r="V552" t="str">
            <v/>
          </cell>
          <cell r="W552" t="str">
            <v/>
          </cell>
          <cell r="Y552" t="str">
            <v/>
          </cell>
          <cell r="Z552" t="str">
            <v/>
          </cell>
        </row>
        <row r="553">
          <cell r="V553" t="str">
            <v/>
          </cell>
          <cell r="W553" t="str">
            <v/>
          </cell>
          <cell r="Y553" t="str">
            <v/>
          </cell>
          <cell r="Z553" t="str">
            <v/>
          </cell>
        </row>
        <row r="554">
          <cell r="V554" t="str">
            <v/>
          </cell>
          <cell r="W554" t="str">
            <v/>
          </cell>
          <cell r="Y554" t="str">
            <v/>
          </cell>
          <cell r="Z554" t="str">
            <v/>
          </cell>
        </row>
        <row r="555">
          <cell r="V555" t="str">
            <v/>
          </cell>
          <cell r="W555" t="str">
            <v/>
          </cell>
          <cell r="Y555" t="str">
            <v/>
          </cell>
          <cell r="Z555" t="str">
            <v/>
          </cell>
        </row>
        <row r="556">
          <cell r="V556" t="str">
            <v/>
          </cell>
          <cell r="W556" t="str">
            <v/>
          </cell>
          <cell r="Y556" t="str">
            <v/>
          </cell>
          <cell r="Z556" t="str">
            <v/>
          </cell>
        </row>
        <row r="557">
          <cell r="V557" t="str">
            <v/>
          </cell>
          <cell r="W557" t="str">
            <v/>
          </cell>
          <cell r="Y557" t="str">
            <v/>
          </cell>
          <cell r="Z557" t="str">
            <v/>
          </cell>
        </row>
        <row r="558">
          <cell r="V558" t="str">
            <v/>
          </cell>
          <cell r="W558" t="str">
            <v/>
          </cell>
          <cell r="Y558" t="str">
            <v/>
          </cell>
          <cell r="Z558" t="str">
            <v/>
          </cell>
        </row>
        <row r="559">
          <cell r="V559" t="str">
            <v/>
          </cell>
          <cell r="W559" t="str">
            <v/>
          </cell>
          <cell r="Y559" t="str">
            <v/>
          </cell>
          <cell r="Z559" t="str">
            <v/>
          </cell>
        </row>
        <row r="560">
          <cell r="V560" t="str">
            <v/>
          </cell>
          <cell r="W560" t="str">
            <v/>
          </cell>
          <cell r="Y560" t="str">
            <v/>
          </cell>
          <cell r="Z560" t="str">
            <v/>
          </cell>
        </row>
        <row r="561">
          <cell r="V561" t="str">
            <v/>
          </cell>
          <cell r="W561" t="str">
            <v/>
          </cell>
          <cell r="Y561" t="str">
            <v/>
          </cell>
          <cell r="Z561" t="str">
            <v/>
          </cell>
        </row>
        <row r="562">
          <cell r="V562" t="str">
            <v/>
          </cell>
          <cell r="W562" t="str">
            <v/>
          </cell>
          <cell r="Y562" t="str">
            <v/>
          </cell>
          <cell r="Z562" t="str">
            <v/>
          </cell>
        </row>
        <row r="563">
          <cell r="V563" t="str">
            <v/>
          </cell>
          <cell r="W563" t="str">
            <v/>
          </cell>
          <cell r="Y563" t="str">
            <v/>
          </cell>
          <cell r="Z563" t="str">
            <v/>
          </cell>
        </row>
        <row r="564">
          <cell r="V564" t="str">
            <v/>
          </cell>
          <cell r="W564" t="str">
            <v/>
          </cell>
          <cell r="Y564" t="str">
            <v/>
          </cell>
          <cell r="Z564" t="str">
            <v/>
          </cell>
        </row>
        <row r="565">
          <cell r="V565" t="str">
            <v/>
          </cell>
          <cell r="W565" t="str">
            <v/>
          </cell>
          <cell r="Y565" t="str">
            <v/>
          </cell>
          <cell r="Z565" t="str">
            <v/>
          </cell>
        </row>
        <row r="566">
          <cell r="V566" t="str">
            <v/>
          </cell>
          <cell r="W566" t="str">
            <v/>
          </cell>
          <cell r="Y566" t="str">
            <v/>
          </cell>
          <cell r="Z566" t="str">
            <v/>
          </cell>
        </row>
        <row r="567">
          <cell r="V567" t="str">
            <v/>
          </cell>
          <cell r="W567" t="str">
            <v/>
          </cell>
          <cell r="Y567" t="str">
            <v/>
          </cell>
          <cell r="Z567" t="str">
            <v/>
          </cell>
        </row>
        <row r="568">
          <cell r="V568" t="str">
            <v/>
          </cell>
          <cell r="W568" t="str">
            <v/>
          </cell>
          <cell r="Y568" t="str">
            <v/>
          </cell>
          <cell r="Z568" t="str">
            <v/>
          </cell>
        </row>
        <row r="569">
          <cell r="V569" t="str">
            <v/>
          </cell>
          <cell r="W569" t="str">
            <v/>
          </cell>
          <cell r="Y569" t="str">
            <v/>
          </cell>
          <cell r="Z569" t="str">
            <v/>
          </cell>
        </row>
        <row r="570">
          <cell r="V570" t="str">
            <v/>
          </cell>
          <cell r="W570" t="str">
            <v/>
          </cell>
          <cell r="Y570" t="str">
            <v/>
          </cell>
          <cell r="Z570" t="str">
            <v/>
          </cell>
        </row>
        <row r="571">
          <cell r="V571" t="str">
            <v/>
          </cell>
          <cell r="W571" t="str">
            <v/>
          </cell>
          <cell r="Y571" t="str">
            <v/>
          </cell>
          <cell r="Z571" t="str">
            <v/>
          </cell>
        </row>
        <row r="572">
          <cell r="V572" t="str">
            <v/>
          </cell>
          <cell r="W572" t="str">
            <v/>
          </cell>
          <cell r="Y572" t="str">
            <v/>
          </cell>
          <cell r="Z572" t="str">
            <v/>
          </cell>
        </row>
        <row r="573">
          <cell r="V573" t="str">
            <v/>
          </cell>
          <cell r="W573" t="str">
            <v/>
          </cell>
          <cell r="Y573" t="str">
            <v/>
          </cell>
          <cell r="Z573" t="str">
            <v/>
          </cell>
        </row>
        <row r="574">
          <cell r="V574" t="str">
            <v/>
          </cell>
          <cell r="W574" t="str">
            <v/>
          </cell>
          <cell r="Y574" t="str">
            <v/>
          </cell>
          <cell r="Z574" t="str">
            <v/>
          </cell>
        </row>
        <row r="575">
          <cell r="V575" t="str">
            <v/>
          </cell>
          <cell r="W575" t="str">
            <v/>
          </cell>
          <cell r="Y575" t="str">
            <v/>
          </cell>
          <cell r="Z575" t="str">
            <v/>
          </cell>
        </row>
        <row r="576">
          <cell r="V576" t="str">
            <v/>
          </cell>
          <cell r="W576" t="str">
            <v/>
          </cell>
          <cell r="Y576" t="str">
            <v/>
          </cell>
          <cell r="Z576" t="str">
            <v/>
          </cell>
        </row>
        <row r="577">
          <cell r="V577" t="str">
            <v/>
          </cell>
          <cell r="W577" t="str">
            <v/>
          </cell>
          <cell r="Y577" t="str">
            <v/>
          </cell>
          <cell r="Z577" t="str">
            <v/>
          </cell>
        </row>
        <row r="578">
          <cell r="V578" t="str">
            <v/>
          </cell>
          <cell r="W578" t="str">
            <v/>
          </cell>
          <cell r="Y578" t="str">
            <v/>
          </cell>
          <cell r="Z578" t="str">
            <v/>
          </cell>
        </row>
        <row r="579">
          <cell r="V579" t="str">
            <v/>
          </cell>
          <cell r="W579" t="str">
            <v/>
          </cell>
          <cell r="Y579" t="str">
            <v/>
          </cell>
          <cell r="Z579" t="str">
            <v/>
          </cell>
        </row>
        <row r="580">
          <cell r="V580" t="str">
            <v/>
          </cell>
          <cell r="W580" t="str">
            <v/>
          </cell>
          <cell r="Y580" t="str">
            <v/>
          </cell>
          <cell r="Z580" t="str">
            <v/>
          </cell>
        </row>
        <row r="581">
          <cell r="V581" t="str">
            <v/>
          </cell>
          <cell r="W581" t="str">
            <v/>
          </cell>
          <cell r="Y581" t="str">
            <v/>
          </cell>
          <cell r="Z581" t="str">
            <v/>
          </cell>
        </row>
        <row r="582">
          <cell r="V582" t="str">
            <v/>
          </cell>
          <cell r="W582" t="str">
            <v/>
          </cell>
          <cell r="Y582" t="str">
            <v/>
          </cell>
          <cell r="Z582" t="str">
            <v/>
          </cell>
        </row>
        <row r="583">
          <cell r="V583" t="str">
            <v/>
          </cell>
          <cell r="W583" t="str">
            <v/>
          </cell>
          <cell r="Y583" t="str">
            <v/>
          </cell>
          <cell r="Z583" t="str">
            <v/>
          </cell>
        </row>
        <row r="584">
          <cell r="V584" t="str">
            <v/>
          </cell>
          <cell r="W584" t="str">
            <v/>
          </cell>
          <cell r="Y584" t="str">
            <v/>
          </cell>
          <cell r="Z584" t="str">
            <v/>
          </cell>
        </row>
        <row r="585">
          <cell r="V585" t="str">
            <v/>
          </cell>
          <cell r="W585" t="str">
            <v/>
          </cell>
          <cell r="Y585" t="str">
            <v/>
          </cell>
          <cell r="Z585" t="str">
            <v/>
          </cell>
        </row>
        <row r="586">
          <cell r="V586" t="str">
            <v/>
          </cell>
          <cell r="W586" t="str">
            <v/>
          </cell>
          <cell r="Y586" t="str">
            <v/>
          </cell>
          <cell r="Z586" t="str">
            <v/>
          </cell>
        </row>
        <row r="587">
          <cell r="V587" t="str">
            <v/>
          </cell>
          <cell r="W587" t="str">
            <v/>
          </cell>
          <cell r="Y587" t="str">
            <v/>
          </cell>
          <cell r="Z587" t="str">
            <v/>
          </cell>
        </row>
        <row r="588">
          <cell r="V588" t="str">
            <v/>
          </cell>
          <cell r="W588" t="str">
            <v/>
          </cell>
          <cell r="Y588" t="str">
            <v/>
          </cell>
          <cell r="Z588" t="str">
            <v/>
          </cell>
        </row>
        <row r="589">
          <cell r="V589" t="str">
            <v/>
          </cell>
          <cell r="W589" t="str">
            <v/>
          </cell>
          <cell r="Y589" t="str">
            <v/>
          </cell>
          <cell r="Z589" t="str">
            <v/>
          </cell>
        </row>
        <row r="590">
          <cell r="V590" t="str">
            <v/>
          </cell>
          <cell r="W590" t="str">
            <v/>
          </cell>
          <cell r="Y590" t="str">
            <v/>
          </cell>
          <cell r="Z590" t="str">
            <v/>
          </cell>
        </row>
        <row r="591">
          <cell r="V591" t="str">
            <v/>
          </cell>
          <cell r="W591" t="str">
            <v/>
          </cell>
          <cell r="Y591" t="str">
            <v/>
          </cell>
          <cell r="Z591" t="str">
            <v/>
          </cell>
        </row>
        <row r="592">
          <cell r="V592" t="str">
            <v/>
          </cell>
          <cell r="W592" t="str">
            <v/>
          </cell>
          <cell r="Y592" t="str">
            <v/>
          </cell>
          <cell r="Z592" t="str">
            <v/>
          </cell>
        </row>
        <row r="593">
          <cell r="V593" t="str">
            <v/>
          </cell>
          <cell r="W593" t="str">
            <v/>
          </cell>
          <cell r="Y593" t="str">
            <v/>
          </cell>
          <cell r="Z593" t="str">
            <v/>
          </cell>
        </row>
        <row r="594">
          <cell r="V594" t="str">
            <v/>
          </cell>
          <cell r="W594" t="str">
            <v/>
          </cell>
          <cell r="Y594" t="str">
            <v/>
          </cell>
          <cell r="Z594" t="str">
            <v/>
          </cell>
        </row>
        <row r="595">
          <cell r="V595" t="str">
            <v/>
          </cell>
          <cell r="W595" t="str">
            <v/>
          </cell>
          <cell r="Y595" t="str">
            <v/>
          </cell>
          <cell r="Z595" t="str">
            <v/>
          </cell>
        </row>
        <row r="596">
          <cell r="V596" t="str">
            <v/>
          </cell>
          <cell r="W596" t="str">
            <v/>
          </cell>
          <cell r="Y596" t="str">
            <v/>
          </cell>
          <cell r="Z596" t="str">
            <v/>
          </cell>
        </row>
        <row r="597">
          <cell r="V597" t="str">
            <v/>
          </cell>
          <cell r="W597" t="str">
            <v/>
          </cell>
          <cell r="Y597" t="str">
            <v/>
          </cell>
          <cell r="Z597" t="str">
            <v/>
          </cell>
        </row>
        <row r="598">
          <cell r="V598" t="str">
            <v/>
          </cell>
          <cell r="W598" t="str">
            <v/>
          </cell>
          <cell r="Y598" t="str">
            <v/>
          </cell>
          <cell r="Z598" t="str">
            <v/>
          </cell>
        </row>
        <row r="599">
          <cell r="V599" t="str">
            <v/>
          </cell>
          <cell r="W599" t="str">
            <v/>
          </cell>
          <cell r="Y599" t="str">
            <v/>
          </cell>
          <cell r="Z599" t="str">
            <v/>
          </cell>
        </row>
        <row r="600">
          <cell r="V600" t="str">
            <v/>
          </cell>
          <cell r="W600" t="str">
            <v/>
          </cell>
          <cell r="Y600" t="str">
            <v/>
          </cell>
          <cell r="Z600" t="str">
            <v/>
          </cell>
        </row>
        <row r="601">
          <cell r="V601" t="str">
            <v/>
          </cell>
          <cell r="W601" t="str">
            <v/>
          </cell>
          <cell r="Y601" t="str">
            <v/>
          </cell>
          <cell r="Z601" t="str">
            <v/>
          </cell>
        </row>
        <row r="602">
          <cell r="V602" t="str">
            <v/>
          </cell>
          <cell r="W602" t="str">
            <v/>
          </cell>
          <cell r="Y602" t="str">
            <v/>
          </cell>
          <cell r="Z602" t="str">
            <v/>
          </cell>
        </row>
        <row r="603">
          <cell r="V603" t="str">
            <v/>
          </cell>
          <cell r="W603" t="str">
            <v/>
          </cell>
          <cell r="Y603" t="str">
            <v/>
          </cell>
          <cell r="Z603" t="str">
            <v/>
          </cell>
        </row>
        <row r="604">
          <cell r="V604" t="str">
            <v/>
          </cell>
          <cell r="W604" t="str">
            <v/>
          </cell>
          <cell r="Y604" t="str">
            <v/>
          </cell>
          <cell r="Z604" t="str">
            <v/>
          </cell>
        </row>
        <row r="605">
          <cell r="V605" t="str">
            <v/>
          </cell>
          <cell r="W605" t="str">
            <v/>
          </cell>
          <cell r="Y605" t="str">
            <v/>
          </cell>
          <cell r="Z605" t="str">
            <v/>
          </cell>
        </row>
        <row r="606">
          <cell r="V606" t="str">
            <v/>
          </cell>
          <cell r="W606" t="str">
            <v/>
          </cell>
          <cell r="Y606" t="str">
            <v/>
          </cell>
          <cell r="Z606" t="str">
            <v/>
          </cell>
        </row>
        <row r="607">
          <cell r="V607" t="str">
            <v/>
          </cell>
          <cell r="W607" t="str">
            <v/>
          </cell>
          <cell r="Y607" t="str">
            <v/>
          </cell>
          <cell r="Z607" t="str">
            <v/>
          </cell>
        </row>
        <row r="608">
          <cell r="V608" t="str">
            <v/>
          </cell>
          <cell r="W608" t="str">
            <v/>
          </cell>
          <cell r="Y608" t="str">
            <v/>
          </cell>
          <cell r="Z608" t="str">
            <v/>
          </cell>
        </row>
        <row r="609">
          <cell r="V609" t="str">
            <v/>
          </cell>
          <cell r="W609" t="str">
            <v/>
          </cell>
          <cell r="Y609" t="str">
            <v/>
          </cell>
          <cell r="Z609" t="str">
            <v/>
          </cell>
        </row>
        <row r="610">
          <cell r="V610" t="str">
            <v/>
          </cell>
          <cell r="W610" t="str">
            <v/>
          </cell>
          <cell r="Y610" t="str">
            <v/>
          </cell>
          <cell r="Z610" t="str">
            <v/>
          </cell>
        </row>
        <row r="611">
          <cell r="V611" t="str">
            <v/>
          </cell>
          <cell r="W611" t="str">
            <v/>
          </cell>
          <cell r="Y611" t="str">
            <v/>
          </cell>
          <cell r="Z611" t="str">
            <v/>
          </cell>
        </row>
        <row r="612">
          <cell r="V612" t="str">
            <v/>
          </cell>
          <cell r="W612" t="str">
            <v/>
          </cell>
          <cell r="Y612" t="str">
            <v/>
          </cell>
          <cell r="Z612" t="str">
            <v/>
          </cell>
        </row>
        <row r="613">
          <cell r="V613" t="str">
            <v/>
          </cell>
          <cell r="W613" t="str">
            <v/>
          </cell>
          <cell r="Y613" t="str">
            <v/>
          </cell>
          <cell r="Z613" t="str">
            <v/>
          </cell>
        </row>
        <row r="614">
          <cell r="V614" t="str">
            <v/>
          </cell>
          <cell r="W614" t="str">
            <v/>
          </cell>
          <cell r="Y614" t="str">
            <v/>
          </cell>
          <cell r="Z614" t="str">
            <v/>
          </cell>
        </row>
        <row r="615">
          <cell r="V615" t="str">
            <v/>
          </cell>
          <cell r="W615" t="str">
            <v/>
          </cell>
          <cell r="Y615" t="str">
            <v/>
          </cell>
          <cell r="Z615" t="str">
            <v/>
          </cell>
        </row>
        <row r="616">
          <cell r="V616" t="str">
            <v/>
          </cell>
          <cell r="W616" t="str">
            <v/>
          </cell>
          <cell r="Y616" t="str">
            <v/>
          </cell>
          <cell r="Z616" t="str">
            <v/>
          </cell>
        </row>
        <row r="617">
          <cell r="V617" t="str">
            <v/>
          </cell>
          <cell r="W617" t="str">
            <v/>
          </cell>
          <cell r="Y617" t="str">
            <v/>
          </cell>
          <cell r="Z617" t="str">
            <v/>
          </cell>
        </row>
        <row r="618">
          <cell r="V618" t="str">
            <v/>
          </cell>
          <cell r="W618" t="str">
            <v/>
          </cell>
          <cell r="Y618" t="str">
            <v/>
          </cell>
          <cell r="Z618" t="str">
            <v/>
          </cell>
        </row>
        <row r="619">
          <cell r="V619" t="str">
            <v/>
          </cell>
          <cell r="W619" t="str">
            <v/>
          </cell>
          <cell r="Y619" t="str">
            <v/>
          </cell>
          <cell r="Z619" t="str">
            <v/>
          </cell>
        </row>
        <row r="620">
          <cell r="V620" t="str">
            <v/>
          </cell>
          <cell r="W620" t="str">
            <v/>
          </cell>
          <cell r="Y620" t="str">
            <v/>
          </cell>
          <cell r="Z620" t="str">
            <v/>
          </cell>
        </row>
        <row r="621">
          <cell r="V621" t="str">
            <v/>
          </cell>
          <cell r="W621" t="str">
            <v/>
          </cell>
          <cell r="Y621" t="str">
            <v/>
          </cell>
          <cell r="Z621" t="str">
            <v/>
          </cell>
        </row>
        <row r="622">
          <cell r="V622" t="str">
            <v/>
          </cell>
          <cell r="W622" t="str">
            <v/>
          </cell>
          <cell r="Y622" t="str">
            <v/>
          </cell>
          <cell r="Z622" t="str">
            <v/>
          </cell>
        </row>
        <row r="623">
          <cell r="V623" t="str">
            <v/>
          </cell>
          <cell r="W623" t="str">
            <v/>
          </cell>
          <cell r="Y623" t="str">
            <v/>
          </cell>
          <cell r="Z623" t="str">
            <v/>
          </cell>
        </row>
        <row r="624">
          <cell r="V624" t="str">
            <v/>
          </cell>
          <cell r="W624" t="str">
            <v/>
          </cell>
          <cell r="Y624" t="str">
            <v/>
          </cell>
          <cell r="Z624" t="str">
            <v/>
          </cell>
        </row>
        <row r="625">
          <cell r="V625" t="str">
            <v/>
          </cell>
          <cell r="W625" t="str">
            <v/>
          </cell>
          <cell r="Y625" t="str">
            <v/>
          </cell>
          <cell r="Z625" t="str">
            <v/>
          </cell>
        </row>
        <row r="626">
          <cell r="V626" t="str">
            <v/>
          </cell>
          <cell r="W626" t="str">
            <v/>
          </cell>
          <cell r="Y626" t="str">
            <v/>
          </cell>
          <cell r="Z626" t="str">
            <v/>
          </cell>
        </row>
        <row r="627">
          <cell r="V627" t="str">
            <v/>
          </cell>
          <cell r="W627" t="str">
            <v/>
          </cell>
          <cell r="Y627" t="str">
            <v/>
          </cell>
          <cell r="Z627" t="str">
            <v/>
          </cell>
        </row>
        <row r="628">
          <cell r="V628" t="str">
            <v/>
          </cell>
          <cell r="W628" t="str">
            <v/>
          </cell>
          <cell r="Y628" t="str">
            <v/>
          </cell>
          <cell r="Z628" t="str">
            <v/>
          </cell>
        </row>
        <row r="629">
          <cell r="V629" t="str">
            <v/>
          </cell>
          <cell r="W629" t="str">
            <v/>
          </cell>
          <cell r="Y629" t="str">
            <v/>
          </cell>
          <cell r="Z629" t="str">
            <v/>
          </cell>
        </row>
        <row r="630">
          <cell r="V630" t="str">
            <v/>
          </cell>
          <cell r="W630" t="str">
            <v/>
          </cell>
          <cell r="Y630" t="str">
            <v/>
          </cell>
          <cell r="Z630" t="str">
            <v/>
          </cell>
        </row>
        <row r="631">
          <cell r="V631" t="str">
            <v/>
          </cell>
          <cell r="W631" t="str">
            <v/>
          </cell>
          <cell r="Y631" t="str">
            <v/>
          </cell>
          <cell r="Z631" t="str">
            <v/>
          </cell>
        </row>
        <row r="632">
          <cell r="V632" t="str">
            <v/>
          </cell>
          <cell r="W632" t="str">
            <v/>
          </cell>
          <cell r="Y632" t="str">
            <v/>
          </cell>
          <cell r="Z632" t="str">
            <v/>
          </cell>
        </row>
        <row r="633">
          <cell r="V633" t="str">
            <v/>
          </cell>
          <cell r="W633" t="str">
            <v/>
          </cell>
          <cell r="Y633" t="str">
            <v/>
          </cell>
          <cell r="Z633" t="str">
            <v/>
          </cell>
        </row>
        <row r="634">
          <cell r="V634" t="str">
            <v/>
          </cell>
          <cell r="W634" t="str">
            <v/>
          </cell>
          <cell r="Y634" t="str">
            <v/>
          </cell>
          <cell r="Z634" t="str">
            <v/>
          </cell>
        </row>
        <row r="635">
          <cell r="V635" t="str">
            <v/>
          </cell>
          <cell r="W635" t="str">
            <v/>
          </cell>
          <cell r="Y635" t="str">
            <v/>
          </cell>
          <cell r="Z635" t="str">
            <v/>
          </cell>
        </row>
        <row r="636">
          <cell r="V636" t="str">
            <v/>
          </cell>
          <cell r="W636" t="str">
            <v/>
          </cell>
          <cell r="Y636" t="str">
            <v/>
          </cell>
          <cell r="Z636" t="str">
            <v/>
          </cell>
        </row>
        <row r="637">
          <cell r="V637" t="str">
            <v/>
          </cell>
          <cell r="W637" t="str">
            <v/>
          </cell>
          <cell r="Y637" t="str">
            <v/>
          </cell>
          <cell r="Z637" t="str">
            <v/>
          </cell>
        </row>
        <row r="638">
          <cell r="V638" t="str">
            <v/>
          </cell>
          <cell r="W638" t="str">
            <v/>
          </cell>
          <cell r="Y638" t="str">
            <v/>
          </cell>
          <cell r="Z638" t="str">
            <v/>
          </cell>
        </row>
        <row r="639">
          <cell r="V639" t="str">
            <v/>
          </cell>
          <cell r="W639" t="str">
            <v/>
          </cell>
          <cell r="Y639" t="str">
            <v/>
          </cell>
          <cell r="Z639" t="str">
            <v/>
          </cell>
        </row>
        <row r="640">
          <cell r="V640" t="str">
            <v/>
          </cell>
          <cell r="W640" t="str">
            <v/>
          </cell>
          <cell r="Y640" t="str">
            <v/>
          </cell>
          <cell r="Z640" t="str">
            <v/>
          </cell>
        </row>
        <row r="641">
          <cell r="V641" t="str">
            <v/>
          </cell>
          <cell r="W641" t="str">
            <v/>
          </cell>
          <cell r="Y641" t="str">
            <v/>
          </cell>
          <cell r="Z641" t="str">
            <v/>
          </cell>
        </row>
        <row r="642">
          <cell r="V642" t="str">
            <v/>
          </cell>
          <cell r="W642" t="str">
            <v/>
          </cell>
          <cell r="Y642" t="str">
            <v/>
          </cell>
          <cell r="Z642" t="str">
            <v/>
          </cell>
        </row>
        <row r="643">
          <cell r="V643" t="str">
            <v/>
          </cell>
          <cell r="W643" t="str">
            <v/>
          </cell>
          <cell r="Y643" t="str">
            <v/>
          </cell>
          <cell r="Z643" t="str">
            <v/>
          </cell>
        </row>
        <row r="644">
          <cell r="V644" t="str">
            <v/>
          </cell>
          <cell r="W644" t="str">
            <v/>
          </cell>
          <cell r="Y644" t="str">
            <v/>
          </cell>
          <cell r="Z644" t="str">
            <v/>
          </cell>
        </row>
        <row r="645">
          <cell r="V645" t="str">
            <v/>
          </cell>
          <cell r="W645" t="str">
            <v/>
          </cell>
          <cell r="Y645" t="str">
            <v/>
          </cell>
          <cell r="Z645" t="str">
            <v/>
          </cell>
        </row>
        <row r="646">
          <cell r="V646" t="str">
            <v/>
          </cell>
          <cell r="W646" t="str">
            <v/>
          </cell>
          <cell r="Y646" t="str">
            <v/>
          </cell>
          <cell r="Z646" t="str">
            <v/>
          </cell>
        </row>
        <row r="647">
          <cell r="V647" t="str">
            <v/>
          </cell>
          <cell r="W647" t="str">
            <v/>
          </cell>
          <cell r="Y647" t="str">
            <v/>
          </cell>
          <cell r="Z647" t="str">
            <v/>
          </cell>
        </row>
        <row r="648">
          <cell r="V648" t="str">
            <v/>
          </cell>
          <cell r="W648" t="str">
            <v/>
          </cell>
          <cell r="Y648" t="str">
            <v/>
          </cell>
          <cell r="Z648" t="str">
            <v/>
          </cell>
        </row>
        <row r="649">
          <cell r="V649" t="str">
            <v/>
          </cell>
          <cell r="W649" t="str">
            <v/>
          </cell>
          <cell r="Y649" t="str">
            <v/>
          </cell>
          <cell r="Z649" t="str">
            <v/>
          </cell>
        </row>
        <row r="650">
          <cell r="V650" t="str">
            <v/>
          </cell>
          <cell r="W650" t="str">
            <v/>
          </cell>
          <cell r="Y650" t="str">
            <v/>
          </cell>
          <cell r="Z650" t="str">
            <v/>
          </cell>
        </row>
        <row r="651">
          <cell r="V651" t="str">
            <v/>
          </cell>
          <cell r="W651" t="str">
            <v/>
          </cell>
          <cell r="Y651" t="str">
            <v/>
          </cell>
          <cell r="Z651" t="str">
            <v/>
          </cell>
        </row>
        <row r="652">
          <cell r="V652" t="str">
            <v/>
          </cell>
          <cell r="W652" t="str">
            <v/>
          </cell>
          <cell r="Y652" t="str">
            <v/>
          </cell>
          <cell r="Z652" t="str">
            <v/>
          </cell>
        </row>
        <row r="653">
          <cell r="V653" t="str">
            <v/>
          </cell>
          <cell r="W653" t="str">
            <v/>
          </cell>
          <cell r="Y653" t="str">
            <v/>
          </cell>
          <cell r="Z653" t="str">
            <v/>
          </cell>
        </row>
        <row r="654">
          <cell r="V654" t="str">
            <v/>
          </cell>
          <cell r="W654" t="str">
            <v/>
          </cell>
          <cell r="Y654" t="str">
            <v/>
          </cell>
          <cell r="Z654" t="str">
            <v/>
          </cell>
        </row>
        <row r="655">
          <cell r="V655" t="str">
            <v/>
          </cell>
          <cell r="W655" t="str">
            <v/>
          </cell>
          <cell r="Y655" t="str">
            <v/>
          </cell>
          <cell r="Z655" t="str">
            <v/>
          </cell>
        </row>
        <row r="656">
          <cell r="V656" t="str">
            <v/>
          </cell>
          <cell r="W656" t="str">
            <v/>
          </cell>
          <cell r="Y656" t="str">
            <v/>
          </cell>
          <cell r="Z656" t="str">
            <v/>
          </cell>
        </row>
        <row r="657">
          <cell r="V657" t="str">
            <v/>
          </cell>
          <cell r="W657" t="str">
            <v/>
          </cell>
          <cell r="Y657" t="str">
            <v/>
          </cell>
          <cell r="Z657" t="str">
            <v/>
          </cell>
        </row>
        <row r="658">
          <cell r="V658" t="str">
            <v/>
          </cell>
          <cell r="W658" t="str">
            <v/>
          </cell>
          <cell r="Y658" t="str">
            <v/>
          </cell>
          <cell r="Z658" t="str">
            <v/>
          </cell>
        </row>
        <row r="659">
          <cell r="V659" t="str">
            <v/>
          </cell>
          <cell r="W659" t="str">
            <v/>
          </cell>
          <cell r="Y659" t="str">
            <v/>
          </cell>
          <cell r="Z659" t="str">
            <v/>
          </cell>
        </row>
        <row r="660">
          <cell r="V660" t="str">
            <v/>
          </cell>
          <cell r="W660" t="str">
            <v/>
          </cell>
          <cell r="Y660" t="str">
            <v/>
          </cell>
          <cell r="Z660" t="str">
            <v/>
          </cell>
        </row>
        <row r="661">
          <cell r="V661" t="str">
            <v/>
          </cell>
          <cell r="W661" t="str">
            <v/>
          </cell>
          <cell r="Y661" t="str">
            <v/>
          </cell>
          <cell r="Z661" t="str">
            <v/>
          </cell>
        </row>
        <row r="662">
          <cell r="V662" t="str">
            <v/>
          </cell>
          <cell r="W662" t="str">
            <v/>
          </cell>
          <cell r="Y662" t="str">
            <v/>
          </cell>
          <cell r="Z662" t="str">
            <v/>
          </cell>
        </row>
        <row r="663">
          <cell r="V663" t="str">
            <v/>
          </cell>
          <cell r="W663" t="str">
            <v/>
          </cell>
          <cell r="Y663" t="str">
            <v/>
          </cell>
          <cell r="Z663" t="str">
            <v/>
          </cell>
        </row>
        <row r="664">
          <cell r="V664" t="str">
            <v/>
          </cell>
          <cell r="W664" t="str">
            <v/>
          </cell>
          <cell r="Y664" t="str">
            <v/>
          </cell>
          <cell r="Z664" t="str">
            <v/>
          </cell>
        </row>
        <row r="665">
          <cell r="V665" t="str">
            <v/>
          </cell>
          <cell r="W665" t="str">
            <v/>
          </cell>
          <cell r="Y665" t="str">
            <v/>
          </cell>
          <cell r="Z665" t="str">
            <v/>
          </cell>
        </row>
        <row r="666">
          <cell r="V666" t="str">
            <v/>
          </cell>
          <cell r="W666" t="str">
            <v/>
          </cell>
          <cell r="Y666" t="str">
            <v/>
          </cell>
          <cell r="Z666" t="str">
            <v/>
          </cell>
        </row>
        <row r="667">
          <cell r="V667" t="str">
            <v/>
          </cell>
          <cell r="W667" t="str">
            <v/>
          </cell>
          <cell r="Y667" t="str">
            <v/>
          </cell>
          <cell r="Z667" t="str">
            <v/>
          </cell>
        </row>
        <row r="668">
          <cell r="V668" t="str">
            <v/>
          </cell>
          <cell r="W668" t="str">
            <v/>
          </cell>
          <cell r="Y668" t="str">
            <v/>
          </cell>
          <cell r="Z668" t="str">
            <v/>
          </cell>
        </row>
        <row r="669">
          <cell r="V669" t="str">
            <v/>
          </cell>
          <cell r="W669" t="str">
            <v/>
          </cell>
          <cell r="Y669" t="str">
            <v/>
          </cell>
          <cell r="Z669" t="str">
            <v/>
          </cell>
        </row>
        <row r="670">
          <cell r="V670" t="str">
            <v/>
          </cell>
          <cell r="W670" t="str">
            <v/>
          </cell>
          <cell r="Y670" t="str">
            <v/>
          </cell>
          <cell r="Z670" t="str">
            <v/>
          </cell>
        </row>
        <row r="671">
          <cell r="V671" t="str">
            <v/>
          </cell>
          <cell r="W671" t="str">
            <v/>
          </cell>
          <cell r="Y671" t="str">
            <v/>
          </cell>
          <cell r="Z671" t="str">
            <v/>
          </cell>
        </row>
        <row r="672">
          <cell r="V672" t="str">
            <v/>
          </cell>
          <cell r="W672" t="str">
            <v/>
          </cell>
          <cell r="Y672" t="str">
            <v/>
          </cell>
          <cell r="Z672" t="str">
            <v/>
          </cell>
        </row>
        <row r="673">
          <cell r="V673" t="str">
            <v/>
          </cell>
          <cell r="W673" t="str">
            <v/>
          </cell>
          <cell r="Y673" t="str">
            <v/>
          </cell>
          <cell r="Z673" t="str">
            <v/>
          </cell>
        </row>
        <row r="674">
          <cell r="V674" t="str">
            <v/>
          </cell>
          <cell r="W674" t="str">
            <v/>
          </cell>
          <cell r="Y674" t="str">
            <v/>
          </cell>
          <cell r="Z674" t="str">
            <v/>
          </cell>
        </row>
        <row r="675">
          <cell r="V675" t="str">
            <v/>
          </cell>
          <cell r="W675" t="str">
            <v/>
          </cell>
          <cell r="Y675" t="str">
            <v/>
          </cell>
          <cell r="Z675" t="str">
            <v/>
          </cell>
        </row>
        <row r="676">
          <cell r="V676" t="str">
            <v/>
          </cell>
          <cell r="W676" t="str">
            <v/>
          </cell>
          <cell r="Y676" t="str">
            <v/>
          </cell>
          <cell r="Z676" t="str">
            <v/>
          </cell>
        </row>
        <row r="677">
          <cell r="V677" t="str">
            <v/>
          </cell>
          <cell r="W677" t="str">
            <v/>
          </cell>
          <cell r="Y677" t="str">
            <v/>
          </cell>
          <cell r="Z677" t="str">
            <v/>
          </cell>
        </row>
        <row r="678">
          <cell r="V678" t="str">
            <v/>
          </cell>
          <cell r="W678" t="str">
            <v/>
          </cell>
          <cell r="Y678" t="str">
            <v/>
          </cell>
          <cell r="Z678" t="str">
            <v/>
          </cell>
        </row>
        <row r="679">
          <cell r="V679" t="str">
            <v/>
          </cell>
          <cell r="W679" t="str">
            <v/>
          </cell>
          <cell r="Y679" t="str">
            <v/>
          </cell>
          <cell r="Z679" t="str">
            <v/>
          </cell>
        </row>
        <row r="680">
          <cell r="V680" t="str">
            <v/>
          </cell>
          <cell r="W680" t="str">
            <v/>
          </cell>
          <cell r="Y680" t="str">
            <v/>
          </cell>
          <cell r="Z680" t="str">
            <v/>
          </cell>
        </row>
        <row r="681">
          <cell r="V681" t="str">
            <v/>
          </cell>
          <cell r="W681" t="str">
            <v/>
          </cell>
          <cell r="Y681" t="str">
            <v/>
          </cell>
          <cell r="Z681" t="str">
            <v/>
          </cell>
        </row>
        <row r="682">
          <cell r="V682" t="str">
            <v/>
          </cell>
          <cell r="W682" t="str">
            <v/>
          </cell>
          <cell r="Y682" t="str">
            <v/>
          </cell>
          <cell r="Z682" t="str">
            <v/>
          </cell>
        </row>
        <row r="683">
          <cell r="V683" t="str">
            <v/>
          </cell>
          <cell r="W683" t="str">
            <v/>
          </cell>
          <cell r="Y683" t="str">
            <v/>
          </cell>
          <cell r="Z683" t="str">
            <v/>
          </cell>
        </row>
        <row r="684">
          <cell r="V684" t="str">
            <v/>
          </cell>
          <cell r="W684" t="str">
            <v/>
          </cell>
          <cell r="Y684" t="str">
            <v/>
          </cell>
          <cell r="Z684" t="str">
            <v/>
          </cell>
        </row>
        <row r="685">
          <cell r="V685" t="str">
            <v/>
          </cell>
          <cell r="W685" t="str">
            <v/>
          </cell>
          <cell r="Y685" t="str">
            <v/>
          </cell>
          <cell r="Z685" t="str">
            <v/>
          </cell>
        </row>
        <row r="686">
          <cell r="V686" t="str">
            <v/>
          </cell>
          <cell r="W686" t="str">
            <v/>
          </cell>
          <cell r="Y686" t="str">
            <v/>
          </cell>
          <cell r="Z686" t="str">
            <v/>
          </cell>
        </row>
        <row r="687">
          <cell r="V687" t="str">
            <v/>
          </cell>
          <cell r="W687" t="str">
            <v/>
          </cell>
          <cell r="Y687" t="str">
            <v/>
          </cell>
          <cell r="Z687" t="str">
            <v/>
          </cell>
        </row>
        <row r="688">
          <cell r="V688" t="str">
            <v/>
          </cell>
          <cell r="W688" t="str">
            <v/>
          </cell>
          <cell r="Y688" t="str">
            <v/>
          </cell>
          <cell r="Z688" t="str">
            <v/>
          </cell>
        </row>
        <row r="689">
          <cell r="V689" t="str">
            <v/>
          </cell>
          <cell r="W689" t="str">
            <v/>
          </cell>
          <cell r="Y689" t="str">
            <v/>
          </cell>
          <cell r="Z689" t="str">
            <v/>
          </cell>
        </row>
        <row r="690">
          <cell r="V690" t="str">
            <v/>
          </cell>
          <cell r="W690" t="str">
            <v/>
          </cell>
          <cell r="Y690" t="str">
            <v/>
          </cell>
          <cell r="Z690" t="str">
            <v/>
          </cell>
        </row>
        <row r="691">
          <cell r="V691" t="str">
            <v/>
          </cell>
          <cell r="W691" t="str">
            <v/>
          </cell>
          <cell r="Y691" t="str">
            <v/>
          </cell>
          <cell r="Z691" t="str">
            <v/>
          </cell>
        </row>
        <row r="692">
          <cell r="V692" t="str">
            <v/>
          </cell>
          <cell r="W692" t="str">
            <v/>
          </cell>
          <cell r="Y692" t="str">
            <v/>
          </cell>
          <cell r="Z692" t="str">
            <v/>
          </cell>
        </row>
        <row r="693">
          <cell r="V693" t="str">
            <v/>
          </cell>
          <cell r="W693" t="str">
            <v/>
          </cell>
          <cell r="Y693" t="str">
            <v/>
          </cell>
          <cell r="Z693" t="str">
            <v/>
          </cell>
        </row>
        <row r="694">
          <cell r="V694" t="str">
            <v/>
          </cell>
          <cell r="W694" t="str">
            <v/>
          </cell>
          <cell r="Y694" t="str">
            <v/>
          </cell>
          <cell r="Z694" t="str">
            <v/>
          </cell>
        </row>
        <row r="695">
          <cell r="V695" t="str">
            <v/>
          </cell>
          <cell r="W695" t="str">
            <v/>
          </cell>
          <cell r="Y695" t="str">
            <v/>
          </cell>
          <cell r="Z695" t="str">
            <v/>
          </cell>
        </row>
        <row r="696">
          <cell r="V696" t="str">
            <v/>
          </cell>
          <cell r="W696" t="str">
            <v/>
          </cell>
          <cell r="Y696" t="str">
            <v/>
          </cell>
          <cell r="Z696" t="str">
            <v/>
          </cell>
        </row>
        <row r="697">
          <cell r="V697" t="str">
            <v/>
          </cell>
          <cell r="W697" t="str">
            <v/>
          </cell>
          <cell r="Y697" t="str">
            <v/>
          </cell>
          <cell r="Z697" t="str">
            <v/>
          </cell>
        </row>
        <row r="698">
          <cell r="V698" t="str">
            <v/>
          </cell>
          <cell r="W698" t="str">
            <v/>
          </cell>
          <cell r="Y698" t="str">
            <v/>
          </cell>
          <cell r="Z698" t="str">
            <v/>
          </cell>
        </row>
        <row r="699">
          <cell r="V699" t="str">
            <v/>
          </cell>
          <cell r="W699" t="str">
            <v/>
          </cell>
          <cell r="Y699" t="str">
            <v/>
          </cell>
          <cell r="Z699" t="str">
            <v/>
          </cell>
        </row>
        <row r="700">
          <cell r="V700" t="str">
            <v/>
          </cell>
          <cell r="W700" t="str">
            <v/>
          </cell>
          <cell r="Y700" t="str">
            <v/>
          </cell>
          <cell r="Z700" t="str">
            <v/>
          </cell>
        </row>
        <row r="701">
          <cell r="V701" t="str">
            <v/>
          </cell>
          <cell r="W701" t="str">
            <v/>
          </cell>
          <cell r="Y701" t="str">
            <v/>
          </cell>
          <cell r="Z701" t="str">
            <v/>
          </cell>
        </row>
        <row r="702">
          <cell r="V702" t="str">
            <v/>
          </cell>
          <cell r="W702" t="str">
            <v/>
          </cell>
          <cell r="Y702" t="str">
            <v/>
          </cell>
          <cell r="Z702" t="str">
            <v/>
          </cell>
        </row>
        <row r="703">
          <cell r="V703" t="str">
            <v/>
          </cell>
          <cell r="W703" t="str">
            <v/>
          </cell>
          <cell r="Y703" t="str">
            <v/>
          </cell>
          <cell r="Z703" t="str">
            <v/>
          </cell>
        </row>
        <row r="704">
          <cell r="V704" t="str">
            <v/>
          </cell>
          <cell r="W704" t="str">
            <v/>
          </cell>
          <cell r="Y704" t="str">
            <v/>
          </cell>
          <cell r="Z704" t="str">
            <v/>
          </cell>
        </row>
        <row r="705">
          <cell r="V705" t="str">
            <v/>
          </cell>
          <cell r="W705" t="str">
            <v/>
          </cell>
          <cell r="Y705" t="str">
            <v/>
          </cell>
          <cell r="Z705" t="str">
            <v/>
          </cell>
        </row>
        <row r="706">
          <cell r="V706" t="str">
            <v/>
          </cell>
          <cell r="W706" t="str">
            <v/>
          </cell>
          <cell r="Y706" t="str">
            <v/>
          </cell>
          <cell r="Z706" t="str">
            <v/>
          </cell>
        </row>
        <row r="707">
          <cell r="V707" t="str">
            <v/>
          </cell>
          <cell r="W707" t="str">
            <v/>
          </cell>
          <cell r="Y707" t="str">
            <v/>
          </cell>
          <cell r="Z707" t="str">
            <v/>
          </cell>
        </row>
        <row r="708">
          <cell r="V708" t="str">
            <v/>
          </cell>
          <cell r="W708" t="str">
            <v/>
          </cell>
          <cell r="Y708" t="str">
            <v/>
          </cell>
          <cell r="Z708" t="str">
            <v/>
          </cell>
        </row>
        <row r="709">
          <cell r="V709" t="str">
            <v/>
          </cell>
          <cell r="W709" t="str">
            <v/>
          </cell>
          <cell r="Y709" t="str">
            <v/>
          </cell>
          <cell r="Z709" t="str">
            <v/>
          </cell>
        </row>
        <row r="710">
          <cell r="V710" t="str">
            <v/>
          </cell>
          <cell r="W710" t="str">
            <v/>
          </cell>
          <cell r="Y710" t="str">
            <v/>
          </cell>
          <cell r="Z710" t="str">
            <v/>
          </cell>
        </row>
        <row r="711">
          <cell r="V711" t="str">
            <v/>
          </cell>
          <cell r="W711" t="str">
            <v/>
          </cell>
          <cell r="Y711" t="str">
            <v/>
          </cell>
          <cell r="Z711" t="str">
            <v/>
          </cell>
        </row>
        <row r="712">
          <cell r="V712" t="str">
            <v/>
          </cell>
          <cell r="W712" t="str">
            <v/>
          </cell>
          <cell r="Y712" t="str">
            <v/>
          </cell>
          <cell r="Z712" t="str">
            <v/>
          </cell>
        </row>
        <row r="713">
          <cell r="V713" t="str">
            <v/>
          </cell>
          <cell r="W713" t="str">
            <v/>
          </cell>
          <cell r="Y713" t="str">
            <v/>
          </cell>
          <cell r="Z713" t="str">
            <v/>
          </cell>
        </row>
        <row r="714">
          <cell r="V714" t="str">
            <v/>
          </cell>
          <cell r="W714" t="str">
            <v/>
          </cell>
          <cell r="Y714" t="str">
            <v/>
          </cell>
          <cell r="Z714" t="str">
            <v/>
          </cell>
        </row>
        <row r="715">
          <cell r="V715" t="str">
            <v/>
          </cell>
          <cell r="W715" t="str">
            <v/>
          </cell>
          <cell r="Y715" t="str">
            <v/>
          </cell>
          <cell r="Z715" t="str">
            <v/>
          </cell>
        </row>
        <row r="716">
          <cell r="V716" t="str">
            <v/>
          </cell>
          <cell r="W716" t="str">
            <v/>
          </cell>
          <cell r="Y716" t="str">
            <v/>
          </cell>
          <cell r="Z716" t="str">
            <v/>
          </cell>
        </row>
        <row r="717">
          <cell r="V717" t="str">
            <v/>
          </cell>
          <cell r="W717" t="str">
            <v/>
          </cell>
          <cell r="Y717" t="str">
            <v/>
          </cell>
          <cell r="Z717" t="str">
            <v/>
          </cell>
        </row>
        <row r="718">
          <cell r="V718" t="str">
            <v/>
          </cell>
          <cell r="W718" t="str">
            <v/>
          </cell>
          <cell r="Y718" t="str">
            <v/>
          </cell>
          <cell r="Z718" t="str">
            <v/>
          </cell>
        </row>
        <row r="719">
          <cell r="V719" t="str">
            <v/>
          </cell>
          <cell r="W719" t="str">
            <v/>
          </cell>
          <cell r="Y719" t="str">
            <v/>
          </cell>
          <cell r="Z719" t="str">
            <v/>
          </cell>
        </row>
        <row r="720">
          <cell r="V720" t="str">
            <v/>
          </cell>
          <cell r="W720" t="str">
            <v/>
          </cell>
          <cell r="Y720" t="str">
            <v/>
          </cell>
          <cell r="Z720" t="str">
            <v/>
          </cell>
        </row>
        <row r="721">
          <cell r="V721" t="str">
            <v/>
          </cell>
          <cell r="W721" t="str">
            <v/>
          </cell>
          <cell r="Y721" t="str">
            <v/>
          </cell>
          <cell r="Z721" t="str">
            <v/>
          </cell>
        </row>
        <row r="722">
          <cell r="V722" t="str">
            <v/>
          </cell>
          <cell r="W722" t="str">
            <v/>
          </cell>
          <cell r="Y722" t="str">
            <v/>
          </cell>
          <cell r="Z722" t="str">
            <v/>
          </cell>
        </row>
        <row r="723">
          <cell r="V723" t="str">
            <v/>
          </cell>
          <cell r="W723" t="str">
            <v/>
          </cell>
          <cell r="Y723" t="str">
            <v/>
          </cell>
          <cell r="Z723" t="str">
            <v/>
          </cell>
        </row>
        <row r="724">
          <cell r="V724" t="str">
            <v/>
          </cell>
          <cell r="W724" t="str">
            <v/>
          </cell>
          <cell r="Y724" t="str">
            <v/>
          </cell>
          <cell r="Z724" t="str">
            <v/>
          </cell>
        </row>
        <row r="725">
          <cell r="V725" t="str">
            <v/>
          </cell>
          <cell r="W725" t="str">
            <v/>
          </cell>
          <cell r="Y725" t="str">
            <v/>
          </cell>
          <cell r="Z725" t="str">
            <v/>
          </cell>
        </row>
        <row r="726">
          <cell r="V726" t="str">
            <v/>
          </cell>
          <cell r="W726" t="str">
            <v/>
          </cell>
          <cell r="Y726" t="str">
            <v/>
          </cell>
          <cell r="Z726" t="str">
            <v/>
          </cell>
        </row>
        <row r="727">
          <cell r="V727" t="str">
            <v/>
          </cell>
          <cell r="W727" t="str">
            <v/>
          </cell>
          <cell r="Y727" t="str">
            <v/>
          </cell>
          <cell r="Z727" t="str">
            <v/>
          </cell>
        </row>
        <row r="728">
          <cell r="V728" t="str">
            <v/>
          </cell>
          <cell r="W728" t="str">
            <v/>
          </cell>
          <cell r="Y728" t="str">
            <v/>
          </cell>
          <cell r="Z728" t="str">
            <v/>
          </cell>
        </row>
        <row r="729">
          <cell r="V729" t="str">
            <v/>
          </cell>
          <cell r="W729" t="str">
            <v/>
          </cell>
          <cell r="Y729" t="str">
            <v/>
          </cell>
          <cell r="Z729" t="str">
            <v/>
          </cell>
        </row>
        <row r="730">
          <cell r="V730" t="str">
            <v/>
          </cell>
          <cell r="W730" t="str">
            <v/>
          </cell>
          <cell r="Y730" t="str">
            <v/>
          </cell>
          <cell r="Z730" t="str">
            <v/>
          </cell>
        </row>
        <row r="731">
          <cell r="V731" t="str">
            <v/>
          </cell>
          <cell r="W731" t="str">
            <v/>
          </cell>
          <cell r="Y731" t="str">
            <v/>
          </cell>
          <cell r="Z731" t="str">
            <v/>
          </cell>
        </row>
        <row r="732">
          <cell r="V732" t="str">
            <v/>
          </cell>
          <cell r="W732" t="str">
            <v/>
          </cell>
          <cell r="Y732" t="str">
            <v/>
          </cell>
          <cell r="Z732" t="str">
            <v/>
          </cell>
        </row>
        <row r="733">
          <cell r="V733" t="str">
            <v/>
          </cell>
          <cell r="W733" t="str">
            <v/>
          </cell>
          <cell r="Y733" t="str">
            <v/>
          </cell>
          <cell r="Z733" t="str">
            <v/>
          </cell>
        </row>
        <row r="734">
          <cell r="V734" t="str">
            <v/>
          </cell>
          <cell r="W734" t="str">
            <v/>
          </cell>
          <cell r="Y734" t="str">
            <v/>
          </cell>
          <cell r="Z734" t="str">
            <v/>
          </cell>
        </row>
        <row r="735">
          <cell r="V735" t="str">
            <v/>
          </cell>
          <cell r="W735" t="str">
            <v/>
          </cell>
          <cell r="Y735" t="str">
            <v/>
          </cell>
          <cell r="Z735" t="str">
            <v/>
          </cell>
        </row>
        <row r="736">
          <cell r="V736" t="str">
            <v/>
          </cell>
          <cell r="W736" t="str">
            <v/>
          </cell>
          <cell r="Y736" t="str">
            <v/>
          </cell>
          <cell r="Z736" t="str">
            <v/>
          </cell>
        </row>
        <row r="737">
          <cell r="V737" t="str">
            <v/>
          </cell>
          <cell r="W737" t="str">
            <v/>
          </cell>
          <cell r="Y737" t="str">
            <v/>
          </cell>
          <cell r="Z737" t="str">
            <v/>
          </cell>
        </row>
        <row r="738">
          <cell r="V738" t="str">
            <v/>
          </cell>
          <cell r="W738" t="str">
            <v/>
          </cell>
          <cell r="Y738" t="str">
            <v/>
          </cell>
          <cell r="Z738" t="str">
            <v/>
          </cell>
        </row>
        <row r="739">
          <cell r="V739" t="str">
            <v/>
          </cell>
          <cell r="W739" t="str">
            <v/>
          </cell>
          <cell r="Y739" t="str">
            <v/>
          </cell>
          <cell r="Z739" t="str">
            <v/>
          </cell>
        </row>
        <row r="740">
          <cell r="V740" t="str">
            <v/>
          </cell>
          <cell r="W740" t="str">
            <v/>
          </cell>
          <cell r="Y740" t="str">
            <v/>
          </cell>
          <cell r="Z740" t="str">
            <v/>
          </cell>
        </row>
        <row r="741">
          <cell r="V741" t="str">
            <v/>
          </cell>
          <cell r="W741" t="str">
            <v/>
          </cell>
          <cell r="Y741" t="str">
            <v/>
          </cell>
          <cell r="Z741" t="str">
            <v/>
          </cell>
        </row>
        <row r="742">
          <cell r="V742" t="str">
            <v/>
          </cell>
          <cell r="W742" t="str">
            <v/>
          </cell>
          <cell r="Y742" t="str">
            <v/>
          </cell>
          <cell r="Z742" t="str">
            <v/>
          </cell>
        </row>
        <row r="743">
          <cell r="V743" t="str">
            <v/>
          </cell>
          <cell r="W743" t="str">
            <v/>
          </cell>
          <cell r="Y743" t="str">
            <v/>
          </cell>
          <cell r="Z743" t="str">
            <v/>
          </cell>
        </row>
        <row r="744">
          <cell r="V744" t="str">
            <v/>
          </cell>
          <cell r="W744" t="str">
            <v/>
          </cell>
          <cell r="Y744" t="str">
            <v/>
          </cell>
          <cell r="Z744" t="str">
            <v/>
          </cell>
        </row>
        <row r="745">
          <cell r="V745" t="str">
            <v/>
          </cell>
          <cell r="W745" t="str">
            <v/>
          </cell>
          <cell r="Y745" t="str">
            <v/>
          </cell>
          <cell r="Z745" t="str">
            <v/>
          </cell>
        </row>
        <row r="746">
          <cell r="V746" t="str">
            <v/>
          </cell>
          <cell r="W746" t="str">
            <v/>
          </cell>
          <cell r="Y746" t="str">
            <v/>
          </cell>
          <cell r="Z746" t="str">
            <v/>
          </cell>
        </row>
        <row r="747">
          <cell r="V747" t="str">
            <v/>
          </cell>
          <cell r="W747" t="str">
            <v/>
          </cell>
          <cell r="Y747" t="str">
            <v/>
          </cell>
          <cell r="Z747" t="str">
            <v/>
          </cell>
        </row>
        <row r="748">
          <cell r="V748" t="str">
            <v/>
          </cell>
          <cell r="W748" t="str">
            <v/>
          </cell>
          <cell r="Y748" t="str">
            <v/>
          </cell>
          <cell r="Z748" t="str">
            <v/>
          </cell>
        </row>
        <row r="749">
          <cell r="V749" t="str">
            <v/>
          </cell>
          <cell r="W749" t="str">
            <v/>
          </cell>
          <cell r="Y749" t="str">
            <v/>
          </cell>
          <cell r="Z749" t="str">
            <v/>
          </cell>
        </row>
        <row r="750">
          <cell r="V750" t="str">
            <v/>
          </cell>
          <cell r="W750" t="str">
            <v/>
          </cell>
          <cell r="Y750" t="str">
            <v/>
          </cell>
          <cell r="Z750" t="str">
            <v/>
          </cell>
        </row>
        <row r="751">
          <cell r="V751" t="str">
            <v/>
          </cell>
          <cell r="W751" t="str">
            <v/>
          </cell>
          <cell r="Y751" t="str">
            <v/>
          </cell>
          <cell r="Z751" t="str">
            <v/>
          </cell>
        </row>
        <row r="752">
          <cell r="V752" t="str">
            <v/>
          </cell>
          <cell r="W752" t="str">
            <v/>
          </cell>
          <cell r="Y752" t="str">
            <v/>
          </cell>
          <cell r="Z752" t="str">
            <v/>
          </cell>
        </row>
        <row r="753">
          <cell r="V753" t="str">
            <v/>
          </cell>
          <cell r="W753" t="str">
            <v/>
          </cell>
          <cell r="Y753" t="str">
            <v/>
          </cell>
          <cell r="Z753" t="str">
            <v/>
          </cell>
        </row>
        <row r="754">
          <cell r="V754" t="str">
            <v/>
          </cell>
          <cell r="W754" t="str">
            <v/>
          </cell>
          <cell r="Y754" t="str">
            <v/>
          </cell>
          <cell r="Z754" t="str">
            <v/>
          </cell>
        </row>
        <row r="755">
          <cell r="V755" t="str">
            <v/>
          </cell>
          <cell r="W755" t="str">
            <v/>
          </cell>
          <cell r="Y755" t="str">
            <v/>
          </cell>
          <cell r="Z755" t="str">
            <v/>
          </cell>
        </row>
        <row r="756">
          <cell r="V756" t="str">
            <v/>
          </cell>
          <cell r="W756" t="str">
            <v/>
          </cell>
          <cell r="Y756" t="str">
            <v/>
          </cell>
          <cell r="Z756" t="str">
            <v/>
          </cell>
        </row>
        <row r="757">
          <cell r="V757" t="str">
            <v/>
          </cell>
          <cell r="W757" t="str">
            <v/>
          </cell>
          <cell r="Y757" t="str">
            <v/>
          </cell>
          <cell r="Z757" t="str">
            <v/>
          </cell>
        </row>
        <row r="758">
          <cell r="V758" t="str">
            <v/>
          </cell>
          <cell r="W758" t="str">
            <v/>
          </cell>
          <cell r="Y758" t="str">
            <v/>
          </cell>
          <cell r="Z758" t="str">
            <v/>
          </cell>
        </row>
        <row r="759">
          <cell r="V759" t="str">
            <v/>
          </cell>
          <cell r="W759" t="str">
            <v/>
          </cell>
          <cell r="Y759" t="str">
            <v/>
          </cell>
          <cell r="Z759" t="str">
            <v/>
          </cell>
        </row>
        <row r="760">
          <cell r="V760" t="str">
            <v/>
          </cell>
          <cell r="W760" t="str">
            <v/>
          </cell>
          <cell r="Y760" t="str">
            <v/>
          </cell>
          <cell r="Z760" t="str">
            <v/>
          </cell>
        </row>
        <row r="761">
          <cell r="V761" t="str">
            <v/>
          </cell>
          <cell r="W761" t="str">
            <v/>
          </cell>
          <cell r="Y761" t="str">
            <v/>
          </cell>
          <cell r="Z761" t="str">
            <v/>
          </cell>
        </row>
        <row r="762">
          <cell r="V762" t="str">
            <v/>
          </cell>
          <cell r="W762" t="str">
            <v/>
          </cell>
          <cell r="Y762" t="str">
            <v/>
          </cell>
          <cell r="Z762" t="str">
            <v/>
          </cell>
        </row>
        <row r="763">
          <cell r="V763" t="str">
            <v/>
          </cell>
          <cell r="W763" t="str">
            <v/>
          </cell>
          <cell r="Y763" t="str">
            <v/>
          </cell>
          <cell r="Z763" t="str">
            <v/>
          </cell>
        </row>
        <row r="764">
          <cell r="V764" t="str">
            <v/>
          </cell>
          <cell r="W764" t="str">
            <v/>
          </cell>
          <cell r="Y764" t="str">
            <v/>
          </cell>
          <cell r="Z764" t="str">
            <v/>
          </cell>
        </row>
        <row r="765">
          <cell r="V765" t="str">
            <v/>
          </cell>
          <cell r="W765" t="str">
            <v/>
          </cell>
          <cell r="Y765" t="str">
            <v/>
          </cell>
          <cell r="Z765" t="str">
            <v/>
          </cell>
        </row>
        <row r="766">
          <cell r="V766" t="str">
            <v/>
          </cell>
          <cell r="W766" t="str">
            <v/>
          </cell>
          <cell r="Y766" t="str">
            <v/>
          </cell>
          <cell r="Z766" t="str">
            <v/>
          </cell>
        </row>
        <row r="767">
          <cell r="V767" t="str">
            <v/>
          </cell>
          <cell r="W767" t="str">
            <v/>
          </cell>
          <cell r="Y767" t="str">
            <v/>
          </cell>
          <cell r="Z767" t="str">
            <v/>
          </cell>
        </row>
        <row r="768">
          <cell r="V768" t="str">
            <v/>
          </cell>
          <cell r="W768" t="str">
            <v/>
          </cell>
          <cell r="Y768" t="str">
            <v/>
          </cell>
          <cell r="Z768" t="str">
            <v/>
          </cell>
        </row>
        <row r="769">
          <cell r="V769" t="str">
            <v/>
          </cell>
          <cell r="W769" t="str">
            <v/>
          </cell>
          <cell r="Y769" t="str">
            <v/>
          </cell>
          <cell r="Z769" t="str">
            <v/>
          </cell>
        </row>
        <row r="770">
          <cell r="V770" t="str">
            <v/>
          </cell>
          <cell r="W770" t="str">
            <v/>
          </cell>
          <cell r="Y770" t="str">
            <v/>
          </cell>
          <cell r="Z770" t="str">
            <v/>
          </cell>
        </row>
        <row r="771">
          <cell r="V771" t="str">
            <v/>
          </cell>
          <cell r="W771" t="str">
            <v/>
          </cell>
          <cell r="Y771" t="str">
            <v/>
          </cell>
          <cell r="Z771" t="str">
            <v/>
          </cell>
        </row>
        <row r="772">
          <cell r="V772" t="str">
            <v/>
          </cell>
          <cell r="W772" t="str">
            <v/>
          </cell>
          <cell r="Y772" t="str">
            <v/>
          </cell>
          <cell r="Z772" t="str">
            <v/>
          </cell>
        </row>
        <row r="773">
          <cell r="V773" t="str">
            <v/>
          </cell>
          <cell r="W773" t="str">
            <v/>
          </cell>
          <cell r="Y773" t="str">
            <v/>
          </cell>
          <cell r="Z773" t="str">
            <v/>
          </cell>
        </row>
        <row r="774">
          <cell r="V774" t="str">
            <v/>
          </cell>
          <cell r="W774" t="str">
            <v/>
          </cell>
          <cell r="Y774" t="str">
            <v/>
          </cell>
          <cell r="Z774" t="str">
            <v/>
          </cell>
        </row>
        <row r="775">
          <cell r="V775" t="str">
            <v/>
          </cell>
          <cell r="W775" t="str">
            <v/>
          </cell>
          <cell r="Y775" t="str">
            <v/>
          </cell>
          <cell r="Z775" t="str">
            <v/>
          </cell>
        </row>
        <row r="776">
          <cell r="V776" t="str">
            <v/>
          </cell>
          <cell r="W776" t="str">
            <v/>
          </cell>
          <cell r="Y776" t="str">
            <v/>
          </cell>
          <cell r="Z776" t="str">
            <v/>
          </cell>
        </row>
        <row r="777">
          <cell r="V777" t="str">
            <v/>
          </cell>
          <cell r="W777" t="str">
            <v/>
          </cell>
          <cell r="Y777" t="str">
            <v/>
          </cell>
          <cell r="Z777" t="str">
            <v/>
          </cell>
        </row>
        <row r="778">
          <cell r="V778" t="str">
            <v/>
          </cell>
          <cell r="W778" t="str">
            <v/>
          </cell>
          <cell r="Y778" t="str">
            <v/>
          </cell>
          <cell r="Z778" t="str">
            <v/>
          </cell>
        </row>
        <row r="779">
          <cell r="V779" t="str">
            <v/>
          </cell>
          <cell r="W779" t="str">
            <v/>
          </cell>
          <cell r="Y779" t="str">
            <v/>
          </cell>
          <cell r="Z779" t="str">
            <v/>
          </cell>
        </row>
        <row r="780">
          <cell r="V780" t="str">
            <v/>
          </cell>
          <cell r="W780" t="str">
            <v/>
          </cell>
          <cell r="Y780" t="str">
            <v/>
          </cell>
          <cell r="Z780" t="str">
            <v/>
          </cell>
        </row>
        <row r="781">
          <cell r="V781" t="str">
            <v/>
          </cell>
          <cell r="W781" t="str">
            <v/>
          </cell>
          <cell r="Y781" t="str">
            <v/>
          </cell>
          <cell r="Z781" t="str">
            <v/>
          </cell>
        </row>
        <row r="782">
          <cell r="V782" t="str">
            <v/>
          </cell>
          <cell r="W782" t="str">
            <v/>
          </cell>
          <cell r="Y782" t="str">
            <v/>
          </cell>
          <cell r="Z782" t="str">
            <v/>
          </cell>
        </row>
        <row r="783">
          <cell r="V783" t="str">
            <v/>
          </cell>
          <cell r="W783" t="str">
            <v/>
          </cell>
          <cell r="Y783" t="str">
            <v/>
          </cell>
          <cell r="Z783" t="str">
            <v/>
          </cell>
        </row>
        <row r="784">
          <cell r="V784" t="str">
            <v/>
          </cell>
          <cell r="W784" t="str">
            <v/>
          </cell>
          <cell r="Y784" t="str">
            <v/>
          </cell>
          <cell r="Z784" t="str">
            <v/>
          </cell>
        </row>
        <row r="785">
          <cell r="V785" t="str">
            <v/>
          </cell>
          <cell r="W785" t="str">
            <v/>
          </cell>
          <cell r="Y785" t="str">
            <v/>
          </cell>
          <cell r="Z785" t="str">
            <v/>
          </cell>
        </row>
        <row r="786">
          <cell r="V786" t="str">
            <v/>
          </cell>
          <cell r="W786" t="str">
            <v/>
          </cell>
          <cell r="Y786" t="str">
            <v/>
          </cell>
          <cell r="Z786" t="str">
            <v/>
          </cell>
        </row>
        <row r="787">
          <cell r="V787" t="str">
            <v/>
          </cell>
          <cell r="W787" t="str">
            <v/>
          </cell>
          <cell r="Y787" t="str">
            <v/>
          </cell>
          <cell r="Z787" t="str">
            <v/>
          </cell>
        </row>
        <row r="788">
          <cell r="V788" t="str">
            <v/>
          </cell>
          <cell r="W788" t="str">
            <v/>
          </cell>
          <cell r="Y788" t="str">
            <v/>
          </cell>
          <cell r="Z788" t="str">
            <v/>
          </cell>
        </row>
        <row r="789">
          <cell r="V789" t="str">
            <v/>
          </cell>
          <cell r="W789" t="str">
            <v/>
          </cell>
          <cell r="Y789" t="str">
            <v/>
          </cell>
          <cell r="Z789" t="str">
            <v/>
          </cell>
        </row>
        <row r="790">
          <cell r="V790" t="str">
            <v/>
          </cell>
          <cell r="W790" t="str">
            <v/>
          </cell>
          <cell r="Y790" t="str">
            <v/>
          </cell>
          <cell r="Z790" t="str">
            <v/>
          </cell>
        </row>
        <row r="791">
          <cell r="V791" t="str">
            <v/>
          </cell>
          <cell r="W791" t="str">
            <v/>
          </cell>
          <cell r="Y791" t="str">
            <v/>
          </cell>
          <cell r="Z791" t="str">
            <v/>
          </cell>
        </row>
        <row r="792">
          <cell r="V792" t="str">
            <v/>
          </cell>
          <cell r="W792" t="str">
            <v/>
          </cell>
          <cell r="Y792" t="str">
            <v/>
          </cell>
          <cell r="Z792" t="str">
            <v/>
          </cell>
        </row>
        <row r="793">
          <cell r="V793" t="str">
            <v/>
          </cell>
          <cell r="W793" t="str">
            <v/>
          </cell>
          <cell r="Y793" t="str">
            <v/>
          </cell>
          <cell r="Z793" t="str">
            <v/>
          </cell>
        </row>
        <row r="794">
          <cell r="V794" t="str">
            <v/>
          </cell>
          <cell r="W794" t="str">
            <v/>
          </cell>
          <cell r="Y794" t="str">
            <v/>
          </cell>
          <cell r="Z794" t="str">
            <v/>
          </cell>
        </row>
        <row r="795">
          <cell r="V795" t="str">
            <v/>
          </cell>
          <cell r="W795" t="str">
            <v/>
          </cell>
          <cell r="Y795" t="str">
            <v/>
          </cell>
          <cell r="Z795" t="str">
            <v/>
          </cell>
        </row>
        <row r="796">
          <cell r="V796" t="str">
            <v/>
          </cell>
          <cell r="W796" t="str">
            <v/>
          </cell>
          <cell r="Y796" t="str">
            <v/>
          </cell>
          <cell r="Z796" t="str">
            <v/>
          </cell>
        </row>
        <row r="797">
          <cell r="V797" t="str">
            <v/>
          </cell>
          <cell r="W797" t="str">
            <v/>
          </cell>
          <cell r="Y797" t="str">
            <v/>
          </cell>
          <cell r="Z797" t="str">
            <v/>
          </cell>
        </row>
        <row r="798">
          <cell r="V798" t="str">
            <v/>
          </cell>
          <cell r="W798" t="str">
            <v/>
          </cell>
          <cell r="Y798" t="str">
            <v/>
          </cell>
          <cell r="Z798" t="str">
            <v/>
          </cell>
        </row>
        <row r="799">
          <cell r="V799" t="str">
            <v/>
          </cell>
          <cell r="W799" t="str">
            <v/>
          </cell>
          <cell r="Y799" t="str">
            <v/>
          </cell>
          <cell r="Z799" t="str">
            <v/>
          </cell>
        </row>
        <row r="800">
          <cell r="V800" t="str">
            <v/>
          </cell>
          <cell r="W800" t="str">
            <v/>
          </cell>
          <cell r="Y800" t="str">
            <v/>
          </cell>
          <cell r="Z800" t="str">
            <v/>
          </cell>
        </row>
        <row r="801">
          <cell r="V801" t="str">
            <v/>
          </cell>
          <cell r="W801" t="str">
            <v/>
          </cell>
          <cell r="Y801" t="str">
            <v/>
          </cell>
          <cell r="Z801" t="str">
            <v/>
          </cell>
        </row>
        <row r="802">
          <cell r="V802" t="str">
            <v/>
          </cell>
          <cell r="W802" t="str">
            <v/>
          </cell>
          <cell r="Y802" t="str">
            <v/>
          </cell>
          <cell r="Z802" t="str">
            <v/>
          </cell>
        </row>
        <row r="803">
          <cell r="V803" t="str">
            <v/>
          </cell>
          <cell r="W803" t="str">
            <v/>
          </cell>
          <cell r="Y803" t="str">
            <v/>
          </cell>
          <cell r="Z803" t="str">
            <v/>
          </cell>
        </row>
        <row r="804">
          <cell r="V804" t="str">
            <v/>
          </cell>
          <cell r="W804" t="str">
            <v/>
          </cell>
          <cell r="Y804" t="str">
            <v/>
          </cell>
          <cell r="Z804" t="str">
            <v/>
          </cell>
        </row>
        <row r="805">
          <cell r="V805" t="str">
            <v/>
          </cell>
          <cell r="W805" t="str">
            <v/>
          </cell>
          <cell r="Y805" t="str">
            <v/>
          </cell>
          <cell r="Z805" t="str">
            <v/>
          </cell>
        </row>
        <row r="806">
          <cell r="V806" t="str">
            <v/>
          </cell>
          <cell r="W806" t="str">
            <v/>
          </cell>
          <cell r="Y806" t="str">
            <v/>
          </cell>
          <cell r="Z806" t="str">
            <v/>
          </cell>
        </row>
        <row r="807">
          <cell r="V807" t="str">
            <v/>
          </cell>
          <cell r="W807" t="str">
            <v/>
          </cell>
          <cell r="Y807" t="str">
            <v/>
          </cell>
          <cell r="Z807" t="str">
            <v/>
          </cell>
        </row>
        <row r="808">
          <cell r="V808" t="str">
            <v/>
          </cell>
          <cell r="W808" t="str">
            <v/>
          </cell>
          <cell r="Y808" t="str">
            <v/>
          </cell>
          <cell r="Z808" t="str">
            <v/>
          </cell>
        </row>
        <row r="809">
          <cell r="V809" t="str">
            <v/>
          </cell>
          <cell r="W809" t="str">
            <v/>
          </cell>
          <cell r="Y809" t="str">
            <v/>
          </cell>
          <cell r="Z809" t="str">
            <v/>
          </cell>
        </row>
        <row r="810">
          <cell r="V810" t="str">
            <v/>
          </cell>
          <cell r="W810" t="str">
            <v/>
          </cell>
          <cell r="Y810" t="str">
            <v/>
          </cell>
          <cell r="Z810" t="str">
            <v/>
          </cell>
        </row>
        <row r="811">
          <cell r="V811" t="str">
            <v/>
          </cell>
          <cell r="W811" t="str">
            <v/>
          </cell>
          <cell r="Y811" t="str">
            <v/>
          </cell>
          <cell r="Z811" t="str">
            <v/>
          </cell>
        </row>
        <row r="812">
          <cell r="V812" t="str">
            <v/>
          </cell>
          <cell r="W812" t="str">
            <v/>
          </cell>
          <cell r="Y812" t="str">
            <v/>
          </cell>
          <cell r="Z812" t="str">
            <v/>
          </cell>
        </row>
        <row r="813">
          <cell r="V813" t="str">
            <v/>
          </cell>
          <cell r="W813" t="str">
            <v/>
          </cell>
          <cell r="Y813" t="str">
            <v/>
          </cell>
          <cell r="Z813" t="str">
            <v/>
          </cell>
        </row>
        <row r="814">
          <cell r="V814" t="str">
            <v/>
          </cell>
          <cell r="W814" t="str">
            <v/>
          </cell>
          <cell r="Y814" t="str">
            <v/>
          </cell>
          <cell r="Z814" t="str">
            <v/>
          </cell>
        </row>
        <row r="815">
          <cell r="V815" t="str">
            <v/>
          </cell>
          <cell r="W815" t="str">
            <v/>
          </cell>
          <cell r="Y815" t="str">
            <v/>
          </cell>
          <cell r="Z815" t="str">
            <v/>
          </cell>
        </row>
        <row r="816">
          <cell r="V816" t="str">
            <v/>
          </cell>
          <cell r="W816" t="str">
            <v/>
          </cell>
          <cell r="Y816" t="str">
            <v/>
          </cell>
          <cell r="Z816" t="str">
            <v/>
          </cell>
        </row>
        <row r="817">
          <cell r="V817" t="str">
            <v/>
          </cell>
          <cell r="W817" t="str">
            <v/>
          </cell>
          <cell r="Y817" t="str">
            <v/>
          </cell>
          <cell r="Z817" t="str">
            <v/>
          </cell>
        </row>
        <row r="818">
          <cell r="V818" t="str">
            <v/>
          </cell>
          <cell r="W818" t="str">
            <v/>
          </cell>
          <cell r="Y818" t="str">
            <v/>
          </cell>
          <cell r="Z818" t="str">
            <v/>
          </cell>
        </row>
        <row r="819">
          <cell r="V819" t="str">
            <v/>
          </cell>
          <cell r="W819" t="str">
            <v/>
          </cell>
          <cell r="Y819" t="str">
            <v/>
          </cell>
          <cell r="Z819" t="str">
            <v/>
          </cell>
        </row>
        <row r="820">
          <cell r="V820" t="str">
            <v/>
          </cell>
          <cell r="W820" t="str">
            <v/>
          </cell>
          <cell r="Y820" t="str">
            <v/>
          </cell>
          <cell r="Z820" t="str">
            <v/>
          </cell>
        </row>
        <row r="821">
          <cell r="V821" t="str">
            <v/>
          </cell>
          <cell r="W821" t="str">
            <v/>
          </cell>
          <cell r="Y821" t="str">
            <v/>
          </cell>
          <cell r="Z821" t="str">
            <v/>
          </cell>
        </row>
        <row r="822">
          <cell r="V822" t="str">
            <v/>
          </cell>
          <cell r="W822" t="str">
            <v/>
          </cell>
          <cell r="Y822" t="str">
            <v/>
          </cell>
          <cell r="Z822" t="str">
            <v/>
          </cell>
        </row>
        <row r="823">
          <cell r="V823" t="str">
            <v/>
          </cell>
          <cell r="W823" t="str">
            <v/>
          </cell>
          <cell r="Y823" t="str">
            <v/>
          </cell>
          <cell r="Z823" t="str">
            <v/>
          </cell>
        </row>
        <row r="824">
          <cell r="V824" t="str">
            <v/>
          </cell>
          <cell r="W824" t="str">
            <v/>
          </cell>
          <cell r="Y824" t="str">
            <v/>
          </cell>
          <cell r="Z824" t="str">
            <v/>
          </cell>
        </row>
        <row r="825">
          <cell r="V825" t="str">
            <v/>
          </cell>
          <cell r="W825" t="str">
            <v/>
          </cell>
          <cell r="Y825" t="str">
            <v/>
          </cell>
          <cell r="Z825" t="str">
            <v/>
          </cell>
        </row>
        <row r="826">
          <cell r="V826" t="str">
            <v/>
          </cell>
          <cell r="W826" t="str">
            <v/>
          </cell>
          <cell r="Y826" t="str">
            <v/>
          </cell>
          <cell r="Z826" t="str">
            <v/>
          </cell>
        </row>
        <row r="827">
          <cell r="V827" t="str">
            <v/>
          </cell>
          <cell r="W827" t="str">
            <v/>
          </cell>
          <cell r="Y827" t="str">
            <v/>
          </cell>
          <cell r="Z827" t="str">
            <v/>
          </cell>
        </row>
        <row r="828">
          <cell r="V828" t="str">
            <v/>
          </cell>
          <cell r="W828" t="str">
            <v/>
          </cell>
          <cell r="Y828" t="str">
            <v/>
          </cell>
          <cell r="Z828" t="str">
            <v/>
          </cell>
        </row>
        <row r="829">
          <cell r="V829" t="str">
            <v/>
          </cell>
          <cell r="W829" t="str">
            <v/>
          </cell>
          <cell r="Y829" t="str">
            <v/>
          </cell>
          <cell r="Z829" t="str">
            <v/>
          </cell>
        </row>
        <row r="830">
          <cell r="V830" t="str">
            <v/>
          </cell>
          <cell r="W830" t="str">
            <v/>
          </cell>
          <cell r="Y830" t="str">
            <v/>
          </cell>
          <cell r="Z830" t="str">
            <v/>
          </cell>
        </row>
        <row r="831">
          <cell r="V831" t="str">
            <v/>
          </cell>
          <cell r="W831" t="str">
            <v/>
          </cell>
          <cell r="Y831" t="str">
            <v/>
          </cell>
          <cell r="Z831" t="str">
            <v/>
          </cell>
        </row>
        <row r="832">
          <cell r="V832" t="str">
            <v/>
          </cell>
          <cell r="W832" t="str">
            <v/>
          </cell>
          <cell r="Y832" t="str">
            <v/>
          </cell>
          <cell r="Z832" t="str">
            <v/>
          </cell>
        </row>
        <row r="833">
          <cell r="V833" t="str">
            <v/>
          </cell>
          <cell r="W833" t="str">
            <v/>
          </cell>
          <cell r="Y833" t="str">
            <v/>
          </cell>
          <cell r="Z833" t="str">
            <v/>
          </cell>
        </row>
        <row r="834">
          <cell r="V834" t="str">
            <v/>
          </cell>
          <cell r="W834" t="str">
            <v/>
          </cell>
          <cell r="Y834" t="str">
            <v/>
          </cell>
          <cell r="Z834" t="str">
            <v/>
          </cell>
        </row>
        <row r="835">
          <cell r="V835" t="str">
            <v/>
          </cell>
          <cell r="W835" t="str">
            <v/>
          </cell>
          <cell r="Y835" t="str">
            <v/>
          </cell>
          <cell r="Z835" t="str">
            <v/>
          </cell>
        </row>
        <row r="836">
          <cell r="V836" t="str">
            <v/>
          </cell>
          <cell r="W836" t="str">
            <v/>
          </cell>
          <cell r="Y836" t="str">
            <v/>
          </cell>
          <cell r="Z836" t="str">
            <v/>
          </cell>
        </row>
        <row r="837">
          <cell r="V837" t="str">
            <v/>
          </cell>
          <cell r="W837" t="str">
            <v/>
          </cell>
          <cell r="Y837" t="str">
            <v/>
          </cell>
          <cell r="Z837" t="str">
            <v/>
          </cell>
        </row>
        <row r="838">
          <cell r="V838" t="str">
            <v/>
          </cell>
          <cell r="W838" t="str">
            <v/>
          </cell>
          <cell r="Y838" t="str">
            <v/>
          </cell>
          <cell r="Z838" t="str">
            <v/>
          </cell>
        </row>
        <row r="839">
          <cell r="V839" t="str">
            <v/>
          </cell>
          <cell r="W839" t="str">
            <v/>
          </cell>
          <cell r="Y839" t="str">
            <v/>
          </cell>
          <cell r="Z839" t="str">
            <v/>
          </cell>
        </row>
        <row r="840">
          <cell r="V840" t="str">
            <v/>
          </cell>
          <cell r="W840" t="str">
            <v/>
          </cell>
          <cell r="Y840" t="str">
            <v/>
          </cell>
          <cell r="Z840" t="str">
            <v/>
          </cell>
        </row>
        <row r="841">
          <cell r="V841" t="str">
            <v/>
          </cell>
          <cell r="W841" t="str">
            <v/>
          </cell>
          <cell r="Y841" t="str">
            <v/>
          </cell>
          <cell r="Z841" t="str">
            <v/>
          </cell>
        </row>
        <row r="842">
          <cell r="V842" t="str">
            <v/>
          </cell>
          <cell r="W842" t="str">
            <v/>
          </cell>
          <cell r="Y842" t="str">
            <v/>
          </cell>
          <cell r="Z842" t="str">
            <v/>
          </cell>
        </row>
        <row r="843">
          <cell r="V843" t="str">
            <v/>
          </cell>
          <cell r="W843" t="str">
            <v/>
          </cell>
          <cell r="Y843" t="str">
            <v/>
          </cell>
          <cell r="Z843" t="str">
            <v/>
          </cell>
        </row>
        <row r="844">
          <cell r="V844" t="str">
            <v/>
          </cell>
          <cell r="W844" t="str">
            <v/>
          </cell>
          <cell r="Y844" t="str">
            <v/>
          </cell>
          <cell r="Z844" t="str">
            <v/>
          </cell>
        </row>
        <row r="845">
          <cell r="V845" t="str">
            <v/>
          </cell>
          <cell r="W845" t="str">
            <v/>
          </cell>
          <cell r="Y845" t="str">
            <v/>
          </cell>
          <cell r="Z845" t="str">
            <v/>
          </cell>
        </row>
        <row r="846">
          <cell r="V846" t="str">
            <v/>
          </cell>
          <cell r="W846" t="str">
            <v/>
          </cell>
          <cell r="Y846" t="str">
            <v/>
          </cell>
          <cell r="Z846" t="str">
            <v/>
          </cell>
        </row>
        <row r="847">
          <cell r="V847" t="str">
            <v/>
          </cell>
          <cell r="W847" t="str">
            <v/>
          </cell>
          <cell r="Y847" t="str">
            <v/>
          </cell>
          <cell r="Z847" t="str">
            <v/>
          </cell>
        </row>
        <row r="848">
          <cell r="V848" t="str">
            <v/>
          </cell>
          <cell r="W848" t="str">
            <v/>
          </cell>
          <cell r="Y848" t="str">
            <v/>
          </cell>
          <cell r="Z848" t="str">
            <v/>
          </cell>
        </row>
        <row r="849">
          <cell r="V849" t="str">
            <v/>
          </cell>
          <cell r="W849" t="str">
            <v/>
          </cell>
          <cell r="Y849" t="str">
            <v/>
          </cell>
          <cell r="Z849" t="str">
            <v/>
          </cell>
        </row>
        <row r="850">
          <cell r="V850" t="str">
            <v/>
          </cell>
          <cell r="W850" t="str">
            <v/>
          </cell>
          <cell r="Y850" t="str">
            <v/>
          </cell>
          <cell r="Z850" t="str">
            <v/>
          </cell>
        </row>
        <row r="851">
          <cell r="V851" t="str">
            <v/>
          </cell>
          <cell r="W851" t="str">
            <v/>
          </cell>
          <cell r="Y851" t="str">
            <v/>
          </cell>
          <cell r="Z851" t="str">
            <v/>
          </cell>
        </row>
        <row r="852">
          <cell r="V852" t="str">
            <v/>
          </cell>
          <cell r="W852" t="str">
            <v/>
          </cell>
          <cell r="Y852" t="str">
            <v/>
          </cell>
          <cell r="Z852" t="str">
            <v/>
          </cell>
        </row>
        <row r="853">
          <cell r="V853" t="str">
            <v/>
          </cell>
          <cell r="W853" t="str">
            <v/>
          </cell>
          <cell r="Y853" t="str">
            <v/>
          </cell>
          <cell r="Z853" t="str">
            <v/>
          </cell>
        </row>
        <row r="854">
          <cell r="V854" t="str">
            <v/>
          </cell>
          <cell r="W854" t="str">
            <v/>
          </cell>
          <cell r="Y854" t="str">
            <v/>
          </cell>
          <cell r="Z854" t="str">
            <v/>
          </cell>
        </row>
        <row r="855">
          <cell r="V855" t="str">
            <v/>
          </cell>
          <cell r="W855" t="str">
            <v/>
          </cell>
          <cell r="Y855" t="str">
            <v/>
          </cell>
          <cell r="Z855" t="str">
            <v/>
          </cell>
        </row>
        <row r="856">
          <cell r="V856" t="str">
            <v/>
          </cell>
          <cell r="W856" t="str">
            <v/>
          </cell>
          <cell r="Y856" t="str">
            <v/>
          </cell>
          <cell r="Z856" t="str">
            <v/>
          </cell>
        </row>
        <row r="857">
          <cell r="V857" t="str">
            <v/>
          </cell>
          <cell r="W857" t="str">
            <v/>
          </cell>
          <cell r="Y857" t="str">
            <v/>
          </cell>
          <cell r="Z857" t="str">
            <v/>
          </cell>
        </row>
        <row r="858">
          <cell r="V858" t="str">
            <v/>
          </cell>
          <cell r="W858" t="str">
            <v/>
          </cell>
          <cell r="Y858" t="str">
            <v/>
          </cell>
          <cell r="Z858" t="str">
            <v/>
          </cell>
        </row>
        <row r="859">
          <cell r="V859" t="str">
            <v/>
          </cell>
          <cell r="W859" t="str">
            <v/>
          </cell>
          <cell r="Y859" t="str">
            <v/>
          </cell>
          <cell r="Z859" t="str">
            <v/>
          </cell>
        </row>
        <row r="860">
          <cell r="V860" t="str">
            <v/>
          </cell>
          <cell r="W860" t="str">
            <v/>
          </cell>
          <cell r="Y860" t="str">
            <v/>
          </cell>
          <cell r="Z860" t="str">
            <v/>
          </cell>
        </row>
        <row r="861">
          <cell r="V861" t="str">
            <v/>
          </cell>
          <cell r="W861" t="str">
            <v/>
          </cell>
          <cell r="Y861" t="str">
            <v/>
          </cell>
          <cell r="Z861" t="str">
            <v/>
          </cell>
        </row>
        <row r="862">
          <cell r="V862" t="str">
            <v/>
          </cell>
          <cell r="W862" t="str">
            <v/>
          </cell>
          <cell r="Y862" t="str">
            <v/>
          </cell>
          <cell r="Z862" t="str">
            <v/>
          </cell>
        </row>
        <row r="863">
          <cell r="V863" t="str">
            <v/>
          </cell>
          <cell r="W863" t="str">
            <v/>
          </cell>
          <cell r="Y863" t="str">
            <v/>
          </cell>
          <cell r="Z863" t="str">
            <v/>
          </cell>
        </row>
        <row r="864">
          <cell r="V864" t="str">
            <v/>
          </cell>
          <cell r="W864" t="str">
            <v/>
          </cell>
          <cell r="Y864" t="str">
            <v/>
          </cell>
          <cell r="Z864" t="str">
            <v/>
          </cell>
        </row>
        <row r="865">
          <cell r="V865" t="str">
            <v/>
          </cell>
          <cell r="W865" t="str">
            <v/>
          </cell>
          <cell r="Y865" t="str">
            <v/>
          </cell>
          <cell r="Z865" t="str">
            <v/>
          </cell>
        </row>
        <row r="866">
          <cell r="V866" t="str">
            <v/>
          </cell>
          <cell r="W866" t="str">
            <v/>
          </cell>
          <cell r="Y866" t="str">
            <v/>
          </cell>
          <cell r="Z866" t="str">
            <v/>
          </cell>
        </row>
        <row r="867">
          <cell r="V867" t="str">
            <v/>
          </cell>
          <cell r="W867" t="str">
            <v/>
          </cell>
          <cell r="Y867" t="str">
            <v/>
          </cell>
          <cell r="Z867" t="str">
            <v/>
          </cell>
        </row>
        <row r="868">
          <cell r="V868" t="str">
            <v/>
          </cell>
          <cell r="W868" t="str">
            <v/>
          </cell>
          <cell r="Y868" t="str">
            <v/>
          </cell>
          <cell r="Z868" t="str">
            <v/>
          </cell>
        </row>
        <row r="869">
          <cell r="V869" t="str">
            <v/>
          </cell>
          <cell r="W869" t="str">
            <v/>
          </cell>
          <cell r="Y869" t="str">
            <v/>
          </cell>
          <cell r="Z869" t="str">
            <v/>
          </cell>
        </row>
        <row r="870">
          <cell r="V870" t="str">
            <v/>
          </cell>
          <cell r="W870" t="str">
            <v/>
          </cell>
          <cell r="Y870" t="str">
            <v/>
          </cell>
          <cell r="Z870" t="str">
            <v/>
          </cell>
        </row>
        <row r="871">
          <cell r="V871" t="str">
            <v/>
          </cell>
          <cell r="W871" t="str">
            <v/>
          </cell>
          <cell r="Y871" t="str">
            <v/>
          </cell>
          <cell r="Z871" t="str">
            <v/>
          </cell>
        </row>
        <row r="872">
          <cell r="V872" t="str">
            <v/>
          </cell>
          <cell r="W872" t="str">
            <v/>
          </cell>
          <cell r="Y872" t="str">
            <v/>
          </cell>
          <cell r="Z872" t="str">
            <v/>
          </cell>
        </row>
        <row r="873">
          <cell r="V873" t="str">
            <v/>
          </cell>
          <cell r="W873" t="str">
            <v/>
          </cell>
          <cell r="Y873" t="str">
            <v/>
          </cell>
          <cell r="Z873" t="str">
            <v/>
          </cell>
        </row>
        <row r="874">
          <cell r="V874" t="str">
            <v/>
          </cell>
          <cell r="W874" t="str">
            <v/>
          </cell>
          <cell r="Y874" t="str">
            <v/>
          </cell>
          <cell r="Z874" t="str">
            <v/>
          </cell>
        </row>
        <row r="875">
          <cell r="V875" t="str">
            <v/>
          </cell>
          <cell r="W875" t="str">
            <v/>
          </cell>
          <cell r="Y875" t="str">
            <v/>
          </cell>
          <cell r="Z875" t="str">
            <v/>
          </cell>
        </row>
        <row r="876">
          <cell r="V876" t="str">
            <v/>
          </cell>
          <cell r="W876" t="str">
            <v/>
          </cell>
          <cell r="Y876" t="str">
            <v/>
          </cell>
          <cell r="Z876" t="str">
            <v/>
          </cell>
        </row>
        <row r="877">
          <cell r="V877" t="str">
            <v/>
          </cell>
          <cell r="W877" t="str">
            <v/>
          </cell>
          <cell r="Y877" t="str">
            <v/>
          </cell>
          <cell r="Z877" t="str">
            <v/>
          </cell>
        </row>
        <row r="878">
          <cell r="V878" t="str">
            <v/>
          </cell>
          <cell r="W878" t="str">
            <v/>
          </cell>
          <cell r="Y878" t="str">
            <v/>
          </cell>
          <cell r="Z878" t="str">
            <v/>
          </cell>
        </row>
        <row r="879">
          <cell r="V879" t="str">
            <v/>
          </cell>
          <cell r="W879" t="str">
            <v/>
          </cell>
          <cell r="Y879" t="str">
            <v/>
          </cell>
          <cell r="Z879" t="str">
            <v/>
          </cell>
        </row>
        <row r="880">
          <cell r="V880" t="str">
            <v/>
          </cell>
          <cell r="W880" t="str">
            <v/>
          </cell>
          <cell r="Y880" t="str">
            <v/>
          </cell>
          <cell r="Z880" t="str">
            <v/>
          </cell>
        </row>
        <row r="881">
          <cell r="V881" t="str">
            <v/>
          </cell>
          <cell r="W881" t="str">
            <v/>
          </cell>
          <cell r="Y881" t="str">
            <v/>
          </cell>
          <cell r="Z881" t="str">
            <v/>
          </cell>
        </row>
        <row r="882">
          <cell r="V882" t="str">
            <v/>
          </cell>
          <cell r="W882" t="str">
            <v/>
          </cell>
          <cell r="Y882" t="str">
            <v/>
          </cell>
          <cell r="Z882" t="str">
            <v/>
          </cell>
        </row>
        <row r="883">
          <cell r="V883" t="str">
            <v/>
          </cell>
          <cell r="W883" t="str">
            <v/>
          </cell>
          <cell r="Y883" t="str">
            <v/>
          </cell>
          <cell r="Z883" t="str">
            <v/>
          </cell>
        </row>
        <row r="884">
          <cell r="V884" t="str">
            <v/>
          </cell>
          <cell r="W884" t="str">
            <v/>
          </cell>
          <cell r="Y884" t="str">
            <v/>
          </cell>
          <cell r="Z884" t="str">
            <v/>
          </cell>
        </row>
        <row r="885">
          <cell r="V885" t="str">
            <v/>
          </cell>
          <cell r="W885" t="str">
            <v/>
          </cell>
          <cell r="Y885" t="str">
            <v/>
          </cell>
          <cell r="Z885" t="str">
            <v/>
          </cell>
        </row>
        <row r="886">
          <cell r="V886" t="str">
            <v/>
          </cell>
          <cell r="W886" t="str">
            <v/>
          </cell>
          <cell r="Y886" t="str">
            <v/>
          </cell>
          <cell r="Z886" t="str">
            <v/>
          </cell>
        </row>
        <row r="887">
          <cell r="V887" t="str">
            <v/>
          </cell>
          <cell r="W887" t="str">
            <v/>
          </cell>
          <cell r="Y887" t="str">
            <v/>
          </cell>
          <cell r="Z887" t="str">
            <v/>
          </cell>
        </row>
        <row r="888">
          <cell r="V888" t="str">
            <v/>
          </cell>
          <cell r="W888" t="str">
            <v/>
          </cell>
          <cell r="Y888" t="str">
            <v/>
          </cell>
          <cell r="Z888" t="str">
            <v/>
          </cell>
        </row>
        <row r="889">
          <cell r="V889" t="str">
            <v/>
          </cell>
          <cell r="W889" t="str">
            <v/>
          </cell>
          <cell r="Y889" t="str">
            <v/>
          </cell>
          <cell r="Z889" t="str">
            <v/>
          </cell>
        </row>
        <row r="890">
          <cell r="V890" t="str">
            <v/>
          </cell>
          <cell r="W890" t="str">
            <v/>
          </cell>
          <cell r="Y890" t="str">
            <v/>
          </cell>
          <cell r="Z890" t="str">
            <v/>
          </cell>
        </row>
        <row r="891">
          <cell r="V891" t="str">
            <v/>
          </cell>
          <cell r="W891" t="str">
            <v/>
          </cell>
          <cell r="Y891" t="str">
            <v/>
          </cell>
          <cell r="Z891" t="str">
            <v/>
          </cell>
        </row>
        <row r="892">
          <cell r="V892" t="str">
            <v/>
          </cell>
          <cell r="W892" t="str">
            <v/>
          </cell>
          <cell r="Y892" t="str">
            <v/>
          </cell>
          <cell r="Z892" t="str">
            <v/>
          </cell>
        </row>
        <row r="893">
          <cell r="V893" t="str">
            <v/>
          </cell>
          <cell r="W893" t="str">
            <v/>
          </cell>
          <cell r="Y893" t="str">
            <v/>
          </cell>
          <cell r="Z893" t="str">
            <v/>
          </cell>
        </row>
        <row r="894">
          <cell r="V894" t="str">
            <v/>
          </cell>
          <cell r="W894" t="str">
            <v/>
          </cell>
          <cell r="Y894" t="str">
            <v/>
          </cell>
          <cell r="Z894" t="str">
            <v/>
          </cell>
        </row>
        <row r="895">
          <cell r="V895" t="str">
            <v/>
          </cell>
          <cell r="W895" t="str">
            <v/>
          </cell>
          <cell r="Y895" t="str">
            <v/>
          </cell>
          <cell r="Z895" t="str">
            <v/>
          </cell>
        </row>
        <row r="896">
          <cell r="V896" t="str">
            <v/>
          </cell>
          <cell r="W896" t="str">
            <v/>
          </cell>
          <cell r="Y896" t="str">
            <v/>
          </cell>
          <cell r="Z896" t="str">
            <v/>
          </cell>
        </row>
        <row r="897">
          <cell r="V897" t="str">
            <v/>
          </cell>
          <cell r="W897" t="str">
            <v/>
          </cell>
          <cell r="Y897" t="str">
            <v/>
          </cell>
          <cell r="Z897" t="str">
            <v/>
          </cell>
        </row>
        <row r="898">
          <cell r="V898" t="str">
            <v/>
          </cell>
          <cell r="W898" t="str">
            <v/>
          </cell>
          <cell r="Y898" t="str">
            <v/>
          </cell>
          <cell r="Z898" t="str">
            <v/>
          </cell>
        </row>
        <row r="899">
          <cell r="V899" t="str">
            <v/>
          </cell>
          <cell r="W899" t="str">
            <v/>
          </cell>
          <cell r="Y899" t="str">
            <v/>
          </cell>
          <cell r="Z899" t="str">
            <v/>
          </cell>
        </row>
        <row r="900">
          <cell r="V900" t="str">
            <v/>
          </cell>
          <cell r="W900" t="str">
            <v/>
          </cell>
          <cell r="Y900" t="str">
            <v/>
          </cell>
          <cell r="Z900" t="str">
            <v/>
          </cell>
        </row>
        <row r="901">
          <cell r="V901" t="str">
            <v/>
          </cell>
          <cell r="W901" t="str">
            <v/>
          </cell>
          <cell r="Y901" t="str">
            <v/>
          </cell>
          <cell r="Z901" t="str">
            <v/>
          </cell>
        </row>
        <row r="902">
          <cell r="V902" t="str">
            <v/>
          </cell>
          <cell r="W902" t="str">
            <v/>
          </cell>
          <cell r="Y902" t="str">
            <v/>
          </cell>
          <cell r="Z902" t="str">
            <v/>
          </cell>
        </row>
        <row r="903">
          <cell r="V903" t="str">
            <v/>
          </cell>
          <cell r="W903" t="str">
            <v/>
          </cell>
          <cell r="Y903" t="str">
            <v/>
          </cell>
          <cell r="Z903" t="str">
            <v/>
          </cell>
        </row>
        <row r="904">
          <cell r="V904" t="str">
            <v/>
          </cell>
          <cell r="W904" t="str">
            <v/>
          </cell>
          <cell r="Y904" t="str">
            <v/>
          </cell>
          <cell r="Z904" t="str">
            <v/>
          </cell>
        </row>
        <row r="905">
          <cell r="V905" t="str">
            <v/>
          </cell>
          <cell r="W905" t="str">
            <v/>
          </cell>
          <cell r="Y905" t="str">
            <v/>
          </cell>
          <cell r="Z905" t="str">
            <v/>
          </cell>
        </row>
        <row r="906">
          <cell r="V906" t="str">
            <v/>
          </cell>
          <cell r="W906" t="str">
            <v/>
          </cell>
          <cell r="Y906" t="str">
            <v/>
          </cell>
          <cell r="Z906" t="str">
            <v/>
          </cell>
        </row>
        <row r="907">
          <cell r="V907" t="str">
            <v/>
          </cell>
          <cell r="W907" t="str">
            <v/>
          </cell>
          <cell r="Y907" t="str">
            <v/>
          </cell>
          <cell r="Z907" t="str">
            <v/>
          </cell>
        </row>
        <row r="908">
          <cell r="V908" t="str">
            <v/>
          </cell>
          <cell r="W908" t="str">
            <v/>
          </cell>
          <cell r="Y908" t="str">
            <v/>
          </cell>
          <cell r="Z908" t="str">
            <v/>
          </cell>
        </row>
        <row r="909">
          <cell r="V909" t="str">
            <v/>
          </cell>
          <cell r="W909" t="str">
            <v/>
          </cell>
          <cell r="Y909" t="str">
            <v/>
          </cell>
          <cell r="Z909" t="str">
            <v/>
          </cell>
        </row>
        <row r="910">
          <cell r="V910" t="str">
            <v/>
          </cell>
          <cell r="W910" t="str">
            <v/>
          </cell>
          <cell r="Y910" t="str">
            <v/>
          </cell>
          <cell r="Z910" t="str">
            <v/>
          </cell>
        </row>
        <row r="911">
          <cell r="V911" t="str">
            <v/>
          </cell>
          <cell r="W911" t="str">
            <v/>
          </cell>
          <cell r="Y911" t="str">
            <v/>
          </cell>
          <cell r="Z911" t="str">
            <v/>
          </cell>
        </row>
        <row r="912">
          <cell r="V912" t="str">
            <v/>
          </cell>
          <cell r="W912" t="str">
            <v/>
          </cell>
          <cell r="Y912" t="str">
            <v/>
          </cell>
          <cell r="Z912" t="str">
            <v/>
          </cell>
        </row>
        <row r="913">
          <cell r="V913" t="str">
            <v/>
          </cell>
          <cell r="W913" t="str">
            <v/>
          </cell>
          <cell r="Y913" t="str">
            <v/>
          </cell>
          <cell r="Z913" t="str">
            <v/>
          </cell>
        </row>
        <row r="914">
          <cell r="V914" t="str">
            <v/>
          </cell>
          <cell r="W914" t="str">
            <v/>
          </cell>
          <cell r="Y914" t="str">
            <v/>
          </cell>
          <cell r="Z914" t="str">
            <v/>
          </cell>
        </row>
        <row r="915">
          <cell r="V915" t="str">
            <v/>
          </cell>
          <cell r="W915" t="str">
            <v/>
          </cell>
          <cell r="Y915" t="str">
            <v/>
          </cell>
          <cell r="Z915" t="str">
            <v/>
          </cell>
        </row>
        <row r="916">
          <cell r="V916" t="str">
            <v/>
          </cell>
          <cell r="W916" t="str">
            <v/>
          </cell>
          <cell r="Y916" t="str">
            <v/>
          </cell>
          <cell r="Z916" t="str">
            <v/>
          </cell>
        </row>
        <row r="917">
          <cell r="V917" t="str">
            <v/>
          </cell>
          <cell r="W917" t="str">
            <v/>
          </cell>
          <cell r="Y917" t="str">
            <v/>
          </cell>
          <cell r="Z917" t="str">
            <v/>
          </cell>
        </row>
        <row r="918">
          <cell r="V918" t="str">
            <v/>
          </cell>
          <cell r="W918" t="str">
            <v/>
          </cell>
          <cell r="Y918" t="str">
            <v/>
          </cell>
          <cell r="Z918" t="str">
            <v/>
          </cell>
        </row>
        <row r="919">
          <cell r="V919" t="str">
            <v/>
          </cell>
          <cell r="W919" t="str">
            <v/>
          </cell>
          <cell r="Y919" t="str">
            <v/>
          </cell>
          <cell r="Z919" t="str">
            <v/>
          </cell>
        </row>
        <row r="920">
          <cell r="V920" t="str">
            <v/>
          </cell>
          <cell r="W920" t="str">
            <v/>
          </cell>
          <cell r="Y920" t="str">
            <v/>
          </cell>
          <cell r="Z920" t="str">
            <v/>
          </cell>
        </row>
        <row r="921">
          <cell r="V921" t="str">
            <v/>
          </cell>
          <cell r="W921" t="str">
            <v/>
          </cell>
          <cell r="Y921" t="str">
            <v/>
          </cell>
          <cell r="Z921" t="str">
            <v/>
          </cell>
        </row>
        <row r="922">
          <cell r="V922" t="str">
            <v/>
          </cell>
          <cell r="W922" t="str">
            <v/>
          </cell>
          <cell r="Y922" t="str">
            <v/>
          </cell>
          <cell r="Z922" t="str">
            <v/>
          </cell>
        </row>
        <row r="923">
          <cell r="V923" t="str">
            <v/>
          </cell>
          <cell r="W923" t="str">
            <v/>
          </cell>
          <cell r="Y923" t="str">
            <v/>
          </cell>
          <cell r="Z923" t="str">
            <v/>
          </cell>
        </row>
        <row r="924">
          <cell r="V924" t="str">
            <v/>
          </cell>
          <cell r="W924" t="str">
            <v/>
          </cell>
          <cell r="Y924" t="str">
            <v/>
          </cell>
          <cell r="Z924" t="str">
            <v/>
          </cell>
        </row>
        <row r="925">
          <cell r="V925" t="str">
            <v/>
          </cell>
          <cell r="W925" t="str">
            <v/>
          </cell>
          <cell r="Y925" t="str">
            <v/>
          </cell>
          <cell r="Z925" t="str">
            <v/>
          </cell>
        </row>
        <row r="926">
          <cell r="V926" t="str">
            <v/>
          </cell>
          <cell r="W926" t="str">
            <v/>
          </cell>
          <cell r="Y926" t="str">
            <v/>
          </cell>
          <cell r="Z926" t="str">
            <v/>
          </cell>
        </row>
        <row r="927">
          <cell r="V927" t="str">
            <v/>
          </cell>
          <cell r="W927" t="str">
            <v/>
          </cell>
          <cell r="Y927" t="str">
            <v/>
          </cell>
          <cell r="Z927" t="str">
            <v/>
          </cell>
        </row>
        <row r="928">
          <cell r="V928" t="str">
            <v/>
          </cell>
          <cell r="W928" t="str">
            <v/>
          </cell>
          <cell r="Y928" t="str">
            <v/>
          </cell>
          <cell r="Z928" t="str">
            <v/>
          </cell>
        </row>
        <row r="929">
          <cell r="V929" t="str">
            <v/>
          </cell>
          <cell r="W929" t="str">
            <v/>
          </cell>
          <cell r="Y929" t="str">
            <v/>
          </cell>
          <cell r="Z929" t="str">
            <v/>
          </cell>
        </row>
        <row r="930">
          <cell r="V930" t="str">
            <v/>
          </cell>
          <cell r="W930" t="str">
            <v/>
          </cell>
          <cell r="Y930" t="str">
            <v/>
          </cell>
          <cell r="Z930" t="str">
            <v/>
          </cell>
        </row>
        <row r="931">
          <cell r="V931" t="str">
            <v/>
          </cell>
          <cell r="W931" t="str">
            <v/>
          </cell>
          <cell r="Y931" t="str">
            <v/>
          </cell>
          <cell r="Z931" t="str">
            <v/>
          </cell>
        </row>
        <row r="932">
          <cell r="V932" t="str">
            <v/>
          </cell>
          <cell r="W932" t="str">
            <v/>
          </cell>
          <cell r="Y932" t="str">
            <v/>
          </cell>
          <cell r="Z932" t="str">
            <v/>
          </cell>
        </row>
        <row r="933">
          <cell r="V933" t="str">
            <v/>
          </cell>
          <cell r="W933" t="str">
            <v/>
          </cell>
          <cell r="Y933" t="str">
            <v/>
          </cell>
          <cell r="Z933" t="str">
            <v/>
          </cell>
        </row>
        <row r="934">
          <cell r="V934" t="str">
            <v/>
          </cell>
          <cell r="W934" t="str">
            <v/>
          </cell>
          <cell r="Y934" t="str">
            <v/>
          </cell>
          <cell r="Z934" t="str">
            <v/>
          </cell>
        </row>
        <row r="935">
          <cell r="V935" t="str">
            <v/>
          </cell>
          <cell r="W935" t="str">
            <v/>
          </cell>
          <cell r="Y935" t="str">
            <v/>
          </cell>
          <cell r="Z935" t="str">
            <v/>
          </cell>
        </row>
        <row r="936">
          <cell r="V936" t="str">
            <v/>
          </cell>
          <cell r="W936" t="str">
            <v/>
          </cell>
          <cell r="Y936" t="str">
            <v/>
          </cell>
          <cell r="Z936" t="str">
            <v/>
          </cell>
        </row>
        <row r="937">
          <cell r="V937" t="str">
            <v/>
          </cell>
          <cell r="W937" t="str">
            <v/>
          </cell>
          <cell r="Y937" t="str">
            <v/>
          </cell>
          <cell r="Z937" t="str">
            <v/>
          </cell>
        </row>
        <row r="938">
          <cell r="V938" t="str">
            <v/>
          </cell>
          <cell r="W938" t="str">
            <v/>
          </cell>
          <cell r="Y938" t="str">
            <v/>
          </cell>
          <cell r="Z938" t="str">
            <v/>
          </cell>
        </row>
        <row r="939">
          <cell r="V939" t="str">
            <v/>
          </cell>
          <cell r="W939" t="str">
            <v/>
          </cell>
          <cell r="Y939" t="str">
            <v/>
          </cell>
          <cell r="Z939" t="str">
            <v/>
          </cell>
        </row>
        <row r="940">
          <cell r="V940" t="str">
            <v/>
          </cell>
          <cell r="W940" t="str">
            <v/>
          </cell>
          <cell r="Y940" t="str">
            <v/>
          </cell>
          <cell r="Z940" t="str">
            <v/>
          </cell>
        </row>
        <row r="941">
          <cell r="V941" t="str">
            <v/>
          </cell>
          <cell r="W941" t="str">
            <v/>
          </cell>
          <cell r="Y941" t="str">
            <v/>
          </cell>
          <cell r="Z941" t="str">
            <v/>
          </cell>
        </row>
        <row r="942">
          <cell r="V942" t="str">
            <v/>
          </cell>
          <cell r="W942" t="str">
            <v/>
          </cell>
          <cell r="Y942" t="str">
            <v/>
          </cell>
          <cell r="Z942" t="str">
            <v/>
          </cell>
        </row>
        <row r="943">
          <cell r="V943" t="str">
            <v/>
          </cell>
          <cell r="W943" t="str">
            <v/>
          </cell>
          <cell r="Y943" t="str">
            <v/>
          </cell>
          <cell r="Z943" t="str">
            <v/>
          </cell>
        </row>
        <row r="944">
          <cell r="V944" t="str">
            <v/>
          </cell>
          <cell r="W944" t="str">
            <v/>
          </cell>
          <cell r="Y944" t="str">
            <v/>
          </cell>
          <cell r="Z944" t="str">
            <v/>
          </cell>
        </row>
        <row r="945">
          <cell r="V945" t="str">
            <v/>
          </cell>
          <cell r="W945" t="str">
            <v/>
          </cell>
          <cell r="Y945" t="str">
            <v/>
          </cell>
          <cell r="Z945" t="str">
            <v/>
          </cell>
        </row>
        <row r="946">
          <cell r="V946" t="str">
            <v/>
          </cell>
          <cell r="W946" t="str">
            <v/>
          </cell>
          <cell r="Y946" t="str">
            <v/>
          </cell>
          <cell r="Z946" t="str">
            <v/>
          </cell>
        </row>
        <row r="947">
          <cell r="V947" t="str">
            <v/>
          </cell>
          <cell r="W947" t="str">
            <v/>
          </cell>
          <cell r="Y947" t="str">
            <v/>
          </cell>
          <cell r="Z947" t="str">
            <v/>
          </cell>
        </row>
        <row r="948">
          <cell r="V948" t="str">
            <v/>
          </cell>
          <cell r="W948" t="str">
            <v/>
          </cell>
          <cell r="Y948" t="str">
            <v/>
          </cell>
          <cell r="Z948" t="str">
            <v/>
          </cell>
        </row>
        <row r="949">
          <cell r="V949" t="str">
            <v/>
          </cell>
          <cell r="W949" t="str">
            <v/>
          </cell>
          <cell r="Y949" t="str">
            <v/>
          </cell>
          <cell r="Z949" t="str">
            <v/>
          </cell>
        </row>
        <row r="950">
          <cell r="V950" t="str">
            <v/>
          </cell>
          <cell r="W950" t="str">
            <v/>
          </cell>
          <cell r="Y950" t="str">
            <v/>
          </cell>
          <cell r="Z950" t="str">
            <v/>
          </cell>
        </row>
        <row r="951">
          <cell r="V951" t="str">
            <v/>
          </cell>
          <cell r="W951" t="str">
            <v/>
          </cell>
          <cell r="Y951" t="str">
            <v/>
          </cell>
          <cell r="Z951" t="str">
            <v/>
          </cell>
        </row>
        <row r="952">
          <cell r="V952" t="str">
            <v/>
          </cell>
          <cell r="W952" t="str">
            <v/>
          </cell>
          <cell r="Y952" t="str">
            <v/>
          </cell>
          <cell r="Z952" t="str">
            <v/>
          </cell>
        </row>
        <row r="953">
          <cell r="V953" t="str">
            <v/>
          </cell>
          <cell r="W953" t="str">
            <v/>
          </cell>
          <cell r="Y953" t="str">
            <v/>
          </cell>
          <cell r="Z953" t="str">
            <v/>
          </cell>
        </row>
        <row r="954">
          <cell r="V954" t="str">
            <v/>
          </cell>
          <cell r="W954" t="str">
            <v/>
          </cell>
          <cell r="Y954" t="str">
            <v/>
          </cell>
          <cell r="Z954" t="str">
            <v/>
          </cell>
        </row>
        <row r="955">
          <cell r="V955" t="str">
            <v/>
          </cell>
          <cell r="W955" t="str">
            <v/>
          </cell>
          <cell r="Y955" t="str">
            <v/>
          </cell>
          <cell r="Z955" t="str">
            <v/>
          </cell>
        </row>
        <row r="956">
          <cell r="V956" t="str">
            <v/>
          </cell>
          <cell r="W956" t="str">
            <v/>
          </cell>
          <cell r="Y956" t="str">
            <v/>
          </cell>
          <cell r="Z956" t="str">
            <v/>
          </cell>
        </row>
        <row r="957">
          <cell r="V957" t="str">
            <v/>
          </cell>
          <cell r="W957" t="str">
            <v/>
          </cell>
          <cell r="Y957" t="str">
            <v/>
          </cell>
          <cell r="Z957" t="str">
            <v/>
          </cell>
        </row>
        <row r="958">
          <cell r="V958" t="str">
            <v/>
          </cell>
          <cell r="W958" t="str">
            <v/>
          </cell>
          <cell r="Y958" t="str">
            <v/>
          </cell>
          <cell r="Z958" t="str">
            <v/>
          </cell>
        </row>
        <row r="959">
          <cell r="V959" t="str">
            <v/>
          </cell>
          <cell r="W959" t="str">
            <v/>
          </cell>
          <cell r="Y959" t="str">
            <v/>
          </cell>
          <cell r="Z959" t="str">
            <v/>
          </cell>
        </row>
        <row r="960">
          <cell r="V960" t="str">
            <v/>
          </cell>
          <cell r="W960" t="str">
            <v/>
          </cell>
          <cell r="Y960" t="str">
            <v/>
          </cell>
          <cell r="Z960" t="str">
            <v/>
          </cell>
        </row>
        <row r="961">
          <cell r="V961" t="str">
            <v/>
          </cell>
          <cell r="W961" t="str">
            <v/>
          </cell>
          <cell r="Y961" t="str">
            <v/>
          </cell>
          <cell r="Z961" t="str">
            <v/>
          </cell>
        </row>
        <row r="962">
          <cell r="V962" t="str">
            <v/>
          </cell>
          <cell r="W962" t="str">
            <v/>
          </cell>
          <cell r="Y962" t="str">
            <v/>
          </cell>
          <cell r="Z962" t="str">
            <v/>
          </cell>
        </row>
        <row r="963">
          <cell r="V963" t="str">
            <v/>
          </cell>
          <cell r="W963" t="str">
            <v/>
          </cell>
          <cell r="Y963" t="str">
            <v/>
          </cell>
          <cell r="Z963" t="str">
            <v/>
          </cell>
        </row>
        <row r="964">
          <cell r="V964" t="str">
            <v/>
          </cell>
          <cell r="W964" t="str">
            <v/>
          </cell>
          <cell r="Y964" t="str">
            <v/>
          </cell>
          <cell r="Z964" t="str">
            <v/>
          </cell>
        </row>
        <row r="965">
          <cell r="V965" t="str">
            <v/>
          </cell>
          <cell r="W965" t="str">
            <v/>
          </cell>
          <cell r="Y965" t="str">
            <v/>
          </cell>
          <cell r="Z965" t="str">
            <v/>
          </cell>
        </row>
        <row r="966">
          <cell r="V966" t="str">
            <v/>
          </cell>
          <cell r="W966" t="str">
            <v/>
          </cell>
          <cell r="Y966" t="str">
            <v/>
          </cell>
          <cell r="Z966" t="str">
            <v/>
          </cell>
        </row>
        <row r="967">
          <cell r="V967" t="str">
            <v/>
          </cell>
          <cell r="W967" t="str">
            <v/>
          </cell>
          <cell r="Y967" t="str">
            <v/>
          </cell>
          <cell r="Z967" t="str">
            <v/>
          </cell>
        </row>
        <row r="968">
          <cell r="V968" t="str">
            <v/>
          </cell>
          <cell r="W968" t="str">
            <v/>
          </cell>
          <cell r="Y968" t="str">
            <v/>
          </cell>
          <cell r="Z968" t="str">
            <v/>
          </cell>
        </row>
        <row r="969">
          <cell r="V969" t="str">
            <v/>
          </cell>
          <cell r="W969" t="str">
            <v/>
          </cell>
          <cell r="Y969" t="str">
            <v/>
          </cell>
          <cell r="Z969" t="str">
            <v/>
          </cell>
        </row>
        <row r="970">
          <cell r="V970" t="str">
            <v/>
          </cell>
          <cell r="W970" t="str">
            <v/>
          </cell>
          <cell r="Y970" t="str">
            <v/>
          </cell>
          <cell r="Z970" t="str">
            <v/>
          </cell>
        </row>
        <row r="971">
          <cell r="V971" t="str">
            <v/>
          </cell>
          <cell r="W971" t="str">
            <v/>
          </cell>
          <cell r="Y971" t="str">
            <v/>
          </cell>
          <cell r="Z971" t="str">
            <v/>
          </cell>
        </row>
        <row r="972">
          <cell r="V972" t="str">
            <v/>
          </cell>
          <cell r="W972" t="str">
            <v/>
          </cell>
          <cell r="Y972" t="str">
            <v/>
          </cell>
          <cell r="Z972" t="str">
            <v/>
          </cell>
        </row>
        <row r="973">
          <cell r="V973" t="str">
            <v/>
          </cell>
          <cell r="W973" t="str">
            <v/>
          </cell>
          <cell r="Y973" t="str">
            <v/>
          </cell>
          <cell r="Z973" t="str">
            <v/>
          </cell>
        </row>
        <row r="974">
          <cell r="V974" t="str">
            <v/>
          </cell>
          <cell r="W974" t="str">
            <v/>
          </cell>
          <cell r="Y974" t="str">
            <v/>
          </cell>
          <cell r="Z974" t="str">
            <v/>
          </cell>
        </row>
        <row r="975">
          <cell r="V975" t="str">
            <v/>
          </cell>
          <cell r="W975" t="str">
            <v/>
          </cell>
          <cell r="Y975" t="str">
            <v/>
          </cell>
          <cell r="Z975" t="str">
            <v/>
          </cell>
        </row>
        <row r="976">
          <cell r="V976" t="str">
            <v/>
          </cell>
          <cell r="W976" t="str">
            <v/>
          </cell>
          <cell r="Y976" t="str">
            <v/>
          </cell>
          <cell r="Z976" t="str">
            <v/>
          </cell>
        </row>
        <row r="977">
          <cell r="V977" t="str">
            <v/>
          </cell>
          <cell r="W977" t="str">
            <v/>
          </cell>
          <cell r="Y977" t="str">
            <v/>
          </cell>
          <cell r="Z977" t="str">
            <v/>
          </cell>
        </row>
        <row r="978">
          <cell r="V978" t="str">
            <v/>
          </cell>
          <cell r="W978" t="str">
            <v/>
          </cell>
          <cell r="Y978" t="str">
            <v/>
          </cell>
          <cell r="Z978" t="str">
            <v/>
          </cell>
        </row>
        <row r="979">
          <cell r="V979" t="str">
            <v/>
          </cell>
          <cell r="W979" t="str">
            <v/>
          </cell>
          <cell r="Y979" t="str">
            <v/>
          </cell>
          <cell r="Z979" t="str">
            <v/>
          </cell>
        </row>
        <row r="980">
          <cell r="V980" t="str">
            <v/>
          </cell>
          <cell r="W980" t="str">
            <v/>
          </cell>
          <cell r="Y980" t="str">
            <v/>
          </cell>
          <cell r="Z980" t="str">
            <v/>
          </cell>
        </row>
        <row r="981">
          <cell r="V981" t="str">
            <v/>
          </cell>
          <cell r="W981" t="str">
            <v/>
          </cell>
          <cell r="Y981" t="str">
            <v/>
          </cell>
          <cell r="Z981" t="str">
            <v/>
          </cell>
        </row>
        <row r="982">
          <cell r="V982" t="str">
            <v/>
          </cell>
          <cell r="W982" t="str">
            <v/>
          </cell>
          <cell r="Y982" t="str">
            <v/>
          </cell>
          <cell r="Z982" t="str">
            <v/>
          </cell>
        </row>
        <row r="983">
          <cell r="V983" t="str">
            <v/>
          </cell>
          <cell r="W983" t="str">
            <v/>
          </cell>
          <cell r="Y983" t="str">
            <v/>
          </cell>
          <cell r="Z983" t="str">
            <v/>
          </cell>
        </row>
        <row r="984">
          <cell r="V984" t="str">
            <v/>
          </cell>
          <cell r="W984" t="str">
            <v/>
          </cell>
          <cell r="Y984" t="str">
            <v/>
          </cell>
          <cell r="Z984" t="str">
            <v/>
          </cell>
        </row>
        <row r="985">
          <cell r="V985" t="str">
            <v/>
          </cell>
          <cell r="W985" t="str">
            <v/>
          </cell>
          <cell r="Y985" t="str">
            <v/>
          </cell>
          <cell r="Z985" t="str">
            <v/>
          </cell>
        </row>
        <row r="986">
          <cell r="V986" t="str">
            <v/>
          </cell>
          <cell r="W986" t="str">
            <v/>
          </cell>
          <cell r="Y986" t="str">
            <v/>
          </cell>
          <cell r="Z986" t="str">
            <v/>
          </cell>
        </row>
        <row r="987">
          <cell r="V987" t="str">
            <v/>
          </cell>
          <cell r="W987" t="str">
            <v/>
          </cell>
          <cell r="Y987" t="str">
            <v/>
          </cell>
          <cell r="Z987" t="str">
            <v/>
          </cell>
        </row>
        <row r="988">
          <cell r="V988" t="str">
            <v/>
          </cell>
          <cell r="W988" t="str">
            <v/>
          </cell>
          <cell r="Y988" t="str">
            <v/>
          </cell>
          <cell r="Z988" t="str">
            <v/>
          </cell>
        </row>
        <row r="989">
          <cell r="V989" t="str">
            <v/>
          </cell>
          <cell r="W989" t="str">
            <v/>
          </cell>
          <cell r="Y989" t="str">
            <v/>
          </cell>
          <cell r="Z989" t="str">
            <v/>
          </cell>
        </row>
        <row r="990">
          <cell r="V990" t="str">
            <v/>
          </cell>
          <cell r="W990" t="str">
            <v/>
          </cell>
          <cell r="Y990" t="str">
            <v/>
          </cell>
          <cell r="Z990" t="str">
            <v/>
          </cell>
        </row>
        <row r="991">
          <cell r="V991" t="str">
            <v/>
          </cell>
          <cell r="W991" t="str">
            <v/>
          </cell>
          <cell r="Y991" t="str">
            <v/>
          </cell>
          <cell r="Z991" t="str">
            <v/>
          </cell>
        </row>
        <row r="992">
          <cell r="V992" t="str">
            <v/>
          </cell>
          <cell r="W992" t="str">
            <v/>
          </cell>
          <cell r="Y992" t="str">
            <v/>
          </cell>
          <cell r="Z992" t="str">
            <v/>
          </cell>
        </row>
        <row r="993">
          <cell r="V993" t="str">
            <v/>
          </cell>
          <cell r="W993" t="str">
            <v/>
          </cell>
          <cell r="Y993" t="str">
            <v/>
          </cell>
          <cell r="Z993" t="str">
            <v/>
          </cell>
        </row>
        <row r="994">
          <cell r="V994" t="str">
            <v/>
          </cell>
          <cell r="W994" t="str">
            <v/>
          </cell>
          <cell r="Y994" t="str">
            <v/>
          </cell>
          <cell r="Z994" t="str">
            <v/>
          </cell>
        </row>
        <row r="995">
          <cell r="V995" t="str">
            <v/>
          </cell>
          <cell r="W995" t="str">
            <v/>
          </cell>
          <cell r="Y995" t="str">
            <v/>
          </cell>
          <cell r="Z995" t="str">
            <v/>
          </cell>
        </row>
        <row r="996">
          <cell r="V996" t="str">
            <v/>
          </cell>
          <cell r="W996" t="str">
            <v/>
          </cell>
          <cell r="Y996" t="str">
            <v/>
          </cell>
          <cell r="Z996" t="str">
            <v/>
          </cell>
        </row>
        <row r="997">
          <cell r="V997" t="str">
            <v/>
          </cell>
          <cell r="W997" t="str">
            <v/>
          </cell>
          <cell r="Y997" t="str">
            <v/>
          </cell>
          <cell r="Z997" t="str">
            <v/>
          </cell>
        </row>
        <row r="998">
          <cell r="V998" t="str">
            <v/>
          </cell>
          <cell r="W998" t="str">
            <v/>
          </cell>
          <cell r="Y998" t="str">
            <v/>
          </cell>
          <cell r="Z998" t="str">
            <v/>
          </cell>
        </row>
        <row r="999">
          <cell r="V999" t="str">
            <v/>
          </cell>
          <cell r="W999" t="str">
            <v/>
          </cell>
          <cell r="Y999" t="str">
            <v/>
          </cell>
          <cell r="Z999" t="str">
            <v/>
          </cell>
        </row>
        <row r="1000">
          <cell r="V1000" t="str">
            <v/>
          </cell>
          <cell r="W1000" t="str">
            <v/>
          </cell>
          <cell r="Y1000" t="str">
            <v/>
          </cell>
          <cell r="Z1000" t="str">
            <v/>
          </cell>
        </row>
        <row r="1001">
          <cell r="V1001" t="str">
            <v/>
          </cell>
          <cell r="W1001" t="str">
            <v/>
          </cell>
          <cell r="Y1001" t="str">
            <v/>
          </cell>
          <cell r="Z1001" t="str">
            <v/>
          </cell>
        </row>
        <row r="1002">
          <cell r="V1002" t="str">
            <v/>
          </cell>
          <cell r="W1002" t="str">
            <v/>
          </cell>
          <cell r="Y1002" t="str">
            <v/>
          </cell>
          <cell r="Z1002" t="str">
            <v/>
          </cell>
        </row>
        <row r="1003">
          <cell r="V1003" t="str">
            <v/>
          </cell>
          <cell r="W1003" t="str">
            <v/>
          </cell>
          <cell r="Y1003" t="str">
            <v/>
          </cell>
          <cell r="Z1003" t="str">
            <v/>
          </cell>
        </row>
        <row r="1004">
          <cell r="V1004" t="str">
            <v/>
          </cell>
          <cell r="W1004" t="str">
            <v/>
          </cell>
          <cell r="Y1004" t="str">
            <v/>
          </cell>
          <cell r="Z1004" t="str">
            <v/>
          </cell>
        </row>
        <row r="1005">
          <cell r="V1005" t="str">
            <v/>
          </cell>
          <cell r="W1005" t="str">
            <v/>
          </cell>
          <cell r="Y1005" t="str">
            <v/>
          </cell>
          <cell r="Z1005" t="str">
            <v/>
          </cell>
        </row>
        <row r="1006">
          <cell r="V1006" t="str">
            <v/>
          </cell>
          <cell r="W1006" t="str">
            <v/>
          </cell>
          <cell r="Y1006" t="str">
            <v/>
          </cell>
          <cell r="Z1006" t="str">
            <v/>
          </cell>
        </row>
        <row r="1007">
          <cell r="V1007" t="str">
            <v/>
          </cell>
          <cell r="W1007" t="str">
            <v/>
          </cell>
          <cell r="Y1007" t="str">
            <v/>
          </cell>
          <cell r="Z1007" t="str">
            <v/>
          </cell>
        </row>
        <row r="1008">
          <cell r="V1008" t="str">
            <v/>
          </cell>
          <cell r="W1008" t="str">
            <v/>
          </cell>
          <cell r="Y1008" t="str">
            <v/>
          </cell>
          <cell r="Z1008" t="str">
            <v/>
          </cell>
        </row>
        <row r="1009">
          <cell r="V1009" t="str">
            <v/>
          </cell>
          <cell r="W1009" t="str">
            <v/>
          </cell>
          <cell r="Y1009" t="str">
            <v/>
          </cell>
          <cell r="Z1009" t="str">
            <v/>
          </cell>
        </row>
        <row r="1010">
          <cell r="V1010" t="str">
            <v/>
          </cell>
          <cell r="W1010" t="str">
            <v/>
          </cell>
          <cell r="Y1010" t="str">
            <v/>
          </cell>
          <cell r="Z1010" t="str">
            <v/>
          </cell>
        </row>
        <row r="1011">
          <cell r="V1011" t="str">
            <v/>
          </cell>
          <cell r="W1011" t="str">
            <v/>
          </cell>
          <cell r="Y1011" t="str">
            <v/>
          </cell>
          <cell r="Z1011" t="str">
            <v/>
          </cell>
        </row>
        <row r="1012">
          <cell r="V1012" t="str">
            <v/>
          </cell>
          <cell r="W1012" t="str">
            <v/>
          </cell>
          <cell r="Y1012" t="str">
            <v/>
          </cell>
          <cell r="Z1012" t="str">
            <v/>
          </cell>
        </row>
        <row r="1013">
          <cell r="V1013" t="str">
            <v/>
          </cell>
          <cell r="W1013" t="str">
            <v/>
          </cell>
          <cell r="Y1013" t="str">
            <v/>
          </cell>
          <cell r="Z1013" t="str">
            <v/>
          </cell>
        </row>
        <row r="1014">
          <cell r="V1014" t="str">
            <v/>
          </cell>
          <cell r="W1014" t="str">
            <v/>
          </cell>
          <cell r="Y1014" t="str">
            <v/>
          </cell>
          <cell r="Z1014" t="str">
            <v/>
          </cell>
        </row>
        <row r="1015">
          <cell r="V1015" t="str">
            <v/>
          </cell>
          <cell r="W1015" t="str">
            <v/>
          </cell>
          <cell r="Y1015" t="str">
            <v/>
          </cell>
          <cell r="Z1015" t="str">
            <v/>
          </cell>
        </row>
        <row r="1016">
          <cell r="V1016" t="str">
            <v/>
          </cell>
          <cell r="W1016" t="str">
            <v/>
          </cell>
          <cell r="Y1016" t="str">
            <v/>
          </cell>
          <cell r="Z1016" t="str">
            <v/>
          </cell>
        </row>
        <row r="1017">
          <cell r="V1017" t="str">
            <v/>
          </cell>
          <cell r="W1017" t="str">
            <v/>
          </cell>
          <cell r="Y1017" t="str">
            <v/>
          </cell>
          <cell r="Z1017" t="str">
            <v/>
          </cell>
        </row>
        <row r="1018">
          <cell r="V1018" t="str">
            <v/>
          </cell>
          <cell r="W1018" t="str">
            <v/>
          </cell>
          <cell r="Y1018" t="str">
            <v/>
          </cell>
          <cell r="Z1018" t="str">
            <v/>
          </cell>
        </row>
        <row r="1019">
          <cell r="V1019" t="str">
            <v/>
          </cell>
          <cell r="W1019" t="str">
            <v/>
          </cell>
          <cell r="Y1019" t="str">
            <v/>
          </cell>
          <cell r="Z1019" t="str">
            <v/>
          </cell>
        </row>
        <row r="1020">
          <cell r="V1020" t="str">
            <v/>
          </cell>
          <cell r="W1020" t="str">
            <v/>
          </cell>
          <cell r="Y1020" t="str">
            <v/>
          </cell>
          <cell r="Z1020" t="str">
            <v/>
          </cell>
        </row>
        <row r="1021">
          <cell r="V1021" t="str">
            <v/>
          </cell>
          <cell r="W1021" t="str">
            <v/>
          </cell>
          <cell r="Y1021" t="str">
            <v/>
          </cell>
          <cell r="Z1021" t="str">
            <v/>
          </cell>
        </row>
        <row r="1022">
          <cell r="V1022" t="str">
            <v/>
          </cell>
          <cell r="W1022" t="str">
            <v/>
          </cell>
          <cell r="Y1022" t="str">
            <v/>
          </cell>
          <cell r="Z1022" t="str">
            <v/>
          </cell>
        </row>
        <row r="1023">
          <cell r="V1023" t="str">
            <v/>
          </cell>
          <cell r="W1023" t="str">
            <v/>
          </cell>
          <cell r="Y1023" t="str">
            <v/>
          </cell>
          <cell r="Z1023" t="str">
            <v/>
          </cell>
        </row>
        <row r="1024">
          <cell r="V1024" t="str">
            <v/>
          </cell>
          <cell r="W1024" t="str">
            <v/>
          </cell>
          <cell r="Y1024" t="str">
            <v/>
          </cell>
          <cell r="Z1024" t="str">
            <v/>
          </cell>
        </row>
        <row r="1025">
          <cell r="V1025" t="str">
            <v/>
          </cell>
          <cell r="W1025" t="str">
            <v/>
          </cell>
          <cell r="Y1025" t="str">
            <v/>
          </cell>
          <cell r="Z1025" t="str">
            <v/>
          </cell>
        </row>
        <row r="1026">
          <cell r="V1026" t="str">
            <v/>
          </cell>
          <cell r="W1026" t="str">
            <v/>
          </cell>
          <cell r="Y1026" t="str">
            <v/>
          </cell>
          <cell r="Z1026" t="str">
            <v/>
          </cell>
        </row>
        <row r="1027">
          <cell r="V1027" t="str">
            <v/>
          </cell>
          <cell r="W1027" t="str">
            <v/>
          </cell>
          <cell r="Y1027" t="str">
            <v/>
          </cell>
          <cell r="Z1027" t="str">
            <v/>
          </cell>
        </row>
        <row r="1028">
          <cell r="V1028" t="str">
            <v/>
          </cell>
          <cell r="W1028" t="str">
            <v/>
          </cell>
          <cell r="Y1028" t="str">
            <v/>
          </cell>
          <cell r="Z1028" t="str">
            <v/>
          </cell>
        </row>
        <row r="1029">
          <cell r="V1029" t="str">
            <v/>
          </cell>
          <cell r="W1029" t="str">
            <v/>
          </cell>
          <cell r="Y1029" t="str">
            <v/>
          </cell>
          <cell r="Z1029" t="str">
            <v/>
          </cell>
        </row>
        <row r="1030">
          <cell r="V1030" t="str">
            <v/>
          </cell>
          <cell r="W1030" t="str">
            <v/>
          </cell>
          <cell r="Y1030" t="str">
            <v/>
          </cell>
          <cell r="Z1030" t="str">
            <v/>
          </cell>
        </row>
        <row r="1031">
          <cell r="V1031" t="str">
            <v/>
          </cell>
          <cell r="W1031" t="str">
            <v/>
          </cell>
          <cell r="Y1031" t="str">
            <v/>
          </cell>
          <cell r="Z1031" t="str">
            <v/>
          </cell>
        </row>
        <row r="1032">
          <cell r="V1032" t="str">
            <v/>
          </cell>
          <cell r="W1032" t="str">
            <v/>
          </cell>
          <cell r="Y1032" t="str">
            <v/>
          </cell>
          <cell r="Z1032" t="str">
            <v/>
          </cell>
        </row>
        <row r="1033">
          <cell r="V1033" t="str">
            <v/>
          </cell>
          <cell r="W1033" t="str">
            <v/>
          </cell>
          <cell r="Y1033" t="str">
            <v/>
          </cell>
          <cell r="Z1033" t="str">
            <v/>
          </cell>
        </row>
        <row r="1034">
          <cell r="V1034" t="str">
            <v/>
          </cell>
          <cell r="W1034" t="str">
            <v/>
          </cell>
          <cell r="Y1034" t="str">
            <v/>
          </cell>
          <cell r="Z1034" t="str">
            <v/>
          </cell>
        </row>
        <row r="1035">
          <cell r="V1035" t="str">
            <v/>
          </cell>
          <cell r="W1035" t="str">
            <v/>
          </cell>
          <cell r="Y1035" t="str">
            <v/>
          </cell>
          <cell r="Z1035" t="str">
            <v/>
          </cell>
        </row>
        <row r="1036">
          <cell r="V1036" t="str">
            <v/>
          </cell>
          <cell r="W1036" t="str">
            <v/>
          </cell>
          <cell r="Y1036" t="str">
            <v/>
          </cell>
          <cell r="Z1036" t="str">
            <v/>
          </cell>
        </row>
        <row r="1037">
          <cell r="V1037" t="str">
            <v/>
          </cell>
          <cell r="W1037" t="str">
            <v/>
          </cell>
          <cell r="Y1037" t="str">
            <v/>
          </cell>
          <cell r="Z1037" t="str">
            <v/>
          </cell>
        </row>
        <row r="1038">
          <cell r="V1038" t="str">
            <v/>
          </cell>
          <cell r="W1038" t="str">
            <v/>
          </cell>
          <cell r="Y1038" t="str">
            <v/>
          </cell>
          <cell r="Z1038" t="str">
            <v/>
          </cell>
        </row>
        <row r="1039">
          <cell r="V1039" t="str">
            <v/>
          </cell>
          <cell r="W1039" t="str">
            <v/>
          </cell>
          <cell r="Y1039" t="str">
            <v/>
          </cell>
          <cell r="Z1039" t="str">
            <v/>
          </cell>
        </row>
        <row r="1040">
          <cell r="V1040" t="str">
            <v/>
          </cell>
          <cell r="W1040" t="str">
            <v/>
          </cell>
          <cell r="Y1040" t="str">
            <v/>
          </cell>
          <cell r="Z1040" t="str">
            <v/>
          </cell>
        </row>
        <row r="1041">
          <cell r="V1041" t="str">
            <v/>
          </cell>
          <cell r="W1041" t="str">
            <v/>
          </cell>
          <cell r="Y1041" t="str">
            <v/>
          </cell>
          <cell r="Z1041" t="str">
            <v/>
          </cell>
        </row>
        <row r="1042">
          <cell r="V1042" t="str">
            <v/>
          </cell>
          <cell r="W1042" t="str">
            <v/>
          </cell>
          <cell r="Y1042" t="str">
            <v/>
          </cell>
          <cell r="Z1042" t="str">
            <v/>
          </cell>
        </row>
        <row r="1043">
          <cell r="V1043" t="str">
            <v/>
          </cell>
          <cell r="W1043" t="str">
            <v/>
          </cell>
          <cell r="Y1043" t="str">
            <v/>
          </cell>
          <cell r="Z1043" t="str">
            <v/>
          </cell>
        </row>
        <row r="1044">
          <cell r="V1044" t="str">
            <v/>
          </cell>
          <cell r="W1044" t="str">
            <v/>
          </cell>
          <cell r="Y1044" t="str">
            <v/>
          </cell>
          <cell r="Z1044" t="str">
            <v/>
          </cell>
        </row>
        <row r="1045">
          <cell r="V1045" t="str">
            <v/>
          </cell>
          <cell r="W1045" t="str">
            <v/>
          </cell>
          <cell r="Y1045" t="str">
            <v/>
          </cell>
          <cell r="Z1045" t="str">
            <v/>
          </cell>
        </row>
        <row r="1046">
          <cell r="V1046" t="str">
            <v/>
          </cell>
          <cell r="W1046" t="str">
            <v/>
          </cell>
          <cell r="Y1046" t="str">
            <v/>
          </cell>
          <cell r="Z1046" t="str">
            <v/>
          </cell>
        </row>
        <row r="1047">
          <cell r="V1047" t="str">
            <v/>
          </cell>
          <cell r="W1047" t="str">
            <v/>
          </cell>
          <cell r="Y1047" t="str">
            <v/>
          </cell>
          <cell r="Z1047" t="str">
            <v/>
          </cell>
        </row>
        <row r="1048">
          <cell r="V1048" t="str">
            <v/>
          </cell>
          <cell r="W1048" t="str">
            <v/>
          </cell>
          <cell r="Y1048" t="str">
            <v/>
          </cell>
          <cell r="Z1048" t="str">
            <v/>
          </cell>
        </row>
        <row r="1049">
          <cell r="V1049" t="str">
            <v/>
          </cell>
          <cell r="W1049" t="str">
            <v/>
          </cell>
          <cell r="Y1049" t="str">
            <v/>
          </cell>
          <cell r="Z1049" t="str">
            <v/>
          </cell>
        </row>
        <row r="1050">
          <cell r="V1050" t="str">
            <v/>
          </cell>
          <cell r="W1050" t="str">
            <v/>
          </cell>
          <cell r="Y1050" t="str">
            <v/>
          </cell>
          <cell r="Z1050" t="str">
            <v/>
          </cell>
        </row>
        <row r="1051">
          <cell r="V1051" t="str">
            <v/>
          </cell>
          <cell r="W1051" t="str">
            <v/>
          </cell>
          <cell r="Y1051" t="str">
            <v/>
          </cell>
          <cell r="Z1051" t="str">
            <v/>
          </cell>
        </row>
        <row r="1052">
          <cell r="V1052" t="str">
            <v/>
          </cell>
          <cell r="W1052" t="str">
            <v/>
          </cell>
          <cell r="Y1052" t="str">
            <v/>
          </cell>
          <cell r="Z1052" t="str">
            <v/>
          </cell>
        </row>
        <row r="1053">
          <cell r="V1053" t="str">
            <v/>
          </cell>
          <cell r="W1053" t="str">
            <v/>
          </cell>
          <cell r="Y1053" t="str">
            <v/>
          </cell>
          <cell r="Z1053" t="str">
            <v/>
          </cell>
        </row>
        <row r="1054">
          <cell r="V1054" t="str">
            <v/>
          </cell>
          <cell r="W1054" t="str">
            <v/>
          </cell>
          <cell r="Y1054" t="str">
            <v/>
          </cell>
          <cell r="Z1054" t="str">
            <v/>
          </cell>
        </row>
        <row r="1055">
          <cell r="V1055" t="str">
            <v/>
          </cell>
          <cell r="W1055" t="str">
            <v/>
          </cell>
          <cell r="Y1055" t="str">
            <v/>
          </cell>
          <cell r="Z1055" t="str">
            <v/>
          </cell>
        </row>
        <row r="1056">
          <cell r="V1056" t="str">
            <v/>
          </cell>
          <cell r="W1056" t="str">
            <v/>
          </cell>
          <cell r="Y1056" t="str">
            <v/>
          </cell>
          <cell r="Z1056" t="str">
            <v/>
          </cell>
        </row>
        <row r="1057">
          <cell r="V1057" t="str">
            <v/>
          </cell>
          <cell r="W1057" t="str">
            <v/>
          </cell>
          <cell r="Y1057" t="str">
            <v/>
          </cell>
          <cell r="Z1057" t="str">
            <v/>
          </cell>
        </row>
        <row r="1058">
          <cell r="V1058" t="str">
            <v/>
          </cell>
          <cell r="W1058" t="str">
            <v/>
          </cell>
          <cell r="Y1058" t="str">
            <v/>
          </cell>
          <cell r="Z1058" t="str">
            <v/>
          </cell>
        </row>
        <row r="1059">
          <cell r="V1059" t="str">
            <v/>
          </cell>
          <cell r="W1059" t="str">
            <v/>
          </cell>
          <cell r="Y1059" t="str">
            <v/>
          </cell>
          <cell r="Z1059" t="str">
            <v/>
          </cell>
        </row>
        <row r="1060">
          <cell r="V1060" t="str">
            <v/>
          </cell>
          <cell r="W1060" t="str">
            <v/>
          </cell>
          <cell r="Y1060" t="str">
            <v/>
          </cell>
          <cell r="Z1060" t="str">
            <v/>
          </cell>
        </row>
        <row r="1061">
          <cell r="V1061" t="str">
            <v/>
          </cell>
          <cell r="W1061" t="str">
            <v/>
          </cell>
          <cell r="Y1061" t="str">
            <v/>
          </cell>
          <cell r="Z1061" t="str">
            <v/>
          </cell>
        </row>
        <row r="1062">
          <cell r="V1062" t="str">
            <v/>
          </cell>
          <cell r="W1062" t="str">
            <v/>
          </cell>
          <cell r="Y1062" t="str">
            <v/>
          </cell>
          <cell r="Z1062" t="str">
            <v/>
          </cell>
        </row>
        <row r="1063">
          <cell r="V1063" t="str">
            <v/>
          </cell>
          <cell r="W1063" t="str">
            <v/>
          </cell>
          <cell r="Y1063" t="str">
            <v/>
          </cell>
          <cell r="Z1063" t="str">
            <v/>
          </cell>
        </row>
        <row r="1064">
          <cell r="V1064" t="str">
            <v/>
          </cell>
          <cell r="W1064" t="str">
            <v/>
          </cell>
          <cell r="Y1064" t="str">
            <v/>
          </cell>
          <cell r="Z1064" t="str">
            <v/>
          </cell>
        </row>
        <row r="1065">
          <cell r="V1065" t="str">
            <v/>
          </cell>
          <cell r="W1065" t="str">
            <v/>
          </cell>
          <cell r="Y1065" t="str">
            <v/>
          </cell>
          <cell r="Z1065" t="str">
            <v/>
          </cell>
        </row>
        <row r="1066">
          <cell r="V1066" t="str">
            <v/>
          </cell>
          <cell r="W1066" t="str">
            <v/>
          </cell>
          <cell r="Y1066" t="str">
            <v/>
          </cell>
          <cell r="Z1066" t="str">
            <v/>
          </cell>
        </row>
        <row r="1067">
          <cell r="V1067" t="str">
            <v/>
          </cell>
          <cell r="W1067" t="str">
            <v/>
          </cell>
          <cell r="Y1067" t="str">
            <v/>
          </cell>
          <cell r="Z1067" t="str">
            <v/>
          </cell>
        </row>
        <row r="1068">
          <cell r="V1068" t="str">
            <v/>
          </cell>
          <cell r="W1068" t="str">
            <v/>
          </cell>
          <cell r="Y1068" t="str">
            <v/>
          </cell>
          <cell r="Z1068" t="str">
            <v/>
          </cell>
        </row>
        <row r="1069">
          <cell r="V1069" t="str">
            <v/>
          </cell>
          <cell r="W1069" t="str">
            <v/>
          </cell>
          <cell r="Y1069" t="str">
            <v/>
          </cell>
          <cell r="Z1069" t="str">
            <v/>
          </cell>
        </row>
        <row r="1070">
          <cell r="V1070" t="str">
            <v/>
          </cell>
          <cell r="W1070" t="str">
            <v/>
          </cell>
          <cell r="Y1070" t="str">
            <v/>
          </cell>
          <cell r="Z1070" t="str">
            <v/>
          </cell>
        </row>
        <row r="1071">
          <cell r="V1071" t="str">
            <v/>
          </cell>
          <cell r="W1071" t="str">
            <v/>
          </cell>
          <cell r="Y1071" t="str">
            <v/>
          </cell>
          <cell r="Z1071" t="str">
            <v/>
          </cell>
        </row>
        <row r="1072">
          <cell r="V1072" t="str">
            <v/>
          </cell>
          <cell r="W1072" t="str">
            <v/>
          </cell>
          <cell r="Y1072" t="str">
            <v/>
          </cell>
          <cell r="Z1072" t="str">
            <v/>
          </cell>
        </row>
        <row r="1073">
          <cell r="V1073" t="str">
            <v/>
          </cell>
          <cell r="W1073" t="str">
            <v/>
          </cell>
          <cell r="Y1073" t="str">
            <v/>
          </cell>
          <cell r="Z1073" t="str">
            <v/>
          </cell>
        </row>
        <row r="1074">
          <cell r="V1074" t="str">
            <v/>
          </cell>
          <cell r="W1074" t="str">
            <v/>
          </cell>
          <cell r="Y1074" t="str">
            <v/>
          </cell>
          <cell r="Z1074" t="str">
            <v/>
          </cell>
        </row>
        <row r="1075">
          <cell r="V1075" t="str">
            <v/>
          </cell>
          <cell r="W1075" t="str">
            <v/>
          </cell>
          <cell r="Y1075" t="str">
            <v/>
          </cell>
          <cell r="Z1075" t="str">
            <v/>
          </cell>
        </row>
        <row r="1076">
          <cell r="V1076" t="str">
            <v/>
          </cell>
          <cell r="W1076" t="str">
            <v/>
          </cell>
          <cell r="Y1076" t="str">
            <v/>
          </cell>
          <cell r="Z1076" t="str">
            <v/>
          </cell>
        </row>
        <row r="1077">
          <cell r="V1077" t="str">
            <v/>
          </cell>
          <cell r="W1077" t="str">
            <v/>
          </cell>
          <cell r="Y1077" t="str">
            <v/>
          </cell>
          <cell r="Z1077" t="str">
            <v/>
          </cell>
        </row>
        <row r="1078">
          <cell r="V1078" t="str">
            <v/>
          </cell>
          <cell r="W1078" t="str">
            <v/>
          </cell>
          <cell r="Y1078" t="str">
            <v/>
          </cell>
          <cell r="Z1078" t="str">
            <v/>
          </cell>
        </row>
        <row r="1079">
          <cell r="V1079" t="str">
            <v/>
          </cell>
          <cell r="W1079" t="str">
            <v/>
          </cell>
          <cell r="Y1079" t="str">
            <v/>
          </cell>
          <cell r="Z1079" t="str">
            <v/>
          </cell>
        </row>
        <row r="1080">
          <cell r="V1080" t="str">
            <v/>
          </cell>
          <cell r="W1080" t="str">
            <v/>
          </cell>
          <cell r="Y1080" t="str">
            <v/>
          </cell>
          <cell r="Z1080" t="str">
            <v/>
          </cell>
        </row>
        <row r="1081">
          <cell r="V1081" t="str">
            <v/>
          </cell>
          <cell r="W1081" t="str">
            <v/>
          </cell>
          <cell r="Y1081" t="str">
            <v/>
          </cell>
          <cell r="Z1081" t="str">
            <v/>
          </cell>
        </row>
        <row r="1082">
          <cell r="V1082" t="str">
            <v/>
          </cell>
          <cell r="W1082" t="str">
            <v/>
          </cell>
          <cell r="Y1082" t="str">
            <v/>
          </cell>
          <cell r="Z1082" t="str">
            <v/>
          </cell>
        </row>
        <row r="1083">
          <cell r="V1083" t="str">
            <v/>
          </cell>
          <cell r="W1083" t="str">
            <v/>
          </cell>
          <cell r="Y1083" t="str">
            <v/>
          </cell>
          <cell r="Z1083" t="str">
            <v/>
          </cell>
        </row>
        <row r="1084">
          <cell r="V1084" t="str">
            <v/>
          </cell>
          <cell r="W1084" t="str">
            <v/>
          </cell>
          <cell r="Y1084" t="str">
            <v/>
          </cell>
          <cell r="Z1084" t="str">
            <v/>
          </cell>
        </row>
        <row r="1085">
          <cell r="V1085" t="str">
            <v/>
          </cell>
          <cell r="W1085" t="str">
            <v/>
          </cell>
          <cell r="Y1085" t="str">
            <v/>
          </cell>
          <cell r="Z1085" t="str">
            <v/>
          </cell>
        </row>
        <row r="1086">
          <cell r="V1086" t="str">
            <v/>
          </cell>
          <cell r="W1086" t="str">
            <v/>
          </cell>
          <cell r="Y1086" t="str">
            <v/>
          </cell>
          <cell r="Z1086" t="str">
            <v/>
          </cell>
        </row>
        <row r="1087">
          <cell r="V1087" t="str">
            <v/>
          </cell>
          <cell r="W1087" t="str">
            <v/>
          </cell>
          <cell r="Y1087" t="str">
            <v/>
          </cell>
          <cell r="Z1087" t="str">
            <v/>
          </cell>
        </row>
        <row r="1088">
          <cell r="V1088" t="str">
            <v/>
          </cell>
          <cell r="W1088" t="str">
            <v/>
          </cell>
          <cell r="Y1088" t="str">
            <v/>
          </cell>
          <cell r="Z1088" t="str">
            <v/>
          </cell>
        </row>
        <row r="1089">
          <cell r="V1089" t="str">
            <v/>
          </cell>
          <cell r="W1089" t="str">
            <v/>
          </cell>
          <cell r="Y1089" t="str">
            <v/>
          </cell>
          <cell r="Z1089" t="str">
            <v/>
          </cell>
        </row>
        <row r="1090">
          <cell r="V1090" t="str">
            <v/>
          </cell>
          <cell r="W1090" t="str">
            <v/>
          </cell>
          <cell r="Y1090" t="str">
            <v/>
          </cell>
          <cell r="Z1090" t="str">
            <v/>
          </cell>
        </row>
        <row r="1091">
          <cell r="V1091" t="str">
            <v/>
          </cell>
          <cell r="W1091" t="str">
            <v/>
          </cell>
          <cell r="Y1091" t="str">
            <v/>
          </cell>
          <cell r="Z1091" t="str">
            <v/>
          </cell>
        </row>
        <row r="1092">
          <cell r="V1092" t="str">
            <v/>
          </cell>
          <cell r="W1092" t="str">
            <v/>
          </cell>
          <cell r="Y1092" t="str">
            <v/>
          </cell>
          <cell r="Z1092" t="str">
            <v/>
          </cell>
        </row>
        <row r="1093">
          <cell r="V1093" t="str">
            <v/>
          </cell>
          <cell r="W1093" t="str">
            <v/>
          </cell>
          <cell r="Y1093" t="str">
            <v/>
          </cell>
          <cell r="Z1093" t="str">
            <v/>
          </cell>
        </row>
        <row r="1094">
          <cell r="V1094" t="str">
            <v/>
          </cell>
          <cell r="W1094" t="str">
            <v/>
          </cell>
          <cell r="Y1094" t="str">
            <v/>
          </cell>
          <cell r="Z1094" t="str">
            <v/>
          </cell>
        </row>
        <row r="1095">
          <cell r="V1095" t="str">
            <v/>
          </cell>
          <cell r="W1095" t="str">
            <v/>
          </cell>
          <cell r="Y1095" t="str">
            <v/>
          </cell>
          <cell r="Z1095" t="str">
            <v/>
          </cell>
        </row>
        <row r="1096">
          <cell r="V1096" t="str">
            <v/>
          </cell>
          <cell r="W1096" t="str">
            <v/>
          </cell>
          <cell r="Y1096" t="str">
            <v/>
          </cell>
          <cell r="Z1096" t="str">
            <v/>
          </cell>
        </row>
        <row r="1097">
          <cell r="V1097" t="str">
            <v/>
          </cell>
          <cell r="W1097" t="str">
            <v/>
          </cell>
          <cell r="Y1097" t="str">
            <v/>
          </cell>
          <cell r="Z1097" t="str">
            <v/>
          </cell>
        </row>
        <row r="1098">
          <cell r="V1098" t="str">
            <v/>
          </cell>
          <cell r="W1098" t="str">
            <v/>
          </cell>
          <cell r="Y1098" t="str">
            <v/>
          </cell>
          <cell r="Z1098" t="str">
            <v/>
          </cell>
        </row>
        <row r="1099">
          <cell r="V1099" t="str">
            <v/>
          </cell>
          <cell r="W1099" t="str">
            <v/>
          </cell>
          <cell r="Y1099" t="str">
            <v/>
          </cell>
          <cell r="Z1099" t="str">
            <v/>
          </cell>
        </row>
        <row r="1100">
          <cell r="V1100" t="str">
            <v/>
          </cell>
          <cell r="W1100" t="str">
            <v/>
          </cell>
          <cell r="Y1100" t="str">
            <v/>
          </cell>
          <cell r="Z1100" t="str">
            <v/>
          </cell>
        </row>
        <row r="1101">
          <cell r="V1101" t="str">
            <v/>
          </cell>
          <cell r="W1101" t="str">
            <v/>
          </cell>
          <cell r="Y1101" t="str">
            <v/>
          </cell>
          <cell r="Z1101" t="str">
            <v/>
          </cell>
        </row>
        <row r="1102">
          <cell r="V1102" t="str">
            <v/>
          </cell>
          <cell r="W1102" t="str">
            <v/>
          </cell>
          <cell r="Y1102" t="str">
            <v/>
          </cell>
          <cell r="Z1102" t="str">
            <v/>
          </cell>
        </row>
        <row r="1103">
          <cell r="V1103" t="str">
            <v/>
          </cell>
          <cell r="W1103" t="str">
            <v/>
          </cell>
          <cell r="Y1103" t="str">
            <v/>
          </cell>
          <cell r="Z1103" t="str">
            <v/>
          </cell>
        </row>
        <row r="1104">
          <cell r="V1104" t="str">
            <v/>
          </cell>
          <cell r="W1104" t="str">
            <v/>
          </cell>
          <cell r="Y1104" t="str">
            <v/>
          </cell>
          <cell r="Z1104" t="str">
            <v/>
          </cell>
        </row>
        <row r="1105">
          <cell r="V1105" t="str">
            <v/>
          </cell>
          <cell r="W1105" t="str">
            <v/>
          </cell>
          <cell r="Y1105" t="str">
            <v/>
          </cell>
          <cell r="Z1105" t="str">
            <v/>
          </cell>
        </row>
        <row r="1106">
          <cell r="V1106" t="str">
            <v/>
          </cell>
          <cell r="W1106" t="str">
            <v/>
          </cell>
          <cell r="Y1106" t="str">
            <v/>
          </cell>
          <cell r="Z1106" t="str">
            <v/>
          </cell>
        </row>
        <row r="1107">
          <cell r="V1107" t="str">
            <v/>
          </cell>
          <cell r="W1107" t="str">
            <v/>
          </cell>
          <cell r="Y1107" t="str">
            <v/>
          </cell>
          <cell r="Z1107" t="str">
            <v/>
          </cell>
        </row>
        <row r="1108">
          <cell r="V1108" t="str">
            <v/>
          </cell>
          <cell r="W1108" t="str">
            <v/>
          </cell>
          <cell r="Y1108" t="str">
            <v/>
          </cell>
          <cell r="Z1108" t="str">
            <v/>
          </cell>
        </row>
        <row r="1109">
          <cell r="V1109" t="str">
            <v/>
          </cell>
          <cell r="W1109" t="str">
            <v/>
          </cell>
          <cell r="Y1109" t="str">
            <v/>
          </cell>
          <cell r="Z1109" t="str">
            <v/>
          </cell>
        </row>
        <row r="1110">
          <cell r="V1110" t="str">
            <v/>
          </cell>
          <cell r="W1110" t="str">
            <v/>
          </cell>
          <cell r="Y1110" t="str">
            <v/>
          </cell>
          <cell r="Z1110" t="str">
            <v/>
          </cell>
        </row>
        <row r="1111">
          <cell r="V1111" t="str">
            <v/>
          </cell>
          <cell r="W1111" t="str">
            <v/>
          </cell>
          <cell r="Y1111" t="str">
            <v/>
          </cell>
          <cell r="Z1111" t="str">
            <v/>
          </cell>
        </row>
        <row r="1112">
          <cell r="V1112" t="str">
            <v/>
          </cell>
          <cell r="W1112" t="str">
            <v/>
          </cell>
          <cell r="Y1112" t="str">
            <v/>
          </cell>
          <cell r="Z1112" t="str">
            <v/>
          </cell>
        </row>
        <row r="1113">
          <cell r="V1113" t="str">
            <v/>
          </cell>
          <cell r="W1113" t="str">
            <v/>
          </cell>
          <cell r="Y1113" t="str">
            <v/>
          </cell>
          <cell r="Z1113" t="str">
            <v/>
          </cell>
        </row>
        <row r="1114">
          <cell r="V1114" t="str">
            <v/>
          </cell>
          <cell r="W1114" t="str">
            <v/>
          </cell>
          <cell r="Y1114" t="str">
            <v/>
          </cell>
          <cell r="Z1114" t="str">
            <v/>
          </cell>
        </row>
        <row r="1115">
          <cell r="V1115" t="str">
            <v/>
          </cell>
          <cell r="W1115" t="str">
            <v/>
          </cell>
          <cell r="Y1115" t="str">
            <v/>
          </cell>
          <cell r="Z1115" t="str">
            <v/>
          </cell>
        </row>
        <row r="1116">
          <cell r="V1116" t="str">
            <v/>
          </cell>
          <cell r="W1116" t="str">
            <v/>
          </cell>
          <cell r="Y1116" t="str">
            <v/>
          </cell>
          <cell r="Z1116" t="str">
            <v/>
          </cell>
        </row>
        <row r="1117">
          <cell r="V1117" t="str">
            <v/>
          </cell>
          <cell r="W1117" t="str">
            <v/>
          </cell>
          <cell r="Y1117" t="str">
            <v/>
          </cell>
          <cell r="Z1117" t="str">
            <v/>
          </cell>
        </row>
        <row r="1118">
          <cell r="V1118" t="str">
            <v/>
          </cell>
          <cell r="W1118" t="str">
            <v/>
          </cell>
          <cell r="Y1118" t="str">
            <v/>
          </cell>
          <cell r="Z1118" t="str">
            <v/>
          </cell>
        </row>
        <row r="1119">
          <cell r="V1119" t="str">
            <v/>
          </cell>
          <cell r="W1119" t="str">
            <v/>
          </cell>
          <cell r="Y1119" t="str">
            <v/>
          </cell>
          <cell r="Z1119" t="str">
            <v/>
          </cell>
        </row>
        <row r="1120">
          <cell r="V1120" t="str">
            <v/>
          </cell>
          <cell r="W1120" t="str">
            <v/>
          </cell>
          <cell r="Y1120" t="str">
            <v/>
          </cell>
          <cell r="Z1120" t="str">
            <v/>
          </cell>
        </row>
        <row r="1121">
          <cell r="V1121" t="str">
            <v/>
          </cell>
          <cell r="W1121" t="str">
            <v/>
          </cell>
          <cell r="Y1121" t="str">
            <v/>
          </cell>
          <cell r="Z1121" t="str">
            <v/>
          </cell>
        </row>
        <row r="1122">
          <cell r="V1122" t="str">
            <v/>
          </cell>
          <cell r="W1122" t="str">
            <v/>
          </cell>
          <cell r="Y1122" t="str">
            <v/>
          </cell>
          <cell r="Z1122" t="str">
            <v/>
          </cell>
        </row>
        <row r="1123">
          <cell r="V1123" t="str">
            <v/>
          </cell>
          <cell r="W1123" t="str">
            <v/>
          </cell>
          <cell r="Y1123" t="str">
            <v/>
          </cell>
          <cell r="Z1123" t="str">
            <v/>
          </cell>
        </row>
        <row r="1124">
          <cell r="V1124" t="str">
            <v/>
          </cell>
          <cell r="W1124" t="str">
            <v/>
          </cell>
          <cell r="Y1124" t="str">
            <v/>
          </cell>
          <cell r="Z1124" t="str">
            <v/>
          </cell>
        </row>
        <row r="1125">
          <cell r="V1125" t="str">
            <v/>
          </cell>
          <cell r="W1125" t="str">
            <v/>
          </cell>
          <cell r="Y1125" t="str">
            <v/>
          </cell>
          <cell r="Z1125" t="str">
            <v/>
          </cell>
        </row>
        <row r="1126">
          <cell r="V1126" t="str">
            <v/>
          </cell>
          <cell r="W1126" t="str">
            <v/>
          </cell>
          <cell r="Y1126" t="str">
            <v/>
          </cell>
          <cell r="Z1126" t="str">
            <v/>
          </cell>
        </row>
        <row r="1127">
          <cell r="V1127" t="str">
            <v/>
          </cell>
          <cell r="W1127" t="str">
            <v/>
          </cell>
          <cell r="Y1127" t="str">
            <v/>
          </cell>
          <cell r="Z1127" t="str">
            <v/>
          </cell>
        </row>
        <row r="1128">
          <cell r="V1128" t="str">
            <v/>
          </cell>
          <cell r="W1128" t="str">
            <v/>
          </cell>
          <cell r="Y1128" t="str">
            <v/>
          </cell>
          <cell r="Z1128" t="str">
            <v/>
          </cell>
        </row>
        <row r="1129">
          <cell r="V1129" t="str">
            <v/>
          </cell>
          <cell r="W1129" t="str">
            <v/>
          </cell>
          <cell r="Y1129" t="str">
            <v/>
          </cell>
          <cell r="Z1129" t="str">
            <v/>
          </cell>
        </row>
        <row r="1130">
          <cell r="V1130" t="str">
            <v/>
          </cell>
          <cell r="W1130" t="str">
            <v/>
          </cell>
          <cell r="Y1130" t="str">
            <v/>
          </cell>
          <cell r="Z1130" t="str">
            <v/>
          </cell>
        </row>
        <row r="1131">
          <cell r="V1131" t="str">
            <v/>
          </cell>
          <cell r="W1131" t="str">
            <v/>
          </cell>
          <cell r="Y1131" t="str">
            <v/>
          </cell>
          <cell r="Z1131" t="str">
            <v/>
          </cell>
        </row>
        <row r="1132">
          <cell r="V1132" t="str">
            <v/>
          </cell>
          <cell r="W1132" t="str">
            <v/>
          </cell>
          <cell r="Y1132" t="str">
            <v/>
          </cell>
          <cell r="Z1132" t="str">
            <v/>
          </cell>
        </row>
        <row r="1133">
          <cell r="V1133" t="str">
            <v/>
          </cell>
          <cell r="W1133" t="str">
            <v/>
          </cell>
          <cell r="Y1133" t="str">
            <v/>
          </cell>
          <cell r="Z1133" t="str">
            <v/>
          </cell>
        </row>
        <row r="1134">
          <cell r="V1134" t="str">
            <v/>
          </cell>
          <cell r="W1134" t="str">
            <v/>
          </cell>
          <cell r="Y1134" t="str">
            <v/>
          </cell>
          <cell r="Z1134" t="str">
            <v/>
          </cell>
        </row>
        <row r="1135">
          <cell r="V1135" t="str">
            <v/>
          </cell>
          <cell r="W1135" t="str">
            <v/>
          </cell>
          <cell r="Y1135" t="str">
            <v/>
          </cell>
          <cell r="Z1135" t="str">
            <v/>
          </cell>
        </row>
        <row r="1136">
          <cell r="V1136" t="str">
            <v/>
          </cell>
          <cell r="W1136" t="str">
            <v/>
          </cell>
          <cell r="Y1136" t="str">
            <v/>
          </cell>
          <cell r="Z1136" t="str">
            <v/>
          </cell>
        </row>
        <row r="1137">
          <cell r="V1137" t="str">
            <v/>
          </cell>
          <cell r="W1137" t="str">
            <v/>
          </cell>
          <cell r="Y1137" t="str">
            <v/>
          </cell>
          <cell r="Z1137" t="str">
            <v/>
          </cell>
        </row>
        <row r="1138">
          <cell r="V1138" t="str">
            <v/>
          </cell>
          <cell r="W1138" t="str">
            <v/>
          </cell>
          <cell r="Y1138" t="str">
            <v/>
          </cell>
          <cell r="Z1138" t="str">
            <v/>
          </cell>
        </row>
        <row r="1139">
          <cell r="V1139" t="str">
            <v/>
          </cell>
          <cell r="W1139" t="str">
            <v/>
          </cell>
          <cell r="Y1139" t="str">
            <v/>
          </cell>
          <cell r="Z1139" t="str">
            <v/>
          </cell>
        </row>
        <row r="1140">
          <cell r="V1140" t="str">
            <v/>
          </cell>
          <cell r="W1140" t="str">
            <v/>
          </cell>
          <cell r="Y1140" t="str">
            <v/>
          </cell>
          <cell r="Z1140" t="str">
            <v/>
          </cell>
        </row>
        <row r="1141">
          <cell r="V1141" t="str">
            <v/>
          </cell>
          <cell r="W1141" t="str">
            <v/>
          </cell>
          <cell r="Y1141" t="str">
            <v/>
          </cell>
          <cell r="Z1141" t="str">
            <v/>
          </cell>
        </row>
        <row r="1142">
          <cell r="V1142" t="str">
            <v/>
          </cell>
          <cell r="W1142" t="str">
            <v/>
          </cell>
          <cell r="Y1142" t="str">
            <v/>
          </cell>
          <cell r="Z1142" t="str">
            <v/>
          </cell>
        </row>
        <row r="1143">
          <cell r="V1143" t="str">
            <v/>
          </cell>
          <cell r="W1143" t="str">
            <v/>
          </cell>
          <cell r="Y1143" t="str">
            <v/>
          </cell>
          <cell r="Z1143" t="str">
            <v/>
          </cell>
        </row>
        <row r="1144">
          <cell r="V1144" t="str">
            <v/>
          </cell>
          <cell r="W1144" t="str">
            <v/>
          </cell>
          <cell r="Y1144" t="str">
            <v/>
          </cell>
          <cell r="Z1144" t="str">
            <v/>
          </cell>
        </row>
        <row r="1145">
          <cell r="V1145" t="str">
            <v/>
          </cell>
          <cell r="W1145" t="str">
            <v/>
          </cell>
          <cell r="Y1145" t="str">
            <v/>
          </cell>
          <cell r="Z1145" t="str">
            <v/>
          </cell>
        </row>
        <row r="1146">
          <cell r="V1146" t="str">
            <v/>
          </cell>
          <cell r="W1146" t="str">
            <v/>
          </cell>
          <cell r="Y1146" t="str">
            <v/>
          </cell>
          <cell r="Z1146" t="str">
            <v/>
          </cell>
        </row>
        <row r="1147">
          <cell r="V1147" t="str">
            <v/>
          </cell>
          <cell r="W1147" t="str">
            <v/>
          </cell>
          <cell r="Y1147" t="str">
            <v/>
          </cell>
          <cell r="Z1147" t="str">
            <v/>
          </cell>
        </row>
        <row r="1148">
          <cell r="V1148" t="str">
            <v/>
          </cell>
          <cell r="W1148" t="str">
            <v/>
          </cell>
          <cell r="Y1148" t="str">
            <v/>
          </cell>
          <cell r="Z1148" t="str">
            <v/>
          </cell>
        </row>
        <row r="1149">
          <cell r="V1149" t="str">
            <v/>
          </cell>
          <cell r="W1149" t="str">
            <v/>
          </cell>
          <cell r="Y1149" t="str">
            <v/>
          </cell>
          <cell r="Z1149" t="str">
            <v/>
          </cell>
        </row>
        <row r="1150">
          <cell r="V1150" t="str">
            <v/>
          </cell>
          <cell r="W1150" t="str">
            <v/>
          </cell>
          <cell r="Y1150" t="str">
            <v/>
          </cell>
          <cell r="Z1150" t="str">
            <v/>
          </cell>
        </row>
        <row r="1151">
          <cell r="V1151" t="str">
            <v/>
          </cell>
          <cell r="W1151" t="str">
            <v/>
          </cell>
          <cell r="Y1151" t="str">
            <v/>
          </cell>
          <cell r="Z1151" t="str">
            <v/>
          </cell>
        </row>
        <row r="1152">
          <cell r="V1152" t="str">
            <v/>
          </cell>
          <cell r="W1152" t="str">
            <v/>
          </cell>
          <cell r="Y1152" t="str">
            <v/>
          </cell>
          <cell r="Z1152" t="str">
            <v/>
          </cell>
        </row>
        <row r="1153">
          <cell r="V1153" t="str">
            <v/>
          </cell>
          <cell r="W1153" t="str">
            <v/>
          </cell>
          <cell r="Y1153" t="str">
            <v/>
          </cell>
          <cell r="Z1153" t="str">
            <v/>
          </cell>
        </row>
        <row r="1154">
          <cell r="V1154" t="str">
            <v/>
          </cell>
          <cell r="W1154" t="str">
            <v/>
          </cell>
          <cell r="Y1154" t="str">
            <v/>
          </cell>
          <cell r="Z1154" t="str">
            <v/>
          </cell>
        </row>
        <row r="1155">
          <cell r="V1155" t="str">
            <v/>
          </cell>
          <cell r="W1155" t="str">
            <v/>
          </cell>
          <cell r="Y1155" t="str">
            <v/>
          </cell>
          <cell r="Z1155" t="str">
            <v/>
          </cell>
        </row>
        <row r="1156">
          <cell r="V1156" t="str">
            <v/>
          </cell>
          <cell r="W1156" t="str">
            <v/>
          </cell>
          <cell r="Y1156" t="str">
            <v/>
          </cell>
          <cell r="Z1156" t="str">
            <v/>
          </cell>
        </row>
        <row r="1157">
          <cell r="V1157" t="str">
            <v/>
          </cell>
          <cell r="W1157" t="str">
            <v/>
          </cell>
          <cell r="Y1157" t="str">
            <v/>
          </cell>
          <cell r="Z1157" t="str">
            <v/>
          </cell>
        </row>
        <row r="1158">
          <cell r="V1158" t="str">
            <v/>
          </cell>
          <cell r="W1158" t="str">
            <v/>
          </cell>
          <cell r="Y1158" t="str">
            <v/>
          </cell>
          <cell r="Z1158" t="str">
            <v/>
          </cell>
        </row>
        <row r="1159">
          <cell r="V1159" t="str">
            <v/>
          </cell>
          <cell r="W1159" t="str">
            <v/>
          </cell>
          <cell r="Y1159" t="str">
            <v/>
          </cell>
          <cell r="Z1159" t="str">
            <v/>
          </cell>
        </row>
        <row r="1160">
          <cell r="V1160" t="str">
            <v/>
          </cell>
          <cell r="W1160" t="str">
            <v/>
          </cell>
          <cell r="Y1160" t="str">
            <v/>
          </cell>
          <cell r="Z1160" t="str">
            <v/>
          </cell>
        </row>
        <row r="1161">
          <cell r="V1161" t="str">
            <v/>
          </cell>
          <cell r="W1161" t="str">
            <v/>
          </cell>
          <cell r="Y1161" t="str">
            <v/>
          </cell>
          <cell r="Z1161" t="str">
            <v/>
          </cell>
        </row>
        <row r="1162">
          <cell r="V1162" t="str">
            <v/>
          </cell>
          <cell r="W1162" t="str">
            <v/>
          </cell>
          <cell r="Y1162" t="str">
            <v/>
          </cell>
          <cell r="Z1162" t="str">
            <v/>
          </cell>
        </row>
        <row r="1163">
          <cell r="V1163" t="str">
            <v/>
          </cell>
          <cell r="W1163" t="str">
            <v/>
          </cell>
          <cell r="Y1163" t="str">
            <v/>
          </cell>
          <cell r="Z1163" t="str">
            <v/>
          </cell>
        </row>
        <row r="1164">
          <cell r="V1164" t="str">
            <v/>
          </cell>
          <cell r="W1164" t="str">
            <v/>
          </cell>
          <cell r="Y1164" t="str">
            <v/>
          </cell>
          <cell r="Z1164" t="str">
            <v/>
          </cell>
        </row>
        <row r="1165">
          <cell r="V1165" t="str">
            <v/>
          </cell>
          <cell r="W1165" t="str">
            <v/>
          </cell>
          <cell r="Y1165" t="str">
            <v/>
          </cell>
          <cell r="Z1165" t="str">
            <v/>
          </cell>
        </row>
        <row r="1166">
          <cell r="V1166" t="str">
            <v/>
          </cell>
          <cell r="W1166" t="str">
            <v/>
          </cell>
          <cell r="Y1166" t="str">
            <v/>
          </cell>
          <cell r="Z1166" t="str">
            <v/>
          </cell>
        </row>
        <row r="1167">
          <cell r="V1167" t="str">
            <v/>
          </cell>
          <cell r="W1167" t="str">
            <v/>
          </cell>
          <cell r="Y1167" t="str">
            <v/>
          </cell>
          <cell r="Z1167" t="str">
            <v/>
          </cell>
        </row>
        <row r="1168">
          <cell r="V1168" t="str">
            <v/>
          </cell>
          <cell r="W1168" t="str">
            <v/>
          </cell>
          <cell r="Y1168" t="str">
            <v/>
          </cell>
          <cell r="Z1168" t="str">
            <v/>
          </cell>
        </row>
        <row r="1169">
          <cell r="V1169" t="str">
            <v/>
          </cell>
          <cell r="W1169" t="str">
            <v/>
          </cell>
          <cell r="Y1169" t="str">
            <v/>
          </cell>
          <cell r="Z1169" t="str">
            <v/>
          </cell>
        </row>
        <row r="1170">
          <cell r="V1170" t="str">
            <v/>
          </cell>
          <cell r="W1170" t="str">
            <v/>
          </cell>
          <cell r="Y1170" t="str">
            <v/>
          </cell>
          <cell r="Z1170" t="str">
            <v/>
          </cell>
        </row>
        <row r="1171">
          <cell r="V1171" t="str">
            <v/>
          </cell>
          <cell r="W1171" t="str">
            <v/>
          </cell>
          <cell r="Y1171" t="str">
            <v/>
          </cell>
          <cell r="Z1171" t="str">
            <v/>
          </cell>
        </row>
        <row r="1172">
          <cell r="V1172" t="str">
            <v/>
          </cell>
          <cell r="W1172" t="str">
            <v/>
          </cell>
          <cell r="Y1172" t="str">
            <v/>
          </cell>
          <cell r="Z1172" t="str">
            <v/>
          </cell>
        </row>
        <row r="1173">
          <cell r="V1173" t="str">
            <v/>
          </cell>
          <cell r="W1173" t="str">
            <v/>
          </cell>
          <cell r="Y1173" t="str">
            <v/>
          </cell>
          <cell r="Z1173" t="str">
            <v/>
          </cell>
        </row>
        <row r="1174">
          <cell r="V1174" t="str">
            <v/>
          </cell>
          <cell r="W1174" t="str">
            <v/>
          </cell>
          <cell r="Y1174" t="str">
            <v/>
          </cell>
          <cell r="Z1174" t="str">
            <v/>
          </cell>
        </row>
        <row r="1175">
          <cell r="V1175" t="str">
            <v/>
          </cell>
          <cell r="W1175" t="str">
            <v/>
          </cell>
          <cell r="Y1175" t="str">
            <v/>
          </cell>
          <cell r="Z1175" t="str">
            <v/>
          </cell>
        </row>
        <row r="1176">
          <cell r="V1176" t="str">
            <v/>
          </cell>
          <cell r="W1176" t="str">
            <v/>
          </cell>
          <cell r="Y1176" t="str">
            <v/>
          </cell>
          <cell r="Z1176" t="str">
            <v/>
          </cell>
        </row>
        <row r="1177">
          <cell r="V1177" t="str">
            <v/>
          </cell>
          <cell r="W1177" t="str">
            <v/>
          </cell>
          <cell r="Y1177" t="str">
            <v/>
          </cell>
          <cell r="Z1177" t="str">
            <v/>
          </cell>
        </row>
        <row r="1178">
          <cell r="V1178" t="str">
            <v/>
          </cell>
          <cell r="W1178" t="str">
            <v/>
          </cell>
          <cell r="Y1178" t="str">
            <v/>
          </cell>
          <cell r="Z1178" t="str">
            <v/>
          </cell>
        </row>
        <row r="1179">
          <cell r="V1179" t="str">
            <v/>
          </cell>
          <cell r="W1179" t="str">
            <v/>
          </cell>
          <cell r="Y1179" t="str">
            <v/>
          </cell>
          <cell r="Z1179" t="str">
            <v/>
          </cell>
        </row>
        <row r="1180">
          <cell r="V1180" t="str">
            <v/>
          </cell>
          <cell r="W1180" t="str">
            <v/>
          </cell>
          <cell r="Y1180" t="str">
            <v/>
          </cell>
          <cell r="Z1180" t="str">
            <v/>
          </cell>
        </row>
        <row r="1181">
          <cell r="V1181" t="str">
            <v/>
          </cell>
          <cell r="W1181" t="str">
            <v/>
          </cell>
          <cell r="Y1181" t="str">
            <v/>
          </cell>
          <cell r="Z1181" t="str">
            <v/>
          </cell>
        </row>
        <row r="1182">
          <cell r="V1182" t="str">
            <v/>
          </cell>
          <cell r="W1182" t="str">
            <v/>
          </cell>
          <cell r="Y1182" t="str">
            <v/>
          </cell>
          <cell r="Z1182" t="str">
            <v/>
          </cell>
        </row>
        <row r="1183">
          <cell r="V1183" t="str">
            <v/>
          </cell>
          <cell r="W1183" t="str">
            <v/>
          </cell>
          <cell r="Y1183" t="str">
            <v/>
          </cell>
          <cell r="Z1183" t="str">
            <v/>
          </cell>
        </row>
        <row r="1184">
          <cell r="V1184" t="str">
            <v/>
          </cell>
          <cell r="W1184" t="str">
            <v/>
          </cell>
          <cell r="Y1184" t="str">
            <v/>
          </cell>
          <cell r="Z1184" t="str">
            <v/>
          </cell>
        </row>
        <row r="1185">
          <cell r="V1185" t="str">
            <v/>
          </cell>
          <cell r="W1185" t="str">
            <v/>
          </cell>
          <cell r="Y1185" t="str">
            <v/>
          </cell>
          <cell r="Z1185" t="str">
            <v/>
          </cell>
        </row>
        <row r="1186">
          <cell r="V1186" t="str">
            <v/>
          </cell>
          <cell r="W1186" t="str">
            <v/>
          </cell>
          <cell r="Y1186" t="str">
            <v/>
          </cell>
          <cell r="Z1186" t="str">
            <v/>
          </cell>
        </row>
        <row r="1187">
          <cell r="V1187" t="str">
            <v/>
          </cell>
          <cell r="W1187" t="str">
            <v/>
          </cell>
          <cell r="Y1187" t="str">
            <v/>
          </cell>
          <cell r="Z1187" t="str">
            <v/>
          </cell>
        </row>
        <row r="1188">
          <cell r="V1188" t="str">
            <v/>
          </cell>
          <cell r="W1188" t="str">
            <v/>
          </cell>
          <cell r="Y1188" t="str">
            <v/>
          </cell>
          <cell r="Z1188" t="str">
            <v/>
          </cell>
        </row>
        <row r="1189">
          <cell r="V1189" t="str">
            <v/>
          </cell>
          <cell r="W1189" t="str">
            <v/>
          </cell>
          <cell r="Y1189" t="str">
            <v/>
          </cell>
          <cell r="Z1189" t="str">
            <v/>
          </cell>
        </row>
        <row r="1190">
          <cell r="V1190" t="str">
            <v/>
          </cell>
          <cell r="W1190" t="str">
            <v/>
          </cell>
          <cell r="Y1190" t="str">
            <v/>
          </cell>
          <cell r="Z1190" t="str">
            <v/>
          </cell>
        </row>
        <row r="1191">
          <cell r="V1191" t="str">
            <v/>
          </cell>
          <cell r="W1191" t="str">
            <v/>
          </cell>
          <cell r="Y1191" t="str">
            <v/>
          </cell>
          <cell r="Z1191" t="str">
            <v/>
          </cell>
        </row>
        <row r="1192">
          <cell r="V1192" t="str">
            <v/>
          </cell>
          <cell r="W1192" t="str">
            <v/>
          </cell>
          <cell r="Y1192" t="str">
            <v/>
          </cell>
          <cell r="Z1192" t="str">
            <v/>
          </cell>
        </row>
        <row r="1193">
          <cell r="V1193" t="str">
            <v/>
          </cell>
          <cell r="W1193" t="str">
            <v/>
          </cell>
          <cell r="Y1193" t="str">
            <v/>
          </cell>
          <cell r="Z1193" t="str">
            <v/>
          </cell>
        </row>
        <row r="1194">
          <cell r="V1194" t="str">
            <v/>
          </cell>
          <cell r="W1194" t="str">
            <v/>
          </cell>
          <cell r="Y1194" t="str">
            <v/>
          </cell>
          <cell r="Z1194" t="str">
            <v/>
          </cell>
        </row>
        <row r="1195">
          <cell r="V1195" t="str">
            <v/>
          </cell>
          <cell r="W1195" t="str">
            <v/>
          </cell>
          <cell r="Y1195" t="str">
            <v/>
          </cell>
          <cell r="Z1195" t="str">
            <v/>
          </cell>
        </row>
        <row r="1196">
          <cell r="V1196" t="str">
            <v/>
          </cell>
          <cell r="W1196" t="str">
            <v/>
          </cell>
          <cell r="Y1196" t="str">
            <v/>
          </cell>
          <cell r="Z1196" t="str">
            <v/>
          </cell>
        </row>
        <row r="1197">
          <cell r="V1197" t="str">
            <v/>
          </cell>
          <cell r="W1197" t="str">
            <v/>
          </cell>
          <cell r="Y1197" t="str">
            <v/>
          </cell>
          <cell r="Z1197" t="str">
            <v/>
          </cell>
        </row>
        <row r="1198">
          <cell r="V1198" t="str">
            <v/>
          </cell>
          <cell r="W1198" t="str">
            <v/>
          </cell>
          <cell r="Y1198" t="str">
            <v/>
          </cell>
          <cell r="Z1198" t="str">
            <v/>
          </cell>
        </row>
        <row r="1199">
          <cell r="V1199" t="str">
            <v/>
          </cell>
          <cell r="W1199" t="str">
            <v/>
          </cell>
          <cell r="Y1199" t="str">
            <v/>
          </cell>
          <cell r="Z1199" t="str">
            <v/>
          </cell>
        </row>
        <row r="1200">
          <cell r="V1200" t="str">
            <v/>
          </cell>
          <cell r="W1200" t="str">
            <v/>
          </cell>
          <cell r="Y1200" t="str">
            <v/>
          </cell>
          <cell r="Z1200" t="str">
            <v/>
          </cell>
        </row>
        <row r="1201">
          <cell r="V1201" t="str">
            <v/>
          </cell>
          <cell r="W1201" t="str">
            <v/>
          </cell>
          <cell r="Y1201" t="str">
            <v/>
          </cell>
          <cell r="Z1201" t="str">
            <v/>
          </cell>
        </row>
        <row r="1202">
          <cell r="V1202" t="str">
            <v/>
          </cell>
          <cell r="W1202" t="str">
            <v/>
          </cell>
          <cell r="Y1202" t="str">
            <v/>
          </cell>
          <cell r="Z1202" t="str">
            <v/>
          </cell>
        </row>
        <row r="1203">
          <cell r="V1203" t="str">
            <v/>
          </cell>
          <cell r="W1203" t="str">
            <v/>
          </cell>
          <cell r="Y1203" t="str">
            <v/>
          </cell>
          <cell r="Z1203" t="str">
            <v/>
          </cell>
        </row>
        <row r="1204">
          <cell r="V1204" t="str">
            <v/>
          </cell>
          <cell r="W1204" t="str">
            <v/>
          </cell>
          <cell r="Y1204" t="str">
            <v/>
          </cell>
          <cell r="Z1204" t="str">
            <v/>
          </cell>
        </row>
        <row r="1205">
          <cell r="V1205" t="str">
            <v/>
          </cell>
          <cell r="W1205" t="str">
            <v/>
          </cell>
          <cell r="Y1205" t="str">
            <v/>
          </cell>
          <cell r="Z1205" t="str">
            <v/>
          </cell>
        </row>
        <row r="1206">
          <cell r="V1206" t="str">
            <v/>
          </cell>
          <cell r="W1206" t="str">
            <v/>
          </cell>
          <cell r="Y1206" t="str">
            <v/>
          </cell>
          <cell r="Z1206" t="str">
            <v/>
          </cell>
        </row>
        <row r="1207">
          <cell r="V1207" t="str">
            <v/>
          </cell>
          <cell r="W1207" t="str">
            <v/>
          </cell>
          <cell r="Y1207" t="str">
            <v/>
          </cell>
          <cell r="Z1207" t="str">
            <v/>
          </cell>
        </row>
        <row r="1208">
          <cell r="V1208" t="str">
            <v/>
          </cell>
          <cell r="W1208" t="str">
            <v/>
          </cell>
          <cell r="Y1208" t="str">
            <v/>
          </cell>
          <cell r="Z1208" t="str">
            <v/>
          </cell>
        </row>
        <row r="1209">
          <cell r="V1209" t="str">
            <v/>
          </cell>
          <cell r="W1209" t="str">
            <v/>
          </cell>
          <cell r="Y1209" t="str">
            <v/>
          </cell>
          <cell r="Z1209" t="str">
            <v/>
          </cell>
        </row>
        <row r="1210">
          <cell r="V1210" t="str">
            <v/>
          </cell>
          <cell r="W1210" t="str">
            <v/>
          </cell>
          <cell r="Y1210" t="str">
            <v/>
          </cell>
          <cell r="Z1210" t="str">
            <v/>
          </cell>
        </row>
        <row r="1211">
          <cell r="V1211" t="str">
            <v/>
          </cell>
          <cell r="W1211" t="str">
            <v/>
          </cell>
          <cell r="Y1211" t="str">
            <v/>
          </cell>
          <cell r="Z1211" t="str">
            <v/>
          </cell>
        </row>
        <row r="1212">
          <cell r="V1212" t="str">
            <v/>
          </cell>
          <cell r="W1212" t="str">
            <v/>
          </cell>
          <cell r="Y1212" t="str">
            <v/>
          </cell>
          <cell r="Z1212" t="str">
            <v/>
          </cell>
        </row>
        <row r="1213">
          <cell r="V1213" t="str">
            <v/>
          </cell>
          <cell r="W1213" t="str">
            <v/>
          </cell>
          <cell r="Y1213" t="str">
            <v/>
          </cell>
          <cell r="Z1213" t="str">
            <v/>
          </cell>
        </row>
        <row r="1214">
          <cell r="V1214" t="str">
            <v/>
          </cell>
          <cell r="W1214" t="str">
            <v/>
          </cell>
          <cell r="Y1214" t="str">
            <v/>
          </cell>
          <cell r="Z1214" t="str">
            <v/>
          </cell>
        </row>
        <row r="1215">
          <cell r="V1215" t="str">
            <v/>
          </cell>
          <cell r="W1215" t="str">
            <v/>
          </cell>
          <cell r="Y1215" t="str">
            <v/>
          </cell>
          <cell r="Z1215" t="str">
            <v/>
          </cell>
        </row>
        <row r="1216">
          <cell r="V1216" t="str">
            <v/>
          </cell>
          <cell r="W1216" t="str">
            <v/>
          </cell>
          <cell r="Y1216" t="str">
            <v/>
          </cell>
          <cell r="Z1216" t="str">
            <v/>
          </cell>
        </row>
        <row r="1217">
          <cell r="V1217" t="str">
            <v/>
          </cell>
          <cell r="W1217" t="str">
            <v/>
          </cell>
          <cell r="Y1217" t="str">
            <v/>
          </cell>
          <cell r="Z1217" t="str">
            <v/>
          </cell>
        </row>
        <row r="1218">
          <cell r="V1218" t="str">
            <v/>
          </cell>
          <cell r="W1218" t="str">
            <v/>
          </cell>
          <cell r="Y1218" t="str">
            <v/>
          </cell>
          <cell r="Z1218" t="str">
            <v/>
          </cell>
        </row>
        <row r="1219">
          <cell r="V1219" t="str">
            <v/>
          </cell>
          <cell r="W1219" t="str">
            <v/>
          </cell>
          <cell r="Y1219" t="str">
            <v/>
          </cell>
          <cell r="Z1219" t="str">
            <v/>
          </cell>
        </row>
        <row r="1220">
          <cell r="V1220" t="str">
            <v/>
          </cell>
          <cell r="W1220" t="str">
            <v/>
          </cell>
          <cell r="Y1220" t="str">
            <v/>
          </cell>
          <cell r="Z1220" t="str">
            <v/>
          </cell>
        </row>
        <row r="1221">
          <cell r="V1221" t="str">
            <v/>
          </cell>
          <cell r="W1221" t="str">
            <v/>
          </cell>
          <cell r="Y1221" t="str">
            <v/>
          </cell>
          <cell r="Z1221" t="str">
            <v/>
          </cell>
        </row>
        <row r="1222">
          <cell r="V1222" t="str">
            <v/>
          </cell>
          <cell r="W1222" t="str">
            <v/>
          </cell>
          <cell r="Y1222" t="str">
            <v/>
          </cell>
          <cell r="Z1222" t="str">
            <v/>
          </cell>
        </row>
        <row r="1223">
          <cell r="V1223" t="str">
            <v/>
          </cell>
          <cell r="W1223" t="str">
            <v/>
          </cell>
          <cell r="Y1223" t="str">
            <v/>
          </cell>
          <cell r="Z1223" t="str">
            <v/>
          </cell>
        </row>
        <row r="1224">
          <cell r="V1224" t="str">
            <v/>
          </cell>
          <cell r="W1224" t="str">
            <v/>
          </cell>
          <cell r="Y1224" t="str">
            <v/>
          </cell>
          <cell r="Z1224" t="str">
            <v/>
          </cell>
        </row>
        <row r="1225">
          <cell r="V1225" t="str">
            <v/>
          </cell>
          <cell r="W1225" t="str">
            <v/>
          </cell>
          <cell r="Y1225" t="str">
            <v/>
          </cell>
          <cell r="Z1225" t="str">
            <v/>
          </cell>
        </row>
        <row r="1226">
          <cell r="V1226" t="str">
            <v/>
          </cell>
          <cell r="W1226" t="str">
            <v/>
          </cell>
          <cell r="Y1226" t="str">
            <v/>
          </cell>
          <cell r="Z1226" t="str">
            <v/>
          </cell>
        </row>
        <row r="1227">
          <cell r="V1227" t="str">
            <v/>
          </cell>
          <cell r="W1227" t="str">
            <v/>
          </cell>
          <cell r="Y1227" t="str">
            <v/>
          </cell>
          <cell r="Z1227" t="str">
            <v/>
          </cell>
        </row>
        <row r="1228">
          <cell r="V1228" t="str">
            <v/>
          </cell>
          <cell r="W1228" t="str">
            <v/>
          </cell>
          <cell r="Y1228" t="str">
            <v/>
          </cell>
          <cell r="Z1228" t="str">
            <v/>
          </cell>
        </row>
        <row r="1229">
          <cell r="V1229" t="str">
            <v/>
          </cell>
          <cell r="W1229" t="str">
            <v/>
          </cell>
          <cell r="Y1229" t="str">
            <v/>
          </cell>
          <cell r="Z1229" t="str">
            <v/>
          </cell>
        </row>
        <row r="1230">
          <cell r="V1230" t="str">
            <v/>
          </cell>
          <cell r="W1230" t="str">
            <v/>
          </cell>
          <cell r="Y1230" t="str">
            <v/>
          </cell>
          <cell r="Z1230" t="str">
            <v/>
          </cell>
        </row>
        <row r="1231">
          <cell r="V1231" t="str">
            <v/>
          </cell>
          <cell r="W1231" t="str">
            <v/>
          </cell>
          <cell r="Y1231" t="str">
            <v/>
          </cell>
          <cell r="Z1231" t="str">
            <v/>
          </cell>
        </row>
        <row r="1232">
          <cell r="V1232" t="str">
            <v/>
          </cell>
          <cell r="W1232" t="str">
            <v/>
          </cell>
          <cell r="Y1232" t="str">
            <v/>
          </cell>
          <cell r="Z1232" t="str">
            <v/>
          </cell>
        </row>
        <row r="1233">
          <cell r="V1233" t="str">
            <v/>
          </cell>
          <cell r="W1233" t="str">
            <v/>
          </cell>
          <cell r="Y1233" t="str">
            <v/>
          </cell>
          <cell r="Z1233" t="str">
            <v/>
          </cell>
        </row>
        <row r="1234">
          <cell r="V1234" t="str">
            <v/>
          </cell>
          <cell r="W1234" t="str">
            <v/>
          </cell>
          <cell r="Y1234" t="str">
            <v/>
          </cell>
          <cell r="Z1234" t="str">
            <v/>
          </cell>
        </row>
        <row r="1235">
          <cell r="V1235" t="str">
            <v/>
          </cell>
          <cell r="W1235" t="str">
            <v/>
          </cell>
          <cell r="Y1235" t="str">
            <v/>
          </cell>
          <cell r="Z1235" t="str">
            <v/>
          </cell>
        </row>
        <row r="1236">
          <cell r="V1236" t="str">
            <v/>
          </cell>
          <cell r="W1236" t="str">
            <v/>
          </cell>
          <cell r="Y1236" t="str">
            <v/>
          </cell>
          <cell r="Z1236" t="str">
            <v/>
          </cell>
        </row>
        <row r="1237">
          <cell r="V1237" t="str">
            <v/>
          </cell>
          <cell r="W1237" t="str">
            <v/>
          </cell>
          <cell r="Y1237" t="str">
            <v/>
          </cell>
          <cell r="Z1237" t="str">
            <v/>
          </cell>
        </row>
        <row r="1238">
          <cell r="V1238" t="str">
            <v/>
          </cell>
          <cell r="W1238" t="str">
            <v/>
          </cell>
          <cell r="Y1238" t="str">
            <v/>
          </cell>
          <cell r="Z1238" t="str">
            <v/>
          </cell>
        </row>
        <row r="1239">
          <cell r="V1239" t="str">
            <v/>
          </cell>
          <cell r="W1239" t="str">
            <v/>
          </cell>
          <cell r="Y1239" t="str">
            <v/>
          </cell>
          <cell r="Z1239" t="str">
            <v/>
          </cell>
        </row>
        <row r="1240">
          <cell r="V1240" t="str">
            <v/>
          </cell>
          <cell r="W1240" t="str">
            <v/>
          </cell>
          <cell r="Y1240" t="str">
            <v/>
          </cell>
          <cell r="Z1240" t="str">
            <v/>
          </cell>
        </row>
        <row r="1241">
          <cell r="V1241" t="str">
            <v/>
          </cell>
          <cell r="W1241" t="str">
            <v/>
          </cell>
          <cell r="Y1241" t="str">
            <v/>
          </cell>
          <cell r="Z1241" t="str">
            <v/>
          </cell>
        </row>
        <row r="1242">
          <cell r="V1242" t="str">
            <v/>
          </cell>
          <cell r="W1242" t="str">
            <v/>
          </cell>
          <cell r="Y1242" t="str">
            <v/>
          </cell>
          <cell r="Z1242" t="str">
            <v/>
          </cell>
        </row>
        <row r="1243">
          <cell r="V1243" t="str">
            <v/>
          </cell>
          <cell r="W1243" t="str">
            <v/>
          </cell>
          <cell r="Y1243" t="str">
            <v/>
          </cell>
          <cell r="Z1243" t="str">
            <v/>
          </cell>
        </row>
        <row r="1244">
          <cell r="V1244" t="str">
            <v/>
          </cell>
          <cell r="W1244" t="str">
            <v/>
          </cell>
          <cell r="Y1244" t="str">
            <v/>
          </cell>
          <cell r="Z1244" t="str">
            <v/>
          </cell>
        </row>
        <row r="1245">
          <cell r="V1245" t="str">
            <v/>
          </cell>
          <cell r="W1245" t="str">
            <v/>
          </cell>
          <cell r="Y1245" t="str">
            <v/>
          </cell>
          <cell r="Z1245" t="str">
            <v/>
          </cell>
        </row>
        <row r="1246">
          <cell r="V1246" t="str">
            <v/>
          </cell>
          <cell r="W1246" t="str">
            <v/>
          </cell>
          <cell r="Y1246" t="str">
            <v/>
          </cell>
          <cell r="Z1246" t="str">
            <v/>
          </cell>
        </row>
        <row r="1247">
          <cell r="V1247" t="str">
            <v/>
          </cell>
          <cell r="W1247" t="str">
            <v/>
          </cell>
          <cell r="Y1247" t="str">
            <v/>
          </cell>
          <cell r="Z1247" t="str">
            <v/>
          </cell>
        </row>
        <row r="1248">
          <cell r="V1248" t="str">
            <v/>
          </cell>
          <cell r="W1248" t="str">
            <v/>
          </cell>
          <cell r="Y1248" t="str">
            <v/>
          </cell>
          <cell r="Z1248" t="str">
            <v/>
          </cell>
        </row>
        <row r="1249">
          <cell r="V1249" t="str">
            <v/>
          </cell>
          <cell r="W1249" t="str">
            <v/>
          </cell>
          <cell r="Y1249" t="str">
            <v/>
          </cell>
          <cell r="Z1249" t="str">
            <v/>
          </cell>
        </row>
        <row r="1250">
          <cell r="V1250" t="str">
            <v/>
          </cell>
          <cell r="W1250" t="str">
            <v/>
          </cell>
          <cell r="Y1250" t="str">
            <v/>
          </cell>
          <cell r="Z1250" t="str">
            <v/>
          </cell>
        </row>
        <row r="1251">
          <cell r="V1251" t="str">
            <v/>
          </cell>
          <cell r="W1251" t="str">
            <v/>
          </cell>
          <cell r="Y1251" t="str">
            <v/>
          </cell>
          <cell r="Z1251" t="str">
            <v/>
          </cell>
        </row>
        <row r="1252">
          <cell r="V1252" t="str">
            <v/>
          </cell>
          <cell r="W1252" t="str">
            <v/>
          </cell>
          <cell r="Y1252" t="str">
            <v/>
          </cell>
          <cell r="Z1252" t="str">
            <v/>
          </cell>
        </row>
        <row r="1253">
          <cell r="V1253" t="str">
            <v/>
          </cell>
          <cell r="W1253" t="str">
            <v/>
          </cell>
          <cell r="Y1253" t="str">
            <v/>
          </cell>
          <cell r="Z1253" t="str">
            <v/>
          </cell>
        </row>
        <row r="1254">
          <cell r="V1254" t="str">
            <v/>
          </cell>
          <cell r="W1254" t="str">
            <v/>
          </cell>
          <cell r="Y1254" t="str">
            <v/>
          </cell>
          <cell r="Z1254" t="str">
            <v/>
          </cell>
        </row>
        <row r="1255">
          <cell r="V1255" t="str">
            <v/>
          </cell>
          <cell r="W1255" t="str">
            <v/>
          </cell>
          <cell r="Y1255" t="str">
            <v/>
          </cell>
          <cell r="Z1255" t="str">
            <v/>
          </cell>
        </row>
        <row r="1256">
          <cell r="V1256" t="str">
            <v/>
          </cell>
          <cell r="W1256" t="str">
            <v/>
          </cell>
          <cell r="Y1256" t="str">
            <v/>
          </cell>
          <cell r="Z1256" t="str">
            <v/>
          </cell>
        </row>
        <row r="1257">
          <cell r="V1257" t="str">
            <v/>
          </cell>
          <cell r="W1257" t="str">
            <v/>
          </cell>
          <cell r="Y1257" t="str">
            <v/>
          </cell>
          <cell r="Z1257" t="str">
            <v/>
          </cell>
        </row>
        <row r="1258">
          <cell r="V1258" t="str">
            <v/>
          </cell>
          <cell r="W1258" t="str">
            <v/>
          </cell>
          <cell r="Y1258" t="str">
            <v/>
          </cell>
          <cell r="Z1258" t="str">
            <v/>
          </cell>
        </row>
        <row r="1259">
          <cell r="V1259" t="str">
            <v/>
          </cell>
          <cell r="W1259" t="str">
            <v/>
          </cell>
          <cell r="Y1259" t="str">
            <v/>
          </cell>
          <cell r="Z1259" t="str">
            <v/>
          </cell>
        </row>
        <row r="1260">
          <cell r="V1260" t="str">
            <v/>
          </cell>
          <cell r="W1260" t="str">
            <v/>
          </cell>
          <cell r="Y1260" t="str">
            <v/>
          </cell>
          <cell r="Z1260" t="str">
            <v/>
          </cell>
        </row>
        <row r="1261">
          <cell r="V1261" t="str">
            <v/>
          </cell>
          <cell r="W1261" t="str">
            <v/>
          </cell>
          <cell r="Y1261" t="str">
            <v/>
          </cell>
          <cell r="Z1261" t="str">
            <v/>
          </cell>
        </row>
        <row r="1262">
          <cell r="V1262" t="str">
            <v/>
          </cell>
          <cell r="W1262" t="str">
            <v/>
          </cell>
          <cell r="Y1262" t="str">
            <v/>
          </cell>
          <cell r="Z1262" t="str">
            <v/>
          </cell>
        </row>
        <row r="1263">
          <cell r="V1263" t="str">
            <v/>
          </cell>
          <cell r="W1263" t="str">
            <v/>
          </cell>
          <cell r="Y1263" t="str">
            <v/>
          </cell>
          <cell r="Z1263" t="str">
            <v/>
          </cell>
        </row>
        <row r="1264">
          <cell r="V1264" t="str">
            <v/>
          </cell>
          <cell r="W1264" t="str">
            <v/>
          </cell>
          <cell r="Y1264" t="str">
            <v/>
          </cell>
          <cell r="Z1264" t="str">
            <v/>
          </cell>
        </row>
        <row r="1265">
          <cell r="V1265" t="str">
            <v/>
          </cell>
          <cell r="W1265" t="str">
            <v/>
          </cell>
          <cell r="Y1265" t="str">
            <v/>
          </cell>
          <cell r="Z1265" t="str">
            <v/>
          </cell>
        </row>
        <row r="1266">
          <cell r="V1266" t="str">
            <v/>
          </cell>
          <cell r="W1266" t="str">
            <v/>
          </cell>
          <cell r="Y1266" t="str">
            <v/>
          </cell>
          <cell r="Z1266" t="str">
            <v/>
          </cell>
        </row>
        <row r="1267">
          <cell r="V1267" t="str">
            <v/>
          </cell>
          <cell r="W1267" t="str">
            <v/>
          </cell>
          <cell r="Y1267" t="str">
            <v/>
          </cell>
          <cell r="Z1267" t="str">
            <v/>
          </cell>
        </row>
        <row r="1268">
          <cell r="V1268" t="str">
            <v/>
          </cell>
          <cell r="W1268" t="str">
            <v/>
          </cell>
          <cell r="Y1268" t="str">
            <v/>
          </cell>
          <cell r="Z1268" t="str">
            <v/>
          </cell>
        </row>
        <row r="1269">
          <cell r="V1269" t="str">
            <v/>
          </cell>
          <cell r="W1269" t="str">
            <v/>
          </cell>
          <cell r="Y1269" t="str">
            <v/>
          </cell>
          <cell r="Z1269" t="str">
            <v/>
          </cell>
        </row>
        <row r="1270">
          <cell r="V1270" t="str">
            <v/>
          </cell>
          <cell r="W1270" t="str">
            <v/>
          </cell>
          <cell r="Y1270" t="str">
            <v/>
          </cell>
          <cell r="Z1270" t="str">
            <v/>
          </cell>
        </row>
        <row r="1271">
          <cell r="V1271" t="str">
            <v/>
          </cell>
          <cell r="W1271" t="str">
            <v/>
          </cell>
          <cell r="Y1271" t="str">
            <v/>
          </cell>
          <cell r="Z1271" t="str">
            <v/>
          </cell>
        </row>
        <row r="1272">
          <cell r="V1272" t="str">
            <v/>
          </cell>
          <cell r="W1272" t="str">
            <v/>
          </cell>
          <cell r="Y1272" t="str">
            <v/>
          </cell>
          <cell r="Z1272" t="str">
            <v/>
          </cell>
        </row>
        <row r="1273">
          <cell r="V1273" t="str">
            <v/>
          </cell>
          <cell r="W1273" t="str">
            <v/>
          </cell>
          <cell r="Y1273" t="str">
            <v/>
          </cell>
          <cell r="Z1273" t="str">
            <v/>
          </cell>
        </row>
        <row r="1274">
          <cell r="V1274" t="str">
            <v/>
          </cell>
          <cell r="W1274" t="str">
            <v/>
          </cell>
          <cell r="Y1274" t="str">
            <v/>
          </cell>
          <cell r="Z1274" t="str">
            <v/>
          </cell>
        </row>
        <row r="1275">
          <cell r="V1275" t="str">
            <v/>
          </cell>
          <cell r="W1275" t="str">
            <v/>
          </cell>
          <cell r="Y1275" t="str">
            <v/>
          </cell>
          <cell r="Z1275" t="str">
            <v/>
          </cell>
        </row>
        <row r="1276">
          <cell r="V1276" t="str">
            <v/>
          </cell>
          <cell r="W1276" t="str">
            <v/>
          </cell>
          <cell r="Y1276" t="str">
            <v/>
          </cell>
          <cell r="Z1276" t="str">
            <v/>
          </cell>
        </row>
        <row r="1277">
          <cell r="V1277" t="str">
            <v/>
          </cell>
          <cell r="W1277" t="str">
            <v/>
          </cell>
          <cell r="Y1277" t="str">
            <v/>
          </cell>
          <cell r="Z1277" t="str">
            <v/>
          </cell>
        </row>
        <row r="1278">
          <cell r="V1278" t="str">
            <v/>
          </cell>
          <cell r="W1278" t="str">
            <v/>
          </cell>
          <cell r="Y1278" t="str">
            <v/>
          </cell>
          <cell r="Z1278" t="str">
            <v/>
          </cell>
        </row>
        <row r="1279">
          <cell r="V1279" t="str">
            <v/>
          </cell>
          <cell r="W1279" t="str">
            <v/>
          </cell>
          <cell r="Y1279" t="str">
            <v/>
          </cell>
          <cell r="Z1279" t="str">
            <v/>
          </cell>
        </row>
        <row r="1280">
          <cell r="V1280" t="str">
            <v/>
          </cell>
          <cell r="W1280" t="str">
            <v/>
          </cell>
          <cell r="Y1280" t="str">
            <v/>
          </cell>
          <cell r="Z1280" t="str">
            <v/>
          </cell>
        </row>
        <row r="1281">
          <cell r="V1281" t="str">
            <v/>
          </cell>
          <cell r="W1281" t="str">
            <v/>
          </cell>
          <cell r="Y1281" t="str">
            <v/>
          </cell>
          <cell r="Z1281" t="str">
            <v/>
          </cell>
        </row>
        <row r="1282">
          <cell r="V1282" t="str">
            <v/>
          </cell>
          <cell r="W1282" t="str">
            <v/>
          </cell>
          <cell r="Y1282" t="str">
            <v/>
          </cell>
          <cell r="Z1282" t="str">
            <v/>
          </cell>
        </row>
        <row r="1283">
          <cell r="V1283" t="str">
            <v/>
          </cell>
          <cell r="W1283" t="str">
            <v/>
          </cell>
          <cell r="Y1283" t="str">
            <v/>
          </cell>
          <cell r="Z1283" t="str">
            <v/>
          </cell>
        </row>
        <row r="1284">
          <cell r="V1284" t="str">
            <v/>
          </cell>
          <cell r="W1284" t="str">
            <v/>
          </cell>
          <cell r="Y1284" t="str">
            <v/>
          </cell>
          <cell r="Z1284" t="str">
            <v/>
          </cell>
        </row>
        <row r="1285">
          <cell r="V1285" t="str">
            <v/>
          </cell>
          <cell r="W1285" t="str">
            <v/>
          </cell>
          <cell r="Y1285" t="str">
            <v/>
          </cell>
          <cell r="Z1285" t="str">
            <v/>
          </cell>
        </row>
        <row r="1286">
          <cell r="V1286" t="str">
            <v/>
          </cell>
          <cell r="W1286" t="str">
            <v/>
          </cell>
          <cell r="Y1286" t="str">
            <v/>
          </cell>
          <cell r="Z1286" t="str">
            <v/>
          </cell>
        </row>
        <row r="1287">
          <cell r="V1287" t="str">
            <v/>
          </cell>
          <cell r="W1287" t="str">
            <v/>
          </cell>
          <cell r="Y1287" t="str">
            <v/>
          </cell>
          <cell r="Z1287" t="str">
            <v/>
          </cell>
        </row>
        <row r="1288">
          <cell r="V1288" t="str">
            <v/>
          </cell>
          <cell r="W1288" t="str">
            <v/>
          </cell>
          <cell r="Y1288" t="str">
            <v/>
          </cell>
          <cell r="Z1288" t="str">
            <v/>
          </cell>
        </row>
        <row r="1289">
          <cell r="V1289" t="str">
            <v/>
          </cell>
          <cell r="W1289" t="str">
            <v/>
          </cell>
          <cell r="Y1289" t="str">
            <v/>
          </cell>
          <cell r="Z1289" t="str">
            <v/>
          </cell>
        </row>
        <row r="1290">
          <cell r="V1290" t="str">
            <v/>
          </cell>
          <cell r="W1290" t="str">
            <v/>
          </cell>
          <cell r="Y1290" t="str">
            <v/>
          </cell>
          <cell r="Z1290" t="str">
            <v/>
          </cell>
        </row>
        <row r="1291">
          <cell r="V1291" t="str">
            <v/>
          </cell>
          <cell r="W1291" t="str">
            <v/>
          </cell>
          <cell r="Y1291" t="str">
            <v/>
          </cell>
          <cell r="Z1291" t="str">
            <v/>
          </cell>
        </row>
        <row r="1292">
          <cell r="V1292" t="str">
            <v/>
          </cell>
          <cell r="W1292" t="str">
            <v/>
          </cell>
          <cell r="Y1292" t="str">
            <v/>
          </cell>
          <cell r="Z1292" t="str">
            <v/>
          </cell>
        </row>
        <row r="1293">
          <cell r="V1293" t="str">
            <v/>
          </cell>
          <cell r="W1293" t="str">
            <v/>
          </cell>
          <cell r="Y1293" t="str">
            <v/>
          </cell>
          <cell r="Z1293" t="str">
            <v/>
          </cell>
        </row>
        <row r="1294">
          <cell r="V1294" t="str">
            <v/>
          </cell>
          <cell r="W1294" t="str">
            <v/>
          </cell>
          <cell r="Y1294" t="str">
            <v/>
          </cell>
          <cell r="Z1294" t="str">
            <v/>
          </cell>
        </row>
        <row r="1295">
          <cell r="V1295" t="str">
            <v/>
          </cell>
          <cell r="W1295" t="str">
            <v/>
          </cell>
          <cell r="Y1295" t="str">
            <v/>
          </cell>
          <cell r="Z1295" t="str">
            <v/>
          </cell>
        </row>
        <row r="1296">
          <cell r="V1296" t="str">
            <v/>
          </cell>
          <cell r="W1296" t="str">
            <v/>
          </cell>
          <cell r="Y1296" t="str">
            <v/>
          </cell>
          <cell r="Z1296" t="str">
            <v/>
          </cell>
        </row>
        <row r="1297">
          <cell r="V1297" t="str">
            <v/>
          </cell>
          <cell r="W1297" t="str">
            <v/>
          </cell>
          <cell r="Y1297" t="str">
            <v/>
          </cell>
          <cell r="Z1297" t="str">
            <v/>
          </cell>
        </row>
        <row r="1298">
          <cell r="V1298" t="str">
            <v/>
          </cell>
          <cell r="W1298" t="str">
            <v/>
          </cell>
          <cell r="Y1298" t="str">
            <v/>
          </cell>
          <cell r="Z1298" t="str">
            <v/>
          </cell>
        </row>
        <row r="1299">
          <cell r="V1299" t="str">
            <v/>
          </cell>
          <cell r="W1299" t="str">
            <v/>
          </cell>
          <cell r="Y1299" t="str">
            <v/>
          </cell>
          <cell r="Z1299" t="str">
            <v/>
          </cell>
        </row>
        <row r="1300">
          <cell r="V1300" t="str">
            <v/>
          </cell>
          <cell r="W1300" t="str">
            <v/>
          </cell>
          <cell r="Y1300" t="str">
            <v/>
          </cell>
          <cell r="Z1300" t="str">
            <v/>
          </cell>
        </row>
        <row r="1301">
          <cell r="V1301" t="str">
            <v/>
          </cell>
          <cell r="W1301" t="str">
            <v/>
          </cell>
          <cell r="Y1301" t="str">
            <v/>
          </cell>
          <cell r="Z1301" t="str">
            <v/>
          </cell>
        </row>
        <row r="1302">
          <cell r="V1302" t="str">
            <v/>
          </cell>
          <cell r="W1302" t="str">
            <v/>
          </cell>
          <cell r="Y1302" t="str">
            <v/>
          </cell>
          <cell r="Z1302" t="str">
            <v/>
          </cell>
        </row>
        <row r="1303">
          <cell r="V1303" t="str">
            <v/>
          </cell>
          <cell r="W1303" t="str">
            <v/>
          </cell>
          <cell r="Y1303" t="str">
            <v/>
          </cell>
          <cell r="Z1303" t="str">
            <v/>
          </cell>
        </row>
        <row r="1304">
          <cell r="V1304" t="str">
            <v/>
          </cell>
          <cell r="W1304" t="str">
            <v/>
          </cell>
          <cell r="Y1304" t="str">
            <v/>
          </cell>
          <cell r="Z1304" t="str">
            <v/>
          </cell>
        </row>
        <row r="1305">
          <cell r="V1305" t="str">
            <v/>
          </cell>
          <cell r="W1305" t="str">
            <v/>
          </cell>
          <cell r="Y1305" t="str">
            <v/>
          </cell>
          <cell r="Z1305" t="str">
            <v/>
          </cell>
        </row>
        <row r="1306">
          <cell r="V1306" t="str">
            <v/>
          </cell>
          <cell r="W1306" t="str">
            <v/>
          </cell>
          <cell r="Y1306" t="str">
            <v/>
          </cell>
          <cell r="Z1306" t="str">
            <v/>
          </cell>
        </row>
        <row r="1307">
          <cell r="V1307" t="str">
            <v/>
          </cell>
          <cell r="W1307" t="str">
            <v/>
          </cell>
          <cell r="Y1307" t="str">
            <v/>
          </cell>
          <cell r="Z1307" t="str">
            <v/>
          </cell>
        </row>
        <row r="1308">
          <cell r="V1308" t="str">
            <v/>
          </cell>
          <cell r="W1308" t="str">
            <v/>
          </cell>
          <cell r="Y1308" t="str">
            <v/>
          </cell>
          <cell r="Z1308" t="str">
            <v/>
          </cell>
        </row>
        <row r="1309">
          <cell r="V1309" t="str">
            <v/>
          </cell>
          <cell r="W1309" t="str">
            <v/>
          </cell>
          <cell r="Y1309" t="str">
            <v/>
          </cell>
          <cell r="Z1309" t="str">
            <v/>
          </cell>
        </row>
        <row r="1310">
          <cell r="V1310" t="str">
            <v/>
          </cell>
          <cell r="W1310" t="str">
            <v/>
          </cell>
          <cell r="Y1310" t="str">
            <v/>
          </cell>
          <cell r="Z1310" t="str">
            <v/>
          </cell>
        </row>
        <row r="1311">
          <cell r="V1311" t="str">
            <v/>
          </cell>
          <cell r="W1311" t="str">
            <v/>
          </cell>
          <cell r="Y1311" t="str">
            <v/>
          </cell>
          <cell r="Z1311" t="str">
            <v/>
          </cell>
        </row>
        <row r="1312">
          <cell r="V1312" t="str">
            <v/>
          </cell>
          <cell r="W1312" t="str">
            <v/>
          </cell>
          <cell r="Y1312" t="str">
            <v/>
          </cell>
          <cell r="Z1312" t="str">
            <v/>
          </cell>
        </row>
        <row r="1313">
          <cell r="V1313" t="str">
            <v/>
          </cell>
          <cell r="W1313" t="str">
            <v/>
          </cell>
          <cell r="Y1313" t="str">
            <v/>
          </cell>
          <cell r="Z1313" t="str">
            <v/>
          </cell>
        </row>
        <row r="1314">
          <cell r="V1314" t="str">
            <v/>
          </cell>
          <cell r="W1314" t="str">
            <v/>
          </cell>
          <cell r="Y1314" t="str">
            <v/>
          </cell>
          <cell r="Z1314" t="str">
            <v/>
          </cell>
        </row>
        <row r="1315">
          <cell r="V1315" t="str">
            <v/>
          </cell>
          <cell r="W1315" t="str">
            <v/>
          </cell>
          <cell r="Y1315" t="str">
            <v/>
          </cell>
          <cell r="Z1315" t="str">
            <v/>
          </cell>
        </row>
        <row r="1316">
          <cell r="V1316" t="str">
            <v/>
          </cell>
          <cell r="W1316" t="str">
            <v/>
          </cell>
          <cell r="Y1316" t="str">
            <v/>
          </cell>
          <cell r="Z1316" t="str">
            <v/>
          </cell>
        </row>
        <row r="1317">
          <cell r="V1317" t="str">
            <v/>
          </cell>
          <cell r="W1317" t="str">
            <v/>
          </cell>
          <cell r="Y1317" t="str">
            <v/>
          </cell>
          <cell r="Z1317" t="str">
            <v/>
          </cell>
        </row>
        <row r="1318">
          <cell r="V1318" t="str">
            <v/>
          </cell>
          <cell r="W1318" t="str">
            <v/>
          </cell>
          <cell r="Y1318" t="str">
            <v/>
          </cell>
          <cell r="Z1318" t="str">
            <v/>
          </cell>
        </row>
        <row r="1319">
          <cell r="V1319" t="str">
            <v/>
          </cell>
          <cell r="W1319" t="str">
            <v/>
          </cell>
          <cell r="Y1319" t="str">
            <v/>
          </cell>
          <cell r="Z1319" t="str">
            <v/>
          </cell>
        </row>
        <row r="1320">
          <cell r="V1320" t="str">
            <v/>
          </cell>
          <cell r="W1320" t="str">
            <v/>
          </cell>
          <cell r="Y1320" t="str">
            <v/>
          </cell>
          <cell r="Z1320" t="str">
            <v/>
          </cell>
        </row>
        <row r="1321">
          <cell r="V1321" t="str">
            <v/>
          </cell>
          <cell r="W1321" t="str">
            <v/>
          </cell>
          <cell r="Y1321" t="str">
            <v/>
          </cell>
          <cell r="Z1321" t="str">
            <v/>
          </cell>
        </row>
        <row r="1322">
          <cell r="V1322" t="str">
            <v/>
          </cell>
          <cell r="W1322" t="str">
            <v/>
          </cell>
          <cell r="Y1322" t="str">
            <v/>
          </cell>
          <cell r="Z1322" t="str">
            <v/>
          </cell>
        </row>
        <row r="1323">
          <cell r="V1323" t="str">
            <v/>
          </cell>
          <cell r="W1323" t="str">
            <v/>
          </cell>
          <cell r="Y1323" t="str">
            <v/>
          </cell>
          <cell r="Z1323" t="str">
            <v/>
          </cell>
        </row>
        <row r="1324">
          <cell r="V1324" t="str">
            <v/>
          </cell>
          <cell r="W1324" t="str">
            <v/>
          </cell>
          <cell r="Y1324" t="str">
            <v/>
          </cell>
          <cell r="Z1324" t="str">
            <v/>
          </cell>
        </row>
        <row r="1325">
          <cell r="V1325" t="str">
            <v/>
          </cell>
          <cell r="W1325" t="str">
            <v/>
          </cell>
          <cell r="Y1325" t="str">
            <v/>
          </cell>
          <cell r="Z1325" t="str">
            <v/>
          </cell>
        </row>
        <row r="1326">
          <cell r="V1326" t="str">
            <v/>
          </cell>
          <cell r="W1326" t="str">
            <v/>
          </cell>
          <cell r="Y1326" t="str">
            <v/>
          </cell>
          <cell r="Z1326" t="str">
            <v/>
          </cell>
        </row>
        <row r="1327">
          <cell r="V1327" t="str">
            <v/>
          </cell>
          <cell r="W1327" t="str">
            <v/>
          </cell>
          <cell r="Y1327" t="str">
            <v/>
          </cell>
          <cell r="Z1327" t="str">
            <v/>
          </cell>
        </row>
        <row r="1328">
          <cell r="V1328" t="str">
            <v/>
          </cell>
          <cell r="W1328" t="str">
            <v/>
          </cell>
          <cell r="Y1328" t="str">
            <v/>
          </cell>
          <cell r="Z1328" t="str">
            <v/>
          </cell>
        </row>
        <row r="1329">
          <cell r="V1329" t="str">
            <v/>
          </cell>
          <cell r="W1329" t="str">
            <v/>
          </cell>
          <cell r="Y1329" t="str">
            <v/>
          </cell>
          <cell r="Z1329" t="str">
            <v/>
          </cell>
        </row>
        <row r="1330">
          <cell r="V1330" t="str">
            <v/>
          </cell>
          <cell r="W1330" t="str">
            <v/>
          </cell>
          <cell r="Y1330" t="str">
            <v/>
          </cell>
          <cell r="Z1330" t="str">
            <v/>
          </cell>
        </row>
        <row r="1331">
          <cell r="V1331" t="str">
            <v/>
          </cell>
          <cell r="W1331" t="str">
            <v/>
          </cell>
          <cell r="Y1331" t="str">
            <v/>
          </cell>
          <cell r="Z1331" t="str">
            <v/>
          </cell>
        </row>
        <row r="1332">
          <cell r="V1332" t="str">
            <v/>
          </cell>
          <cell r="W1332" t="str">
            <v/>
          </cell>
          <cell r="Y1332" t="str">
            <v/>
          </cell>
          <cell r="Z1332" t="str">
            <v/>
          </cell>
        </row>
        <row r="1333">
          <cell r="V1333" t="str">
            <v/>
          </cell>
          <cell r="W1333" t="str">
            <v/>
          </cell>
          <cell r="Y1333" t="str">
            <v/>
          </cell>
          <cell r="Z1333" t="str">
            <v/>
          </cell>
        </row>
        <row r="1334">
          <cell r="V1334" t="str">
            <v/>
          </cell>
          <cell r="W1334" t="str">
            <v/>
          </cell>
          <cell r="Y1334" t="str">
            <v/>
          </cell>
          <cell r="Z1334" t="str">
            <v/>
          </cell>
        </row>
        <row r="1335">
          <cell r="V1335" t="str">
            <v/>
          </cell>
          <cell r="W1335" t="str">
            <v/>
          </cell>
          <cell r="Y1335" t="str">
            <v/>
          </cell>
          <cell r="Z1335" t="str">
            <v/>
          </cell>
        </row>
        <row r="1336">
          <cell r="V1336" t="str">
            <v/>
          </cell>
          <cell r="W1336" t="str">
            <v/>
          </cell>
          <cell r="Y1336" t="str">
            <v/>
          </cell>
          <cell r="Z1336" t="str">
            <v/>
          </cell>
        </row>
        <row r="1337">
          <cell r="V1337" t="str">
            <v/>
          </cell>
          <cell r="W1337" t="str">
            <v/>
          </cell>
          <cell r="Y1337" t="str">
            <v/>
          </cell>
          <cell r="Z1337" t="str">
            <v/>
          </cell>
        </row>
        <row r="1338">
          <cell r="V1338" t="str">
            <v/>
          </cell>
          <cell r="W1338" t="str">
            <v/>
          </cell>
          <cell r="Y1338" t="str">
            <v/>
          </cell>
          <cell r="Z1338" t="str">
            <v/>
          </cell>
        </row>
        <row r="1339">
          <cell r="V1339" t="str">
            <v/>
          </cell>
          <cell r="W1339" t="str">
            <v/>
          </cell>
          <cell r="Y1339" t="str">
            <v/>
          </cell>
          <cell r="Z1339" t="str">
            <v/>
          </cell>
        </row>
        <row r="1340">
          <cell r="V1340" t="str">
            <v/>
          </cell>
          <cell r="W1340" t="str">
            <v/>
          </cell>
          <cell r="Y1340" t="str">
            <v/>
          </cell>
          <cell r="Z1340" t="str">
            <v/>
          </cell>
        </row>
        <row r="1341">
          <cell r="V1341" t="str">
            <v/>
          </cell>
          <cell r="W1341" t="str">
            <v/>
          </cell>
          <cell r="Y1341" t="str">
            <v/>
          </cell>
          <cell r="Z1341" t="str">
            <v/>
          </cell>
        </row>
        <row r="1342">
          <cell r="V1342" t="str">
            <v/>
          </cell>
          <cell r="W1342" t="str">
            <v/>
          </cell>
          <cell r="Y1342" t="str">
            <v/>
          </cell>
          <cell r="Z1342" t="str">
            <v/>
          </cell>
        </row>
        <row r="1343">
          <cell r="V1343" t="str">
            <v/>
          </cell>
          <cell r="W1343" t="str">
            <v/>
          </cell>
          <cell r="Y1343" t="str">
            <v/>
          </cell>
          <cell r="Z1343" t="str">
            <v/>
          </cell>
        </row>
        <row r="1344">
          <cell r="V1344" t="str">
            <v/>
          </cell>
          <cell r="W1344" t="str">
            <v/>
          </cell>
          <cell r="Y1344" t="str">
            <v/>
          </cell>
          <cell r="Z1344" t="str">
            <v/>
          </cell>
        </row>
        <row r="1345">
          <cell r="V1345" t="str">
            <v/>
          </cell>
          <cell r="W1345" t="str">
            <v/>
          </cell>
          <cell r="Y1345" t="str">
            <v/>
          </cell>
          <cell r="Z1345" t="str">
            <v/>
          </cell>
        </row>
        <row r="1346">
          <cell r="V1346" t="str">
            <v/>
          </cell>
          <cell r="W1346" t="str">
            <v/>
          </cell>
          <cell r="Y1346" t="str">
            <v/>
          </cell>
          <cell r="Z1346" t="str">
            <v/>
          </cell>
        </row>
        <row r="1347">
          <cell r="V1347" t="str">
            <v/>
          </cell>
          <cell r="W1347" t="str">
            <v/>
          </cell>
          <cell r="Y1347" t="str">
            <v/>
          </cell>
          <cell r="Z1347" t="str">
            <v/>
          </cell>
        </row>
        <row r="1348">
          <cell r="V1348" t="str">
            <v/>
          </cell>
          <cell r="W1348" t="str">
            <v/>
          </cell>
          <cell r="Y1348" t="str">
            <v/>
          </cell>
          <cell r="Z1348" t="str">
            <v/>
          </cell>
        </row>
        <row r="1349">
          <cell r="V1349" t="str">
            <v/>
          </cell>
          <cell r="W1349" t="str">
            <v/>
          </cell>
          <cell r="Y1349" t="str">
            <v/>
          </cell>
          <cell r="Z1349" t="str">
            <v/>
          </cell>
        </row>
        <row r="1350">
          <cell r="V1350" t="str">
            <v/>
          </cell>
          <cell r="W1350" t="str">
            <v/>
          </cell>
          <cell r="Y1350" t="str">
            <v/>
          </cell>
          <cell r="Z1350" t="str">
            <v/>
          </cell>
        </row>
        <row r="1351">
          <cell r="V1351" t="str">
            <v/>
          </cell>
          <cell r="W1351" t="str">
            <v/>
          </cell>
          <cell r="Y1351" t="str">
            <v/>
          </cell>
          <cell r="Z1351" t="str">
            <v/>
          </cell>
        </row>
        <row r="1352">
          <cell r="V1352" t="str">
            <v/>
          </cell>
          <cell r="W1352" t="str">
            <v/>
          </cell>
          <cell r="Y1352" t="str">
            <v/>
          </cell>
          <cell r="Z1352" t="str">
            <v/>
          </cell>
        </row>
        <row r="1353">
          <cell r="V1353" t="str">
            <v/>
          </cell>
          <cell r="W1353" t="str">
            <v/>
          </cell>
          <cell r="Y1353" t="str">
            <v/>
          </cell>
          <cell r="Z1353" t="str">
            <v/>
          </cell>
        </row>
        <row r="1354">
          <cell r="V1354" t="str">
            <v/>
          </cell>
          <cell r="W1354" t="str">
            <v/>
          </cell>
          <cell r="Y1354" t="str">
            <v/>
          </cell>
          <cell r="Z1354" t="str">
            <v/>
          </cell>
        </row>
        <row r="1355">
          <cell r="V1355" t="str">
            <v/>
          </cell>
          <cell r="W1355" t="str">
            <v/>
          </cell>
          <cell r="Y1355" t="str">
            <v/>
          </cell>
          <cell r="Z1355" t="str">
            <v/>
          </cell>
        </row>
        <row r="1356">
          <cell r="V1356" t="str">
            <v/>
          </cell>
          <cell r="W1356" t="str">
            <v/>
          </cell>
          <cell r="Y1356" t="str">
            <v/>
          </cell>
          <cell r="Z1356" t="str">
            <v/>
          </cell>
        </row>
        <row r="1357">
          <cell r="V1357" t="str">
            <v/>
          </cell>
          <cell r="W1357" t="str">
            <v/>
          </cell>
          <cell r="Y1357" t="str">
            <v/>
          </cell>
          <cell r="Z1357" t="str">
            <v/>
          </cell>
        </row>
        <row r="1358">
          <cell r="V1358" t="str">
            <v/>
          </cell>
          <cell r="W1358" t="str">
            <v/>
          </cell>
          <cell r="Y1358" t="str">
            <v/>
          </cell>
          <cell r="Z1358" t="str">
            <v/>
          </cell>
        </row>
        <row r="1359">
          <cell r="V1359" t="str">
            <v/>
          </cell>
          <cell r="W1359" t="str">
            <v/>
          </cell>
          <cell r="Y1359" t="str">
            <v/>
          </cell>
          <cell r="Z1359" t="str">
            <v/>
          </cell>
        </row>
        <row r="1360">
          <cell r="V1360" t="str">
            <v/>
          </cell>
          <cell r="W1360" t="str">
            <v/>
          </cell>
          <cell r="Y1360" t="str">
            <v/>
          </cell>
          <cell r="Z1360" t="str">
            <v/>
          </cell>
        </row>
        <row r="1361">
          <cell r="V1361" t="str">
            <v/>
          </cell>
          <cell r="W1361" t="str">
            <v/>
          </cell>
          <cell r="Y1361" t="str">
            <v/>
          </cell>
          <cell r="Z1361" t="str">
            <v/>
          </cell>
        </row>
        <row r="1362">
          <cell r="V1362" t="str">
            <v/>
          </cell>
          <cell r="W1362" t="str">
            <v/>
          </cell>
          <cell r="Y1362" t="str">
            <v/>
          </cell>
          <cell r="Z1362" t="str">
            <v/>
          </cell>
        </row>
        <row r="1363">
          <cell r="V1363" t="str">
            <v/>
          </cell>
          <cell r="W1363" t="str">
            <v/>
          </cell>
          <cell r="Y1363" t="str">
            <v/>
          </cell>
          <cell r="Z1363" t="str">
            <v/>
          </cell>
        </row>
        <row r="1364">
          <cell r="V1364" t="str">
            <v/>
          </cell>
          <cell r="W1364" t="str">
            <v/>
          </cell>
          <cell r="Y1364" t="str">
            <v/>
          </cell>
          <cell r="Z1364" t="str">
            <v/>
          </cell>
        </row>
        <row r="1365">
          <cell r="V1365" t="str">
            <v/>
          </cell>
          <cell r="W1365" t="str">
            <v/>
          </cell>
          <cell r="Y1365" t="str">
            <v/>
          </cell>
          <cell r="Z1365" t="str">
            <v/>
          </cell>
        </row>
        <row r="1366">
          <cell r="V1366" t="str">
            <v/>
          </cell>
          <cell r="W1366" t="str">
            <v/>
          </cell>
          <cell r="Y1366" t="str">
            <v/>
          </cell>
          <cell r="Z1366" t="str">
            <v/>
          </cell>
        </row>
        <row r="1367">
          <cell r="V1367" t="str">
            <v/>
          </cell>
          <cell r="W1367" t="str">
            <v/>
          </cell>
          <cell r="Y1367" t="str">
            <v/>
          </cell>
          <cell r="Z1367" t="str">
            <v/>
          </cell>
        </row>
        <row r="1368">
          <cell r="V1368" t="str">
            <v/>
          </cell>
          <cell r="W1368" t="str">
            <v/>
          </cell>
          <cell r="Y1368" t="str">
            <v/>
          </cell>
          <cell r="Z1368" t="str">
            <v/>
          </cell>
        </row>
        <row r="1369">
          <cell r="V1369" t="str">
            <v/>
          </cell>
          <cell r="W1369" t="str">
            <v/>
          </cell>
          <cell r="Y1369" t="str">
            <v/>
          </cell>
          <cell r="Z1369" t="str">
            <v/>
          </cell>
        </row>
        <row r="1370">
          <cell r="V1370" t="str">
            <v/>
          </cell>
          <cell r="W1370" t="str">
            <v/>
          </cell>
          <cell r="Y1370" t="str">
            <v/>
          </cell>
          <cell r="Z1370" t="str">
            <v/>
          </cell>
        </row>
        <row r="1371">
          <cell r="V1371" t="str">
            <v/>
          </cell>
          <cell r="W1371" t="str">
            <v/>
          </cell>
          <cell r="Y1371" t="str">
            <v/>
          </cell>
          <cell r="Z1371" t="str">
            <v/>
          </cell>
        </row>
        <row r="1372">
          <cell r="V1372" t="str">
            <v/>
          </cell>
          <cell r="W1372" t="str">
            <v/>
          </cell>
          <cell r="Y1372" t="str">
            <v/>
          </cell>
          <cell r="Z1372" t="str">
            <v/>
          </cell>
        </row>
        <row r="1373">
          <cell r="V1373" t="str">
            <v/>
          </cell>
          <cell r="W1373" t="str">
            <v/>
          </cell>
          <cell r="Y1373" t="str">
            <v/>
          </cell>
          <cell r="Z1373" t="str">
            <v/>
          </cell>
        </row>
        <row r="1374">
          <cell r="V1374" t="str">
            <v/>
          </cell>
          <cell r="W1374" t="str">
            <v/>
          </cell>
          <cell r="Y1374" t="str">
            <v/>
          </cell>
          <cell r="Z1374" t="str">
            <v/>
          </cell>
        </row>
        <row r="1375">
          <cell r="V1375" t="str">
            <v/>
          </cell>
          <cell r="W1375" t="str">
            <v/>
          </cell>
          <cell r="Y1375" t="str">
            <v/>
          </cell>
          <cell r="Z1375" t="str">
            <v/>
          </cell>
        </row>
        <row r="1376">
          <cell r="V1376" t="str">
            <v/>
          </cell>
          <cell r="W1376" t="str">
            <v/>
          </cell>
          <cell r="Y1376" t="str">
            <v/>
          </cell>
          <cell r="Z1376" t="str">
            <v/>
          </cell>
        </row>
        <row r="1377">
          <cell r="V1377" t="str">
            <v/>
          </cell>
          <cell r="W1377" t="str">
            <v/>
          </cell>
          <cell r="Y1377" t="str">
            <v/>
          </cell>
          <cell r="Z1377" t="str">
            <v/>
          </cell>
        </row>
        <row r="1378">
          <cell r="V1378" t="str">
            <v/>
          </cell>
          <cell r="W1378" t="str">
            <v/>
          </cell>
          <cell r="Y1378" t="str">
            <v/>
          </cell>
          <cell r="Z1378" t="str">
            <v/>
          </cell>
        </row>
        <row r="1379">
          <cell r="V1379" t="str">
            <v/>
          </cell>
          <cell r="W1379" t="str">
            <v/>
          </cell>
          <cell r="Y1379" t="str">
            <v/>
          </cell>
          <cell r="Z1379" t="str">
            <v/>
          </cell>
        </row>
        <row r="1380">
          <cell r="V1380" t="str">
            <v/>
          </cell>
          <cell r="W1380" t="str">
            <v/>
          </cell>
          <cell r="Y1380" t="str">
            <v/>
          </cell>
          <cell r="Z1380" t="str">
            <v/>
          </cell>
        </row>
        <row r="1381">
          <cell r="V1381" t="str">
            <v/>
          </cell>
          <cell r="W1381" t="str">
            <v/>
          </cell>
          <cell r="Y1381" t="str">
            <v/>
          </cell>
          <cell r="Z1381" t="str">
            <v/>
          </cell>
        </row>
        <row r="1382">
          <cell r="V1382" t="str">
            <v/>
          </cell>
          <cell r="W1382" t="str">
            <v/>
          </cell>
          <cell r="Y1382" t="str">
            <v/>
          </cell>
          <cell r="Z1382" t="str">
            <v/>
          </cell>
        </row>
        <row r="1383">
          <cell r="V1383" t="str">
            <v/>
          </cell>
          <cell r="W1383" t="str">
            <v/>
          </cell>
          <cell r="Y1383" t="str">
            <v/>
          </cell>
          <cell r="Z1383" t="str">
            <v/>
          </cell>
        </row>
        <row r="1384">
          <cell r="V1384" t="str">
            <v/>
          </cell>
          <cell r="W1384" t="str">
            <v/>
          </cell>
          <cell r="Y1384" t="str">
            <v/>
          </cell>
          <cell r="Z1384" t="str">
            <v/>
          </cell>
        </row>
        <row r="1385">
          <cell r="V1385" t="str">
            <v/>
          </cell>
          <cell r="W1385" t="str">
            <v/>
          </cell>
          <cell r="Y1385" t="str">
            <v/>
          </cell>
          <cell r="Z1385" t="str">
            <v/>
          </cell>
        </row>
        <row r="1386">
          <cell r="V1386" t="str">
            <v/>
          </cell>
          <cell r="W1386" t="str">
            <v/>
          </cell>
          <cell r="Y1386" t="str">
            <v/>
          </cell>
          <cell r="Z1386" t="str">
            <v/>
          </cell>
        </row>
        <row r="1387">
          <cell r="V1387" t="str">
            <v/>
          </cell>
          <cell r="W1387" t="str">
            <v/>
          </cell>
          <cell r="Y1387" t="str">
            <v/>
          </cell>
          <cell r="Z1387" t="str">
            <v/>
          </cell>
        </row>
        <row r="1388">
          <cell r="V1388" t="str">
            <v/>
          </cell>
          <cell r="W1388" t="str">
            <v/>
          </cell>
          <cell r="Y1388" t="str">
            <v/>
          </cell>
          <cell r="Z1388" t="str">
            <v/>
          </cell>
        </row>
        <row r="1389">
          <cell r="V1389" t="str">
            <v/>
          </cell>
          <cell r="W1389" t="str">
            <v/>
          </cell>
          <cell r="Y1389" t="str">
            <v/>
          </cell>
          <cell r="Z1389" t="str">
            <v/>
          </cell>
        </row>
        <row r="1390">
          <cell r="V1390" t="str">
            <v/>
          </cell>
          <cell r="W1390" t="str">
            <v/>
          </cell>
          <cell r="Y1390" t="str">
            <v/>
          </cell>
          <cell r="Z1390" t="str">
            <v/>
          </cell>
        </row>
        <row r="1391">
          <cell r="V1391" t="str">
            <v/>
          </cell>
          <cell r="W1391" t="str">
            <v/>
          </cell>
          <cell r="Y1391" t="str">
            <v/>
          </cell>
          <cell r="Z1391" t="str">
            <v/>
          </cell>
        </row>
        <row r="1392">
          <cell r="V1392" t="str">
            <v/>
          </cell>
          <cell r="W1392" t="str">
            <v/>
          </cell>
          <cell r="Y1392" t="str">
            <v/>
          </cell>
          <cell r="Z1392" t="str">
            <v/>
          </cell>
        </row>
        <row r="1393">
          <cell r="V1393" t="str">
            <v/>
          </cell>
          <cell r="W1393" t="str">
            <v/>
          </cell>
          <cell r="Y1393" t="str">
            <v/>
          </cell>
          <cell r="Z1393" t="str">
            <v/>
          </cell>
        </row>
        <row r="1394">
          <cell r="V1394" t="str">
            <v/>
          </cell>
          <cell r="W1394" t="str">
            <v/>
          </cell>
          <cell r="Y1394" t="str">
            <v/>
          </cell>
          <cell r="Z1394" t="str">
            <v/>
          </cell>
        </row>
        <row r="1395">
          <cell r="V1395" t="str">
            <v/>
          </cell>
          <cell r="W1395" t="str">
            <v/>
          </cell>
          <cell r="Y1395" t="str">
            <v/>
          </cell>
          <cell r="Z1395" t="str">
            <v/>
          </cell>
        </row>
        <row r="1396">
          <cell r="V1396" t="str">
            <v/>
          </cell>
          <cell r="W1396" t="str">
            <v/>
          </cell>
          <cell r="Y1396" t="str">
            <v/>
          </cell>
          <cell r="Z1396" t="str">
            <v/>
          </cell>
        </row>
        <row r="1397">
          <cell r="V1397" t="str">
            <v/>
          </cell>
          <cell r="W1397" t="str">
            <v/>
          </cell>
          <cell r="Y1397" t="str">
            <v/>
          </cell>
          <cell r="Z1397" t="str">
            <v/>
          </cell>
        </row>
        <row r="1398">
          <cell r="V1398" t="str">
            <v/>
          </cell>
          <cell r="W1398" t="str">
            <v/>
          </cell>
          <cell r="Y1398" t="str">
            <v/>
          </cell>
          <cell r="Z1398" t="str">
            <v/>
          </cell>
        </row>
        <row r="1399">
          <cell r="V1399" t="str">
            <v/>
          </cell>
          <cell r="W1399" t="str">
            <v/>
          </cell>
          <cell r="Y1399" t="str">
            <v/>
          </cell>
          <cell r="Z1399" t="str">
            <v/>
          </cell>
        </row>
        <row r="1400">
          <cell r="V1400" t="str">
            <v/>
          </cell>
          <cell r="W1400" t="str">
            <v/>
          </cell>
          <cell r="Y1400" t="str">
            <v/>
          </cell>
          <cell r="Z1400" t="str">
            <v/>
          </cell>
        </row>
        <row r="1401">
          <cell r="V1401" t="str">
            <v/>
          </cell>
          <cell r="W1401" t="str">
            <v/>
          </cell>
          <cell r="Y1401" t="str">
            <v/>
          </cell>
          <cell r="Z1401" t="str">
            <v/>
          </cell>
        </row>
        <row r="1402">
          <cell r="V1402" t="str">
            <v/>
          </cell>
          <cell r="W1402" t="str">
            <v/>
          </cell>
          <cell r="Y1402" t="str">
            <v/>
          </cell>
          <cell r="Z1402" t="str">
            <v/>
          </cell>
        </row>
        <row r="1403">
          <cell r="V1403" t="str">
            <v/>
          </cell>
          <cell r="W1403" t="str">
            <v/>
          </cell>
          <cell r="Y1403" t="str">
            <v/>
          </cell>
          <cell r="Z1403" t="str">
            <v/>
          </cell>
        </row>
        <row r="1404">
          <cell r="V1404" t="str">
            <v/>
          </cell>
          <cell r="W1404" t="str">
            <v/>
          </cell>
          <cell r="Y1404" t="str">
            <v/>
          </cell>
          <cell r="Z1404" t="str">
            <v/>
          </cell>
        </row>
        <row r="1405">
          <cell r="V1405" t="str">
            <v/>
          </cell>
          <cell r="W1405" t="str">
            <v/>
          </cell>
          <cell r="Y1405" t="str">
            <v/>
          </cell>
          <cell r="Z1405" t="str">
            <v/>
          </cell>
        </row>
        <row r="1406">
          <cell r="V1406" t="str">
            <v/>
          </cell>
          <cell r="W1406" t="str">
            <v/>
          </cell>
          <cell r="Y1406" t="str">
            <v/>
          </cell>
          <cell r="Z1406" t="str">
            <v/>
          </cell>
        </row>
        <row r="1407">
          <cell r="V1407" t="str">
            <v/>
          </cell>
          <cell r="W1407" t="str">
            <v/>
          </cell>
          <cell r="Y1407" t="str">
            <v/>
          </cell>
          <cell r="Z1407" t="str">
            <v/>
          </cell>
        </row>
        <row r="1408">
          <cell r="V1408" t="str">
            <v/>
          </cell>
          <cell r="W1408" t="str">
            <v/>
          </cell>
          <cell r="Y1408" t="str">
            <v/>
          </cell>
          <cell r="Z1408" t="str">
            <v/>
          </cell>
        </row>
        <row r="1409">
          <cell r="V1409" t="str">
            <v/>
          </cell>
          <cell r="W1409" t="str">
            <v/>
          </cell>
          <cell r="Y1409" t="str">
            <v/>
          </cell>
          <cell r="Z1409" t="str">
            <v/>
          </cell>
        </row>
        <row r="1410">
          <cell r="V1410" t="str">
            <v/>
          </cell>
          <cell r="W1410" t="str">
            <v/>
          </cell>
          <cell r="Y1410" t="str">
            <v/>
          </cell>
          <cell r="Z1410" t="str">
            <v/>
          </cell>
        </row>
        <row r="1411">
          <cell r="V1411" t="str">
            <v/>
          </cell>
          <cell r="W1411" t="str">
            <v/>
          </cell>
          <cell r="Y1411" t="str">
            <v/>
          </cell>
          <cell r="Z1411" t="str">
            <v/>
          </cell>
        </row>
        <row r="1412">
          <cell r="V1412" t="str">
            <v/>
          </cell>
          <cell r="W1412" t="str">
            <v/>
          </cell>
          <cell r="Y1412" t="str">
            <v/>
          </cell>
          <cell r="Z1412" t="str">
            <v/>
          </cell>
        </row>
        <row r="1413">
          <cell r="V1413" t="str">
            <v/>
          </cell>
          <cell r="W1413" t="str">
            <v/>
          </cell>
          <cell r="Y1413" t="str">
            <v/>
          </cell>
          <cell r="Z1413" t="str">
            <v/>
          </cell>
        </row>
        <row r="1414">
          <cell r="V1414" t="str">
            <v/>
          </cell>
          <cell r="W1414" t="str">
            <v/>
          </cell>
          <cell r="Y1414" t="str">
            <v/>
          </cell>
          <cell r="Z1414" t="str">
            <v/>
          </cell>
        </row>
        <row r="1415">
          <cell r="V1415" t="str">
            <v/>
          </cell>
          <cell r="W1415" t="str">
            <v/>
          </cell>
          <cell r="Y1415" t="str">
            <v/>
          </cell>
          <cell r="Z1415" t="str">
            <v/>
          </cell>
        </row>
        <row r="1416">
          <cell r="V1416" t="str">
            <v/>
          </cell>
          <cell r="W1416" t="str">
            <v/>
          </cell>
          <cell r="Y1416" t="str">
            <v/>
          </cell>
          <cell r="Z1416" t="str">
            <v/>
          </cell>
        </row>
        <row r="1417">
          <cell r="V1417" t="str">
            <v/>
          </cell>
          <cell r="W1417" t="str">
            <v/>
          </cell>
          <cell r="Y1417" t="str">
            <v/>
          </cell>
          <cell r="Z1417" t="str">
            <v/>
          </cell>
        </row>
        <row r="1418">
          <cell r="V1418" t="str">
            <v/>
          </cell>
          <cell r="W1418" t="str">
            <v/>
          </cell>
          <cell r="Y1418" t="str">
            <v/>
          </cell>
          <cell r="Z1418" t="str">
            <v/>
          </cell>
        </row>
        <row r="1419">
          <cell r="V1419" t="str">
            <v/>
          </cell>
          <cell r="W1419" t="str">
            <v/>
          </cell>
          <cell r="Y1419" t="str">
            <v/>
          </cell>
          <cell r="Z1419" t="str">
            <v/>
          </cell>
        </row>
        <row r="1420">
          <cell r="V1420" t="str">
            <v/>
          </cell>
          <cell r="W1420" t="str">
            <v/>
          </cell>
          <cell r="Y1420" t="str">
            <v/>
          </cell>
          <cell r="Z1420" t="str">
            <v/>
          </cell>
        </row>
        <row r="1421">
          <cell r="V1421" t="str">
            <v/>
          </cell>
          <cell r="W1421" t="str">
            <v/>
          </cell>
          <cell r="Y1421" t="str">
            <v/>
          </cell>
          <cell r="Z1421" t="str">
            <v/>
          </cell>
        </row>
        <row r="1422">
          <cell r="V1422" t="str">
            <v/>
          </cell>
          <cell r="W1422" t="str">
            <v/>
          </cell>
          <cell r="Y1422" t="str">
            <v/>
          </cell>
          <cell r="Z1422" t="str">
            <v/>
          </cell>
        </row>
        <row r="1423">
          <cell r="V1423" t="str">
            <v/>
          </cell>
          <cell r="W1423" t="str">
            <v/>
          </cell>
          <cell r="Y1423" t="str">
            <v/>
          </cell>
          <cell r="Z1423" t="str">
            <v/>
          </cell>
        </row>
        <row r="1424">
          <cell r="V1424" t="str">
            <v/>
          </cell>
          <cell r="W1424" t="str">
            <v/>
          </cell>
          <cell r="Y1424" t="str">
            <v/>
          </cell>
          <cell r="Z1424" t="str">
            <v/>
          </cell>
        </row>
        <row r="1425">
          <cell r="V1425" t="str">
            <v/>
          </cell>
          <cell r="W1425" t="str">
            <v/>
          </cell>
          <cell r="Y1425" t="str">
            <v/>
          </cell>
          <cell r="Z1425" t="str">
            <v/>
          </cell>
        </row>
        <row r="1426">
          <cell r="V1426" t="str">
            <v/>
          </cell>
          <cell r="W1426" t="str">
            <v/>
          </cell>
          <cell r="Y1426" t="str">
            <v/>
          </cell>
          <cell r="Z1426" t="str">
            <v/>
          </cell>
        </row>
        <row r="1427">
          <cell r="V1427" t="str">
            <v/>
          </cell>
          <cell r="W1427" t="str">
            <v/>
          </cell>
          <cell r="Y1427" t="str">
            <v/>
          </cell>
          <cell r="Z1427" t="str">
            <v/>
          </cell>
        </row>
        <row r="1428">
          <cell r="V1428" t="str">
            <v/>
          </cell>
          <cell r="W1428" t="str">
            <v/>
          </cell>
          <cell r="Y1428" t="str">
            <v/>
          </cell>
          <cell r="Z1428" t="str">
            <v/>
          </cell>
        </row>
        <row r="1429">
          <cell r="V1429" t="str">
            <v/>
          </cell>
          <cell r="W1429" t="str">
            <v/>
          </cell>
          <cell r="Y1429" t="str">
            <v/>
          </cell>
          <cell r="Z1429" t="str">
            <v/>
          </cell>
        </row>
        <row r="1430">
          <cell r="V1430" t="str">
            <v/>
          </cell>
          <cell r="W1430" t="str">
            <v/>
          </cell>
          <cell r="Y1430" t="str">
            <v/>
          </cell>
          <cell r="Z1430" t="str">
            <v/>
          </cell>
        </row>
        <row r="1431">
          <cell r="V1431" t="str">
            <v/>
          </cell>
          <cell r="W1431" t="str">
            <v/>
          </cell>
          <cell r="Y1431" t="str">
            <v/>
          </cell>
          <cell r="Z1431" t="str">
            <v/>
          </cell>
        </row>
        <row r="1432">
          <cell r="V1432" t="str">
            <v/>
          </cell>
          <cell r="W1432" t="str">
            <v/>
          </cell>
          <cell r="Y1432" t="str">
            <v/>
          </cell>
          <cell r="Z1432" t="str">
            <v/>
          </cell>
        </row>
        <row r="1433">
          <cell r="V1433" t="str">
            <v/>
          </cell>
          <cell r="W1433" t="str">
            <v/>
          </cell>
          <cell r="Y1433" t="str">
            <v/>
          </cell>
          <cell r="Z1433" t="str">
            <v/>
          </cell>
        </row>
        <row r="1434">
          <cell r="V1434" t="str">
            <v/>
          </cell>
          <cell r="W1434" t="str">
            <v/>
          </cell>
          <cell r="Y1434" t="str">
            <v/>
          </cell>
          <cell r="Z1434" t="str">
            <v/>
          </cell>
        </row>
        <row r="1435">
          <cell r="V1435" t="str">
            <v/>
          </cell>
          <cell r="W1435" t="str">
            <v/>
          </cell>
          <cell r="Y1435" t="str">
            <v/>
          </cell>
          <cell r="Z1435" t="str">
            <v/>
          </cell>
        </row>
        <row r="1436">
          <cell r="V1436" t="str">
            <v/>
          </cell>
          <cell r="W1436" t="str">
            <v/>
          </cell>
          <cell r="Y1436" t="str">
            <v/>
          </cell>
          <cell r="Z1436" t="str">
            <v/>
          </cell>
        </row>
        <row r="1437">
          <cell r="V1437" t="str">
            <v/>
          </cell>
          <cell r="W1437" t="str">
            <v/>
          </cell>
          <cell r="Y1437" t="str">
            <v/>
          </cell>
          <cell r="Z1437" t="str">
            <v/>
          </cell>
        </row>
        <row r="1438">
          <cell r="V1438" t="str">
            <v/>
          </cell>
          <cell r="W1438" t="str">
            <v/>
          </cell>
          <cell r="Y1438" t="str">
            <v/>
          </cell>
          <cell r="Z1438" t="str">
            <v/>
          </cell>
        </row>
        <row r="1439">
          <cell r="V1439" t="str">
            <v/>
          </cell>
          <cell r="W1439" t="str">
            <v/>
          </cell>
          <cell r="Y1439" t="str">
            <v/>
          </cell>
          <cell r="Z1439" t="str">
            <v/>
          </cell>
        </row>
        <row r="1440">
          <cell r="V1440" t="str">
            <v/>
          </cell>
          <cell r="W1440" t="str">
            <v/>
          </cell>
          <cell r="Y1440" t="str">
            <v/>
          </cell>
          <cell r="Z1440" t="str">
            <v/>
          </cell>
        </row>
        <row r="1441">
          <cell r="V1441" t="str">
            <v/>
          </cell>
          <cell r="W1441" t="str">
            <v/>
          </cell>
          <cell r="Y1441" t="str">
            <v/>
          </cell>
          <cell r="Z1441" t="str">
            <v/>
          </cell>
        </row>
        <row r="1442">
          <cell r="V1442" t="str">
            <v/>
          </cell>
          <cell r="W1442" t="str">
            <v/>
          </cell>
          <cell r="Y1442" t="str">
            <v/>
          </cell>
          <cell r="Z1442" t="str">
            <v/>
          </cell>
        </row>
        <row r="1443">
          <cell r="V1443" t="str">
            <v/>
          </cell>
          <cell r="W1443" t="str">
            <v/>
          </cell>
          <cell r="Y1443" t="str">
            <v/>
          </cell>
          <cell r="Z1443" t="str">
            <v/>
          </cell>
        </row>
        <row r="1444">
          <cell r="V1444" t="str">
            <v/>
          </cell>
          <cell r="W1444" t="str">
            <v/>
          </cell>
          <cell r="Y1444" t="str">
            <v/>
          </cell>
          <cell r="Z1444" t="str">
            <v/>
          </cell>
        </row>
        <row r="1445">
          <cell r="V1445" t="str">
            <v/>
          </cell>
          <cell r="W1445" t="str">
            <v/>
          </cell>
          <cell r="Y1445" t="str">
            <v/>
          </cell>
          <cell r="Z1445" t="str">
            <v/>
          </cell>
        </row>
        <row r="1446">
          <cell r="V1446" t="str">
            <v/>
          </cell>
          <cell r="W1446" t="str">
            <v/>
          </cell>
          <cell r="Y1446" t="str">
            <v/>
          </cell>
          <cell r="Z1446" t="str">
            <v/>
          </cell>
        </row>
        <row r="1447">
          <cell r="V1447" t="str">
            <v/>
          </cell>
          <cell r="W1447" t="str">
            <v/>
          </cell>
          <cell r="Y1447" t="str">
            <v/>
          </cell>
          <cell r="Z1447" t="str">
            <v/>
          </cell>
        </row>
        <row r="1448">
          <cell r="V1448" t="str">
            <v/>
          </cell>
          <cell r="W1448" t="str">
            <v/>
          </cell>
          <cell r="Y1448" t="str">
            <v/>
          </cell>
          <cell r="Z1448" t="str">
            <v/>
          </cell>
        </row>
        <row r="1449">
          <cell r="V1449" t="str">
            <v/>
          </cell>
          <cell r="W1449" t="str">
            <v/>
          </cell>
          <cell r="Y1449" t="str">
            <v/>
          </cell>
          <cell r="Z1449" t="str">
            <v/>
          </cell>
        </row>
        <row r="1450">
          <cell r="V1450" t="str">
            <v/>
          </cell>
          <cell r="W1450" t="str">
            <v/>
          </cell>
          <cell r="Y1450" t="str">
            <v/>
          </cell>
          <cell r="Z1450" t="str">
            <v/>
          </cell>
        </row>
        <row r="1451">
          <cell r="V1451" t="str">
            <v/>
          </cell>
          <cell r="W1451" t="str">
            <v/>
          </cell>
          <cell r="Y1451" t="str">
            <v/>
          </cell>
          <cell r="Z1451" t="str">
            <v/>
          </cell>
        </row>
        <row r="1452">
          <cell r="V1452" t="str">
            <v/>
          </cell>
          <cell r="W1452" t="str">
            <v/>
          </cell>
          <cell r="Y1452" t="str">
            <v/>
          </cell>
          <cell r="Z1452" t="str">
            <v/>
          </cell>
        </row>
        <row r="1453">
          <cell r="V1453" t="str">
            <v/>
          </cell>
          <cell r="W1453" t="str">
            <v/>
          </cell>
          <cell r="Y1453" t="str">
            <v/>
          </cell>
          <cell r="Z1453" t="str">
            <v/>
          </cell>
        </row>
        <row r="1454">
          <cell r="V1454" t="str">
            <v/>
          </cell>
          <cell r="W1454" t="str">
            <v/>
          </cell>
          <cell r="Y1454" t="str">
            <v/>
          </cell>
          <cell r="Z1454" t="str">
            <v/>
          </cell>
        </row>
        <row r="1455">
          <cell r="V1455" t="str">
            <v/>
          </cell>
          <cell r="W1455" t="str">
            <v/>
          </cell>
          <cell r="Y1455" t="str">
            <v/>
          </cell>
          <cell r="Z1455" t="str">
            <v/>
          </cell>
        </row>
        <row r="1456">
          <cell r="V1456" t="str">
            <v/>
          </cell>
          <cell r="W1456" t="str">
            <v/>
          </cell>
          <cell r="Y1456" t="str">
            <v/>
          </cell>
          <cell r="Z1456" t="str">
            <v/>
          </cell>
        </row>
        <row r="1457">
          <cell r="V1457" t="str">
            <v/>
          </cell>
          <cell r="W1457" t="str">
            <v/>
          </cell>
          <cell r="Y1457" t="str">
            <v/>
          </cell>
          <cell r="Z1457" t="str">
            <v/>
          </cell>
        </row>
        <row r="1458">
          <cell r="V1458" t="str">
            <v/>
          </cell>
          <cell r="W1458" t="str">
            <v/>
          </cell>
          <cell r="Y1458" t="str">
            <v/>
          </cell>
          <cell r="Z1458" t="str">
            <v/>
          </cell>
        </row>
        <row r="1459">
          <cell r="V1459" t="str">
            <v/>
          </cell>
          <cell r="W1459" t="str">
            <v/>
          </cell>
          <cell r="Y1459" t="str">
            <v/>
          </cell>
          <cell r="Z1459" t="str">
            <v/>
          </cell>
        </row>
        <row r="1460">
          <cell r="V1460" t="str">
            <v/>
          </cell>
          <cell r="W1460" t="str">
            <v/>
          </cell>
          <cell r="Y1460" t="str">
            <v/>
          </cell>
          <cell r="Z1460" t="str">
            <v/>
          </cell>
        </row>
        <row r="1461">
          <cell r="V1461" t="str">
            <v/>
          </cell>
          <cell r="W1461" t="str">
            <v/>
          </cell>
          <cell r="Y1461" t="str">
            <v/>
          </cell>
          <cell r="Z1461" t="str">
            <v/>
          </cell>
        </row>
        <row r="1462">
          <cell r="V1462" t="str">
            <v/>
          </cell>
          <cell r="W1462" t="str">
            <v/>
          </cell>
          <cell r="Y1462" t="str">
            <v/>
          </cell>
          <cell r="Z1462" t="str">
            <v/>
          </cell>
        </row>
        <row r="1463">
          <cell r="V1463" t="str">
            <v/>
          </cell>
          <cell r="W1463" t="str">
            <v/>
          </cell>
          <cell r="Y1463" t="str">
            <v/>
          </cell>
          <cell r="Z1463" t="str">
            <v/>
          </cell>
        </row>
        <row r="1464">
          <cell r="V1464" t="str">
            <v/>
          </cell>
          <cell r="W1464" t="str">
            <v/>
          </cell>
          <cell r="Y1464" t="str">
            <v/>
          </cell>
          <cell r="Z1464" t="str">
            <v/>
          </cell>
        </row>
        <row r="1465">
          <cell r="V1465" t="str">
            <v/>
          </cell>
          <cell r="W1465" t="str">
            <v/>
          </cell>
          <cell r="Y1465" t="str">
            <v/>
          </cell>
          <cell r="Z1465" t="str">
            <v/>
          </cell>
        </row>
        <row r="1466">
          <cell r="V1466" t="str">
            <v/>
          </cell>
          <cell r="W1466" t="str">
            <v/>
          </cell>
          <cell r="Y1466" t="str">
            <v/>
          </cell>
          <cell r="Z1466" t="str">
            <v/>
          </cell>
        </row>
        <row r="1467">
          <cell r="V1467" t="str">
            <v/>
          </cell>
          <cell r="W1467" t="str">
            <v/>
          </cell>
          <cell r="Y1467" t="str">
            <v/>
          </cell>
          <cell r="Z1467" t="str">
            <v/>
          </cell>
        </row>
        <row r="1468">
          <cell r="V1468" t="str">
            <v/>
          </cell>
          <cell r="W1468" t="str">
            <v/>
          </cell>
          <cell r="Y1468" t="str">
            <v/>
          </cell>
          <cell r="Z1468" t="str">
            <v/>
          </cell>
        </row>
        <row r="1469">
          <cell r="V1469" t="str">
            <v/>
          </cell>
          <cell r="W1469" t="str">
            <v/>
          </cell>
          <cell r="Y1469" t="str">
            <v/>
          </cell>
          <cell r="Z1469" t="str">
            <v/>
          </cell>
        </row>
        <row r="1470">
          <cell r="V1470" t="str">
            <v/>
          </cell>
          <cell r="W1470" t="str">
            <v/>
          </cell>
          <cell r="Y1470" t="str">
            <v/>
          </cell>
          <cell r="Z1470" t="str">
            <v/>
          </cell>
        </row>
        <row r="1471">
          <cell r="V1471" t="str">
            <v/>
          </cell>
          <cell r="W1471" t="str">
            <v/>
          </cell>
          <cell r="Y1471" t="str">
            <v/>
          </cell>
          <cell r="Z1471" t="str">
            <v/>
          </cell>
        </row>
        <row r="1472">
          <cell r="V1472" t="str">
            <v/>
          </cell>
          <cell r="W1472" t="str">
            <v/>
          </cell>
          <cell r="Y1472" t="str">
            <v/>
          </cell>
          <cell r="Z1472" t="str">
            <v/>
          </cell>
        </row>
        <row r="1473">
          <cell r="V1473" t="str">
            <v/>
          </cell>
          <cell r="W1473" t="str">
            <v/>
          </cell>
          <cell r="Y1473" t="str">
            <v/>
          </cell>
          <cell r="Z1473" t="str">
            <v/>
          </cell>
        </row>
        <row r="1474">
          <cell r="V1474" t="str">
            <v/>
          </cell>
          <cell r="W1474" t="str">
            <v/>
          </cell>
          <cell r="Y1474" t="str">
            <v/>
          </cell>
          <cell r="Z1474" t="str">
            <v/>
          </cell>
        </row>
        <row r="1475">
          <cell r="V1475" t="str">
            <v/>
          </cell>
          <cell r="W1475" t="str">
            <v/>
          </cell>
          <cell r="Y1475" t="str">
            <v/>
          </cell>
          <cell r="Z1475" t="str">
            <v/>
          </cell>
        </row>
        <row r="1476">
          <cell r="V1476" t="str">
            <v/>
          </cell>
          <cell r="W1476" t="str">
            <v/>
          </cell>
          <cell r="Y1476" t="str">
            <v/>
          </cell>
          <cell r="Z1476" t="str">
            <v/>
          </cell>
        </row>
        <row r="1477">
          <cell r="V1477" t="str">
            <v/>
          </cell>
          <cell r="W1477" t="str">
            <v/>
          </cell>
          <cell r="Y1477" t="str">
            <v/>
          </cell>
          <cell r="Z1477" t="str">
            <v/>
          </cell>
        </row>
        <row r="1478">
          <cell r="V1478" t="str">
            <v/>
          </cell>
          <cell r="W1478" t="str">
            <v/>
          </cell>
          <cell r="Y1478" t="str">
            <v/>
          </cell>
          <cell r="Z1478" t="str">
            <v/>
          </cell>
        </row>
        <row r="1479">
          <cell r="V1479" t="str">
            <v/>
          </cell>
          <cell r="W1479" t="str">
            <v/>
          </cell>
          <cell r="Y1479" t="str">
            <v/>
          </cell>
          <cell r="Z1479" t="str">
            <v/>
          </cell>
        </row>
        <row r="1480">
          <cell r="V1480" t="str">
            <v/>
          </cell>
          <cell r="W1480" t="str">
            <v/>
          </cell>
          <cell r="Y1480" t="str">
            <v/>
          </cell>
          <cell r="Z1480" t="str">
            <v/>
          </cell>
        </row>
        <row r="1481">
          <cell r="V1481" t="str">
            <v/>
          </cell>
          <cell r="W1481" t="str">
            <v/>
          </cell>
          <cell r="Y1481" t="str">
            <v/>
          </cell>
          <cell r="Z1481" t="str">
            <v/>
          </cell>
        </row>
        <row r="1482">
          <cell r="V1482" t="str">
            <v/>
          </cell>
          <cell r="W1482" t="str">
            <v/>
          </cell>
          <cell r="Y1482" t="str">
            <v/>
          </cell>
          <cell r="Z1482" t="str">
            <v/>
          </cell>
        </row>
        <row r="1483">
          <cell r="V1483" t="str">
            <v/>
          </cell>
          <cell r="W1483" t="str">
            <v/>
          </cell>
          <cell r="Y1483" t="str">
            <v/>
          </cell>
          <cell r="Z1483" t="str">
            <v/>
          </cell>
        </row>
        <row r="1484">
          <cell r="V1484" t="str">
            <v/>
          </cell>
          <cell r="W1484" t="str">
            <v/>
          </cell>
          <cell r="Y1484" t="str">
            <v/>
          </cell>
          <cell r="Z1484" t="str">
            <v/>
          </cell>
        </row>
        <row r="1485">
          <cell r="V1485" t="str">
            <v/>
          </cell>
          <cell r="W1485" t="str">
            <v/>
          </cell>
          <cell r="Y1485" t="str">
            <v/>
          </cell>
          <cell r="Z1485" t="str">
            <v/>
          </cell>
        </row>
        <row r="1486">
          <cell r="V1486" t="str">
            <v/>
          </cell>
          <cell r="W1486" t="str">
            <v/>
          </cell>
          <cell r="Y1486" t="str">
            <v/>
          </cell>
          <cell r="Z1486" t="str">
            <v/>
          </cell>
        </row>
        <row r="1487">
          <cell r="V1487" t="str">
            <v/>
          </cell>
          <cell r="W1487" t="str">
            <v/>
          </cell>
          <cell r="Y1487" t="str">
            <v/>
          </cell>
          <cell r="Z1487" t="str">
            <v/>
          </cell>
        </row>
        <row r="1488">
          <cell r="V1488" t="str">
            <v/>
          </cell>
          <cell r="W1488" t="str">
            <v/>
          </cell>
          <cell r="Y1488" t="str">
            <v/>
          </cell>
          <cell r="Z1488" t="str">
            <v/>
          </cell>
        </row>
        <row r="1489">
          <cell r="V1489" t="str">
            <v/>
          </cell>
          <cell r="W1489" t="str">
            <v/>
          </cell>
          <cell r="Y1489" t="str">
            <v/>
          </cell>
          <cell r="Z1489" t="str">
            <v/>
          </cell>
        </row>
        <row r="1490">
          <cell r="V1490" t="str">
            <v/>
          </cell>
          <cell r="W1490" t="str">
            <v/>
          </cell>
          <cell r="Y1490" t="str">
            <v/>
          </cell>
          <cell r="Z1490" t="str">
            <v/>
          </cell>
        </row>
        <row r="1491">
          <cell r="V1491" t="str">
            <v/>
          </cell>
          <cell r="W1491" t="str">
            <v/>
          </cell>
          <cell r="Y1491" t="str">
            <v/>
          </cell>
          <cell r="Z1491" t="str">
            <v/>
          </cell>
        </row>
        <row r="1492">
          <cell r="V1492" t="str">
            <v/>
          </cell>
          <cell r="W1492" t="str">
            <v/>
          </cell>
          <cell r="Y1492" t="str">
            <v/>
          </cell>
          <cell r="Z1492" t="str">
            <v/>
          </cell>
        </row>
        <row r="1493">
          <cell r="V1493" t="str">
            <v/>
          </cell>
          <cell r="W1493" t="str">
            <v/>
          </cell>
          <cell r="Y1493" t="str">
            <v/>
          </cell>
          <cell r="Z1493" t="str">
            <v/>
          </cell>
        </row>
        <row r="1494">
          <cell r="V1494" t="str">
            <v/>
          </cell>
          <cell r="W1494" t="str">
            <v/>
          </cell>
          <cell r="Y1494" t="str">
            <v/>
          </cell>
          <cell r="Z1494" t="str">
            <v/>
          </cell>
        </row>
        <row r="1495">
          <cell r="V1495" t="str">
            <v/>
          </cell>
          <cell r="W1495" t="str">
            <v/>
          </cell>
          <cell r="Y1495" t="str">
            <v/>
          </cell>
          <cell r="Z1495" t="str">
            <v/>
          </cell>
        </row>
        <row r="1496">
          <cell r="V1496" t="str">
            <v/>
          </cell>
          <cell r="W1496" t="str">
            <v/>
          </cell>
          <cell r="Y1496" t="str">
            <v/>
          </cell>
          <cell r="Z1496" t="str">
            <v/>
          </cell>
        </row>
        <row r="1497">
          <cell r="V1497" t="str">
            <v/>
          </cell>
          <cell r="W1497" t="str">
            <v/>
          </cell>
          <cell r="Y1497" t="str">
            <v/>
          </cell>
          <cell r="Z1497" t="str">
            <v/>
          </cell>
        </row>
        <row r="1498">
          <cell r="V1498" t="str">
            <v/>
          </cell>
          <cell r="W1498" t="str">
            <v/>
          </cell>
          <cell r="Y1498" t="str">
            <v/>
          </cell>
          <cell r="Z1498" t="str">
            <v/>
          </cell>
        </row>
        <row r="1499">
          <cell r="V1499" t="str">
            <v/>
          </cell>
          <cell r="W1499" t="str">
            <v/>
          </cell>
          <cell r="Y1499" t="str">
            <v/>
          </cell>
          <cell r="Z1499" t="str">
            <v/>
          </cell>
        </row>
        <row r="1500">
          <cell r="V1500" t="str">
            <v/>
          </cell>
          <cell r="W1500" t="str">
            <v/>
          </cell>
          <cell r="Y1500" t="str">
            <v/>
          </cell>
          <cell r="Z1500" t="str">
            <v/>
          </cell>
        </row>
        <row r="1501">
          <cell r="V1501" t="str">
            <v/>
          </cell>
          <cell r="W1501" t="str">
            <v/>
          </cell>
          <cell r="Y1501" t="str">
            <v/>
          </cell>
          <cell r="Z1501" t="str">
            <v/>
          </cell>
        </row>
        <row r="1502">
          <cell r="V1502" t="str">
            <v/>
          </cell>
          <cell r="W1502" t="str">
            <v/>
          </cell>
          <cell r="Y1502" t="str">
            <v/>
          </cell>
          <cell r="Z1502" t="str">
            <v/>
          </cell>
        </row>
        <row r="1503">
          <cell r="V1503" t="str">
            <v/>
          </cell>
          <cell r="W1503" t="str">
            <v/>
          </cell>
          <cell r="Y1503" t="str">
            <v/>
          </cell>
          <cell r="Z1503" t="str">
            <v/>
          </cell>
        </row>
        <row r="1504">
          <cell r="V1504" t="str">
            <v/>
          </cell>
          <cell r="W1504" t="str">
            <v/>
          </cell>
          <cell r="Y1504" t="str">
            <v/>
          </cell>
          <cell r="Z1504" t="str">
            <v/>
          </cell>
        </row>
        <row r="1505">
          <cell r="V1505" t="str">
            <v/>
          </cell>
          <cell r="W1505" t="str">
            <v/>
          </cell>
          <cell r="Y1505" t="str">
            <v/>
          </cell>
          <cell r="Z1505" t="str">
            <v/>
          </cell>
        </row>
        <row r="1506">
          <cell r="V1506" t="str">
            <v/>
          </cell>
          <cell r="W1506" t="str">
            <v/>
          </cell>
          <cell r="Y1506" t="str">
            <v/>
          </cell>
          <cell r="Z1506" t="str">
            <v/>
          </cell>
        </row>
        <row r="1507">
          <cell r="V1507" t="str">
            <v/>
          </cell>
          <cell r="W1507" t="str">
            <v/>
          </cell>
          <cell r="Y1507" t="str">
            <v/>
          </cell>
          <cell r="Z1507" t="str">
            <v/>
          </cell>
        </row>
        <row r="1508">
          <cell r="V1508" t="str">
            <v/>
          </cell>
          <cell r="W1508" t="str">
            <v/>
          </cell>
          <cell r="Y1508" t="str">
            <v/>
          </cell>
          <cell r="Z1508" t="str">
            <v/>
          </cell>
        </row>
        <row r="1509">
          <cell r="V1509" t="str">
            <v/>
          </cell>
          <cell r="W1509" t="str">
            <v/>
          </cell>
          <cell r="Y1509" t="str">
            <v/>
          </cell>
          <cell r="Z1509" t="str">
            <v/>
          </cell>
        </row>
        <row r="1510">
          <cell r="V1510" t="str">
            <v/>
          </cell>
          <cell r="W1510" t="str">
            <v/>
          </cell>
          <cell r="Y1510" t="str">
            <v/>
          </cell>
          <cell r="Z1510" t="str">
            <v/>
          </cell>
        </row>
        <row r="1511">
          <cell r="V1511" t="str">
            <v/>
          </cell>
          <cell r="W1511" t="str">
            <v/>
          </cell>
          <cell r="Y1511" t="str">
            <v/>
          </cell>
          <cell r="Z1511" t="str">
            <v/>
          </cell>
        </row>
        <row r="1512">
          <cell r="V1512" t="str">
            <v/>
          </cell>
          <cell r="W1512" t="str">
            <v/>
          </cell>
          <cell r="Y1512" t="str">
            <v/>
          </cell>
          <cell r="Z1512" t="str">
            <v/>
          </cell>
        </row>
        <row r="1513">
          <cell r="V1513" t="str">
            <v/>
          </cell>
          <cell r="W1513" t="str">
            <v/>
          </cell>
          <cell r="Y1513" t="str">
            <v/>
          </cell>
          <cell r="Z1513" t="str">
            <v/>
          </cell>
        </row>
        <row r="1514">
          <cell r="V1514" t="str">
            <v/>
          </cell>
          <cell r="W1514" t="str">
            <v/>
          </cell>
          <cell r="Y1514" t="str">
            <v/>
          </cell>
          <cell r="Z1514" t="str">
            <v/>
          </cell>
        </row>
        <row r="1515">
          <cell r="V1515" t="str">
            <v/>
          </cell>
          <cell r="W1515" t="str">
            <v/>
          </cell>
          <cell r="Y1515" t="str">
            <v/>
          </cell>
          <cell r="Z1515" t="str">
            <v/>
          </cell>
        </row>
        <row r="1516">
          <cell r="V1516" t="str">
            <v/>
          </cell>
          <cell r="W1516" t="str">
            <v/>
          </cell>
          <cell r="Y1516" t="str">
            <v/>
          </cell>
          <cell r="Z1516" t="str">
            <v/>
          </cell>
        </row>
        <row r="1517">
          <cell r="V1517" t="str">
            <v/>
          </cell>
          <cell r="W1517" t="str">
            <v/>
          </cell>
          <cell r="Y1517" t="str">
            <v/>
          </cell>
          <cell r="Z1517" t="str">
            <v/>
          </cell>
        </row>
        <row r="1518">
          <cell r="V1518" t="str">
            <v/>
          </cell>
          <cell r="W1518" t="str">
            <v/>
          </cell>
          <cell r="Y1518" t="str">
            <v/>
          </cell>
          <cell r="Z1518" t="str">
            <v/>
          </cell>
        </row>
        <row r="1519">
          <cell r="V1519" t="str">
            <v/>
          </cell>
          <cell r="W1519" t="str">
            <v/>
          </cell>
          <cell r="Y1519" t="str">
            <v/>
          </cell>
          <cell r="Z1519" t="str">
            <v/>
          </cell>
        </row>
        <row r="1520">
          <cell r="V1520" t="str">
            <v/>
          </cell>
          <cell r="W1520" t="str">
            <v/>
          </cell>
          <cell r="Y1520" t="str">
            <v/>
          </cell>
          <cell r="Z1520" t="str">
            <v/>
          </cell>
        </row>
        <row r="1521">
          <cell r="V1521" t="str">
            <v/>
          </cell>
          <cell r="W1521" t="str">
            <v/>
          </cell>
          <cell r="Y1521" t="str">
            <v/>
          </cell>
          <cell r="Z1521" t="str">
            <v/>
          </cell>
        </row>
        <row r="1522">
          <cell r="V1522" t="str">
            <v/>
          </cell>
          <cell r="W1522" t="str">
            <v/>
          </cell>
          <cell r="Y1522" t="str">
            <v/>
          </cell>
          <cell r="Z1522" t="str">
            <v/>
          </cell>
        </row>
        <row r="1523">
          <cell r="V1523" t="str">
            <v/>
          </cell>
          <cell r="W1523" t="str">
            <v/>
          </cell>
          <cell r="Y1523" t="str">
            <v/>
          </cell>
          <cell r="Z1523" t="str">
            <v/>
          </cell>
        </row>
        <row r="1524">
          <cell r="V1524" t="str">
            <v/>
          </cell>
          <cell r="W1524" t="str">
            <v/>
          </cell>
          <cell r="Y1524" t="str">
            <v/>
          </cell>
          <cell r="Z1524" t="str">
            <v/>
          </cell>
        </row>
        <row r="1525">
          <cell r="V1525" t="str">
            <v/>
          </cell>
          <cell r="W1525" t="str">
            <v/>
          </cell>
          <cell r="Y1525" t="str">
            <v/>
          </cell>
          <cell r="Z1525" t="str">
            <v/>
          </cell>
        </row>
        <row r="1526">
          <cell r="V1526" t="str">
            <v/>
          </cell>
          <cell r="W1526" t="str">
            <v/>
          </cell>
          <cell r="Y1526" t="str">
            <v/>
          </cell>
          <cell r="Z1526" t="str">
            <v/>
          </cell>
        </row>
        <row r="1527">
          <cell r="V1527" t="str">
            <v/>
          </cell>
          <cell r="W1527" t="str">
            <v/>
          </cell>
          <cell r="Y1527" t="str">
            <v/>
          </cell>
          <cell r="Z1527" t="str">
            <v/>
          </cell>
        </row>
        <row r="1528">
          <cell r="V1528" t="str">
            <v/>
          </cell>
          <cell r="W1528" t="str">
            <v/>
          </cell>
          <cell r="Y1528" t="str">
            <v/>
          </cell>
          <cell r="Z1528" t="str">
            <v/>
          </cell>
        </row>
        <row r="1529">
          <cell r="V1529" t="str">
            <v/>
          </cell>
          <cell r="W1529" t="str">
            <v/>
          </cell>
          <cell r="Y1529" t="str">
            <v/>
          </cell>
          <cell r="Z1529" t="str">
            <v/>
          </cell>
        </row>
        <row r="1530">
          <cell r="V1530" t="str">
            <v/>
          </cell>
          <cell r="W1530" t="str">
            <v/>
          </cell>
          <cell r="Y1530" t="str">
            <v/>
          </cell>
          <cell r="Z1530" t="str">
            <v/>
          </cell>
        </row>
        <row r="1531">
          <cell r="V1531" t="str">
            <v/>
          </cell>
          <cell r="W1531" t="str">
            <v/>
          </cell>
          <cell r="Y1531" t="str">
            <v/>
          </cell>
          <cell r="Z1531" t="str">
            <v/>
          </cell>
        </row>
        <row r="1532">
          <cell r="V1532" t="str">
            <v/>
          </cell>
          <cell r="W1532" t="str">
            <v/>
          </cell>
          <cell r="Y1532" t="str">
            <v/>
          </cell>
          <cell r="Z1532" t="str">
            <v/>
          </cell>
        </row>
        <row r="1533">
          <cell r="V1533" t="str">
            <v/>
          </cell>
          <cell r="W1533" t="str">
            <v/>
          </cell>
          <cell r="Y1533" t="str">
            <v/>
          </cell>
          <cell r="Z1533" t="str">
            <v/>
          </cell>
        </row>
        <row r="1534">
          <cell r="V1534" t="str">
            <v/>
          </cell>
          <cell r="W1534" t="str">
            <v/>
          </cell>
          <cell r="Y1534" t="str">
            <v/>
          </cell>
          <cell r="Z1534" t="str">
            <v/>
          </cell>
        </row>
        <row r="1535">
          <cell r="V1535" t="str">
            <v/>
          </cell>
          <cell r="W1535" t="str">
            <v/>
          </cell>
          <cell r="Y1535" t="str">
            <v/>
          </cell>
          <cell r="Z1535" t="str">
            <v/>
          </cell>
        </row>
        <row r="1536">
          <cell r="V1536" t="str">
            <v/>
          </cell>
          <cell r="W1536" t="str">
            <v/>
          </cell>
          <cell r="Y1536" t="str">
            <v/>
          </cell>
          <cell r="Z1536" t="str">
            <v/>
          </cell>
        </row>
        <row r="1537">
          <cell r="V1537" t="str">
            <v/>
          </cell>
          <cell r="W1537" t="str">
            <v/>
          </cell>
          <cell r="Y1537" t="str">
            <v/>
          </cell>
          <cell r="Z1537" t="str">
            <v/>
          </cell>
        </row>
        <row r="1538">
          <cell r="V1538" t="str">
            <v/>
          </cell>
          <cell r="W1538" t="str">
            <v/>
          </cell>
          <cell r="Y1538" t="str">
            <v/>
          </cell>
          <cell r="Z1538" t="str">
            <v/>
          </cell>
        </row>
        <row r="1539">
          <cell r="V1539" t="str">
            <v/>
          </cell>
          <cell r="W1539" t="str">
            <v/>
          </cell>
          <cell r="Y1539" t="str">
            <v/>
          </cell>
          <cell r="Z1539" t="str">
            <v/>
          </cell>
        </row>
        <row r="1540">
          <cell r="V1540" t="str">
            <v/>
          </cell>
          <cell r="W1540" t="str">
            <v/>
          </cell>
          <cell r="Y1540" t="str">
            <v/>
          </cell>
          <cell r="Z1540" t="str">
            <v/>
          </cell>
        </row>
        <row r="1541">
          <cell r="V1541" t="str">
            <v/>
          </cell>
          <cell r="W1541" t="str">
            <v/>
          </cell>
          <cell r="Y1541" t="str">
            <v/>
          </cell>
          <cell r="Z1541" t="str">
            <v/>
          </cell>
        </row>
        <row r="1542">
          <cell r="V1542" t="str">
            <v/>
          </cell>
          <cell r="W1542" t="str">
            <v/>
          </cell>
          <cell r="Y1542" t="str">
            <v/>
          </cell>
          <cell r="Z1542" t="str">
            <v/>
          </cell>
        </row>
        <row r="1543">
          <cell r="V1543" t="str">
            <v/>
          </cell>
          <cell r="W1543" t="str">
            <v/>
          </cell>
          <cell r="Y1543" t="str">
            <v/>
          </cell>
          <cell r="Z1543" t="str">
            <v/>
          </cell>
        </row>
        <row r="1544">
          <cell r="V1544" t="str">
            <v/>
          </cell>
          <cell r="W1544" t="str">
            <v/>
          </cell>
          <cell r="Y1544" t="str">
            <v/>
          </cell>
          <cell r="Z1544" t="str">
            <v/>
          </cell>
        </row>
        <row r="1545">
          <cell r="V1545" t="str">
            <v/>
          </cell>
          <cell r="W1545" t="str">
            <v/>
          </cell>
          <cell r="Y1545" t="str">
            <v/>
          </cell>
          <cell r="Z1545" t="str">
            <v/>
          </cell>
        </row>
        <row r="1546">
          <cell r="V1546" t="str">
            <v/>
          </cell>
          <cell r="W1546" t="str">
            <v/>
          </cell>
          <cell r="Y1546" t="str">
            <v/>
          </cell>
          <cell r="Z1546" t="str">
            <v/>
          </cell>
        </row>
        <row r="1547">
          <cell r="V1547" t="str">
            <v/>
          </cell>
          <cell r="W1547" t="str">
            <v/>
          </cell>
          <cell r="Y1547" t="str">
            <v/>
          </cell>
          <cell r="Z1547" t="str">
            <v/>
          </cell>
        </row>
        <row r="1548">
          <cell r="V1548" t="str">
            <v/>
          </cell>
          <cell r="W1548" t="str">
            <v/>
          </cell>
          <cell r="Y1548" t="str">
            <v/>
          </cell>
          <cell r="Z1548" t="str">
            <v/>
          </cell>
        </row>
        <row r="1549">
          <cell r="V1549" t="str">
            <v/>
          </cell>
          <cell r="W1549" t="str">
            <v/>
          </cell>
          <cell r="Y1549" t="str">
            <v/>
          </cell>
          <cell r="Z1549" t="str">
            <v/>
          </cell>
        </row>
        <row r="1550">
          <cell r="V1550" t="str">
            <v/>
          </cell>
          <cell r="W1550" t="str">
            <v/>
          </cell>
          <cell r="Y1550" t="str">
            <v/>
          </cell>
          <cell r="Z1550" t="str">
            <v/>
          </cell>
        </row>
        <row r="1551">
          <cell r="V1551" t="str">
            <v/>
          </cell>
          <cell r="W1551" t="str">
            <v/>
          </cell>
          <cell r="Y1551" t="str">
            <v/>
          </cell>
          <cell r="Z1551" t="str">
            <v/>
          </cell>
        </row>
        <row r="1552">
          <cell r="V1552" t="str">
            <v/>
          </cell>
          <cell r="W1552" t="str">
            <v/>
          </cell>
          <cell r="Y1552" t="str">
            <v/>
          </cell>
          <cell r="Z1552" t="str">
            <v/>
          </cell>
        </row>
        <row r="1553">
          <cell r="V1553" t="str">
            <v/>
          </cell>
          <cell r="W1553" t="str">
            <v/>
          </cell>
          <cell r="Y1553" t="str">
            <v/>
          </cell>
          <cell r="Z1553" t="str">
            <v/>
          </cell>
        </row>
        <row r="1554">
          <cell r="V1554" t="str">
            <v/>
          </cell>
          <cell r="W1554" t="str">
            <v/>
          </cell>
          <cell r="Y1554" t="str">
            <v/>
          </cell>
          <cell r="Z1554" t="str">
            <v/>
          </cell>
        </row>
        <row r="1555">
          <cell r="V1555" t="str">
            <v/>
          </cell>
          <cell r="W1555" t="str">
            <v/>
          </cell>
          <cell r="Y1555" t="str">
            <v/>
          </cell>
          <cell r="Z1555" t="str">
            <v/>
          </cell>
        </row>
        <row r="1556">
          <cell r="V1556" t="str">
            <v/>
          </cell>
          <cell r="W1556" t="str">
            <v/>
          </cell>
          <cell r="Y1556" t="str">
            <v/>
          </cell>
          <cell r="Z1556" t="str">
            <v/>
          </cell>
        </row>
        <row r="1557">
          <cell r="V1557" t="str">
            <v/>
          </cell>
          <cell r="W1557" t="str">
            <v/>
          </cell>
          <cell r="Y1557" t="str">
            <v/>
          </cell>
          <cell r="Z1557" t="str">
            <v/>
          </cell>
        </row>
        <row r="1558">
          <cell r="V1558" t="str">
            <v/>
          </cell>
          <cell r="W1558" t="str">
            <v/>
          </cell>
          <cell r="Y1558" t="str">
            <v/>
          </cell>
          <cell r="Z1558" t="str">
            <v/>
          </cell>
        </row>
        <row r="1559">
          <cell r="V1559" t="str">
            <v/>
          </cell>
          <cell r="W1559" t="str">
            <v/>
          </cell>
          <cell r="Y1559" t="str">
            <v/>
          </cell>
          <cell r="Z1559" t="str">
            <v/>
          </cell>
        </row>
        <row r="1560">
          <cell r="V1560" t="str">
            <v/>
          </cell>
          <cell r="W1560" t="str">
            <v/>
          </cell>
          <cell r="Y1560" t="str">
            <v/>
          </cell>
          <cell r="Z1560" t="str">
            <v/>
          </cell>
        </row>
        <row r="1561">
          <cell r="V1561" t="str">
            <v/>
          </cell>
          <cell r="W1561" t="str">
            <v/>
          </cell>
          <cell r="Y1561" t="str">
            <v/>
          </cell>
          <cell r="Z1561" t="str">
            <v/>
          </cell>
        </row>
        <row r="1562">
          <cell r="V1562" t="str">
            <v/>
          </cell>
          <cell r="W1562" t="str">
            <v/>
          </cell>
          <cell r="Y1562" t="str">
            <v/>
          </cell>
          <cell r="Z1562" t="str">
            <v/>
          </cell>
        </row>
        <row r="1563">
          <cell r="V1563" t="str">
            <v/>
          </cell>
          <cell r="W1563" t="str">
            <v/>
          </cell>
          <cell r="Y1563" t="str">
            <v/>
          </cell>
          <cell r="Z1563" t="str">
            <v/>
          </cell>
        </row>
        <row r="1564">
          <cell r="V1564" t="str">
            <v/>
          </cell>
          <cell r="W1564" t="str">
            <v/>
          </cell>
          <cell r="Y1564" t="str">
            <v/>
          </cell>
          <cell r="Z1564" t="str">
            <v/>
          </cell>
        </row>
        <row r="1565">
          <cell r="V1565" t="str">
            <v/>
          </cell>
          <cell r="W1565" t="str">
            <v/>
          </cell>
          <cell r="Y1565" t="str">
            <v/>
          </cell>
          <cell r="Z1565" t="str">
            <v/>
          </cell>
        </row>
        <row r="1566">
          <cell r="V1566" t="str">
            <v/>
          </cell>
          <cell r="W1566" t="str">
            <v/>
          </cell>
          <cell r="Y1566" t="str">
            <v/>
          </cell>
          <cell r="Z1566" t="str">
            <v/>
          </cell>
        </row>
        <row r="1567">
          <cell r="V1567" t="str">
            <v/>
          </cell>
          <cell r="W1567" t="str">
            <v/>
          </cell>
          <cell r="Y1567" t="str">
            <v/>
          </cell>
          <cell r="Z1567" t="str">
            <v/>
          </cell>
        </row>
        <row r="1568">
          <cell r="V1568" t="str">
            <v/>
          </cell>
          <cell r="W1568" t="str">
            <v/>
          </cell>
          <cell r="Y1568" t="str">
            <v/>
          </cell>
          <cell r="Z1568" t="str">
            <v/>
          </cell>
        </row>
        <row r="1569">
          <cell r="V1569" t="str">
            <v/>
          </cell>
          <cell r="W1569" t="str">
            <v/>
          </cell>
          <cell r="Y1569" t="str">
            <v/>
          </cell>
          <cell r="Z1569" t="str">
            <v/>
          </cell>
        </row>
        <row r="1570">
          <cell r="V1570" t="str">
            <v/>
          </cell>
          <cell r="W1570" t="str">
            <v/>
          </cell>
          <cell r="Y1570" t="str">
            <v/>
          </cell>
          <cell r="Z1570" t="str">
            <v/>
          </cell>
        </row>
        <row r="1571">
          <cell r="V1571" t="str">
            <v/>
          </cell>
          <cell r="W1571" t="str">
            <v/>
          </cell>
          <cell r="Y1571" t="str">
            <v/>
          </cell>
          <cell r="Z1571" t="str">
            <v/>
          </cell>
        </row>
        <row r="1572">
          <cell r="V1572" t="str">
            <v/>
          </cell>
          <cell r="W1572" t="str">
            <v/>
          </cell>
          <cell r="Y1572" t="str">
            <v/>
          </cell>
          <cell r="Z1572" t="str">
            <v/>
          </cell>
        </row>
        <row r="1573">
          <cell r="V1573" t="str">
            <v/>
          </cell>
          <cell r="W1573" t="str">
            <v/>
          </cell>
          <cell r="Y1573" t="str">
            <v/>
          </cell>
          <cell r="Z1573" t="str">
            <v/>
          </cell>
        </row>
        <row r="1574">
          <cell r="V1574" t="str">
            <v/>
          </cell>
          <cell r="W1574" t="str">
            <v/>
          </cell>
          <cell r="Y1574" t="str">
            <v/>
          </cell>
          <cell r="Z1574" t="str">
            <v/>
          </cell>
        </row>
        <row r="1575">
          <cell r="V1575" t="str">
            <v/>
          </cell>
          <cell r="W1575" t="str">
            <v/>
          </cell>
          <cell r="Y1575" t="str">
            <v/>
          </cell>
          <cell r="Z1575" t="str">
            <v/>
          </cell>
        </row>
        <row r="1576">
          <cell r="V1576" t="str">
            <v/>
          </cell>
          <cell r="W1576" t="str">
            <v/>
          </cell>
          <cell r="Y1576" t="str">
            <v/>
          </cell>
          <cell r="Z1576" t="str">
            <v/>
          </cell>
        </row>
        <row r="1577">
          <cell r="V1577" t="str">
            <v/>
          </cell>
          <cell r="W1577" t="str">
            <v/>
          </cell>
          <cell r="Y1577" t="str">
            <v/>
          </cell>
          <cell r="Z1577" t="str">
            <v/>
          </cell>
        </row>
        <row r="1578">
          <cell r="V1578" t="str">
            <v/>
          </cell>
          <cell r="W1578" t="str">
            <v/>
          </cell>
          <cell r="Y1578" t="str">
            <v/>
          </cell>
          <cell r="Z1578" t="str">
            <v/>
          </cell>
        </row>
        <row r="1579">
          <cell r="V1579" t="str">
            <v/>
          </cell>
          <cell r="W1579" t="str">
            <v/>
          </cell>
          <cell r="Y1579" t="str">
            <v/>
          </cell>
          <cell r="Z1579" t="str">
            <v/>
          </cell>
        </row>
        <row r="1580">
          <cell r="V1580" t="str">
            <v/>
          </cell>
          <cell r="W1580" t="str">
            <v/>
          </cell>
          <cell r="Y1580" t="str">
            <v/>
          </cell>
          <cell r="Z1580" t="str">
            <v/>
          </cell>
        </row>
        <row r="1581">
          <cell r="V1581" t="str">
            <v/>
          </cell>
          <cell r="W1581" t="str">
            <v/>
          </cell>
          <cell r="Y1581" t="str">
            <v/>
          </cell>
          <cell r="Z1581" t="str">
            <v/>
          </cell>
        </row>
        <row r="1582">
          <cell r="V1582" t="str">
            <v/>
          </cell>
          <cell r="W1582" t="str">
            <v/>
          </cell>
          <cell r="Y1582" t="str">
            <v/>
          </cell>
          <cell r="Z1582" t="str">
            <v/>
          </cell>
        </row>
        <row r="1583">
          <cell r="V1583" t="str">
            <v/>
          </cell>
          <cell r="W1583" t="str">
            <v/>
          </cell>
          <cell r="Y1583" t="str">
            <v/>
          </cell>
          <cell r="Z1583" t="str">
            <v/>
          </cell>
        </row>
        <row r="1584">
          <cell r="V1584" t="str">
            <v/>
          </cell>
          <cell r="W1584" t="str">
            <v/>
          </cell>
          <cell r="Y1584" t="str">
            <v/>
          </cell>
          <cell r="Z1584" t="str">
            <v/>
          </cell>
        </row>
        <row r="1585">
          <cell r="V1585" t="str">
            <v/>
          </cell>
          <cell r="W1585" t="str">
            <v/>
          </cell>
          <cell r="Y1585" t="str">
            <v/>
          </cell>
          <cell r="Z1585" t="str">
            <v/>
          </cell>
        </row>
        <row r="1586">
          <cell r="V1586" t="str">
            <v/>
          </cell>
          <cell r="W1586" t="str">
            <v/>
          </cell>
          <cell r="Y1586" t="str">
            <v/>
          </cell>
          <cell r="Z1586" t="str">
            <v/>
          </cell>
        </row>
        <row r="1587">
          <cell r="V1587" t="str">
            <v/>
          </cell>
          <cell r="W1587" t="str">
            <v/>
          </cell>
          <cell r="Y1587" t="str">
            <v/>
          </cell>
          <cell r="Z1587" t="str">
            <v/>
          </cell>
        </row>
        <row r="1588">
          <cell r="V1588" t="str">
            <v/>
          </cell>
          <cell r="W1588" t="str">
            <v/>
          </cell>
          <cell r="Y1588" t="str">
            <v/>
          </cell>
          <cell r="Z1588" t="str">
            <v/>
          </cell>
        </row>
        <row r="1589">
          <cell r="V1589" t="str">
            <v/>
          </cell>
          <cell r="W1589" t="str">
            <v/>
          </cell>
          <cell r="Y1589" t="str">
            <v/>
          </cell>
          <cell r="Z1589" t="str">
            <v/>
          </cell>
        </row>
        <row r="1590">
          <cell r="V1590" t="str">
            <v/>
          </cell>
          <cell r="W1590" t="str">
            <v/>
          </cell>
          <cell r="Y1590" t="str">
            <v/>
          </cell>
          <cell r="Z1590" t="str">
            <v/>
          </cell>
        </row>
        <row r="1591">
          <cell r="V1591" t="str">
            <v/>
          </cell>
          <cell r="W1591" t="str">
            <v/>
          </cell>
          <cell r="Y1591" t="str">
            <v/>
          </cell>
          <cell r="Z1591" t="str">
            <v/>
          </cell>
        </row>
        <row r="1592">
          <cell r="V1592" t="str">
            <v/>
          </cell>
          <cell r="W1592" t="str">
            <v/>
          </cell>
          <cell r="Y1592" t="str">
            <v/>
          </cell>
          <cell r="Z1592" t="str">
            <v/>
          </cell>
        </row>
        <row r="1593">
          <cell r="V1593" t="str">
            <v/>
          </cell>
          <cell r="W1593" t="str">
            <v/>
          </cell>
          <cell r="Y1593" t="str">
            <v/>
          </cell>
          <cell r="Z1593" t="str">
            <v/>
          </cell>
        </row>
        <row r="1594">
          <cell r="V1594" t="str">
            <v/>
          </cell>
          <cell r="W1594" t="str">
            <v/>
          </cell>
          <cell r="Y1594" t="str">
            <v/>
          </cell>
          <cell r="Z1594" t="str">
            <v/>
          </cell>
        </row>
        <row r="1595">
          <cell r="V1595" t="str">
            <v/>
          </cell>
          <cell r="W1595" t="str">
            <v/>
          </cell>
          <cell r="Y1595" t="str">
            <v/>
          </cell>
          <cell r="Z1595" t="str">
            <v/>
          </cell>
        </row>
        <row r="1596">
          <cell r="V1596" t="str">
            <v/>
          </cell>
          <cell r="W1596" t="str">
            <v/>
          </cell>
          <cell r="Y1596" t="str">
            <v/>
          </cell>
          <cell r="Z1596" t="str">
            <v/>
          </cell>
        </row>
        <row r="1597">
          <cell r="V1597" t="str">
            <v/>
          </cell>
          <cell r="W1597" t="str">
            <v/>
          </cell>
          <cell r="Y1597" t="str">
            <v/>
          </cell>
          <cell r="Z1597" t="str">
            <v/>
          </cell>
        </row>
        <row r="1598">
          <cell r="V1598" t="str">
            <v/>
          </cell>
          <cell r="W1598" t="str">
            <v/>
          </cell>
          <cell r="Y1598" t="str">
            <v/>
          </cell>
          <cell r="Z1598" t="str">
            <v/>
          </cell>
        </row>
        <row r="1599">
          <cell r="V1599" t="str">
            <v/>
          </cell>
          <cell r="W1599" t="str">
            <v/>
          </cell>
          <cell r="Y1599" t="str">
            <v/>
          </cell>
          <cell r="Z1599" t="str">
            <v/>
          </cell>
        </row>
        <row r="1600">
          <cell r="V1600" t="str">
            <v/>
          </cell>
          <cell r="W1600" t="str">
            <v/>
          </cell>
          <cell r="Y1600" t="str">
            <v/>
          </cell>
          <cell r="Z1600" t="str">
            <v/>
          </cell>
        </row>
        <row r="1601">
          <cell r="V1601" t="str">
            <v/>
          </cell>
          <cell r="W1601" t="str">
            <v/>
          </cell>
          <cell r="Y1601" t="str">
            <v/>
          </cell>
          <cell r="Z1601" t="str">
            <v/>
          </cell>
        </row>
        <row r="1602">
          <cell r="V1602" t="str">
            <v/>
          </cell>
          <cell r="W1602" t="str">
            <v/>
          </cell>
          <cell r="Y1602" t="str">
            <v/>
          </cell>
          <cell r="Z1602" t="str">
            <v/>
          </cell>
        </row>
        <row r="1603">
          <cell r="V1603" t="str">
            <v/>
          </cell>
          <cell r="W1603" t="str">
            <v/>
          </cell>
          <cell r="Y1603" t="str">
            <v/>
          </cell>
          <cell r="Z1603" t="str">
            <v/>
          </cell>
        </row>
        <row r="1604">
          <cell r="V1604" t="str">
            <v/>
          </cell>
          <cell r="W1604" t="str">
            <v/>
          </cell>
          <cell r="Y1604" t="str">
            <v/>
          </cell>
          <cell r="Z1604" t="str">
            <v/>
          </cell>
        </row>
        <row r="1605">
          <cell r="V1605" t="str">
            <v/>
          </cell>
          <cell r="W1605" t="str">
            <v/>
          </cell>
          <cell r="Y1605" t="str">
            <v/>
          </cell>
          <cell r="Z1605" t="str">
            <v/>
          </cell>
        </row>
        <row r="1606">
          <cell r="V1606" t="str">
            <v/>
          </cell>
          <cell r="W1606" t="str">
            <v/>
          </cell>
          <cell r="Y1606" t="str">
            <v/>
          </cell>
          <cell r="Z1606" t="str">
            <v/>
          </cell>
        </row>
        <row r="1607">
          <cell r="V1607" t="str">
            <v/>
          </cell>
          <cell r="W1607" t="str">
            <v/>
          </cell>
          <cell r="Y1607" t="str">
            <v/>
          </cell>
          <cell r="Z1607" t="str">
            <v/>
          </cell>
        </row>
        <row r="1608">
          <cell r="V1608" t="str">
            <v/>
          </cell>
          <cell r="W1608" t="str">
            <v/>
          </cell>
          <cell r="Y1608" t="str">
            <v/>
          </cell>
          <cell r="Z1608" t="str">
            <v/>
          </cell>
        </row>
        <row r="1609">
          <cell r="V1609" t="str">
            <v/>
          </cell>
          <cell r="W1609" t="str">
            <v/>
          </cell>
          <cell r="Y1609" t="str">
            <v/>
          </cell>
          <cell r="Z1609" t="str">
            <v/>
          </cell>
        </row>
        <row r="1610">
          <cell r="V1610" t="str">
            <v/>
          </cell>
          <cell r="W1610" t="str">
            <v/>
          </cell>
          <cell r="Y1610" t="str">
            <v/>
          </cell>
          <cell r="Z1610" t="str">
            <v/>
          </cell>
        </row>
        <row r="1611">
          <cell r="V1611" t="str">
            <v/>
          </cell>
          <cell r="W1611" t="str">
            <v/>
          </cell>
          <cell r="Y1611" t="str">
            <v/>
          </cell>
          <cell r="Z1611" t="str">
            <v/>
          </cell>
        </row>
        <row r="1612">
          <cell r="V1612" t="str">
            <v/>
          </cell>
          <cell r="W1612" t="str">
            <v/>
          </cell>
          <cell r="Y1612" t="str">
            <v/>
          </cell>
          <cell r="Z1612" t="str">
            <v/>
          </cell>
        </row>
        <row r="1613">
          <cell r="V1613" t="str">
            <v/>
          </cell>
          <cell r="W1613" t="str">
            <v/>
          </cell>
          <cell r="Y1613" t="str">
            <v/>
          </cell>
          <cell r="Z1613" t="str">
            <v/>
          </cell>
        </row>
        <row r="1614">
          <cell r="V1614" t="str">
            <v/>
          </cell>
          <cell r="W1614" t="str">
            <v/>
          </cell>
          <cell r="Y1614" t="str">
            <v/>
          </cell>
          <cell r="Z1614" t="str">
            <v/>
          </cell>
        </row>
        <row r="1615">
          <cell r="V1615" t="str">
            <v/>
          </cell>
          <cell r="W1615" t="str">
            <v/>
          </cell>
          <cell r="Y1615" t="str">
            <v/>
          </cell>
          <cell r="Z1615" t="str">
            <v/>
          </cell>
        </row>
        <row r="1616">
          <cell r="V1616" t="str">
            <v/>
          </cell>
          <cell r="W1616" t="str">
            <v/>
          </cell>
          <cell r="Y1616" t="str">
            <v/>
          </cell>
          <cell r="Z1616" t="str">
            <v/>
          </cell>
        </row>
        <row r="1617">
          <cell r="V1617" t="str">
            <v/>
          </cell>
          <cell r="W1617" t="str">
            <v/>
          </cell>
          <cell r="Y1617" t="str">
            <v/>
          </cell>
          <cell r="Z1617" t="str">
            <v/>
          </cell>
        </row>
        <row r="1618">
          <cell r="V1618" t="str">
            <v/>
          </cell>
          <cell r="W1618" t="str">
            <v/>
          </cell>
          <cell r="Y1618" t="str">
            <v/>
          </cell>
          <cell r="Z1618" t="str">
            <v/>
          </cell>
        </row>
        <row r="1619">
          <cell r="V1619" t="str">
            <v/>
          </cell>
          <cell r="W1619" t="str">
            <v/>
          </cell>
          <cell r="Y1619" t="str">
            <v/>
          </cell>
          <cell r="Z1619" t="str">
            <v/>
          </cell>
        </row>
        <row r="1620">
          <cell r="V1620" t="str">
            <v/>
          </cell>
          <cell r="W1620" t="str">
            <v/>
          </cell>
          <cell r="Y1620" t="str">
            <v/>
          </cell>
          <cell r="Z1620" t="str">
            <v/>
          </cell>
        </row>
        <row r="1621">
          <cell r="V1621" t="str">
            <v/>
          </cell>
          <cell r="W1621" t="str">
            <v/>
          </cell>
          <cell r="Y1621" t="str">
            <v/>
          </cell>
          <cell r="Z1621" t="str">
            <v/>
          </cell>
        </row>
        <row r="1622">
          <cell r="V1622" t="str">
            <v/>
          </cell>
          <cell r="W1622" t="str">
            <v/>
          </cell>
          <cell r="Y1622" t="str">
            <v/>
          </cell>
          <cell r="Z1622" t="str">
            <v/>
          </cell>
        </row>
        <row r="1623">
          <cell r="V1623" t="str">
            <v/>
          </cell>
          <cell r="W1623" t="str">
            <v/>
          </cell>
          <cell r="Y1623" t="str">
            <v/>
          </cell>
          <cell r="Z1623" t="str">
            <v/>
          </cell>
        </row>
        <row r="1624">
          <cell r="V1624" t="str">
            <v/>
          </cell>
          <cell r="W1624" t="str">
            <v/>
          </cell>
          <cell r="Y1624" t="str">
            <v/>
          </cell>
          <cell r="Z1624" t="str">
            <v/>
          </cell>
        </row>
        <row r="1625">
          <cell r="V1625" t="str">
            <v/>
          </cell>
          <cell r="W1625" t="str">
            <v/>
          </cell>
          <cell r="Y1625" t="str">
            <v/>
          </cell>
          <cell r="Z1625" t="str">
            <v/>
          </cell>
        </row>
        <row r="1626">
          <cell r="V1626" t="str">
            <v/>
          </cell>
          <cell r="W1626" t="str">
            <v/>
          </cell>
          <cell r="Y1626" t="str">
            <v/>
          </cell>
          <cell r="Z1626" t="str">
            <v/>
          </cell>
        </row>
        <row r="1627">
          <cell r="V1627" t="str">
            <v/>
          </cell>
          <cell r="W1627" t="str">
            <v/>
          </cell>
          <cell r="Y1627" t="str">
            <v/>
          </cell>
          <cell r="Z1627" t="str">
            <v/>
          </cell>
        </row>
        <row r="1628">
          <cell r="V1628" t="str">
            <v/>
          </cell>
          <cell r="W1628" t="str">
            <v/>
          </cell>
          <cell r="Y1628" t="str">
            <v/>
          </cell>
          <cell r="Z1628" t="str">
            <v/>
          </cell>
        </row>
        <row r="1629">
          <cell r="V1629" t="str">
            <v/>
          </cell>
          <cell r="W1629" t="str">
            <v/>
          </cell>
          <cell r="Y1629" t="str">
            <v/>
          </cell>
          <cell r="Z1629" t="str">
            <v/>
          </cell>
        </row>
        <row r="1630">
          <cell r="V1630" t="str">
            <v/>
          </cell>
          <cell r="W1630" t="str">
            <v/>
          </cell>
          <cell r="Y1630" t="str">
            <v/>
          </cell>
          <cell r="Z1630" t="str">
            <v/>
          </cell>
        </row>
        <row r="1631">
          <cell r="V1631" t="str">
            <v/>
          </cell>
          <cell r="W1631" t="str">
            <v/>
          </cell>
          <cell r="Y1631" t="str">
            <v/>
          </cell>
          <cell r="Z1631" t="str">
            <v/>
          </cell>
        </row>
        <row r="1632">
          <cell r="V1632" t="str">
            <v/>
          </cell>
          <cell r="W1632" t="str">
            <v/>
          </cell>
          <cell r="Y1632" t="str">
            <v/>
          </cell>
          <cell r="Z1632" t="str">
            <v/>
          </cell>
        </row>
        <row r="1633">
          <cell r="V1633" t="str">
            <v/>
          </cell>
          <cell r="W1633" t="str">
            <v/>
          </cell>
          <cell r="Y1633" t="str">
            <v/>
          </cell>
          <cell r="Z1633" t="str">
            <v/>
          </cell>
        </row>
        <row r="1634">
          <cell r="V1634" t="str">
            <v/>
          </cell>
          <cell r="W1634" t="str">
            <v/>
          </cell>
          <cell r="Y1634" t="str">
            <v/>
          </cell>
          <cell r="Z1634" t="str">
            <v/>
          </cell>
        </row>
        <row r="1635">
          <cell r="V1635" t="str">
            <v/>
          </cell>
          <cell r="W1635" t="str">
            <v/>
          </cell>
          <cell r="Y1635" t="str">
            <v/>
          </cell>
          <cell r="Z1635" t="str">
            <v/>
          </cell>
        </row>
        <row r="1636">
          <cell r="V1636" t="str">
            <v/>
          </cell>
          <cell r="W1636" t="str">
            <v/>
          </cell>
          <cell r="Y1636" t="str">
            <v/>
          </cell>
          <cell r="Z1636" t="str">
            <v/>
          </cell>
        </row>
        <row r="1637">
          <cell r="V1637" t="str">
            <v/>
          </cell>
          <cell r="W1637" t="str">
            <v/>
          </cell>
          <cell r="Y1637" t="str">
            <v/>
          </cell>
          <cell r="Z1637" t="str">
            <v/>
          </cell>
        </row>
        <row r="1638">
          <cell r="V1638" t="str">
            <v/>
          </cell>
          <cell r="W1638" t="str">
            <v/>
          </cell>
          <cell r="Y1638" t="str">
            <v/>
          </cell>
          <cell r="Z1638" t="str">
            <v/>
          </cell>
        </row>
        <row r="1639">
          <cell r="V1639" t="str">
            <v/>
          </cell>
          <cell r="W1639" t="str">
            <v/>
          </cell>
          <cell r="Y1639" t="str">
            <v/>
          </cell>
          <cell r="Z1639" t="str">
            <v/>
          </cell>
        </row>
        <row r="1640">
          <cell r="V1640" t="str">
            <v/>
          </cell>
          <cell r="W1640" t="str">
            <v/>
          </cell>
          <cell r="Y1640" t="str">
            <v/>
          </cell>
          <cell r="Z1640" t="str">
            <v/>
          </cell>
        </row>
        <row r="1641">
          <cell r="V1641" t="str">
            <v/>
          </cell>
          <cell r="W1641" t="str">
            <v/>
          </cell>
          <cell r="Y1641" t="str">
            <v/>
          </cell>
          <cell r="Z1641" t="str">
            <v/>
          </cell>
        </row>
        <row r="1642">
          <cell r="V1642" t="str">
            <v/>
          </cell>
          <cell r="W1642" t="str">
            <v/>
          </cell>
          <cell r="Y1642" t="str">
            <v/>
          </cell>
          <cell r="Z1642" t="str">
            <v/>
          </cell>
        </row>
        <row r="1643">
          <cell r="V1643" t="str">
            <v/>
          </cell>
          <cell r="W1643" t="str">
            <v/>
          </cell>
          <cell r="Y1643" t="str">
            <v/>
          </cell>
          <cell r="Z1643" t="str">
            <v/>
          </cell>
        </row>
        <row r="1644">
          <cell r="V1644" t="str">
            <v/>
          </cell>
          <cell r="W1644" t="str">
            <v/>
          </cell>
          <cell r="Y1644" t="str">
            <v/>
          </cell>
          <cell r="Z1644" t="str">
            <v/>
          </cell>
        </row>
        <row r="1645">
          <cell r="V1645" t="str">
            <v/>
          </cell>
          <cell r="W1645" t="str">
            <v/>
          </cell>
          <cell r="Y1645" t="str">
            <v/>
          </cell>
          <cell r="Z1645" t="str">
            <v/>
          </cell>
        </row>
        <row r="1646">
          <cell r="V1646" t="str">
            <v/>
          </cell>
          <cell r="W1646" t="str">
            <v/>
          </cell>
          <cell r="Y1646" t="str">
            <v/>
          </cell>
          <cell r="Z1646" t="str">
            <v/>
          </cell>
        </row>
        <row r="1647">
          <cell r="V1647" t="str">
            <v/>
          </cell>
          <cell r="W1647" t="str">
            <v/>
          </cell>
          <cell r="Y1647" t="str">
            <v/>
          </cell>
          <cell r="Z1647" t="str">
            <v/>
          </cell>
        </row>
        <row r="1648">
          <cell r="V1648" t="str">
            <v/>
          </cell>
          <cell r="W1648" t="str">
            <v/>
          </cell>
          <cell r="Y1648" t="str">
            <v/>
          </cell>
          <cell r="Z1648" t="str">
            <v/>
          </cell>
        </row>
        <row r="1649">
          <cell r="V1649" t="str">
            <v/>
          </cell>
          <cell r="W1649" t="str">
            <v/>
          </cell>
          <cell r="Y1649" t="str">
            <v/>
          </cell>
          <cell r="Z1649" t="str">
            <v/>
          </cell>
        </row>
        <row r="1650">
          <cell r="V1650" t="str">
            <v/>
          </cell>
          <cell r="W1650" t="str">
            <v/>
          </cell>
          <cell r="Y1650" t="str">
            <v/>
          </cell>
          <cell r="Z1650" t="str">
            <v/>
          </cell>
        </row>
        <row r="1651">
          <cell r="V1651" t="str">
            <v/>
          </cell>
          <cell r="W1651" t="str">
            <v/>
          </cell>
          <cell r="Y1651" t="str">
            <v/>
          </cell>
          <cell r="Z1651" t="str">
            <v/>
          </cell>
        </row>
        <row r="1652">
          <cell r="V1652" t="str">
            <v/>
          </cell>
          <cell r="W1652" t="str">
            <v/>
          </cell>
          <cell r="Y1652" t="str">
            <v/>
          </cell>
          <cell r="Z1652" t="str">
            <v/>
          </cell>
        </row>
        <row r="1653">
          <cell r="V1653" t="str">
            <v/>
          </cell>
          <cell r="W1653" t="str">
            <v/>
          </cell>
          <cell r="Y1653" t="str">
            <v/>
          </cell>
          <cell r="Z1653" t="str">
            <v/>
          </cell>
        </row>
        <row r="1654">
          <cell r="V1654" t="str">
            <v/>
          </cell>
          <cell r="W1654" t="str">
            <v/>
          </cell>
          <cell r="Y1654" t="str">
            <v/>
          </cell>
          <cell r="Z1654" t="str">
            <v/>
          </cell>
        </row>
        <row r="1655">
          <cell r="V1655" t="str">
            <v/>
          </cell>
          <cell r="W1655" t="str">
            <v/>
          </cell>
          <cell r="Y1655" t="str">
            <v/>
          </cell>
          <cell r="Z1655" t="str">
            <v/>
          </cell>
        </row>
        <row r="1656">
          <cell r="V1656" t="str">
            <v/>
          </cell>
          <cell r="W1656" t="str">
            <v/>
          </cell>
          <cell r="Y1656" t="str">
            <v/>
          </cell>
          <cell r="Z1656" t="str">
            <v/>
          </cell>
        </row>
        <row r="1657">
          <cell r="V1657" t="str">
            <v/>
          </cell>
          <cell r="W1657" t="str">
            <v/>
          </cell>
          <cell r="Y1657" t="str">
            <v/>
          </cell>
          <cell r="Z1657" t="str">
            <v/>
          </cell>
        </row>
        <row r="1658">
          <cell r="V1658" t="str">
            <v/>
          </cell>
          <cell r="W1658" t="str">
            <v/>
          </cell>
          <cell r="Y1658" t="str">
            <v/>
          </cell>
          <cell r="Z1658" t="str">
            <v/>
          </cell>
        </row>
        <row r="1659">
          <cell r="V1659" t="str">
            <v/>
          </cell>
          <cell r="W1659" t="str">
            <v/>
          </cell>
          <cell r="Y1659" t="str">
            <v/>
          </cell>
          <cell r="Z1659" t="str">
            <v/>
          </cell>
        </row>
        <row r="1660">
          <cell r="V1660" t="str">
            <v/>
          </cell>
          <cell r="W1660" t="str">
            <v/>
          </cell>
          <cell r="Y1660" t="str">
            <v/>
          </cell>
          <cell r="Z1660" t="str">
            <v/>
          </cell>
        </row>
        <row r="1661">
          <cell r="V1661" t="str">
            <v/>
          </cell>
          <cell r="W1661" t="str">
            <v/>
          </cell>
          <cell r="Y1661" t="str">
            <v/>
          </cell>
          <cell r="Z1661" t="str">
            <v/>
          </cell>
        </row>
        <row r="1662">
          <cell r="V1662" t="str">
            <v/>
          </cell>
          <cell r="W1662" t="str">
            <v/>
          </cell>
          <cell r="Y1662" t="str">
            <v/>
          </cell>
          <cell r="Z1662" t="str">
            <v/>
          </cell>
        </row>
        <row r="1663">
          <cell r="V1663" t="str">
            <v/>
          </cell>
          <cell r="W1663" t="str">
            <v/>
          </cell>
          <cell r="Y1663" t="str">
            <v/>
          </cell>
          <cell r="Z1663" t="str">
            <v/>
          </cell>
        </row>
        <row r="1664">
          <cell r="V1664" t="str">
            <v/>
          </cell>
          <cell r="W1664" t="str">
            <v/>
          </cell>
          <cell r="Y1664" t="str">
            <v/>
          </cell>
          <cell r="Z1664" t="str">
            <v/>
          </cell>
        </row>
        <row r="1665">
          <cell r="V1665" t="str">
            <v/>
          </cell>
          <cell r="W1665" t="str">
            <v/>
          </cell>
          <cell r="Y1665" t="str">
            <v/>
          </cell>
          <cell r="Z1665" t="str">
            <v/>
          </cell>
        </row>
        <row r="1666">
          <cell r="V1666" t="str">
            <v/>
          </cell>
          <cell r="W1666" t="str">
            <v/>
          </cell>
          <cell r="Y1666" t="str">
            <v/>
          </cell>
          <cell r="Z1666" t="str">
            <v/>
          </cell>
        </row>
        <row r="1667">
          <cell r="V1667" t="str">
            <v/>
          </cell>
          <cell r="W1667" t="str">
            <v/>
          </cell>
          <cell r="Y1667" t="str">
            <v/>
          </cell>
          <cell r="Z1667" t="str">
            <v/>
          </cell>
        </row>
        <row r="1668">
          <cell r="V1668" t="str">
            <v/>
          </cell>
          <cell r="W1668" t="str">
            <v/>
          </cell>
          <cell r="Y1668" t="str">
            <v/>
          </cell>
          <cell r="Z1668" t="str">
            <v/>
          </cell>
        </row>
        <row r="1669">
          <cell r="V1669" t="str">
            <v/>
          </cell>
          <cell r="W1669" t="str">
            <v/>
          </cell>
          <cell r="Y1669" t="str">
            <v/>
          </cell>
          <cell r="Z1669" t="str">
            <v/>
          </cell>
        </row>
        <row r="1670">
          <cell r="V1670" t="str">
            <v/>
          </cell>
          <cell r="W1670" t="str">
            <v/>
          </cell>
          <cell r="Y1670" t="str">
            <v/>
          </cell>
          <cell r="Z1670" t="str">
            <v/>
          </cell>
        </row>
        <row r="1671">
          <cell r="V1671" t="str">
            <v/>
          </cell>
          <cell r="W1671" t="str">
            <v/>
          </cell>
          <cell r="Y1671" t="str">
            <v/>
          </cell>
          <cell r="Z1671" t="str">
            <v/>
          </cell>
        </row>
        <row r="1672">
          <cell r="V1672" t="str">
            <v/>
          </cell>
          <cell r="W1672" t="str">
            <v/>
          </cell>
          <cell r="Y1672" t="str">
            <v/>
          </cell>
          <cell r="Z1672" t="str">
            <v/>
          </cell>
        </row>
        <row r="1673">
          <cell r="V1673" t="str">
            <v/>
          </cell>
          <cell r="W1673" t="str">
            <v/>
          </cell>
          <cell r="Y1673" t="str">
            <v/>
          </cell>
          <cell r="Z1673" t="str">
            <v/>
          </cell>
        </row>
        <row r="1674">
          <cell r="V1674" t="str">
            <v/>
          </cell>
          <cell r="W1674" t="str">
            <v/>
          </cell>
          <cell r="Y1674" t="str">
            <v/>
          </cell>
          <cell r="Z1674" t="str">
            <v/>
          </cell>
        </row>
        <row r="1675">
          <cell r="V1675" t="str">
            <v/>
          </cell>
          <cell r="W1675" t="str">
            <v/>
          </cell>
          <cell r="Y1675" t="str">
            <v/>
          </cell>
          <cell r="Z1675" t="str">
            <v/>
          </cell>
        </row>
        <row r="1676">
          <cell r="V1676" t="str">
            <v/>
          </cell>
          <cell r="W1676" t="str">
            <v/>
          </cell>
          <cell r="Y1676" t="str">
            <v/>
          </cell>
          <cell r="Z1676" t="str">
            <v/>
          </cell>
        </row>
        <row r="1677">
          <cell r="V1677" t="str">
            <v/>
          </cell>
          <cell r="W1677" t="str">
            <v/>
          </cell>
          <cell r="Y1677" t="str">
            <v/>
          </cell>
          <cell r="Z1677" t="str">
            <v/>
          </cell>
        </row>
        <row r="1678">
          <cell r="V1678" t="str">
            <v/>
          </cell>
          <cell r="W1678" t="str">
            <v/>
          </cell>
          <cell r="Y1678" t="str">
            <v/>
          </cell>
          <cell r="Z1678" t="str">
            <v/>
          </cell>
        </row>
        <row r="1679">
          <cell r="V1679" t="str">
            <v/>
          </cell>
          <cell r="W1679" t="str">
            <v/>
          </cell>
          <cell r="Y1679" t="str">
            <v/>
          </cell>
          <cell r="Z1679" t="str">
            <v/>
          </cell>
        </row>
        <row r="1680">
          <cell r="V1680" t="str">
            <v/>
          </cell>
          <cell r="W1680" t="str">
            <v/>
          </cell>
          <cell r="Y1680" t="str">
            <v/>
          </cell>
          <cell r="Z1680" t="str">
            <v/>
          </cell>
        </row>
        <row r="1681">
          <cell r="V1681" t="str">
            <v/>
          </cell>
          <cell r="W1681" t="str">
            <v/>
          </cell>
          <cell r="Y1681" t="str">
            <v/>
          </cell>
          <cell r="Z1681" t="str">
            <v/>
          </cell>
        </row>
        <row r="1682">
          <cell r="V1682" t="str">
            <v/>
          </cell>
          <cell r="W1682" t="str">
            <v/>
          </cell>
          <cell r="Y1682" t="str">
            <v/>
          </cell>
          <cell r="Z1682" t="str">
            <v/>
          </cell>
        </row>
        <row r="1683">
          <cell r="V1683" t="str">
            <v/>
          </cell>
          <cell r="W1683" t="str">
            <v/>
          </cell>
          <cell r="Y1683" t="str">
            <v/>
          </cell>
          <cell r="Z1683" t="str">
            <v/>
          </cell>
        </row>
        <row r="1684">
          <cell r="V1684" t="str">
            <v/>
          </cell>
          <cell r="W1684" t="str">
            <v/>
          </cell>
          <cell r="Y1684" t="str">
            <v/>
          </cell>
          <cell r="Z1684" t="str">
            <v/>
          </cell>
        </row>
        <row r="1685">
          <cell r="V1685" t="str">
            <v/>
          </cell>
          <cell r="W1685" t="str">
            <v/>
          </cell>
          <cell r="Y1685" t="str">
            <v/>
          </cell>
          <cell r="Z1685" t="str">
            <v/>
          </cell>
        </row>
        <row r="1686">
          <cell r="V1686" t="str">
            <v/>
          </cell>
          <cell r="W1686" t="str">
            <v/>
          </cell>
          <cell r="Y1686" t="str">
            <v/>
          </cell>
          <cell r="Z1686" t="str">
            <v/>
          </cell>
        </row>
        <row r="1687">
          <cell r="V1687" t="str">
            <v/>
          </cell>
          <cell r="W1687" t="str">
            <v/>
          </cell>
          <cell r="Y1687" t="str">
            <v/>
          </cell>
          <cell r="Z1687" t="str">
            <v/>
          </cell>
        </row>
        <row r="1688">
          <cell r="V1688" t="str">
            <v/>
          </cell>
          <cell r="W1688" t="str">
            <v/>
          </cell>
          <cell r="Y1688" t="str">
            <v/>
          </cell>
          <cell r="Z1688" t="str">
            <v/>
          </cell>
        </row>
        <row r="1689">
          <cell r="V1689" t="str">
            <v/>
          </cell>
          <cell r="W1689" t="str">
            <v/>
          </cell>
          <cell r="Y1689" t="str">
            <v/>
          </cell>
          <cell r="Z1689" t="str">
            <v/>
          </cell>
        </row>
        <row r="1690">
          <cell r="V1690" t="str">
            <v/>
          </cell>
          <cell r="W1690" t="str">
            <v/>
          </cell>
          <cell r="Y1690" t="str">
            <v/>
          </cell>
          <cell r="Z1690" t="str">
            <v/>
          </cell>
        </row>
        <row r="1691">
          <cell r="V1691" t="str">
            <v/>
          </cell>
          <cell r="W1691" t="str">
            <v/>
          </cell>
          <cell r="Y1691" t="str">
            <v/>
          </cell>
          <cell r="Z1691" t="str">
            <v/>
          </cell>
        </row>
        <row r="1692">
          <cell r="V1692" t="str">
            <v/>
          </cell>
          <cell r="W1692" t="str">
            <v/>
          </cell>
          <cell r="Y1692" t="str">
            <v/>
          </cell>
          <cell r="Z1692" t="str">
            <v/>
          </cell>
        </row>
        <row r="1693">
          <cell r="V1693" t="str">
            <v/>
          </cell>
          <cell r="W1693" t="str">
            <v/>
          </cell>
          <cell r="Y1693" t="str">
            <v/>
          </cell>
          <cell r="Z1693" t="str">
            <v/>
          </cell>
        </row>
        <row r="1694">
          <cell r="V1694" t="str">
            <v/>
          </cell>
          <cell r="W1694" t="str">
            <v/>
          </cell>
          <cell r="Y1694" t="str">
            <v/>
          </cell>
          <cell r="Z1694" t="str">
            <v/>
          </cell>
        </row>
        <row r="1695">
          <cell r="V1695" t="str">
            <v/>
          </cell>
          <cell r="W1695" t="str">
            <v/>
          </cell>
          <cell r="Y1695" t="str">
            <v/>
          </cell>
          <cell r="Z1695" t="str">
            <v/>
          </cell>
        </row>
        <row r="1696">
          <cell r="V1696" t="str">
            <v/>
          </cell>
          <cell r="W1696" t="str">
            <v/>
          </cell>
          <cell r="Y1696" t="str">
            <v/>
          </cell>
          <cell r="Z1696" t="str">
            <v/>
          </cell>
        </row>
        <row r="1697">
          <cell r="V1697" t="str">
            <v/>
          </cell>
          <cell r="W1697" t="str">
            <v/>
          </cell>
          <cell r="Y1697" t="str">
            <v/>
          </cell>
          <cell r="Z1697" t="str">
            <v/>
          </cell>
        </row>
        <row r="1698">
          <cell r="V1698" t="str">
            <v/>
          </cell>
          <cell r="W1698" t="str">
            <v/>
          </cell>
          <cell r="Y1698" t="str">
            <v/>
          </cell>
          <cell r="Z1698" t="str">
            <v/>
          </cell>
        </row>
        <row r="1699">
          <cell r="V1699" t="str">
            <v/>
          </cell>
          <cell r="W1699" t="str">
            <v/>
          </cell>
          <cell r="Y1699" t="str">
            <v/>
          </cell>
          <cell r="Z1699" t="str">
            <v/>
          </cell>
        </row>
        <row r="1700">
          <cell r="V1700" t="str">
            <v/>
          </cell>
          <cell r="W1700" t="str">
            <v/>
          </cell>
          <cell r="Y1700" t="str">
            <v/>
          </cell>
          <cell r="Z1700" t="str">
            <v/>
          </cell>
        </row>
        <row r="1701">
          <cell r="V1701" t="str">
            <v/>
          </cell>
          <cell r="W1701" t="str">
            <v/>
          </cell>
          <cell r="Y1701" t="str">
            <v/>
          </cell>
          <cell r="Z1701" t="str">
            <v/>
          </cell>
        </row>
        <row r="1702">
          <cell r="V1702" t="str">
            <v/>
          </cell>
          <cell r="W1702" t="str">
            <v/>
          </cell>
          <cell r="Y1702" t="str">
            <v/>
          </cell>
          <cell r="Z1702" t="str">
            <v/>
          </cell>
        </row>
        <row r="1703">
          <cell r="V1703" t="str">
            <v/>
          </cell>
          <cell r="W1703" t="str">
            <v/>
          </cell>
          <cell r="Y1703" t="str">
            <v/>
          </cell>
          <cell r="Z1703" t="str">
            <v/>
          </cell>
        </row>
        <row r="1704">
          <cell r="V1704" t="str">
            <v/>
          </cell>
          <cell r="W1704" t="str">
            <v/>
          </cell>
          <cell r="Y1704" t="str">
            <v/>
          </cell>
          <cell r="Z1704" t="str">
            <v/>
          </cell>
        </row>
        <row r="1705">
          <cell r="V1705" t="str">
            <v/>
          </cell>
          <cell r="W1705" t="str">
            <v/>
          </cell>
          <cell r="Y1705" t="str">
            <v/>
          </cell>
          <cell r="Z1705" t="str">
            <v/>
          </cell>
        </row>
        <row r="1706">
          <cell r="V1706" t="str">
            <v/>
          </cell>
          <cell r="W1706" t="str">
            <v/>
          </cell>
          <cell r="Y1706" t="str">
            <v/>
          </cell>
          <cell r="Z1706" t="str">
            <v/>
          </cell>
        </row>
        <row r="1707">
          <cell r="V1707" t="str">
            <v/>
          </cell>
          <cell r="W1707" t="str">
            <v/>
          </cell>
          <cell r="Y1707" t="str">
            <v/>
          </cell>
          <cell r="Z1707" t="str">
            <v/>
          </cell>
        </row>
        <row r="1708">
          <cell r="V1708" t="str">
            <v/>
          </cell>
          <cell r="W1708" t="str">
            <v/>
          </cell>
          <cell r="Y1708" t="str">
            <v/>
          </cell>
          <cell r="Z1708" t="str">
            <v/>
          </cell>
        </row>
        <row r="1709">
          <cell r="V1709" t="str">
            <v/>
          </cell>
          <cell r="W1709" t="str">
            <v/>
          </cell>
          <cell r="Y1709" t="str">
            <v/>
          </cell>
          <cell r="Z1709" t="str">
            <v/>
          </cell>
        </row>
        <row r="1710">
          <cell r="V1710" t="str">
            <v/>
          </cell>
          <cell r="W1710" t="str">
            <v/>
          </cell>
          <cell r="Y1710" t="str">
            <v/>
          </cell>
          <cell r="Z1710" t="str">
            <v/>
          </cell>
        </row>
        <row r="1711">
          <cell r="V1711" t="str">
            <v/>
          </cell>
          <cell r="W1711" t="str">
            <v/>
          </cell>
          <cell r="Y1711" t="str">
            <v/>
          </cell>
          <cell r="Z1711" t="str">
            <v/>
          </cell>
        </row>
        <row r="1712">
          <cell r="V1712" t="str">
            <v/>
          </cell>
          <cell r="W1712" t="str">
            <v/>
          </cell>
          <cell r="Y1712" t="str">
            <v/>
          </cell>
          <cell r="Z1712" t="str">
            <v/>
          </cell>
        </row>
        <row r="1713">
          <cell r="V1713" t="str">
            <v/>
          </cell>
          <cell r="W1713" t="str">
            <v/>
          </cell>
          <cell r="Y1713" t="str">
            <v/>
          </cell>
          <cell r="Z1713" t="str">
            <v/>
          </cell>
        </row>
        <row r="1714">
          <cell r="V1714" t="str">
            <v/>
          </cell>
          <cell r="W1714" t="str">
            <v/>
          </cell>
          <cell r="Y1714" t="str">
            <v/>
          </cell>
          <cell r="Z1714" t="str">
            <v/>
          </cell>
        </row>
        <row r="1715">
          <cell r="V1715" t="str">
            <v/>
          </cell>
          <cell r="W1715" t="str">
            <v/>
          </cell>
          <cell r="Y1715" t="str">
            <v/>
          </cell>
          <cell r="Z1715" t="str">
            <v/>
          </cell>
        </row>
        <row r="1716">
          <cell r="V1716" t="str">
            <v/>
          </cell>
          <cell r="W1716" t="str">
            <v/>
          </cell>
          <cell r="Y1716" t="str">
            <v/>
          </cell>
          <cell r="Z1716" t="str">
            <v/>
          </cell>
        </row>
        <row r="1717">
          <cell r="V1717" t="str">
            <v/>
          </cell>
          <cell r="W1717" t="str">
            <v/>
          </cell>
          <cell r="Y1717" t="str">
            <v/>
          </cell>
          <cell r="Z1717" t="str">
            <v/>
          </cell>
        </row>
        <row r="1718">
          <cell r="V1718" t="str">
            <v/>
          </cell>
          <cell r="W1718" t="str">
            <v/>
          </cell>
          <cell r="Y1718" t="str">
            <v/>
          </cell>
          <cell r="Z1718" t="str">
            <v/>
          </cell>
        </row>
        <row r="1719">
          <cell r="V1719" t="str">
            <v/>
          </cell>
          <cell r="W1719" t="str">
            <v/>
          </cell>
          <cell r="Y1719" t="str">
            <v/>
          </cell>
          <cell r="Z1719" t="str">
            <v/>
          </cell>
        </row>
        <row r="1720">
          <cell r="V1720" t="str">
            <v/>
          </cell>
          <cell r="W1720" t="str">
            <v/>
          </cell>
          <cell r="Y1720" t="str">
            <v/>
          </cell>
          <cell r="Z1720" t="str">
            <v/>
          </cell>
        </row>
        <row r="1721">
          <cell r="V1721" t="str">
            <v/>
          </cell>
          <cell r="W1721" t="str">
            <v/>
          </cell>
          <cell r="Y1721" t="str">
            <v/>
          </cell>
          <cell r="Z1721" t="str">
            <v/>
          </cell>
        </row>
        <row r="1722">
          <cell r="V1722" t="str">
            <v/>
          </cell>
          <cell r="W1722" t="str">
            <v/>
          </cell>
          <cell r="Y1722" t="str">
            <v/>
          </cell>
          <cell r="Z1722" t="str">
            <v/>
          </cell>
        </row>
        <row r="1723">
          <cell r="V1723" t="str">
            <v/>
          </cell>
          <cell r="W1723" t="str">
            <v/>
          </cell>
          <cell r="Y1723" t="str">
            <v/>
          </cell>
          <cell r="Z1723" t="str">
            <v/>
          </cell>
        </row>
        <row r="1724">
          <cell r="V1724" t="str">
            <v/>
          </cell>
          <cell r="W1724" t="str">
            <v/>
          </cell>
          <cell r="Y1724" t="str">
            <v/>
          </cell>
          <cell r="Z1724" t="str">
            <v/>
          </cell>
        </row>
        <row r="1725">
          <cell r="V1725" t="str">
            <v/>
          </cell>
          <cell r="W1725" t="str">
            <v/>
          </cell>
          <cell r="Y1725" t="str">
            <v/>
          </cell>
          <cell r="Z1725" t="str">
            <v/>
          </cell>
        </row>
        <row r="1726">
          <cell r="V1726" t="str">
            <v/>
          </cell>
          <cell r="W1726" t="str">
            <v/>
          </cell>
          <cell r="Y1726" t="str">
            <v/>
          </cell>
          <cell r="Z1726" t="str">
            <v/>
          </cell>
        </row>
        <row r="1727">
          <cell r="V1727" t="str">
            <v/>
          </cell>
          <cell r="W1727" t="str">
            <v/>
          </cell>
          <cell r="Y1727" t="str">
            <v/>
          </cell>
          <cell r="Z1727" t="str">
            <v/>
          </cell>
        </row>
        <row r="1728">
          <cell r="V1728" t="str">
            <v/>
          </cell>
          <cell r="W1728" t="str">
            <v/>
          </cell>
          <cell r="Y1728" t="str">
            <v/>
          </cell>
          <cell r="Z1728" t="str">
            <v/>
          </cell>
        </row>
        <row r="1729">
          <cell r="V1729" t="str">
            <v/>
          </cell>
          <cell r="W1729" t="str">
            <v/>
          </cell>
          <cell r="Y1729" t="str">
            <v/>
          </cell>
          <cell r="Z1729" t="str">
            <v/>
          </cell>
        </row>
        <row r="1730">
          <cell r="V1730" t="str">
            <v/>
          </cell>
          <cell r="W1730" t="str">
            <v/>
          </cell>
          <cell r="Y1730" t="str">
            <v/>
          </cell>
          <cell r="Z1730" t="str">
            <v/>
          </cell>
        </row>
        <row r="1731">
          <cell r="V1731" t="str">
            <v/>
          </cell>
          <cell r="W1731" t="str">
            <v/>
          </cell>
          <cell r="Y1731" t="str">
            <v/>
          </cell>
          <cell r="Z1731" t="str">
            <v/>
          </cell>
        </row>
        <row r="1732">
          <cell r="V1732" t="str">
            <v/>
          </cell>
          <cell r="W1732" t="str">
            <v/>
          </cell>
          <cell r="Y1732" t="str">
            <v/>
          </cell>
          <cell r="Z1732" t="str">
            <v/>
          </cell>
        </row>
        <row r="1733">
          <cell r="V1733" t="str">
            <v/>
          </cell>
          <cell r="W1733" t="str">
            <v/>
          </cell>
          <cell r="Y1733" t="str">
            <v/>
          </cell>
          <cell r="Z1733" t="str">
            <v/>
          </cell>
        </row>
        <row r="1734">
          <cell r="V1734" t="str">
            <v/>
          </cell>
          <cell r="W1734" t="str">
            <v/>
          </cell>
          <cell r="Y1734" t="str">
            <v/>
          </cell>
          <cell r="Z1734" t="str">
            <v/>
          </cell>
        </row>
        <row r="1735">
          <cell r="V1735" t="str">
            <v/>
          </cell>
          <cell r="W1735" t="str">
            <v/>
          </cell>
          <cell r="Y1735" t="str">
            <v/>
          </cell>
          <cell r="Z1735" t="str">
            <v/>
          </cell>
        </row>
        <row r="1736">
          <cell r="V1736" t="str">
            <v/>
          </cell>
          <cell r="W1736" t="str">
            <v/>
          </cell>
          <cell r="Y1736" t="str">
            <v/>
          </cell>
          <cell r="Z1736" t="str">
            <v/>
          </cell>
        </row>
        <row r="1737">
          <cell r="V1737" t="str">
            <v/>
          </cell>
          <cell r="W1737" t="str">
            <v/>
          </cell>
          <cell r="Y1737" t="str">
            <v/>
          </cell>
          <cell r="Z1737" t="str">
            <v/>
          </cell>
        </row>
        <row r="1738">
          <cell r="V1738" t="str">
            <v/>
          </cell>
          <cell r="W1738" t="str">
            <v/>
          </cell>
          <cell r="Y1738" t="str">
            <v/>
          </cell>
          <cell r="Z1738" t="str">
            <v/>
          </cell>
        </row>
        <row r="1739">
          <cell r="V1739" t="str">
            <v/>
          </cell>
          <cell r="W1739" t="str">
            <v/>
          </cell>
          <cell r="Y1739" t="str">
            <v/>
          </cell>
          <cell r="Z1739" t="str">
            <v/>
          </cell>
        </row>
        <row r="1740">
          <cell r="V1740" t="str">
            <v/>
          </cell>
          <cell r="W1740" t="str">
            <v/>
          </cell>
          <cell r="Y1740" t="str">
            <v/>
          </cell>
          <cell r="Z1740" t="str">
            <v/>
          </cell>
        </row>
        <row r="1741">
          <cell r="V1741" t="str">
            <v/>
          </cell>
          <cell r="W1741" t="str">
            <v/>
          </cell>
          <cell r="Y1741" t="str">
            <v/>
          </cell>
          <cell r="Z1741" t="str">
            <v/>
          </cell>
        </row>
        <row r="1742">
          <cell r="V1742" t="str">
            <v/>
          </cell>
          <cell r="W1742" t="str">
            <v/>
          </cell>
          <cell r="Y1742" t="str">
            <v/>
          </cell>
          <cell r="Z1742" t="str">
            <v/>
          </cell>
        </row>
        <row r="1743">
          <cell r="V1743" t="str">
            <v/>
          </cell>
          <cell r="W1743" t="str">
            <v/>
          </cell>
          <cell r="Y1743" t="str">
            <v/>
          </cell>
          <cell r="Z1743" t="str">
            <v/>
          </cell>
        </row>
        <row r="1744">
          <cell r="V1744" t="str">
            <v/>
          </cell>
          <cell r="W1744" t="str">
            <v/>
          </cell>
          <cell r="Y1744" t="str">
            <v/>
          </cell>
          <cell r="Z1744" t="str">
            <v/>
          </cell>
        </row>
        <row r="1745">
          <cell r="V1745" t="str">
            <v/>
          </cell>
          <cell r="W1745" t="str">
            <v/>
          </cell>
          <cell r="Y1745" t="str">
            <v/>
          </cell>
          <cell r="Z1745" t="str">
            <v/>
          </cell>
        </row>
        <row r="1746">
          <cell r="V1746" t="str">
            <v/>
          </cell>
          <cell r="W1746" t="str">
            <v/>
          </cell>
          <cell r="Y1746" t="str">
            <v/>
          </cell>
          <cell r="Z1746" t="str">
            <v/>
          </cell>
        </row>
        <row r="1747">
          <cell r="V1747" t="str">
            <v/>
          </cell>
          <cell r="W1747" t="str">
            <v/>
          </cell>
          <cell r="Y1747" t="str">
            <v/>
          </cell>
          <cell r="Z1747" t="str">
            <v/>
          </cell>
        </row>
        <row r="1748">
          <cell r="V1748" t="str">
            <v/>
          </cell>
          <cell r="W1748" t="str">
            <v/>
          </cell>
          <cell r="Y1748" t="str">
            <v/>
          </cell>
          <cell r="Z1748" t="str">
            <v/>
          </cell>
        </row>
        <row r="1749">
          <cell r="V1749" t="str">
            <v/>
          </cell>
          <cell r="W1749" t="str">
            <v/>
          </cell>
          <cell r="Y1749" t="str">
            <v/>
          </cell>
          <cell r="Z1749" t="str">
            <v/>
          </cell>
        </row>
        <row r="1750">
          <cell r="V1750" t="str">
            <v/>
          </cell>
          <cell r="W1750" t="str">
            <v/>
          </cell>
          <cell r="Y1750" t="str">
            <v/>
          </cell>
          <cell r="Z1750" t="str">
            <v/>
          </cell>
        </row>
        <row r="1751">
          <cell r="V1751" t="str">
            <v/>
          </cell>
          <cell r="W1751" t="str">
            <v/>
          </cell>
          <cell r="Y1751" t="str">
            <v/>
          </cell>
          <cell r="Z1751" t="str">
            <v/>
          </cell>
        </row>
        <row r="1752">
          <cell r="V1752" t="str">
            <v/>
          </cell>
          <cell r="W1752" t="str">
            <v/>
          </cell>
          <cell r="Y1752" t="str">
            <v/>
          </cell>
          <cell r="Z1752" t="str">
            <v/>
          </cell>
        </row>
        <row r="1753">
          <cell r="V1753" t="str">
            <v/>
          </cell>
          <cell r="W1753" t="str">
            <v/>
          </cell>
          <cell r="Y1753" t="str">
            <v/>
          </cell>
          <cell r="Z1753" t="str">
            <v/>
          </cell>
        </row>
        <row r="1754">
          <cell r="V1754" t="str">
            <v/>
          </cell>
          <cell r="W1754" t="str">
            <v/>
          </cell>
          <cell r="Y1754" t="str">
            <v/>
          </cell>
          <cell r="Z1754" t="str">
            <v/>
          </cell>
        </row>
        <row r="1755">
          <cell r="V1755" t="str">
            <v/>
          </cell>
          <cell r="W1755" t="str">
            <v/>
          </cell>
          <cell r="Y1755" t="str">
            <v/>
          </cell>
          <cell r="Z1755" t="str">
            <v/>
          </cell>
        </row>
        <row r="1756">
          <cell r="V1756" t="str">
            <v/>
          </cell>
          <cell r="W1756" t="str">
            <v/>
          </cell>
          <cell r="Y1756" t="str">
            <v/>
          </cell>
          <cell r="Z1756" t="str">
            <v/>
          </cell>
        </row>
        <row r="1757">
          <cell r="V1757" t="str">
            <v/>
          </cell>
          <cell r="W1757" t="str">
            <v/>
          </cell>
          <cell r="Y1757" t="str">
            <v/>
          </cell>
          <cell r="Z1757" t="str">
            <v/>
          </cell>
        </row>
        <row r="1758">
          <cell r="V1758" t="str">
            <v/>
          </cell>
          <cell r="W1758" t="str">
            <v/>
          </cell>
          <cell r="Y1758" t="str">
            <v/>
          </cell>
          <cell r="Z1758" t="str">
            <v/>
          </cell>
        </row>
        <row r="1759">
          <cell r="V1759" t="str">
            <v/>
          </cell>
          <cell r="W1759" t="str">
            <v/>
          </cell>
          <cell r="Y1759" t="str">
            <v/>
          </cell>
          <cell r="Z1759" t="str">
            <v/>
          </cell>
        </row>
        <row r="1760">
          <cell r="V1760" t="str">
            <v/>
          </cell>
          <cell r="W1760" t="str">
            <v/>
          </cell>
          <cell r="Y1760" t="str">
            <v/>
          </cell>
          <cell r="Z1760" t="str">
            <v/>
          </cell>
        </row>
        <row r="1761">
          <cell r="V1761" t="str">
            <v/>
          </cell>
          <cell r="W1761" t="str">
            <v/>
          </cell>
          <cell r="Y1761" t="str">
            <v/>
          </cell>
          <cell r="Z1761" t="str">
            <v/>
          </cell>
        </row>
        <row r="1762">
          <cell r="V1762" t="str">
            <v/>
          </cell>
          <cell r="W1762" t="str">
            <v/>
          </cell>
          <cell r="Y1762" t="str">
            <v/>
          </cell>
          <cell r="Z1762" t="str">
            <v/>
          </cell>
        </row>
        <row r="1763">
          <cell r="V1763" t="str">
            <v/>
          </cell>
          <cell r="W1763" t="str">
            <v/>
          </cell>
          <cell r="Y1763" t="str">
            <v/>
          </cell>
          <cell r="Z1763" t="str">
            <v/>
          </cell>
        </row>
        <row r="1764">
          <cell r="V1764" t="str">
            <v/>
          </cell>
          <cell r="W1764" t="str">
            <v/>
          </cell>
          <cell r="Y1764" t="str">
            <v/>
          </cell>
          <cell r="Z1764" t="str">
            <v/>
          </cell>
        </row>
        <row r="1765">
          <cell r="V1765" t="str">
            <v/>
          </cell>
          <cell r="W1765" t="str">
            <v/>
          </cell>
          <cell r="Y1765" t="str">
            <v/>
          </cell>
          <cell r="Z1765" t="str">
            <v/>
          </cell>
        </row>
        <row r="1766">
          <cell r="V1766" t="str">
            <v/>
          </cell>
          <cell r="W1766" t="str">
            <v/>
          </cell>
          <cell r="Y1766" t="str">
            <v/>
          </cell>
          <cell r="Z1766" t="str">
            <v/>
          </cell>
        </row>
        <row r="1767">
          <cell r="V1767" t="str">
            <v/>
          </cell>
          <cell r="W1767" t="str">
            <v/>
          </cell>
          <cell r="Y1767" t="str">
            <v/>
          </cell>
          <cell r="Z1767" t="str">
            <v/>
          </cell>
        </row>
        <row r="1768">
          <cell r="V1768" t="str">
            <v/>
          </cell>
          <cell r="W1768" t="str">
            <v/>
          </cell>
          <cell r="Y1768" t="str">
            <v/>
          </cell>
          <cell r="Z1768" t="str">
            <v/>
          </cell>
        </row>
        <row r="1769">
          <cell r="V1769" t="str">
            <v/>
          </cell>
          <cell r="W1769" t="str">
            <v/>
          </cell>
          <cell r="Y1769" t="str">
            <v/>
          </cell>
          <cell r="Z1769" t="str">
            <v/>
          </cell>
        </row>
        <row r="1770">
          <cell r="V1770" t="str">
            <v/>
          </cell>
          <cell r="W1770" t="str">
            <v/>
          </cell>
          <cell r="Y1770" t="str">
            <v/>
          </cell>
          <cell r="Z1770" t="str">
            <v/>
          </cell>
        </row>
        <row r="1771">
          <cell r="V1771" t="str">
            <v/>
          </cell>
          <cell r="W1771" t="str">
            <v/>
          </cell>
          <cell r="Y1771" t="str">
            <v/>
          </cell>
          <cell r="Z1771" t="str">
            <v/>
          </cell>
        </row>
        <row r="1772">
          <cell r="V1772" t="str">
            <v/>
          </cell>
          <cell r="W1772" t="str">
            <v/>
          </cell>
          <cell r="Y1772" t="str">
            <v/>
          </cell>
          <cell r="Z1772" t="str">
            <v/>
          </cell>
        </row>
        <row r="1773">
          <cell r="V1773" t="str">
            <v/>
          </cell>
          <cell r="W1773" t="str">
            <v/>
          </cell>
          <cell r="Y1773" t="str">
            <v/>
          </cell>
          <cell r="Z1773" t="str">
            <v/>
          </cell>
        </row>
        <row r="1774">
          <cell r="V1774" t="str">
            <v/>
          </cell>
          <cell r="W1774" t="str">
            <v/>
          </cell>
          <cell r="Y1774" t="str">
            <v/>
          </cell>
          <cell r="Z1774" t="str">
            <v/>
          </cell>
        </row>
        <row r="1775">
          <cell r="V1775" t="str">
            <v/>
          </cell>
          <cell r="W1775" t="str">
            <v/>
          </cell>
          <cell r="Y1775" t="str">
            <v/>
          </cell>
          <cell r="Z1775" t="str">
            <v/>
          </cell>
        </row>
        <row r="1776">
          <cell r="V1776" t="str">
            <v/>
          </cell>
          <cell r="W1776" t="str">
            <v/>
          </cell>
          <cell r="Y1776" t="str">
            <v/>
          </cell>
          <cell r="Z1776" t="str">
            <v/>
          </cell>
        </row>
        <row r="1777">
          <cell r="V1777" t="str">
            <v/>
          </cell>
          <cell r="W1777" t="str">
            <v/>
          </cell>
          <cell r="Y1777" t="str">
            <v/>
          </cell>
          <cell r="Z1777" t="str">
            <v/>
          </cell>
        </row>
        <row r="1778">
          <cell r="V1778" t="str">
            <v/>
          </cell>
          <cell r="W1778" t="str">
            <v/>
          </cell>
          <cell r="Y1778" t="str">
            <v/>
          </cell>
          <cell r="Z1778" t="str">
            <v/>
          </cell>
        </row>
        <row r="1779">
          <cell r="V1779" t="str">
            <v/>
          </cell>
          <cell r="W1779" t="str">
            <v/>
          </cell>
          <cell r="Y1779" t="str">
            <v/>
          </cell>
          <cell r="Z1779" t="str">
            <v/>
          </cell>
        </row>
        <row r="1780">
          <cell r="V1780" t="str">
            <v/>
          </cell>
          <cell r="W1780" t="str">
            <v/>
          </cell>
          <cell r="Y1780" t="str">
            <v/>
          </cell>
          <cell r="Z1780" t="str">
            <v/>
          </cell>
        </row>
        <row r="1781">
          <cell r="V1781" t="str">
            <v/>
          </cell>
          <cell r="W1781" t="str">
            <v/>
          </cell>
          <cell r="Y1781" t="str">
            <v/>
          </cell>
          <cell r="Z1781" t="str">
            <v/>
          </cell>
        </row>
        <row r="1782">
          <cell r="V1782" t="str">
            <v/>
          </cell>
          <cell r="W1782" t="str">
            <v/>
          </cell>
          <cell r="Y1782" t="str">
            <v/>
          </cell>
          <cell r="Z1782" t="str">
            <v/>
          </cell>
        </row>
        <row r="1783">
          <cell r="V1783" t="str">
            <v/>
          </cell>
          <cell r="W1783" t="str">
            <v/>
          </cell>
          <cell r="Y1783" t="str">
            <v/>
          </cell>
          <cell r="Z1783" t="str">
            <v/>
          </cell>
        </row>
        <row r="1784">
          <cell r="V1784" t="str">
            <v/>
          </cell>
          <cell r="W1784" t="str">
            <v/>
          </cell>
          <cell r="Y1784" t="str">
            <v/>
          </cell>
          <cell r="Z1784" t="str">
            <v/>
          </cell>
        </row>
        <row r="1785">
          <cell r="V1785" t="str">
            <v/>
          </cell>
          <cell r="W1785" t="str">
            <v/>
          </cell>
          <cell r="Y1785" t="str">
            <v/>
          </cell>
          <cell r="Z1785" t="str">
            <v/>
          </cell>
        </row>
        <row r="1786">
          <cell r="V1786" t="str">
            <v/>
          </cell>
          <cell r="W1786" t="str">
            <v/>
          </cell>
          <cell r="Y1786" t="str">
            <v/>
          </cell>
          <cell r="Z1786" t="str">
            <v/>
          </cell>
        </row>
        <row r="1787">
          <cell r="V1787" t="str">
            <v/>
          </cell>
          <cell r="W1787" t="str">
            <v/>
          </cell>
          <cell r="Y1787" t="str">
            <v/>
          </cell>
          <cell r="Z1787" t="str">
            <v/>
          </cell>
        </row>
        <row r="1788">
          <cell r="V1788" t="str">
            <v/>
          </cell>
          <cell r="W1788" t="str">
            <v/>
          </cell>
          <cell r="Y1788" t="str">
            <v/>
          </cell>
          <cell r="Z1788" t="str">
            <v/>
          </cell>
        </row>
        <row r="1789">
          <cell r="V1789" t="str">
            <v/>
          </cell>
          <cell r="W1789" t="str">
            <v/>
          </cell>
          <cell r="Y1789" t="str">
            <v/>
          </cell>
          <cell r="Z1789" t="str">
            <v/>
          </cell>
        </row>
        <row r="1790">
          <cell r="V1790" t="str">
            <v/>
          </cell>
          <cell r="W1790" t="str">
            <v/>
          </cell>
          <cell r="Y1790" t="str">
            <v/>
          </cell>
          <cell r="Z1790" t="str">
            <v/>
          </cell>
        </row>
        <row r="1791">
          <cell r="V1791" t="str">
            <v/>
          </cell>
          <cell r="W1791" t="str">
            <v/>
          </cell>
          <cell r="Y1791" t="str">
            <v/>
          </cell>
          <cell r="Z1791" t="str">
            <v/>
          </cell>
        </row>
        <row r="1792">
          <cell r="V1792" t="str">
            <v/>
          </cell>
          <cell r="W1792" t="str">
            <v/>
          </cell>
          <cell r="Y1792" t="str">
            <v/>
          </cell>
          <cell r="Z1792" t="str">
            <v/>
          </cell>
        </row>
        <row r="1793">
          <cell r="V1793" t="str">
            <v/>
          </cell>
          <cell r="W1793" t="str">
            <v/>
          </cell>
          <cell r="Y1793" t="str">
            <v/>
          </cell>
          <cell r="Z1793" t="str">
            <v/>
          </cell>
        </row>
        <row r="1794">
          <cell r="V1794" t="str">
            <v/>
          </cell>
          <cell r="W1794" t="str">
            <v/>
          </cell>
          <cell r="Y1794" t="str">
            <v/>
          </cell>
          <cell r="Z1794" t="str">
            <v/>
          </cell>
        </row>
        <row r="1795">
          <cell r="V1795" t="str">
            <v/>
          </cell>
          <cell r="W1795" t="str">
            <v/>
          </cell>
          <cell r="Y1795" t="str">
            <v/>
          </cell>
          <cell r="Z1795" t="str">
            <v/>
          </cell>
        </row>
        <row r="1796">
          <cell r="V1796" t="str">
            <v/>
          </cell>
          <cell r="W1796" t="str">
            <v/>
          </cell>
          <cell r="Y1796" t="str">
            <v/>
          </cell>
          <cell r="Z1796" t="str">
            <v/>
          </cell>
        </row>
        <row r="1797">
          <cell r="V1797" t="str">
            <v/>
          </cell>
          <cell r="W1797" t="str">
            <v/>
          </cell>
          <cell r="Y1797" t="str">
            <v/>
          </cell>
          <cell r="Z1797" t="str">
            <v/>
          </cell>
        </row>
        <row r="1798">
          <cell r="V1798" t="str">
            <v/>
          </cell>
          <cell r="W1798" t="str">
            <v/>
          </cell>
          <cell r="Y1798" t="str">
            <v/>
          </cell>
          <cell r="Z1798" t="str">
            <v/>
          </cell>
        </row>
        <row r="1799">
          <cell r="V1799" t="str">
            <v/>
          </cell>
          <cell r="W1799" t="str">
            <v/>
          </cell>
          <cell r="Y1799" t="str">
            <v/>
          </cell>
          <cell r="Z1799" t="str">
            <v/>
          </cell>
        </row>
        <row r="1800">
          <cell r="V1800" t="str">
            <v/>
          </cell>
          <cell r="W1800" t="str">
            <v/>
          </cell>
          <cell r="Y1800" t="str">
            <v/>
          </cell>
          <cell r="Z1800" t="str">
            <v/>
          </cell>
        </row>
        <row r="1801">
          <cell r="V1801" t="str">
            <v/>
          </cell>
          <cell r="W1801" t="str">
            <v/>
          </cell>
          <cell r="Y1801" t="str">
            <v/>
          </cell>
          <cell r="Z1801" t="str">
            <v/>
          </cell>
        </row>
        <row r="1802">
          <cell r="V1802" t="str">
            <v/>
          </cell>
          <cell r="W1802" t="str">
            <v/>
          </cell>
          <cell r="Y1802" t="str">
            <v/>
          </cell>
          <cell r="Z1802" t="str">
            <v/>
          </cell>
        </row>
        <row r="1803">
          <cell r="V1803" t="str">
            <v/>
          </cell>
          <cell r="W1803" t="str">
            <v/>
          </cell>
          <cell r="Y1803" t="str">
            <v/>
          </cell>
          <cell r="Z1803" t="str">
            <v/>
          </cell>
        </row>
        <row r="1804">
          <cell r="V1804" t="str">
            <v/>
          </cell>
          <cell r="W1804" t="str">
            <v/>
          </cell>
          <cell r="Y1804" t="str">
            <v/>
          </cell>
          <cell r="Z1804" t="str">
            <v/>
          </cell>
        </row>
        <row r="1805">
          <cell r="V1805" t="str">
            <v/>
          </cell>
          <cell r="W1805" t="str">
            <v/>
          </cell>
          <cell r="Y1805" t="str">
            <v/>
          </cell>
          <cell r="Z1805" t="str">
            <v/>
          </cell>
        </row>
        <row r="1806">
          <cell r="V1806" t="str">
            <v/>
          </cell>
          <cell r="W1806" t="str">
            <v/>
          </cell>
          <cell r="Y1806" t="str">
            <v/>
          </cell>
          <cell r="Z1806" t="str">
            <v/>
          </cell>
        </row>
        <row r="1807">
          <cell r="V1807" t="str">
            <v/>
          </cell>
          <cell r="W1807" t="str">
            <v/>
          </cell>
          <cell r="Y1807" t="str">
            <v/>
          </cell>
          <cell r="Z1807" t="str">
            <v/>
          </cell>
        </row>
        <row r="1808">
          <cell r="V1808" t="str">
            <v/>
          </cell>
          <cell r="W1808" t="str">
            <v/>
          </cell>
          <cell r="Y1808" t="str">
            <v/>
          </cell>
          <cell r="Z1808" t="str">
            <v/>
          </cell>
        </row>
        <row r="1809">
          <cell r="V1809" t="str">
            <v/>
          </cell>
          <cell r="W1809" t="str">
            <v/>
          </cell>
          <cell r="Y1809" t="str">
            <v/>
          </cell>
          <cell r="Z1809" t="str">
            <v/>
          </cell>
        </row>
        <row r="1810">
          <cell r="V1810" t="str">
            <v/>
          </cell>
          <cell r="W1810" t="str">
            <v/>
          </cell>
          <cell r="Y1810" t="str">
            <v/>
          </cell>
          <cell r="Z1810" t="str">
            <v/>
          </cell>
        </row>
        <row r="1811">
          <cell r="V1811" t="str">
            <v/>
          </cell>
          <cell r="W1811" t="str">
            <v/>
          </cell>
          <cell r="Y1811" t="str">
            <v/>
          </cell>
          <cell r="Z1811" t="str">
            <v/>
          </cell>
        </row>
        <row r="1812">
          <cell r="V1812" t="str">
            <v/>
          </cell>
          <cell r="W1812" t="str">
            <v/>
          </cell>
          <cell r="Y1812" t="str">
            <v/>
          </cell>
          <cell r="Z1812" t="str">
            <v/>
          </cell>
        </row>
        <row r="1813">
          <cell r="V1813" t="str">
            <v/>
          </cell>
          <cell r="W1813" t="str">
            <v/>
          </cell>
          <cell r="Y1813" t="str">
            <v/>
          </cell>
          <cell r="Z1813" t="str">
            <v/>
          </cell>
        </row>
        <row r="1814">
          <cell r="V1814" t="str">
            <v/>
          </cell>
          <cell r="W1814" t="str">
            <v/>
          </cell>
          <cell r="Y1814" t="str">
            <v/>
          </cell>
          <cell r="Z1814" t="str">
            <v/>
          </cell>
        </row>
        <row r="1815">
          <cell r="V1815" t="str">
            <v/>
          </cell>
          <cell r="W1815" t="str">
            <v/>
          </cell>
          <cell r="Y1815" t="str">
            <v/>
          </cell>
          <cell r="Z1815" t="str">
            <v/>
          </cell>
        </row>
        <row r="1816">
          <cell r="V1816" t="str">
            <v/>
          </cell>
          <cell r="W1816" t="str">
            <v/>
          </cell>
          <cell r="Y1816" t="str">
            <v/>
          </cell>
          <cell r="Z1816" t="str">
            <v/>
          </cell>
        </row>
        <row r="1817">
          <cell r="V1817" t="str">
            <v/>
          </cell>
          <cell r="W1817" t="str">
            <v/>
          </cell>
          <cell r="Y1817" t="str">
            <v/>
          </cell>
          <cell r="Z1817" t="str">
            <v/>
          </cell>
        </row>
        <row r="1818">
          <cell r="V1818" t="str">
            <v/>
          </cell>
          <cell r="W1818" t="str">
            <v/>
          </cell>
          <cell r="Y1818" t="str">
            <v/>
          </cell>
          <cell r="Z1818" t="str">
            <v/>
          </cell>
        </row>
        <row r="1819">
          <cell r="V1819" t="str">
            <v/>
          </cell>
          <cell r="W1819" t="str">
            <v/>
          </cell>
          <cell r="Y1819" t="str">
            <v/>
          </cell>
          <cell r="Z1819" t="str">
            <v/>
          </cell>
        </row>
        <row r="1820">
          <cell r="V1820" t="str">
            <v/>
          </cell>
          <cell r="W1820" t="str">
            <v/>
          </cell>
          <cell r="Y1820" t="str">
            <v/>
          </cell>
          <cell r="Z1820" t="str">
            <v/>
          </cell>
        </row>
        <row r="1821">
          <cell r="V1821" t="str">
            <v/>
          </cell>
          <cell r="W1821" t="str">
            <v/>
          </cell>
          <cell r="Y1821" t="str">
            <v/>
          </cell>
          <cell r="Z1821" t="str">
            <v/>
          </cell>
        </row>
        <row r="1822">
          <cell r="V1822" t="str">
            <v/>
          </cell>
          <cell r="W1822" t="str">
            <v/>
          </cell>
          <cell r="Y1822" t="str">
            <v/>
          </cell>
          <cell r="Z1822" t="str">
            <v/>
          </cell>
        </row>
        <row r="1823">
          <cell r="V1823" t="str">
            <v/>
          </cell>
          <cell r="W1823" t="str">
            <v/>
          </cell>
          <cell r="Y1823" t="str">
            <v/>
          </cell>
          <cell r="Z1823" t="str">
            <v/>
          </cell>
        </row>
        <row r="1824">
          <cell r="V1824" t="str">
            <v/>
          </cell>
          <cell r="W1824" t="str">
            <v/>
          </cell>
          <cell r="Y1824" t="str">
            <v/>
          </cell>
          <cell r="Z1824" t="str">
            <v/>
          </cell>
        </row>
        <row r="1825">
          <cell r="V1825" t="str">
            <v/>
          </cell>
          <cell r="W1825" t="str">
            <v/>
          </cell>
          <cell r="Y1825" t="str">
            <v/>
          </cell>
          <cell r="Z1825" t="str">
            <v/>
          </cell>
        </row>
        <row r="1826">
          <cell r="V1826" t="str">
            <v/>
          </cell>
          <cell r="W1826" t="str">
            <v/>
          </cell>
          <cell r="Y1826" t="str">
            <v/>
          </cell>
          <cell r="Z1826" t="str">
            <v/>
          </cell>
        </row>
        <row r="1827">
          <cell r="V1827" t="str">
            <v/>
          </cell>
          <cell r="W1827" t="str">
            <v/>
          </cell>
          <cell r="Y1827" t="str">
            <v/>
          </cell>
          <cell r="Z1827" t="str">
            <v/>
          </cell>
        </row>
        <row r="1828">
          <cell r="V1828" t="str">
            <v/>
          </cell>
          <cell r="W1828" t="str">
            <v/>
          </cell>
          <cell r="Y1828" t="str">
            <v/>
          </cell>
          <cell r="Z1828" t="str">
            <v/>
          </cell>
        </row>
        <row r="1829">
          <cell r="V1829" t="str">
            <v/>
          </cell>
          <cell r="W1829" t="str">
            <v/>
          </cell>
          <cell r="Y1829" t="str">
            <v/>
          </cell>
          <cell r="Z1829" t="str">
            <v/>
          </cell>
        </row>
        <row r="1830">
          <cell r="V1830" t="str">
            <v/>
          </cell>
          <cell r="W1830" t="str">
            <v/>
          </cell>
          <cell r="Y1830" t="str">
            <v/>
          </cell>
          <cell r="Z1830" t="str">
            <v/>
          </cell>
        </row>
        <row r="1831">
          <cell r="V1831" t="str">
            <v/>
          </cell>
          <cell r="W1831" t="str">
            <v/>
          </cell>
          <cell r="Y1831" t="str">
            <v/>
          </cell>
          <cell r="Z1831" t="str">
            <v/>
          </cell>
        </row>
        <row r="1832">
          <cell r="V1832" t="str">
            <v/>
          </cell>
          <cell r="W1832" t="str">
            <v/>
          </cell>
          <cell r="Y1832" t="str">
            <v/>
          </cell>
          <cell r="Z1832" t="str">
            <v/>
          </cell>
        </row>
        <row r="1833">
          <cell r="V1833" t="str">
            <v/>
          </cell>
          <cell r="W1833" t="str">
            <v/>
          </cell>
          <cell r="Y1833" t="str">
            <v/>
          </cell>
          <cell r="Z1833" t="str">
            <v/>
          </cell>
        </row>
        <row r="1834">
          <cell r="V1834" t="str">
            <v/>
          </cell>
          <cell r="W1834" t="str">
            <v/>
          </cell>
          <cell r="Y1834" t="str">
            <v/>
          </cell>
          <cell r="Z1834" t="str">
            <v/>
          </cell>
        </row>
        <row r="1835">
          <cell r="V1835" t="str">
            <v/>
          </cell>
          <cell r="W1835" t="str">
            <v/>
          </cell>
          <cell r="Y1835" t="str">
            <v/>
          </cell>
          <cell r="Z1835" t="str">
            <v/>
          </cell>
        </row>
        <row r="1836">
          <cell r="V1836" t="str">
            <v/>
          </cell>
          <cell r="W1836" t="str">
            <v/>
          </cell>
          <cell r="Y1836" t="str">
            <v/>
          </cell>
          <cell r="Z1836" t="str">
            <v/>
          </cell>
        </row>
        <row r="1837">
          <cell r="V1837" t="str">
            <v/>
          </cell>
          <cell r="W1837" t="str">
            <v/>
          </cell>
          <cell r="Y1837" t="str">
            <v/>
          </cell>
          <cell r="Z1837" t="str">
            <v/>
          </cell>
        </row>
        <row r="1838">
          <cell r="V1838" t="str">
            <v/>
          </cell>
          <cell r="W1838" t="str">
            <v/>
          </cell>
          <cell r="Y1838" t="str">
            <v/>
          </cell>
          <cell r="Z1838" t="str">
            <v/>
          </cell>
        </row>
        <row r="1839">
          <cell r="V1839" t="str">
            <v/>
          </cell>
          <cell r="W1839" t="str">
            <v/>
          </cell>
          <cell r="Y1839" t="str">
            <v/>
          </cell>
          <cell r="Z1839" t="str">
            <v/>
          </cell>
        </row>
        <row r="1840">
          <cell r="V1840" t="str">
            <v/>
          </cell>
          <cell r="W1840" t="str">
            <v/>
          </cell>
          <cell r="Y1840" t="str">
            <v/>
          </cell>
          <cell r="Z1840" t="str">
            <v/>
          </cell>
        </row>
        <row r="1841">
          <cell r="V1841" t="str">
            <v/>
          </cell>
          <cell r="W1841" t="str">
            <v/>
          </cell>
          <cell r="Y1841" t="str">
            <v/>
          </cell>
          <cell r="Z1841" t="str">
            <v/>
          </cell>
        </row>
        <row r="1842">
          <cell r="V1842" t="str">
            <v/>
          </cell>
          <cell r="W1842" t="str">
            <v/>
          </cell>
          <cell r="Y1842" t="str">
            <v/>
          </cell>
          <cell r="Z1842" t="str">
            <v/>
          </cell>
        </row>
        <row r="1843">
          <cell r="V1843" t="str">
            <v/>
          </cell>
          <cell r="W1843" t="str">
            <v/>
          </cell>
          <cell r="Y1843" t="str">
            <v/>
          </cell>
          <cell r="Z1843" t="str">
            <v/>
          </cell>
        </row>
        <row r="1844">
          <cell r="V1844" t="str">
            <v/>
          </cell>
          <cell r="W1844" t="str">
            <v/>
          </cell>
          <cell r="Y1844" t="str">
            <v/>
          </cell>
          <cell r="Z1844" t="str">
            <v/>
          </cell>
        </row>
        <row r="1845">
          <cell r="V1845" t="str">
            <v/>
          </cell>
          <cell r="W1845" t="str">
            <v/>
          </cell>
          <cell r="Y1845" t="str">
            <v/>
          </cell>
          <cell r="Z1845" t="str">
            <v/>
          </cell>
        </row>
        <row r="1846">
          <cell r="V1846" t="str">
            <v/>
          </cell>
          <cell r="W1846" t="str">
            <v/>
          </cell>
          <cell r="Y1846" t="str">
            <v/>
          </cell>
          <cell r="Z1846" t="str">
            <v/>
          </cell>
        </row>
        <row r="1847">
          <cell r="V1847" t="str">
            <v/>
          </cell>
          <cell r="W1847" t="str">
            <v/>
          </cell>
          <cell r="Y1847" t="str">
            <v/>
          </cell>
          <cell r="Z1847" t="str">
            <v/>
          </cell>
        </row>
        <row r="1848">
          <cell r="V1848" t="str">
            <v/>
          </cell>
          <cell r="W1848" t="str">
            <v/>
          </cell>
          <cell r="Y1848" t="str">
            <v/>
          </cell>
          <cell r="Z1848" t="str">
            <v/>
          </cell>
        </row>
        <row r="1849">
          <cell r="V1849" t="str">
            <v/>
          </cell>
          <cell r="W1849" t="str">
            <v/>
          </cell>
          <cell r="Y1849" t="str">
            <v/>
          </cell>
          <cell r="Z1849" t="str">
            <v/>
          </cell>
        </row>
        <row r="1850">
          <cell r="V1850" t="str">
            <v/>
          </cell>
          <cell r="W1850" t="str">
            <v/>
          </cell>
          <cell r="Y1850" t="str">
            <v/>
          </cell>
          <cell r="Z1850" t="str">
            <v/>
          </cell>
        </row>
        <row r="1851">
          <cell r="V1851" t="str">
            <v/>
          </cell>
          <cell r="W1851" t="str">
            <v/>
          </cell>
          <cell r="Y1851" t="str">
            <v/>
          </cell>
          <cell r="Z1851" t="str">
            <v/>
          </cell>
        </row>
        <row r="1852">
          <cell r="V1852" t="str">
            <v/>
          </cell>
          <cell r="W1852" t="str">
            <v/>
          </cell>
          <cell r="Y1852" t="str">
            <v/>
          </cell>
          <cell r="Z1852" t="str">
            <v/>
          </cell>
        </row>
        <row r="1853">
          <cell r="V1853" t="str">
            <v/>
          </cell>
          <cell r="W1853" t="str">
            <v/>
          </cell>
          <cell r="Y1853" t="str">
            <v/>
          </cell>
          <cell r="Z1853" t="str">
            <v/>
          </cell>
        </row>
        <row r="1854">
          <cell r="V1854" t="str">
            <v/>
          </cell>
          <cell r="W1854" t="str">
            <v/>
          </cell>
          <cell r="Y1854" t="str">
            <v/>
          </cell>
          <cell r="Z1854" t="str">
            <v/>
          </cell>
        </row>
        <row r="1855">
          <cell r="V1855" t="str">
            <v/>
          </cell>
          <cell r="W1855" t="str">
            <v/>
          </cell>
          <cell r="Y1855" t="str">
            <v/>
          </cell>
          <cell r="Z1855" t="str">
            <v/>
          </cell>
        </row>
        <row r="1856">
          <cell r="V1856" t="str">
            <v/>
          </cell>
          <cell r="W1856" t="str">
            <v/>
          </cell>
          <cell r="Y1856" t="str">
            <v/>
          </cell>
          <cell r="Z1856" t="str">
            <v/>
          </cell>
        </row>
        <row r="1857">
          <cell r="V1857" t="str">
            <v/>
          </cell>
          <cell r="W1857" t="str">
            <v/>
          </cell>
          <cell r="Y1857" t="str">
            <v/>
          </cell>
          <cell r="Z1857" t="str">
            <v/>
          </cell>
        </row>
        <row r="1858">
          <cell r="V1858" t="str">
            <v/>
          </cell>
          <cell r="W1858" t="str">
            <v/>
          </cell>
          <cell r="Y1858" t="str">
            <v/>
          </cell>
          <cell r="Z1858" t="str">
            <v/>
          </cell>
        </row>
        <row r="1859">
          <cell r="V1859" t="str">
            <v/>
          </cell>
          <cell r="W1859" t="str">
            <v/>
          </cell>
          <cell r="Y1859" t="str">
            <v/>
          </cell>
          <cell r="Z1859" t="str">
            <v/>
          </cell>
        </row>
        <row r="1860">
          <cell r="V1860" t="str">
            <v/>
          </cell>
          <cell r="W1860" t="str">
            <v/>
          </cell>
          <cell r="Y1860" t="str">
            <v/>
          </cell>
          <cell r="Z1860" t="str">
            <v/>
          </cell>
        </row>
        <row r="1861">
          <cell r="V1861" t="str">
            <v/>
          </cell>
          <cell r="W1861" t="str">
            <v/>
          </cell>
          <cell r="Y1861" t="str">
            <v/>
          </cell>
          <cell r="Z1861" t="str">
            <v/>
          </cell>
        </row>
        <row r="1862">
          <cell r="V1862" t="str">
            <v/>
          </cell>
          <cell r="W1862" t="str">
            <v/>
          </cell>
          <cell r="Y1862" t="str">
            <v/>
          </cell>
          <cell r="Z1862" t="str">
            <v/>
          </cell>
        </row>
        <row r="1863">
          <cell r="V1863" t="str">
            <v/>
          </cell>
          <cell r="W1863" t="str">
            <v/>
          </cell>
          <cell r="Y1863" t="str">
            <v/>
          </cell>
          <cell r="Z1863" t="str">
            <v/>
          </cell>
        </row>
        <row r="1864">
          <cell r="V1864" t="str">
            <v/>
          </cell>
          <cell r="W1864" t="str">
            <v/>
          </cell>
          <cell r="Y1864" t="str">
            <v/>
          </cell>
          <cell r="Z1864" t="str">
            <v/>
          </cell>
        </row>
        <row r="1865">
          <cell r="V1865" t="str">
            <v/>
          </cell>
          <cell r="W1865" t="str">
            <v/>
          </cell>
          <cell r="Y1865" t="str">
            <v/>
          </cell>
          <cell r="Z1865" t="str">
            <v/>
          </cell>
        </row>
        <row r="1866">
          <cell r="V1866" t="str">
            <v/>
          </cell>
          <cell r="W1866" t="str">
            <v/>
          </cell>
          <cell r="Y1866" t="str">
            <v/>
          </cell>
          <cell r="Z1866" t="str">
            <v/>
          </cell>
        </row>
        <row r="1867">
          <cell r="V1867" t="str">
            <v/>
          </cell>
          <cell r="W1867" t="str">
            <v/>
          </cell>
          <cell r="Y1867" t="str">
            <v/>
          </cell>
          <cell r="Z1867" t="str">
            <v/>
          </cell>
        </row>
        <row r="1868">
          <cell r="V1868" t="str">
            <v/>
          </cell>
          <cell r="W1868" t="str">
            <v/>
          </cell>
          <cell r="Y1868" t="str">
            <v/>
          </cell>
          <cell r="Z1868" t="str">
            <v/>
          </cell>
        </row>
        <row r="1869">
          <cell r="V1869" t="str">
            <v/>
          </cell>
          <cell r="W1869" t="str">
            <v/>
          </cell>
          <cell r="Y1869" t="str">
            <v/>
          </cell>
          <cell r="Z1869" t="str">
            <v/>
          </cell>
        </row>
        <row r="1870">
          <cell r="V1870" t="str">
            <v/>
          </cell>
          <cell r="W1870" t="str">
            <v/>
          </cell>
          <cell r="Y1870" t="str">
            <v/>
          </cell>
          <cell r="Z1870" t="str">
            <v/>
          </cell>
        </row>
        <row r="1871">
          <cell r="V1871" t="str">
            <v/>
          </cell>
          <cell r="W1871" t="str">
            <v/>
          </cell>
          <cell r="Y1871" t="str">
            <v/>
          </cell>
          <cell r="Z1871" t="str">
            <v/>
          </cell>
        </row>
        <row r="1872">
          <cell r="V1872" t="str">
            <v/>
          </cell>
          <cell r="W1872" t="str">
            <v/>
          </cell>
          <cell r="Y1872" t="str">
            <v/>
          </cell>
          <cell r="Z1872" t="str">
            <v/>
          </cell>
        </row>
        <row r="1873">
          <cell r="V1873" t="str">
            <v/>
          </cell>
          <cell r="W1873" t="str">
            <v/>
          </cell>
          <cell r="Y1873" t="str">
            <v/>
          </cell>
          <cell r="Z1873" t="str">
            <v/>
          </cell>
        </row>
        <row r="1874">
          <cell r="V1874" t="str">
            <v/>
          </cell>
          <cell r="W1874" t="str">
            <v/>
          </cell>
          <cell r="Y1874" t="str">
            <v/>
          </cell>
          <cell r="Z1874" t="str">
            <v/>
          </cell>
        </row>
        <row r="1875">
          <cell r="V1875" t="str">
            <v/>
          </cell>
          <cell r="W1875" t="str">
            <v/>
          </cell>
          <cell r="Y1875" t="str">
            <v/>
          </cell>
          <cell r="Z1875" t="str">
            <v/>
          </cell>
        </row>
        <row r="1876">
          <cell r="V1876" t="str">
            <v/>
          </cell>
          <cell r="W1876" t="str">
            <v/>
          </cell>
          <cell r="Y1876" t="str">
            <v/>
          </cell>
          <cell r="Z1876" t="str">
            <v/>
          </cell>
        </row>
        <row r="1877">
          <cell r="V1877" t="str">
            <v/>
          </cell>
          <cell r="W1877" t="str">
            <v/>
          </cell>
          <cell r="Y1877" t="str">
            <v/>
          </cell>
          <cell r="Z1877" t="str">
            <v/>
          </cell>
        </row>
        <row r="1878">
          <cell r="V1878" t="str">
            <v/>
          </cell>
          <cell r="W1878" t="str">
            <v/>
          </cell>
          <cell r="Y1878" t="str">
            <v/>
          </cell>
          <cell r="Z1878" t="str">
            <v/>
          </cell>
        </row>
        <row r="1879">
          <cell r="V1879" t="str">
            <v/>
          </cell>
          <cell r="W1879" t="str">
            <v/>
          </cell>
          <cell r="Y1879" t="str">
            <v/>
          </cell>
          <cell r="Z1879" t="str">
            <v/>
          </cell>
        </row>
        <row r="1880">
          <cell r="V1880" t="str">
            <v/>
          </cell>
          <cell r="W1880" t="str">
            <v/>
          </cell>
          <cell r="Y1880" t="str">
            <v/>
          </cell>
          <cell r="Z1880" t="str">
            <v/>
          </cell>
        </row>
        <row r="1881">
          <cell r="V1881" t="str">
            <v/>
          </cell>
          <cell r="W1881" t="str">
            <v/>
          </cell>
          <cell r="Y1881" t="str">
            <v/>
          </cell>
          <cell r="Z1881" t="str">
            <v/>
          </cell>
        </row>
        <row r="1882">
          <cell r="V1882" t="str">
            <v/>
          </cell>
          <cell r="W1882" t="str">
            <v/>
          </cell>
          <cell r="Y1882" t="str">
            <v/>
          </cell>
          <cell r="Z1882" t="str">
            <v/>
          </cell>
        </row>
        <row r="1883">
          <cell r="V1883" t="str">
            <v/>
          </cell>
          <cell r="W1883" t="str">
            <v/>
          </cell>
          <cell r="Y1883" t="str">
            <v/>
          </cell>
          <cell r="Z1883" t="str">
            <v/>
          </cell>
        </row>
        <row r="1884">
          <cell r="V1884" t="str">
            <v/>
          </cell>
          <cell r="W1884" t="str">
            <v/>
          </cell>
          <cell r="Y1884" t="str">
            <v/>
          </cell>
          <cell r="Z1884" t="str">
            <v/>
          </cell>
        </row>
        <row r="1885">
          <cell r="V1885" t="str">
            <v/>
          </cell>
          <cell r="W1885" t="str">
            <v/>
          </cell>
          <cell r="Y1885" t="str">
            <v/>
          </cell>
          <cell r="Z1885" t="str">
            <v/>
          </cell>
        </row>
        <row r="1886">
          <cell r="V1886" t="str">
            <v/>
          </cell>
          <cell r="W1886" t="str">
            <v/>
          </cell>
          <cell r="Y1886" t="str">
            <v/>
          </cell>
          <cell r="Z1886" t="str">
            <v/>
          </cell>
        </row>
        <row r="1887">
          <cell r="V1887" t="str">
            <v/>
          </cell>
          <cell r="W1887" t="str">
            <v/>
          </cell>
          <cell r="Y1887" t="str">
            <v/>
          </cell>
          <cell r="Z1887" t="str">
            <v/>
          </cell>
        </row>
        <row r="1888">
          <cell r="V1888" t="str">
            <v/>
          </cell>
          <cell r="W1888" t="str">
            <v/>
          </cell>
          <cell r="Y1888" t="str">
            <v/>
          </cell>
          <cell r="Z1888" t="str">
            <v/>
          </cell>
        </row>
        <row r="1889">
          <cell r="V1889" t="str">
            <v/>
          </cell>
          <cell r="W1889" t="str">
            <v/>
          </cell>
          <cell r="Y1889" t="str">
            <v/>
          </cell>
          <cell r="Z1889" t="str">
            <v/>
          </cell>
        </row>
        <row r="1890">
          <cell r="V1890" t="str">
            <v/>
          </cell>
          <cell r="W1890" t="str">
            <v/>
          </cell>
          <cell r="Y1890" t="str">
            <v/>
          </cell>
          <cell r="Z1890" t="str">
            <v/>
          </cell>
        </row>
        <row r="1891">
          <cell r="V1891" t="str">
            <v/>
          </cell>
          <cell r="W1891" t="str">
            <v/>
          </cell>
          <cell r="Y1891" t="str">
            <v/>
          </cell>
          <cell r="Z1891" t="str">
            <v/>
          </cell>
        </row>
        <row r="1892">
          <cell r="V1892" t="str">
            <v/>
          </cell>
          <cell r="W1892" t="str">
            <v/>
          </cell>
          <cell r="Y1892" t="str">
            <v/>
          </cell>
          <cell r="Z1892" t="str">
            <v/>
          </cell>
        </row>
        <row r="1893">
          <cell r="V1893" t="str">
            <v/>
          </cell>
          <cell r="W1893" t="str">
            <v/>
          </cell>
          <cell r="Y1893" t="str">
            <v/>
          </cell>
          <cell r="Z1893" t="str">
            <v/>
          </cell>
        </row>
        <row r="1894">
          <cell r="V1894" t="str">
            <v/>
          </cell>
          <cell r="W1894" t="str">
            <v/>
          </cell>
          <cell r="Y1894" t="str">
            <v/>
          </cell>
          <cell r="Z1894" t="str">
            <v/>
          </cell>
        </row>
        <row r="1895">
          <cell r="V1895" t="str">
            <v/>
          </cell>
          <cell r="W1895" t="str">
            <v/>
          </cell>
          <cell r="Y1895" t="str">
            <v/>
          </cell>
          <cell r="Z1895" t="str">
            <v/>
          </cell>
        </row>
        <row r="1896">
          <cell r="V1896" t="str">
            <v/>
          </cell>
          <cell r="W1896" t="str">
            <v/>
          </cell>
          <cell r="Y1896" t="str">
            <v/>
          </cell>
          <cell r="Z1896" t="str">
            <v/>
          </cell>
        </row>
        <row r="1897">
          <cell r="V1897" t="str">
            <v/>
          </cell>
          <cell r="W1897" t="str">
            <v/>
          </cell>
          <cell r="Y1897" t="str">
            <v/>
          </cell>
          <cell r="Z1897" t="str">
            <v/>
          </cell>
        </row>
        <row r="1898">
          <cell r="V1898" t="str">
            <v/>
          </cell>
          <cell r="W1898" t="str">
            <v/>
          </cell>
          <cell r="Y1898" t="str">
            <v/>
          </cell>
          <cell r="Z1898" t="str">
            <v/>
          </cell>
        </row>
        <row r="1899">
          <cell r="V1899" t="str">
            <v/>
          </cell>
          <cell r="W1899" t="str">
            <v/>
          </cell>
          <cell r="Y1899" t="str">
            <v/>
          </cell>
          <cell r="Z1899" t="str">
            <v/>
          </cell>
        </row>
        <row r="1900">
          <cell r="V1900" t="str">
            <v/>
          </cell>
          <cell r="W1900" t="str">
            <v/>
          </cell>
          <cell r="Y1900" t="str">
            <v/>
          </cell>
          <cell r="Z1900" t="str">
            <v/>
          </cell>
        </row>
        <row r="1901">
          <cell r="V1901" t="str">
            <v/>
          </cell>
          <cell r="W1901" t="str">
            <v/>
          </cell>
          <cell r="Y1901" t="str">
            <v/>
          </cell>
          <cell r="Z1901" t="str">
            <v/>
          </cell>
        </row>
        <row r="1902">
          <cell r="V1902" t="str">
            <v/>
          </cell>
          <cell r="W1902" t="str">
            <v/>
          </cell>
          <cell r="Y1902" t="str">
            <v/>
          </cell>
          <cell r="Z1902" t="str">
            <v/>
          </cell>
        </row>
        <row r="1903">
          <cell r="V1903" t="str">
            <v/>
          </cell>
          <cell r="W1903" t="str">
            <v/>
          </cell>
          <cell r="Y1903" t="str">
            <v/>
          </cell>
          <cell r="Z1903" t="str">
            <v/>
          </cell>
        </row>
        <row r="1904">
          <cell r="V1904" t="str">
            <v/>
          </cell>
          <cell r="W1904" t="str">
            <v/>
          </cell>
          <cell r="Y1904" t="str">
            <v/>
          </cell>
          <cell r="Z1904" t="str">
            <v/>
          </cell>
        </row>
        <row r="1905">
          <cell r="V1905" t="str">
            <v/>
          </cell>
          <cell r="W1905" t="str">
            <v/>
          </cell>
          <cell r="Y1905" t="str">
            <v/>
          </cell>
          <cell r="Z1905" t="str">
            <v/>
          </cell>
        </row>
        <row r="1906">
          <cell r="V1906" t="str">
            <v/>
          </cell>
          <cell r="W1906" t="str">
            <v/>
          </cell>
          <cell r="Y1906" t="str">
            <v/>
          </cell>
          <cell r="Z1906" t="str">
            <v/>
          </cell>
        </row>
        <row r="1907">
          <cell r="V1907" t="str">
            <v/>
          </cell>
          <cell r="W1907" t="str">
            <v/>
          </cell>
          <cell r="Y1907" t="str">
            <v/>
          </cell>
          <cell r="Z1907" t="str">
            <v/>
          </cell>
        </row>
        <row r="1908">
          <cell r="V1908" t="str">
            <v/>
          </cell>
          <cell r="W1908" t="str">
            <v/>
          </cell>
          <cell r="Y1908" t="str">
            <v/>
          </cell>
          <cell r="Z1908" t="str">
            <v/>
          </cell>
        </row>
        <row r="1909">
          <cell r="V1909" t="str">
            <v/>
          </cell>
          <cell r="W1909" t="str">
            <v/>
          </cell>
          <cell r="Y1909" t="str">
            <v/>
          </cell>
          <cell r="Z1909" t="str">
            <v/>
          </cell>
        </row>
        <row r="1910">
          <cell r="V1910" t="str">
            <v/>
          </cell>
          <cell r="W1910" t="str">
            <v/>
          </cell>
          <cell r="Y1910" t="str">
            <v/>
          </cell>
          <cell r="Z1910" t="str">
            <v/>
          </cell>
        </row>
        <row r="1911">
          <cell r="V1911" t="str">
            <v/>
          </cell>
          <cell r="W1911" t="str">
            <v/>
          </cell>
          <cell r="Y1911" t="str">
            <v/>
          </cell>
          <cell r="Z1911" t="str">
            <v/>
          </cell>
        </row>
        <row r="1912">
          <cell r="V1912" t="str">
            <v/>
          </cell>
          <cell r="W1912" t="str">
            <v/>
          </cell>
          <cell r="Y1912" t="str">
            <v/>
          </cell>
          <cell r="Z1912" t="str">
            <v/>
          </cell>
        </row>
        <row r="1913">
          <cell r="V1913" t="str">
            <v/>
          </cell>
          <cell r="W1913" t="str">
            <v/>
          </cell>
          <cell r="Y1913" t="str">
            <v/>
          </cell>
          <cell r="Z1913" t="str">
            <v/>
          </cell>
        </row>
        <row r="1914">
          <cell r="V1914" t="str">
            <v/>
          </cell>
          <cell r="W1914" t="str">
            <v/>
          </cell>
          <cell r="Y1914" t="str">
            <v/>
          </cell>
          <cell r="Z1914" t="str">
            <v/>
          </cell>
        </row>
        <row r="1915">
          <cell r="V1915" t="str">
            <v/>
          </cell>
          <cell r="W1915" t="str">
            <v/>
          </cell>
          <cell r="Y1915" t="str">
            <v/>
          </cell>
          <cell r="Z1915" t="str">
            <v/>
          </cell>
        </row>
        <row r="1916">
          <cell r="V1916" t="str">
            <v/>
          </cell>
          <cell r="W1916" t="str">
            <v/>
          </cell>
          <cell r="Y1916" t="str">
            <v/>
          </cell>
          <cell r="Z1916" t="str">
            <v/>
          </cell>
        </row>
        <row r="1917">
          <cell r="V1917" t="str">
            <v/>
          </cell>
          <cell r="W1917" t="str">
            <v/>
          </cell>
          <cell r="Y1917" t="str">
            <v/>
          </cell>
          <cell r="Z1917" t="str">
            <v/>
          </cell>
        </row>
        <row r="1918">
          <cell r="V1918" t="str">
            <v/>
          </cell>
          <cell r="W1918" t="str">
            <v/>
          </cell>
          <cell r="Y1918" t="str">
            <v/>
          </cell>
          <cell r="Z1918" t="str">
            <v/>
          </cell>
        </row>
        <row r="1919">
          <cell r="V1919" t="str">
            <v/>
          </cell>
          <cell r="W1919" t="str">
            <v/>
          </cell>
          <cell r="Y1919" t="str">
            <v/>
          </cell>
          <cell r="Z1919" t="str">
            <v/>
          </cell>
        </row>
        <row r="1920">
          <cell r="V1920" t="str">
            <v/>
          </cell>
          <cell r="W1920" t="str">
            <v/>
          </cell>
          <cell r="Y1920" t="str">
            <v/>
          </cell>
          <cell r="Z1920" t="str">
            <v/>
          </cell>
        </row>
        <row r="1921">
          <cell r="V1921" t="str">
            <v/>
          </cell>
          <cell r="W1921" t="str">
            <v/>
          </cell>
          <cell r="Y1921" t="str">
            <v/>
          </cell>
          <cell r="Z1921" t="str">
            <v/>
          </cell>
        </row>
        <row r="1922">
          <cell r="V1922" t="str">
            <v/>
          </cell>
          <cell r="W1922" t="str">
            <v/>
          </cell>
          <cell r="Y1922" t="str">
            <v/>
          </cell>
          <cell r="Z1922" t="str">
            <v/>
          </cell>
        </row>
        <row r="1923">
          <cell r="V1923" t="str">
            <v/>
          </cell>
          <cell r="W1923" t="str">
            <v/>
          </cell>
          <cell r="Y1923" t="str">
            <v/>
          </cell>
          <cell r="Z1923" t="str">
            <v/>
          </cell>
        </row>
        <row r="1924">
          <cell r="V1924" t="str">
            <v/>
          </cell>
          <cell r="W1924" t="str">
            <v/>
          </cell>
          <cell r="Y1924" t="str">
            <v/>
          </cell>
          <cell r="Z1924" t="str">
            <v/>
          </cell>
        </row>
        <row r="1925">
          <cell r="V1925" t="str">
            <v/>
          </cell>
          <cell r="W1925" t="str">
            <v/>
          </cell>
          <cell r="Y1925" t="str">
            <v/>
          </cell>
          <cell r="Z1925" t="str">
            <v/>
          </cell>
        </row>
        <row r="1926">
          <cell r="V1926" t="str">
            <v/>
          </cell>
          <cell r="W1926" t="str">
            <v/>
          </cell>
          <cell r="Y1926" t="str">
            <v/>
          </cell>
          <cell r="Z1926" t="str">
            <v/>
          </cell>
        </row>
        <row r="1927">
          <cell r="V1927" t="str">
            <v/>
          </cell>
          <cell r="W1927" t="str">
            <v/>
          </cell>
          <cell r="Y1927" t="str">
            <v/>
          </cell>
          <cell r="Z1927" t="str">
            <v/>
          </cell>
        </row>
        <row r="1928">
          <cell r="V1928" t="str">
            <v/>
          </cell>
          <cell r="W1928" t="str">
            <v/>
          </cell>
          <cell r="Y1928" t="str">
            <v/>
          </cell>
          <cell r="Z1928" t="str">
            <v/>
          </cell>
        </row>
        <row r="1929">
          <cell r="V1929" t="str">
            <v/>
          </cell>
          <cell r="W1929" t="str">
            <v/>
          </cell>
          <cell r="Y1929" t="str">
            <v/>
          </cell>
          <cell r="Z1929" t="str">
            <v/>
          </cell>
        </row>
        <row r="1930">
          <cell r="V1930" t="str">
            <v/>
          </cell>
          <cell r="W1930" t="str">
            <v/>
          </cell>
          <cell r="Y1930" t="str">
            <v/>
          </cell>
          <cell r="Z1930" t="str">
            <v/>
          </cell>
        </row>
        <row r="1931">
          <cell r="V1931" t="str">
            <v/>
          </cell>
          <cell r="W1931" t="str">
            <v/>
          </cell>
          <cell r="Y1931" t="str">
            <v/>
          </cell>
          <cell r="Z1931" t="str">
            <v/>
          </cell>
        </row>
        <row r="1932">
          <cell r="V1932" t="str">
            <v/>
          </cell>
          <cell r="W1932" t="str">
            <v/>
          </cell>
          <cell r="Y1932" t="str">
            <v/>
          </cell>
          <cell r="Z1932" t="str">
            <v/>
          </cell>
        </row>
        <row r="1933">
          <cell r="V1933" t="str">
            <v/>
          </cell>
          <cell r="W1933" t="str">
            <v/>
          </cell>
          <cell r="Y1933" t="str">
            <v/>
          </cell>
          <cell r="Z1933" t="str">
            <v/>
          </cell>
        </row>
        <row r="1934">
          <cell r="V1934" t="str">
            <v/>
          </cell>
          <cell r="W1934" t="str">
            <v/>
          </cell>
          <cell r="Y1934" t="str">
            <v/>
          </cell>
          <cell r="Z1934" t="str">
            <v/>
          </cell>
        </row>
        <row r="1935">
          <cell r="V1935" t="str">
            <v/>
          </cell>
          <cell r="W1935" t="str">
            <v/>
          </cell>
          <cell r="Y1935" t="str">
            <v/>
          </cell>
          <cell r="Z1935" t="str">
            <v/>
          </cell>
        </row>
        <row r="1936">
          <cell r="V1936" t="str">
            <v/>
          </cell>
          <cell r="W1936" t="str">
            <v/>
          </cell>
          <cell r="Y1936" t="str">
            <v/>
          </cell>
          <cell r="Z1936" t="str">
            <v/>
          </cell>
        </row>
        <row r="1937">
          <cell r="V1937" t="str">
            <v/>
          </cell>
          <cell r="W1937" t="str">
            <v/>
          </cell>
          <cell r="Y1937" t="str">
            <v/>
          </cell>
          <cell r="Z1937" t="str">
            <v/>
          </cell>
        </row>
        <row r="1938">
          <cell r="V1938" t="str">
            <v/>
          </cell>
          <cell r="W1938" t="str">
            <v/>
          </cell>
          <cell r="Y1938" t="str">
            <v/>
          </cell>
          <cell r="Z1938" t="str">
            <v/>
          </cell>
        </row>
        <row r="1939">
          <cell r="V1939" t="str">
            <v/>
          </cell>
          <cell r="W1939" t="str">
            <v/>
          </cell>
          <cell r="Y1939" t="str">
            <v/>
          </cell>
          <cell r="Z1939" t="str">
            <v/>
          </cell>
        </row>
        <row r="1940">
          <cell r="V1940" t="str">
            <v/>
          </cell>
          <cell r="W1940" t="str">
            <v/>
          </cell>
          <cell r="Y1940" t="str">
            <v/>
          </cell>
          <cell r="Z1940" t="str">
            <v/>
          </cell>
        </row>
        <row r="1941">
          <cell r="V1941" t="str">
            <v/>
          </cell>
          <cell r="W1941" t="str">
            <v/>
          </cell>
          <cell r="Y1941" t="str">
            <v/>
          </cell>
          <cell r="Z1941" t="str">
            <v/>
          </cell>
        </row>
        <row r="1942">
          <cell r="V1942" t="str">
            <v/>
          </cell>
          <cell r="W1942" t="str">
            <v/>
          </cell>
          <cell r="Y1942" t="str">
            <v/>
          </cell>
          <cell r="Z1942" t="str">
            <v/>
          </cell>
        </row>
        <row r="1943">
          <cell r="V1943" t="str">
            <v/>
          </cell>
          <cell r="W1943" t="str">
            <v/>
          </cell>
          <cell r="Y1943" t="str">
            <v/>
          </cell>
          <cell r="Z1943" t="str">
            <v/>
          </cell>
        </row>
        <row r="1944">
          <cell r="V1944" t="str">
            <v/>
          </cell>
          <cell r="W1944" t="str">
            <v/>
          </cell>
          <cell r="Y1944" t="str">
            <v/>
          </cell>
          <cell r="Z1944" t="str">
            <v/>
          </cell>
        </row>
        <row r="1945">
          <cell r="V1945" t="str">
            <v/>
          </cell>
          <cell r="W1945" t="str">
            <v/>
          </cell>
          <cell r="Y1945" t="str">
            <v/>
          </cell>
          <cell r="Z1945" t="str">
            <v/>
          </cell>
        </row>
        <row r="1946">
          <cell r="V1946" t="str">
            <v/>
          </cell>
          <cell r="W1946" t="str">
            <v/>
          </cell>
          <cell r="Y1946" t="str">
            <v/>
          </cell>
          <cell r="Z1946" t="str">
            <v/>
          </cell>
        </row>
        <row r="1947">
          <cell r="V1947" t="str">
            <v/>
          </cell>
          <cell r="W1947" t="str">
            <v/>
          </cell>
          <cell r="Y1947" t="str">
            <v/>
          </cell>
          <cell r="Z1947" t="str">
            <v/>
          </cell>
        </row>
        <row r="1948">
          <cell r="V1948" t="str">
            <v/>
          </cell>
          <cell r="W1948" t="str">
            <v/>
          </cell>
          <cell r="Y1948" t="str">
            <v/>
          </cell>
          <cell r="Z1948" t="str">
            <v/>
          </cell>
        </row>
        <row r="1949">
          <cell r="V1949" t="str">
            <v/>
          </cell>
          <cell r="W1949" t="str">
            <v/>
          </cell>
          <cell r="Y1949" t="str">
            <v/>
          </cell>
          <cell r="Z1949" t="str">
            <v/>
          </cell>
        </row>
        <row r="1950">
          <cell r="V1950" t="str">
            <v/>
          </cell>
          <cell r="W1950" t="str">
            <v/>
          </cell>
          <cell r="Y1950" t="str">
            <v/>
          </cell>
          <cell r="Z1950" t="str">
            <v/>
          </cell>
        </row>
        <row r="1951">
          <cell r="V1951" t="str">
            <v/>
          </cell>
          <cell r="W1951" t="str">
            <v/>
          </cell>
          <cell r="Y1951" t="str">
            <v/>
          </cell>
          <cell r="Z1951" t="str">
            <v/>
          </cell>
        </row>
        <row r="1952">
          <cell r="V1952" t="str">
            <v/>
          </cell>
          <cell r="W1952" t="str">
            <v/>
          </cell>
          <cell r="Y1952" t="str">
            <v/>
          </cell>
          <cell r="Z1952" t="str">
            <v/>
          </cell>
        </row>
        <row r="1953">
          <cell r="V1953" t="str">
            <v/>
          </cell>
          <cell r="W1953" t="str">
            <v/>
          </cell>
          <cell r="Y1953" t="str">
            <v/>
          </cell>
          <cell r="Z1953" t="str">
            <v/>
          </cell>
        </row>
        <row r="1954">
          <cell r="V1954" t="str">
            <v/>
          </cell>
          <cell r="W1954" t="str">
            <v/>
          </cell>
          <cell r="Y1954" t="str">
            <v/>
          </cell>
          <cell r="Z1954" t="str">
            <v/>
          </cell>
        </row>
        <row r="1955">
          <cell r="V1955" t="str">
            <v/>
          </cell>
          <cell r="W1955" t="str">
            <v/>
          </cell>
          <cell r="Y1955" t="str">
            <v/>
          </cell>
          <cell r="Z1955" t="str">
            <v/>
          </cell>
        </row>
        <row r="1956">
          <cell r="V1956" t="str">
            <v/>
          </cell>
          <cell r="W1956" t="str">
            <v/>
          </cell>
          <cell r="Y1956" t="str">
            <v/>
          </cell>
          <cell r="Z1956" t="str">
            <v/>
          </cell>
        </row>
        <row r="1957">
          <cell r="V1957" t="str">
            <v/>
          </cell>
          <cell r="W1957" t="str">
            <v/>
          </cell>
          <cell r="Y1957" t="str">
            <v/>
          </cell>
          <cell r="Z1957" t="str">
            <v/>
          </cell>
        </row>
        <row r="1958">
          <cell r="V1958" t="str">
            <v/>
          </cell>
          <cell r="W1958" t="str">
            <v/>
          </cell>
          <cell r="Y1958" t="str">
            <v/>
          </cell>
          <cell r="Z1958" t="str">
            <v/>
          </cell>
        </row>
        <row r="1959">
          <cell r="V1959" t="str">
            <v/>
          </cell>
          <cell r="W1959" t="str">
            <v/>
          </cell>
          <cell r="Y1959" t="str">
            <v/>
          </cell>
          <cell r="Z1959" t="str">
            <v/>
          </cell>
        </row>
        <row r="1960">
          <cell r="V1960" t="str">
            <v/>
          </cell>
          <cell r="W1960" t="str">
            <v/>
          </cell>
          <cell r="Y1960" t="str">
            <v/>
          </cell>
          <cell r="Z1960" t="str">
            <v/>
          </cell>
        </row>
        <row r="1961">
          <cell r="V1961" t="str">
            <v/>
          </cell>
          <cell r="W1961" t="str">
            <v/>
          </cell>
          <cell r="Y1961" t="str">
            <v/>
          </cell>
          <cell r="Z1961" t="str">
            <v/>
          </cell>
        </row>
        <row r="1962">
          <cell r="V1962" t="str">
            <v/>
          </cell>
          <cell r="W1962" t="str">
            <v/>
          </cell>
          <cell r="Y1962" t="str">
            <v/>
          </cell>
          <cell r="Z1962" t="str">
            <v/>
          </cell>
        </row>
        <row r="1963">
          <cell r="V1963" t="str">
            <v/>
          </cell>
          <cell r="W1963" t="str">
            <v/>
          </cell>
          <cell r="Y1963" t="str">
            <v/>
          </cell>
          <cell r="Z1963" t="str">
            <v/>
          </cell>
        </row>
        <row r="1964">
          <cell r="V1964" t="str">
            <v/>
          </cell>
          <cell r="W1964" t="str">
            <v/>
          </cell>
          <cell r="Y1964" t="str">
            <v/>
          </cell>
          <cell r="Z1964" t="str">
            <v/>
          </cell>
        </row>
        <row r="1965">
          <cell r="V1965" t="str">
            <v/>
          </cell>
          <cell r="W1965" t="str">
            <v/>
          </cell>
          <cell r="Y1965" t="str">
            <v/>
          </cell>
          <cell r="Z1965" t="str">
            <v/>
          </cell>
        </row>
        <row r="1966">
          <cell r="V1966" t="str">
            <v/>
          </cell>
          <cell r="W1966" t="str">
            <v/>
          </cell>
          <cell r="Y1966" t="str">
            <v/>
          </cell>
          <cell r="Z1966" t="str">
            <v/>
          </cell>
        </row>
        <row r="1967">
          <cell r="V1967" t="str">
            <v/>
          </cell>
          <cell r="W1967" t="str">
            <v/>
          </cell>
          <cell r="Y1967" t="str">
            <v/>
          </cell>
          <cell r="Z1967" t="str">
            <v/>
          </cell>
        </row>
        <row r="1968">
          <cell r="V1968" t="str">
            <v/>
          </cell>
          <cell r="W1968" t="str">
            <v/>
          </cell>
          <cell r="Y1968" t="str">
            <v/>
          </cell>
          <cell r="Z1968" t="str">
            <v/>
          </cell>
        </row>
        <row r="1969">
          <cell r="V1969" t="str">
            <v/>
          </cell>
          <cell r="W1969" t="str">
            <v/>
          </cell>
          <cell r="Y1969" t="str">
            <v/>
          </cell>
          <cell r="Z1969" t="str">
            <v/>
          </cell>
        </row>
        <row r="1970">
          <cell r="V1970" t="str">
            <v/>
          </cell>
          <cell r="W1970" t="str">
            <v/>
          </cell>
          <cell r="Y1970" t="str">
            <v/>
          </cell>
          <cell r="Z1970" t="str">
            <v/>
          </cell>
        </row>
        <row r="1971">
          <cell r="V1971" t="str">
            <v/>
          </cell>
          <cell r="W1971" t="str">
            <v/>
          </cell>
          <cell r="Y1971" t="str">
            <v/>
          </cell>
          <cell r="Z1971" t="str">
            <v/>
          </cell>
        </row>
        <row r="1972">
          <cell r="V1972" t="str">
            <v/>
          </cell>
          <cell r="W1972" t="str">
            <v/>
          </cell>
          <cell r="Y1972" t="str">
            <v/>
          </cell>
          <cell r="Z1972" t="str">
            <v/>
          </cell>
        </row>
        <row r="1973">
          <cell r="V1973" t="str">
            <v/>
          </cell>
          <cell r="W1973" t="str">
            <v/>
          </cell>
          <cell r="Y1973" t="str">
            <v/>
          </cell>
          <cell r="Z1973" t="str">
            <v/>
          </cell>
        </row>
        <row r="1974">
          <cell r="V1974" t="str">
            <v/>
          </cell>
          <cell r="W1974" t="str">
            <v/>
          </cell>
          <cell r="Y1974" t="str">
            <v/>
          </cell>
          <cell r="Z1974" t="str">
            <v/>
          </cell>
        </row>
        <row r="1975">
          <cell r="V1975" t="str">
            <v/>
          </cell>
          <cell r="W1975" t="str">
            <v/>
          </cell>
          <cell r="Y1975" t="str">
            <v/>
          </cell>
          <cell r="Z1975" t="str">
            <v/>
          </cell>
        </row>
        <row r="1976">
          <cell r="V1976" t="str">
            <v/>
          </cell>
          <cell r="W1976" t="str">
            <v/>
          </cell>
          <cell r="Y1976" t="str">
            <v/>
          </cell>
          <cell r="Z1976" t="str">
            <v/>
          </cell>
        </row>
        <row r="1977">
          <cell r="V1977" t="str">
            <v/>
          </cell>
          <cell r="W1977" t="str">
            <v/>
          </cell>
          <cell r="Y1977" t="str">
            <v/>
          </cell>
          <cell r="Z1977" t="str">
            <v/>
          </cell>
        </row>
        <row r="1978">
          <cell r="V1978" t="str">
            <v/>
          </cell>
          <cell r="W1978" t="str">
            <v/>
          </cell>
          <cell r="Y1978" t="str">
            <v/>
          </cell>
          <cell r="Z1978" t="str">
            <v/>
          </cell>
        </row>
        <row r="1979">
          <cell r="V1979" t="str">
            <v/>
          </cell>
          <cell r="W1979" t="str">
            <v/>
          </cell>
          <cell r="Y1979" t="str">
            <v/>
          </cell>
          <cell r="Z1979" t="str">
            <v/>
          </cell>
        </row>
        <row r="1980">
          <cell r="V1980" t="str">
            <v/>
          </cell>
          <cell r="W1980" t="str">
            <v/>
          </cell>
          <cell r="Y1980" t="str">
            <v/>
          </cell>
          <cell r="Z1980" t="str">
            <v/>
          </cell>
        </row>
        <row r="1981">
          <cell r="V1981" t="str">
            <v/>
          </cell>
          <cell r="W1981" t="str">
            <v/>
          </cell>
          <cell r="Y1981" t="str">
            <v/>
          </cell>
          <cell r="Z1981" t="str">
            <v/>
          </cell>
        </row>
        <row r="1982">
          <cell r="V1982" t="str">
            <v/>
          </cell>
          <cell r="W1982" t="str">
            <v/>
          </cell>
          <cell r="Y1982" t="str">
            <v/>
          </cell>
          <cell r="Z1982" t="str">
            <v/>
          </cell>
        </row>
        <row r="1983">
          <cell r="V1983" t="str">
            <v/>
          </cell>
          <cell r="W1983" t="str">
            <v/>
          </cell>
          <cell r="Y1983" t="str">
            <v/>
          </cell>
          <cell r="Z1983" t="str">
            <v/>
          </cell>
        </row>
        <row r="1984">
          <cell r="V1984" t="str">
            <v/>
          </cell>
          <cell r="W1984" t="str">
            <v/>
          </cell>
          <cell r="Y1984" t="str">
            <v/>
          </cell>
          <cell r="Z1984" t="str">
            <v/>
          </cell>
        </row>
        <row r="1985">
          <cell r="V1985" t="str">
            <v/>
          </cell>
          <cell r="W1985" t="str">
            <v/>
          </cell>
          <cell r="Y1985" t="str">
            <v/>
          </cell>
          <cell r="Z1985" t="str">
            <v/>
          </cell>
        </row>
        <row r="1986">
          <cell r="V1986" t="str">
            <v/>
          </cell>
          <cell r="W1986" t="str">
            <v/>
          </cell>
          <cell r="Y1986" t="str">
            <v/>
          </cell>
          <cell r="Z1986" t="str">
            <v/>
          </cell>
        </row>
        <row r="1987">
          <cell r="V1987" t="str">
            <v/>
          </cell>
          <cell r="W1987" t="str">
            <v/>
          </cell>
          <cell r="Y1987" t="str">
            <v/>
          </cell>
          <cell r="Z1987" t="str">
            <v/>
          </cell>
        </row>
        <row r="1988">
          <cell r="V1988" t="str">
            <v/>
          </cell>
          <cell r="W1988" t="str">
            <v/>
          </cell>
          <cell r="Y1988" t="str">
            <v/>
          </cell>
          <cell r="Z1988" t="str">
            <v/>
          </cell>
        </row>
        <row r="1989">
          <cell r="V1989" t="str">
            <v/>
          </cell>
          <cell r="W1989" t="str">
            <v/>
          </cell>
          <cell r="Y1989" t="str">
            <v/>
          </cell>
          <cell r="Z1989" t="str">
            <v/>
          </cell>
        </row>
        <row r="1990">
          <cell r="V1990" t="str">
            <v/>
          </cell>
          <cell r="W1990" t="str">
            <v/>
          </cell>
          <cell r="Y1990" t="str">
            <v/>
          </cell>
          <cell r="Z1990" t="str">
            <v/>
          </cell>
        </row>
        <row r="1991">
          <cell r="V1991" t="str">
            <v/>
          </cell>
          <cell r="W1991" t="str">
            <v/>
          </cell>
          <cell r="Y1991" t="str">
            <v/>
          </cell>
          <cell r="Z1991" t="str">
            <v/>
          </cell>
        </row>
        <row r="1992">
          <cell r="V1992" t="str">
            <v/>
          </cell>
          <cell r="W1992" t="str">
            <v/>
          </cell>
          <cell r="Y1992" t="str">
            <v/>
          </cell>
          <cell r="Z1992" t="str">
            <v/>
          </cell>
        </row>
        <row r="1993">
          <cell r="V1993" t="str">
            <v/>
          </cell>
          <cell r="W1993" t="str">
            <v/>
          </cell>
          <cell r="Y1993" t="str">
            <v/>
          </cell>
          <cell r="Z1993" t="str">
            <v/>
          </cell>
        </row>
        <row r="1994">
          <cell r="V1994" t="str">
            <v/>
          </cell>
          <cell r="W1994" t="str">
            <v/>
          </cell>
          <cell r="Y1994" t="str">
            <v/>
          </cell>
          <cell r="Z1994" t="str">
            <v/>
          </cell>
        </row>
        <row r="1995">
          <cell r="V1995" t="str">
            <v/>
          </cell>
          <cell r="W1995" t="str">
            <v/>
          </cell>
          <cell r="Y1995" t="str">
            <v/>
          </cell>
          <cell r="Z1995" t="str">
            <v/>
          </cell>
        </row>
        <row r="1996">
          <cell r="V1996" t="str">
            <v/>
          </cell>
          <cell r="W1996" t="str">
            <v/>
          </cell>
          <cell r="Y1996" t="str">
            <v/>
          </cell>
          <cell r="Z1996" t="str">
            <v/>
          </cell>
        </row>
        <row r="1997">
          <cell r="V1997" t="str">
            <v/>
          </cell>
          <cell r="W1997" t="str">
            <v/>
          </cell>
          <cell r="Y1997" t="str">
            <v/>
          </cell>
          <cell r="Z1997" t="str">
            <v/>
          </cell>
        </row>
        <row r="1998">
          <cell r="V1998" t="str">
            <v/>
          </cell>
          <cell r="W1998" t="str">
            <v/>
          </cell>
          <cell r="Y1998" t="str">
            <v/>
          </cell>
          <cell r="Z1998" t="str">
            <v/>
          </cell>
        </row>
        <row r="1999">
          <cell r="V1999" t="str">
            <v/>
          </cell>
          <cell r="W1999" t="str">
            <v/>
          </cell>
          <cell r="Y1999" t="str">
            <v/>
          </cell>
          <cell r="Z1999" t="str">
            <v/>
          </cell>
        </row>
        <row r="2000">
          <cell r="V2000" t="str">
            <v/>
          </cell>
          <cell r="W2000" t="str">
            <v/>
          </cell>
          <cell r="Y2000" t="str">
            <v/>
          </cell>
          <cell r="Z2000" t="str">
            <v/>
          </cell>
        </row>
      </sheetData>
      <sheetData sheetId="14" refreshError="1"/>
      <sheetData sheetId="15" refreshError="1">
        <row r="1">
          <cell r="A1">
            <v>1</v>
          </cell>
          <cell r="B1" t="str">
            <v>JANUARY/99</v>
          </cell>
          <cell r="E1">
            <v>1</v>
          </cell>
          <cell r="F1">
            <v>2</v>
          </cell>
          <cell r="G1">
            <v>3</v>
          </cell>
          <cell r="H1">
            <v>4</v>
          </cell>
          <cell r="I1">
            <v>5</v>
          </cell>
          <cell r="J1">
            <v>6</v>
          </cell>
          <cell r="K1">
            <v>7</v>
          </cell>
          <cell r="L1">
            <v>8</v>
          </cell>
          <cell r="M1">
            <v>9</v>
          </cell>
          <cell r="N1">
            <v>10</v>
          </cell>
          <cell r="O1">
            <v>11</v>
          </cell>
          <cell r="P1">
            <v>12</v>
          </cell>
          <cell r="S1">
            <v>1</v>
          </cell>
          <cell r="T1">
            <v>2</v>
          </cell>
          <cell r="U1">
            <v>3</v>
          </cell>
          <cell r="V1">
            <v>4</v>
          </cell>
          <cell r="W1">
            <v>5</v>
          </cell>
          <cell r="X1">
            <v>6</v>
          </cell>
          <cell r="Y1">
            <v>7</v>
          </cell>
          <cell r="Z1">
            <v>8</v>
          </cell>
          <cell r="AA1">
            <v>9</v>
          </cell>
          <cell r="AB1">
            <v>10</v>
          </cell>
          <cell r="AC1">
            <v>11</v>
          </cell>
          <cell r="AD1">
            <v>12</v>
          </cell>
        </row>
        <row r="2">
          <cell r="A2">
            <v>2</v>
          </cell>
          <cell r="B2" t="str">
            <v>FEBRUARY/99</v>
          </cell>
          <cell r="E2">
            <v>211019.51</v>
          </cell>
          <cell r="F2">
            <v>733448.57000000007</v>
          </cell>
          <cell r="G2">
            <v>1893085.6300000001</v>
          </cell>
          <cell r="H2">
            <v>2988272.66</v>
          </cell>
          <cell r="I2">
            <v>3754580.1100000008</v>
          </cell>
          <cell r="J2">
            <v>5600178.9700000025</v>
          </cell>
          <cell r="K2">
            <v>6353213.6400000025</v>
          </cell>
          <cell r="L2">
            <v>7416788.3300000038</v>
          </cell>
          <cell r="M2">
            <v>8651178.0000000037</v>
          </cell>
          <cell r="N2">
            <v>8651178.0000000037</v>
          </cell>
          <cell r="O2">
            <v>8651178.0000000037</v>
          </cell>
          <cell r="P2">
            <v>8651178.0000000037</v>
          </cell>
          <cell r="S2">
            <v>232367</v>
          </cell>
          <cell r="T2">
            <v>303098</v>
          </cell>
          <cell r="U2">
            <v>303357</v>
          </cell>
          <cell r="V2">
            <v>379602.04000000004</v>
          </cell>
          <cell r="W2">
            <v>502530.07000000007</v>
          </cell>
          <cell r="X2">
            <v>538624.56000000006</v>
          </cell>
          <cell r="Y2">
            <v>538770.91</v>
          </cell>
          <cell r="Z2">
            <v>547708.43000000005</v>
          </cell>
          <cell r="AA2">
            <v>557271.2300000001</v>
          </cell>
          <cell r="AB2">
            <v>557271.2300000001</v>
          </cell>
          <cell r="AC2">
            <v>557271.2300000001</v>
          </cell>
          <cell r="AD2">
            <v>557271.2300000001</v>
          </cell>
        </row>
        <row r="3">
          <cell r="A3">
            <v>3</v>
          </cell>
          <cell r="B3" t="str">
            <v>MARCH/99</v>
          </cell>
          <cell r="E3">
            <v>46791.97</v>
          </cell>
          <cell r="F3">
            <v>144531.03999999998</v>
          </cell>
          <cell r="G3">
            <v>279956.03999999998</v>
          </cell>
          <cell r="H3">
            <v>430390.23</v>
          </cell>
          <cell r="I3">
            <v>826085.90999999992</v>
          </cell>
          <cell r="J3">
            <v>915502.14999999991</v>
          </cell>
          <cell r="K3">
            <v>952763.66999999981</v>
          </cell>
          <cell r="L3">
            <v>1089122.2399999998</v>
          </cell>
          <cell r="M3">
            <v>1237804.6199999999</v>
          </cell>
          <cell r="N3">
            <v>1237804.6199999999</v>
          </cell>
          <cell r="O3">
            <v>1237804.6199999999</v>
          </cell>
          <cell r="P3">
            <v>1237804.6199999999</v>
          </cell>
          <cell r="S3">
            <v>21123</v>
          </cell>
          <cell r="T3">
            <v>30399</v>
          </cell>
          <cell r="U3">
            <v>30399</v>
          </cell>
          <cell r="V3">
            <v>41862.259999999995</v>
          </cell>
          <cell r="W3">
            <v>48852.409999999996</v>
          </cell>
          <cell r="X3">
            <v>65627.63</v>
          </cell>
          <cell r="Y3">
            <v>65628.590000000011</v>
          </cell>
          <cell r="Z3">
            <v>66224.350000000006</v>
          </cell>
          <cell r="AA3">
            <v>68487.210000000006</v>
          </cell>
          <cell r="AB3">
            <v>68487.210000000006</v>
          </cell>
          <cell r="AC3">
            <v>68487.210000000006</v>
          </cell>
          <cell r="AD3">
            <v>68487.210000000006</v>
          </cell>
        </row>
        <row r="4">
          <cell r="A4">
            <v>4</v>
          </cell>
          <cell r="B4" t="str">
            <v>APRIL/99</v>
          </cell>
          <cell r="E4">
            <v>133763.81</v>
          </cell>
          <cell r="F4">
            <v>329758.11</v>
          </cell>
          <cell r="G4">
            <v>658740.99</v>
          </cell>
          <cell r="H4">
            <v>967410.47000000207</v>
          </cell>
          <cell r="I4">
            <v>1212841.1800000018</v>
          </cell>
          <cell r="J4">
            <v>1531082.6600000015</v>
          </cell>
          <cell r="K4">
            <v>1783482.8700000015</v>
          </cell>
          <cell r="L4">
            <v>2115060.0300000017</v>
          </cell>
          <cell r="M4">
            <v>2446567.9000000013</v>
          </cell>
          <cell r="N4">
            <v>2446567.9000000013</v>
          </cell>
          <cell r="O4">
            <v>2446567.9000000013</v>
          </cell>
          <cell r="P4">
            <v>2446567.9000000013</v>
          </cell>
          <cell r="S4">
            <v>2320</v>
          </cell>
          <cell r="T4">
            <v>5020</v>
          </cell>
          <cell r="U4">
            <v>5506</v>
          </cell>
          <cell r="V4">
            <v>9063.01</v>
          </cell>
          <cell r="W4">
            <v>12593.2</v>
          </cell>
          <cell r="X4">
            <v>17320.39</v>
          </cell>
          <cell r="Y4">
            <v>17855.829999999998</v>
          </cell>
          <cell r="Z4">
            <v>21211.599999999999</v>
          </cell>
          <cell r="AA4">
            <v>23119.599999999999</v>
          </cell>
          <cell r="AB4">
            <v>23119.599999999999</v>
          </cell>
          <cell r="AC4">
            <v>23119.599999999999</v>
          </cell>
          <cell r="AD4">
            <v>23119.599999999999</v>
          </cell>
        </row>
        <row r="5">
          <cell r="A5">
            <v>5</v>
          </cell>
          <cell r="B5" t="str">
            <v>MAY/99</v>
          </cell>
          <cell r="E5">
            <v>291409.2</v>
          </cell>
          <cell r="F5">
            <v>763936.48</v>
          </cell>
          <cell r="G5">
            <v>1430552.51</v>
          </cell>
          <cell r="H5">
            <v>2002506.7200000002</v>
          </cell>
          <cell r="I5">
            <v>2418753.86</v>
          </cell>
          <cell r="J5">
            <v>2820537.07</v>
          </cell>
          <cell r="K5">
            <v>3153713.51</v>
          </cell>
          <cell r="L5">
            <v>3609163.44</v>
          </cell>
          <cell r="M5">
            <v>4114516.17</v>
          </cell>
          <cell r="N5">
            <v>4114516.17</v>
          </cell>
          <cell r="O5">
            <v>4114516.17</v>
          </cell>
          <cell r="P5">
            <v>4114516.17</v>
          </cell>
          <cell r="S5">
            <v>77232</v>
          </cell>
          <cell r="T5">
            <v>127838</v>
          </cell>
          <cell r="U5">
            <v>128141</v>
          </cell>
          <cell r="V5">
            <v>148535.26</v>
          </cell>
          <cell r="W5">
            <v>166226.73000000001</v>
          </cell>
          <cell r="X5">
            <v>230923.55000000002</v>
          </cell>
          <cell r="Y5">
            <v>231062.34000000003</v>
          </cell>
          <cell r="Z5">
            <v>236163.65000000002</v>
          </cell>
          <cell r="AA5">
            <v>284921.40000000002</v>
          </cell>
          <cell r="AB5">
            <v>284921.40000000002</v>
          </cell>
          <cell r="AC5">
            <v>284921.40000000002</v>
          </cell>
          <cell r="AD5">
            <v>284921.40000000002</v>
          </cell>
        </row>
        <row r="6">
          <cell r="A6">
            <v>6</v>
          </cell>
          <cell r="B6" t="str">
            <v>JUNE/99</v>
          </cell>
          <cell r="E6">
            <v>1297650.06</v>
          </cell>
          <cell r="F6">
            <v>3801871.5600000005</v>
          </cell>
          <cell r="G6">
            <v>6868414.9300000006</v>
          </cell>
          <cell r="H6">
            <v>9423349.9500000011</v>
          </cell>
          <cell r="I6">
            <v>11347284.160000004</v>
          </cell>
          <cell r="J6">
            <v>13185425.010000005</v>
          </cell>
          <cell r="K6">
            <v>14976422.040000007</v>
          </cell>
          <cell r="L6">
            <v>17089420.910000004</v>
          </cell>
          <cell r="M6">
            <v>19551323.060000006</v>
          </cell>
          <cell r="N6">
            <v>19551323.060000006</v>
          </cell>
          <cell r="O6">
            <v>19551323.060000006</v>
          </cell>
          <cell r="P6">
            <v>19551323.060000006</v>
          </cell>
          <cell r="S6">
            <v>207585</v>
          </cell>
          <cell r="T6">
            <v>321206</v>
          </cell>
          <cell r="U6">
            <v>321496</v>
          </cell>
          <cell r="V6">
            <v>408481.28000000003</v>
          </cell>
          <cell r="W6">
            <v>545245.11</v>
          </cell>
          <cell r="X6">
            <v>695624.64</v>
          </cell>
          <cell r="Y6">
            <v>695687.53</v>
          </cell>
          <cell r="Z6">
            <v>729562.53</v>
          </cell>
          <cell r="AA6">
            <v>782195.33000000007</v>
          </cell>
          <cell r="AB6">
            <v>782195.33000000007</v>
          </cell>
          <cell r="AC6">
            <v>782195.33000000007</v>
          </cell>
          <cell r="AD6">
            <v>782195.33000000007</v>
          </cell>
        </row>
        <row r="7">
          <cell r="A7">
            <v>7</v>
          </cell>
          <cell r="B7" t="str">
            <v>JULY/99</v>
          </cell>
          <cell r="E7">
            <v>9126572.1899999939</v>
          </cell>
          <cell r="F7">
            <v>21915779.059999995</v>
          </cell>
          <cell r="G7">
            <v>42122630.870000012</v>
          </cell>
          <cell r="H7">
            <v>63732351.00999999</v>
          </cell>
          <cell r="I7">
            <v>77832558.849999979</v>
          </cell>
          <cell r="J7">
            <v>90246179.999999985</v>
          </cell>
          <cell r="K7">
            <v>99460203.649999991</v>
          </cell>
          <cell r="L7">
            <v>113423798.62999997</v>
          </cell>
          <cell r="M7">
            <v>129271225.73999996</v>
          </cell>
          <cell r="N7">
            <v>129271225.73999996</v>
          </cell>
          <cell r="O7">
            <v>129271225.73999996</v>
          </cell>
          <cell r="P7">
            <v>129271225.73999996</v>
          </cell>
          <cell r="S7">
            <v>3101877.5200000005</v>
          </cell>
          <cell r="T7">
            <v>4519501.8100000005</v>
          </cell>
          <cell r="U7">
            <v>4520540.540000001</v>
          </cell>
          <cell r="V7">
            <v>5268651.4600000009</v>
          </cell>
          <cell r="W7">
            <v>6627931.040000001</v>
          </cell>
          <cell r="X7">
            <v>9373816.0800000019</v>
          </cell>
          <cell r="Y7">
            <v>9373968.2300000023</v>
          </cell>
          <cell r="Z7">
            <v>9629759.8600000031</v>
          </cell>
          <cell r="AA7">
            <v>10755653.400000002</v>
          </cell>
          <cell r="AB7">
            <v>10755653.400000002</v>
          </cell>
          <cell r="AC7">
            <v>10755653.400000002</v>
          </cell>
          <cell r="AD7">
            <v>10755653.400000002</v>
          </cell>
        </row>
        <row r="8">
          <cell r="A8">
            <v>8</v>
          </cell>
          <cell r="B8" t="str">
            <v>AUGUST/99</v>
          </cell>
        </row>
        <row r="9">
          <cell r="A9">
            <v>9</v>
          </cell>
          <cell r="B9" t="str">
            <v>SEPTEMBER/99</v>
          </cell>
        </row>
        <row r="10">
          <cell r="A10">
            <v>10</v>
          </cell>
          <cell r="B10" t="str">
            <v>OCTOBER/99</v>
          </cell>
          <cell r="E10">
            <v>1</v>
          </cell>
          <cell r="F10">
            <v>2</v>
          </cell>
          <cell r="G10">
            <v>3</v>
          </cell>
          <cell r="H10">
            <v>4</v>
          </cell>
          <cell r="I10">
            <v>5</v>
          </cell>
          <cell r="J10">
            <v>6</v>
          </cell>
          <cell r="K10">
            <v>7</v>
          </cell>
          <cell r="L10">
            <v>8</v>
          </cell>
          <cell r="M10">
            <v>9</v>
          </cell>
          <cell r="N10">
            <v>10</v>
          </cell>
          <cell r="O10">
            <v>11</v>
          </cell>
          <cell r="P10">
            <v>12</v>
          </cell>
          <cell r="S10">
            <v>1</v>
          </cell>
          <cell r="T10">
            <v>2</v>
          </cell>
          <cell r="U10">
            <v>3</v>
          </cell>
          <cell r="V10">
            <v>4</v>
          </cell>
          <cell r="W10">
            <v>5</v>
          </cell>
          <cell r="X10">
            <v>6</v>
          </cell>
          <cell r="Y10">
            <v>7</v>
          </cell>
          <cell r="Z10">
            <v>8</v>
          </cell>
          <cell r="AA10">
            <v>9</v>
          </cell>
          <cell r="AB10">
            <v>10</v>
          </cell>
          <cell r="AC10">
            <v>11</v>
          </cell>
          <cell r="AD10">
            <v>12</v>
          </cell>
        </row>
        <row r="11">
          <cell r="A11">
            <v>11</v>
          </cell>
          <cell r="B11" t="str">
            <v>NOVEMBER/99</v>
          </cell>
          <cell r="E11">
            <v>211019.51</v>
          </cell>
          <cell r="F11">
            <v>522429.06</v>
          </cell>
          <cell r="G11">
            <v>1159637.06</v>
          </cell>
          <cell r="H11">
            <v>1095187.0299999998</v>
          </cell>
          <cell r="I11">
            <v>766307.45000000054</v>
          </cell>
          <cell r="J11">
            <v>1845598.8600000022</v>
          </cell>
          <cell r="K11">
            <v>753034.67</v>
          </cell>
          <cell r="L11">
            <v>1063574.6900000009</v>
          </cell>
          <cell r="M11">
            <v>1234389.6700000006</v>
          </cell>
          <cell r="N11">
            <v>0</v>
          </cell>
          <cell r="O11">
            <v>0</v>
          </cell>
          <cell r="P11">
            <v>0</v>
          </cell>
          <cell r="S11">
            <v>232367</v>
          </cell>
          <cell r="T11">
            <v>70731</v>
          </cell>
          <cell r="U11">
            <v>259</v>
          </cell>
          <cell r="V11">
            <v>76245.040000000023</v>
          </cell>
          <cell r="W11">
            <v>122928.03</v>
          </cell>
          <cell r="X11">
            <v>36094.49</v>
          </cell>
          <cell r="Y11">
            <v>146.35</v>
          </cell>
          <cell r="Z11">
            <v>8937.52</v>
          </cell>
          <cell r="AA11">
            <v>9562.7999999999993</v>
          </cell>
          <cell r="AB11">
            <v>0</v>
          </cell>
          <cell r="AC11">
            <v>0</v>
          </cell>
          <cell r="AD11">
            <v>0</v>
          </cell>
        </row>
        <row r="12">
          <cell r="A12">
            <v>12</v>
          </cell>
          <cell r="B12" t="str">
            <v>DECEMBER/99</v>
          </cell>
          <cell r="E12">
            <v>46791.97</v>
          </cell>
          <cell r="F12">
            <v>97739.069999999992</v>
          </cell>
          <cell r="G12">
            <v>135425</v>
          </cell>
          <cell r="H12">
            <v>150434.19000000003</v>
          </cell>
          <cell r="I12">
            <v>395695.67999999988</v>
          </cell>
          <cell r="J12">
            <v>89416.239999999976</v>
          </cell>
          <cell r="K12">
            <v>37261.519999999953</v>
          </cell>
          <cell r="L12">
            <v>136358.57</v>
          </cell>
          <cell r="M12">
            <v>148682.38000000018</v>
          </cell>
          <cell r="N12">
            <v>0</v>
          </cell>
          <cell r="O12">
            <v>0</v>
          </cell>
          <cell r="P12">
            <v>0</v>
          </cell>
          <cell r="S12">
            <v>21123</v>
          </cell>
          <cell r="T12">
            <v>9276</v>
          </cell>
          <cell r="U12">
            <v>0</v>
          </cell>
          <cell r="V12">
            <v>11463.259999999998</v>
          </cell>
          <cell r="W12">
            <v>6990.1500000000005</v>
          </cell>
          <cell r="X12">
            <v>16775.22</v>
          </cell>
          <cell r="Y12">
            <v>0.96</v>
          </cell>
          <cell r="Z12">
            <v>595.75999999999988</v>
          </cell>
          <cell r="AA12">
            <v>2262.86</v>
          </cell>
          <cell r="AB12">
            <v>0</v>
          </cell>
          <cell r="AC12">
            <v>0</v>
          </cell>
          <cell r="AD12">
            <v>0</v>
          </cell>
        </row>
        <row r="13">
          <cell r="E13">
            <v>133763.81</v>
          </cell>
          <cell r="F13">
            <v>195994.3</v>
          </cell>
          <cell r="G13">
            <v>328982.88</v>
          </cell>
          <cell r="H13">
            <v>308669.48000000208</v>
          </cell>
          <cell r="I13">
            <v>245430.70999999979</v>
          </cell>
          <cell r="J13">
            <v>318241.47999999986</v>
          </cell>
          <cell r="K13">
            <v>252400.2099999999</v>
          </cell>
          <cell r="L13">
            <v>331577.16000000003</v>
          </cell>
          <cell r="M13">
            <v>331507.86999999982</v>
          </cell>
          <cell r="N13">
            <v>0</v>
          </cell>
          <cell r="O13">
            <v>0</v>
          </cell>
          <cell r="P13">
            <v>0</v>
          </cell>
          <cell r="S13">
            <v>2320</v>
          </cell>
          <cell r="T13">
            <v>2700</v>
          </cell>
          <cell r="U13">
            <v>486</v>
          </cell>
          <cell r="V13">
            <v>3557.0099999999998</v>
          </cell>
          <cell r="W13">
            <v>3530.19</v>
          </cell>
          <cell r="X13">
            <v>4727.1900000000005</v>
          </cell>
          <cell r="Y13">
            <v>535.44000000000005</v>
          </cell>
          <cell r="Z13">
            <v>3355.77</v>
          </cell>
          <cell r="AA13">
            <v>1908</v>
          </cell>
          <cell r="AB13">
            <v>0</v>
          </cell>
          <cell r="AC13">
            <v>0</v>
          </cell>
          <cell r="AD13">
            <v>0</v>
          </cell>
        </row>
        <row r="14">
          <cell r="E14">
            <v>291409.2</v>
          </cell>
          <cell r="F14">
            <v>472527.28</v>
          </cell>
          <cell r="G14">
            <v>666616.03</v>
          </cell>
          <cell r="H14">
            <v>571954.2100000002</v>
          </cell>
          <cell r="I14">
            <v>416247.13999999949</v>
          </cell>
          <cell r="J14">
            <v>401783.21000000008</v>
          </cell>
          <cell r="K14">
            <v>333176.43999999994</v>
          </cell>
          <cell r="L14">
            <v>455449.93</v>
          </cell>
          <cell r="M14">
            <v>505352.7300000001</v>
          </cell>
          <cell r="N14">
            <v>0</v>
          </cell>
          <cell r="O14">
            <v>0</v>
          </cell>
          <cell r="P14">
            <v>0</v>
          </cell>
          <cell r="S14">
            <v>77232</v>
          </cell>
          <cell r="T14">
            <v>50606</v>
          </cell>
          <cell r="U14">
            <v>303</v>
          </cell>
          <cell r="V14">
            <v>20394.260000000002</v>
          </cell>
          <cell r="W14">
            <v>17691.47</v>
          </cell>
          <cell r="X14">
            <v>64696.82</v>
          </cell>
          <cell r="Y14">
            <v>138.79</v>
          </cell>
          <cell r="Z14">
            <v>5101.3100000000004</v>
          </cell>
          <cell r="AA14">
            <v>48757.75</v>
          </cell>
          <cell r="AB14">
            <v>0</v>
          </cell>
          <cell r="AC14">
            <v>0</v>
          </cell>
          <cell r="AD14">
            <v>0</v>
          </cell>
        </row>
        <row r="15">
          <cell r="E15">
            <v>1297650.06</v>
          </cell>
          <cell r="F15">
            <v>2504221.5000000005</v>
          </cell>
          <cell r="G15">
            <v>3066543.37</v>
          </cell>
          <cell r="H15">
            <v>2554935.0200000009</v>
          </cell>
          <cell r="I15">
            <v>1923934.2100000023</v>
          </cell>
          <cell r="J15">
            <v>1838140.8500000006</v>
          </cell>
          <cell r="K15">
            <v>1790997.0300000005</v>
          </cell>
          <cell r="L15">
            <v>2112998.8699999992</v>
          </cell>
          <cell r="M15">
            <v>2461902.1500000013</v>
          </cell>
          <cell r="N15">
            <v>0</v>
          </cell>
          <cell r="O15">
            <v>0</v>
          </cell>
          <cell r="P15">
            <v>0</v>
          </cell>
          <cell r="S15">
            <v>207585</v>
          </cell>
          <cell r="T15">
            <v>113621</v>
          </cell>
          <cell r="U15">
            <v>290</v>
          </cell>
          <cell r="V15">
            <v>86985.279999999999</v>
          </cell>
          <cell r="W15">
            <v>136763.82999999996</v>
          </cell>
          <cell r="X15">
            <v>150379.53</v>
          </cell>
          <cell r="Y15">
            <v>62.89</v>
          </cell>
          <cell r="Z15">
            <v>33875</v>
          </cell>
          <cell r="AA15">
            <v>52632.800000000003</v>
          </cell>
          <cell r="AB15">
            <v>0</v>
          </cell>
          <cell r="AC15">
            <v>0</v>
          </cell>
          <cell r="AD15">
            <v>0</v>
          </cell>
        </row>
        <row r="16">
          <cell r="A16">
            <v>1</v>
          </cell>
          <cell r="B16" t="str">
            <v>BR/FN - 99 - 0005 / 1</v>
          </cell>
          <cell r="E16">
            <v>9126572.1899999939</v>
          </cell>
          <cell r="F16">
            <v>12789206.869999999</v>
          </cell>
          <cell r="G16">
            <v>20206851.810000017</v>
          </cell>
          <cell r="H16">
            <v>21609720.139999975</v>
          </cell>
          <cell r="I16">
            <v>14100207.839999987</v>
          </cell>
          <cell r="J16">
            <v>12413621.15</v>
          </cell>
          <cell r="K16">
            <v>9214023.6500000022</v>
          </cell>
          <cell r="L16">
            <v>13963594.979999982</v>
          </cell>
          <cell r="M16">
            <v>15847427.110000001</v>
          </cell>
          <cell r="N16">
            <v>0</v>
          </cell>
          <cell r="O16">
            <v>0</v>
          </cell>
          <cell r="P16">
            <v>0</v>
          </cell>
          <cell r="S16">
            <v>3101877.5200000005</v>
          </cell>
          <cell r="T16">
            <v>1417624.29</v>
          </cell>
          <cell r="U16">
            <v>1038.73</v>
          </cell>
          <cell r="V16">
            <v>748110.91999999993</v>
          </cell>
          <cell r="W16">
            <v>1359279.5800000003</v>
          </cell>
          <cell r="X16">
            <v>2745885.04</v>
          </cell>
          <cell r="Y16">
            <v>152.15</v>
          </cell>
          <cell r="Z16">
            <v>255791.63</v>
          </cell>
          <cell r="AA16">
            <v>1125893.54</v>
          </cell>
          <cell r="AB16">
            <v>0</v>
          </cell>
          <cell r="AC16">
            <v>0</v>
          </cell>
          <cell r="AD16">
            <v>0</v>
          </cell>
        </row>
        <row r="17">
          <cell r="A17">
            <v>2</v>
          </cell>
          <cell r="B17" t="str">
            <v>BR/FN - 99 - 0005 / 2</v>
          </cell>
        </row>
        <row r="18">
          <cell r="A18">
            <v>3</v>
          </cell>
          <cell r="B18" t="str">
            <v>BR/FN - 99 - 0005 / 3</v>
          </cell>
        </row>
        <row r="19">
          <cell r="A19">
            <v>4</v>
          </cell>
          <cell r="B19" t="str">
            <v>BR/FN - 99 - 0005 / 4</v>
          </cell>
        </row>
        <row r="20">
          <cell r="A20">
            <v>5</v>
          </cell>
          <cell r="B20" t="str">
            <v>BR/FN - 99 - 0005 / 5</v>
          </cell>
        </row>
        <row r="21">
          <cell r="A21">
            <v>6</v>
          </cell>
          <cell r="B21" t="str">
            <v>BR/FN - 99 - 0005 / 6</v>
          </cell>
        </row>
        <row r="22">
          <cell r="A22">
            <v>7</v>
          </cell>
          <cell r="B22" t="str">
            <v>BR/FN - 99 - 0005 / 7</v>
          </cell>
        </row>
        <row r="23">
          <cell r="A23">
            <v>8</v>
          </cell>
          <cell r="B23" t="str">
            <v>BR/FN - 99 - 0005 / 8</v>
          </cell>
        </row>
        <row r="24">
          <cell r="A24">
            <v>9</v>
          </cell>
          <cell r="B24" t="str">
            <v>BR/FN - 99 - 0005 / 9</v>
          </cell>
        </row>
        <row r="25">
          <cell r="A25">
            <v>10</v>
          </cell>
          <cell r="B25" t="str">
            <v>BR/FN - 99 - 0005 / 10</v>
          </cell>
        </row>
        <row r="26">
          <cell r="A26">
            <v>11</v>
          </cell>
          <cell r="B26" t="str">
            <v>BR/FN - 99 - 0005 / 11</v>
          </cell>
        </row>
        <row r="27">
          <cell r="A27">
            <v>12</v>
          </cell>
          <cell r="B27" t="str">
            <v>BR/FN - 99 - 0005 / 12</v>
          </cell>
        </row>
      </sheetData>
      <sheetData sheetId="16" refreshError="1">
        <row r="3">
          <cell r="AA3" t="str">
            <v>Sum of FOB</v>
          </cell>
        </row>
        <row r="4">
          <cell r="M4" t="str">
            <v>FICHA DE LANÇAMENTO CONTÁBIL</v>
          </cell>
          <cell r="AA4" t="str">
            <v>FORN</v>
          </cell>
          <cell r="AB4" t="str">
            <v>Total</v>
          </cell>
        </row>
        <row r="5">
          <cell r="AA5">
            <v>90013</v>
          </cell>
          <cell r="AB5">
            <v>23455.27</v>
          </cell>
        </row>
        <row r="6">
          <cell r="AA6">
            <v>90048</v>
          </cell>
          <cell r="AB6">
            <v>28193.02</v>
          </cell>
        </row>
        <row r="7">
          <cell r="AA7">
            <v>90061</v>
          </cell>
          <cell r="AB7">
            <v>493885.34</v>
          </cell>
        </row>
        <row r="8">
          <cell r="H8" t="str">
            <v xml:space="preserve">DESCRIÇÃO </v>
          </cell>
          <cell r="Q8" t="str">
            <v>Nº</v>
          </cell>
          <cell r="R8" t="str">
            <v>LC</v>
          </cell>
          <cell r="S8" t="str">
            <v>EMP.</v>
          </cell>
          <cell r="T8" t="str">
            <v>DATA DO</v>
          </cell>
          <cell r="AA8">
            <v>90062</v>
          </cell>
          <cell r="AB8">
            <v>45771.22</v>
          </cell>
        </row>
        <row r="9">
          <cell r="H9" t="str">
            <v>APROPRIAÇÃO DE FATURAS E DESPESAS DE IMPORTAÇÃO - MATERIAL PRODUTIVO</v>
          </cell>
          <cell r="Q9" t="str">
            <v>VOUCHER</v>
          </cell>
          <cell r="R9" t="str">
            <v>EMIT.</v>
          </cell>
          <cell r="S9" t="str">
            <v>EMIT.</v>
          </cell>
          <cell r="T9" t="str">
            <v>LÇTO</v>
          </cell>
          <cell r="AA9">
            <v>90070</v>
          </cell>
          <cell r="AB9">
            <v>1576.58</v>
          </cell>
        </row>
        <row r="10">
          <cell r="Q10" t="str">
            <v>13/0041</v>
          </cell>
          <cell r="R10" t="str">
            <v>91</v>
          </cell>
          <cell r="S10" t="str">
            <v>01</v>
          </cell>
          <cell r="T10">
            <v>36219</v>
          </cell>
          <cell r="AA10">
            <v>90071</v>
          </cell>
          <cell r="AB10">
            <v>1121.29</v>
          </cell>
        </row>
        <row r="11">
          <cell r="H11" t="str">
            <v xml:space="preserve"> </v>
          </cell>
          <cell r="AA11">
            <v>90083</v>
          </cell>
          <cell r="AB11">
            <v>121717.95</v>
          </cell>
        </row>
        <row r="12">
          <cell r="H12" t="str">
            <v>Nº DE</v>
          </cell>
          <cell r="I12" t="str">
            <v>CORRENTISTA</v>
          </cell>
          <cell r="K12" t="str">
            <v>LOCAL</v>
          </cell>
          <cell r="L12" t="str">
            <v xml:space="preserve">CONTA </v>
          </cell>
          <cell r="N12" t="str">
            <v>COD</v>
          </cell>
          <cell r="O12" t="str">
            <v>Nº DE</v>
          </cell>
          <cell r="P12" t="str">
            <v>VALOR</v>
          </cell>
          <cell r="R12" t="str">
            <v>COD.</v>
          </cell>
          <cell r="S12" t="str">
            <v>COMPLEMENTO</v>
          </cell>
          <cell r="AA12">
            <v>90086</v>
          </cell>
          <cell r="AB12">
            <v>175658.95</v>
          </cell>
        </row>
        <row r="13">
          <cell r="H13" t="str">
            <v>LÇTO.</v>
          </cell>
          <cell r="I13" t="str">
            <v>CÓDIGO</v>
          </cell>
          <cell r="K13" t="str">
            <v>CONT.</v>
          </cell>
          <cell r="L13" t="str">
            <v>C/CUSTO</v>
          </cell>
          <cell r="M13" t="str">
            <v>DV</v>
          </cell>
          <cell r="N13" t="str">
            <v>DESP/BCO</v>
          </cell>
          <cell r="O13" t="str">
            <v>ORDEM</v>
          </cell>
          <cell r="P13" t="str">
            <v>DÉBITO</v>
          </cell>
          <cell r="Q13" t="str">
            <v>CRÉDITO</v>
          </cell>
          <cell r="R13" t="str">
            <v>HIST</v>
          </cell>
          <cell r="S13" t="str">
            <v>HISTÓRICO</v>
          </cell>
          <cell r="AA13">
            <v>90097</v>
          </cell>
          <cell r="AB13">
            <v>593232.68000000005</v>
          </cell>
        </row>
        <row r="14">
          <cell r="H14">
            <v>1</v>
          </cell>
          <cell r="I14" t="str">
            <v>FORN</v>
          </cell>
          <cell r="J14" t="str">
            <v>001</v>
          </cell>
          <cell r="K14" t="str">
            <v>91</v>
          </cell>
          <cell r="L14" t="str">
            <v>081201</v>
          </cell>
          <cell r="M14">
            <v>3</v>
          </cell>
          <cell r="P14" t="str">
            <v/>
          </cell>
          <cell r="Q14">
            <v>0</v>
          </cell>
          <cell r="R14">
            <v>679</v>
          </cell>
          <cell r="AA14">
            <v>90118</v>
          </cell>
          <cell r="AB14">
            <v>63677.99</v>
          </cell>
        </row>
        <row r="15">
          <cell r="H15">
            <v>1</v>
          </cell>
          <cell r="I15">
            <v>90048</v>
          </cell>
          <cell r="J15" t="str">
            <v>001</v>
          </cell>
          <cell r="K15" t="str">
            <v>91</v>
          </cell>
          <cell r="L15" t="str">
            <v>081201</v>
          </cell>
          <cell r="M15">
            <v>3</v>
          </cell>
          <cell r="P15" t="str">
            <v/>
          </cell>
          <cell r="Q15">
            <v>0</v>
          </cell>
          <cell r="R15">
            <v>679</v>
          </cell>
          <cell r="AA15">
            <v>90121</v>
          </cell>
          <cell r="AB15">
            <v>30181.03</v>
          </cell>
        </row>
        <row r="16">
          <cell r="H16">
            <v>1</v>
          </cell>
          <cell r="I16">
            <v>90062</v>
          </cell>
          <cell r="J16" t="str">
            <v>001</v>
          </cell>
          <cell r="K16" t="str">
            <v>91</v>
          </cell>
          <cell r="L16" t="str">
            <v>081201</v>
          </cell>
          <cell r="M16">
            <v>3</v>
          </cell>
          <cell r="P16" t="str">
            <v/>
          </cell>
          <cell r="Q16">
            <v>0</v>
          </cell>
          <cell r="R16">
            <v>679</v>
          </cell>
          <cell r="AA16">
            <v>90131</v>
          </cell>
          <cell r="AB16">
            <v>6386.68</v>
          </cell>
        </row>
        <row r="17">
          <cell r="H17">
            <v>1</v>
          </cell>
          <cell r="I17">
            <v>90071</v>
          </cell>
          <cell r="J17" t="str">
            <v>001</v>
          </cell>
          <cell r="K17" t="str">
            <v>91</v>
          </cell>
          <cell r="L17" t="str">
            <v>081201</v>
          </cell>
          <cell r="M17">
            <v>3</v>
          </cell>
          <cell r="P17" t="str">
            <v/>
          </cell>
          <cell r="Q17">
            <v>0</v>
          </cell>
          <cell r="R17">
            <v>679</v>
          </cell>
          <cell r="AA17">
            <v>90161</v>
          </cell>
          <cell r="AB17">
            <v>566.64</v>
          </cell>
        </row>
        <row r="18">
          <cell r="H18">
            <v>1</v>
          </cell>
          <cell r="I18">
            <v>90086</v>
          </cell>
          <cell r="J18" t="str">
            <v>001</v>
          </cell>
          <cell r="K18" t="str">
            <v>91</v>
          </cell>
          <cell r="L18" t="str">
            <v>081201</v>
          </cell>
          <cell r="M18">
            <v>3</v>
          </cell>
          <cell r="P18" t="str">
            <v/>
          </cell>
          <cell r="Q18">
            <v>0</v>
          </cell>
          <cell r="R18">
            <v>679</v>
          </cell>
          <cell r="AA18">
            <v>90219</v>
          </cell>
          <cell r="AB18">
            <v>708.32</v>
          </cell>
        </row>
        <row r="19">
          <cell r="H19">
            <v>1</v>
          </cell>
          <cell r="I19">
            <v>90118</v>
          </cell>
          <cell r="J19" t="str">
            <v>001</v>
          </cell>
          <cell r="K19" t="str">
            <v>91</v>
          </cell>
          <cell r="L19" t="str">
            <v>081201</v>
          </cell>
          <cell r="M19">
            <v>3</v>
          </cell>
          <cell r="P19" t="str">
            <v/>
          </cell>
          <cell r="Q19">
            <v>0</v>
          </cell>
          <cell r="R19">
            <v>679</v>
          </cell>
          <cell r="AA19">
            <v>90236</v>
          </cell>
          <cell r="AB19">
            <v>44940.66</v>
          </cell>
        </row>
        <row r="20">
          <cell r="H20">
            <v>1</v>
          </cell>
          <cell r="I20">
            <v>90131</v>
          </cell>
          <cell r="J20" t="str">
            <v>001</v>
          </cell>
          <cell r="K20" t="str">
            <v>91</v>
          </cell>
          <cell r="L20" t="str">
            <v>081201</v>
          </cell>
          <cell r="M20">
            <v>3</v>
          </cell>
          <cell r="P20" t="str">
            <v/>
          </cell>
          <cell r="Q20">
            <v>0</v>
          </cell>
          <cell r="R20">
            <v>679</v>
          </cell>
          <cell r="AA20">
            <v>90242</v>
          </cell>
          <cell r="AB20">
            <v>10412.219999999999</v>
          </cell>
        </row>
        <row r="21">
          <cell r="H21">
            <v>1</v>
          </cell>
          <cell r="I21">
            <v>90219</v>
          </cell>
          <cell r="J21" t="str">
            <v>001</v>
          </cell>
          <cell r="K21" t="str">
            <v>91</v>
          </cell>
          <cell r="L21" t="str">
            <v>081201</v>
          </cell>
          <cell r="M21">
            <v>3</v>
          </cell>
          <cell r="P21" t="str">
            <v/>
          </cell>
          <cell r="Q21">
            <v>0</v>
          </cell>
          <cell r="R21">
            <v>679</v>
          </cell>
          <cell r="AA21">
            <v>90248</v>
          </cell>
          <cell r="AB21">
            <v>80606.880000000005</v>
          </cell>
        </row>
        <row r="22">
          <cell r="H22">
            <v>1</v>
          </cell>
          <cell r="I22">
            <v>90242</v>
          </cell>
          <cell r="J22" t="str">
            <v>001</v>
          </cell>
          <cell r="K22" t="str">
            <v>91</v>
          </cell>
          <cell r="L22" t="str">
            <v>081201</v>
          </cell>
          <cell r="M22">
            <v>3</v>
          </cell>
          <cell r="P22" t="str">
            <v/>
          </cell>
          <cell r="Q22">
            <v>0</v>
          </cell>
          <cell r="R22">
            <v>679</v>
          </cell>
          <cell r="AA22">
            <v>90257</v>
          </cell>
          <cell r="AB22">
            <v>19912.849999999999</v>
          </cell>
        </row>
        <row r="23">
          <cell r="H23">
            <v>1</v>
          </cell>
          <cell r="I23">
            <v>90257</v>
          </cell>
          <cell r="J23" t="str">
            <v>001</v>
          </cell>
          <cell r="K23" t="str">
            <v>91</v>
          </cell>
          <cell r="L23" t="str">
            <v>081201</v>
          </cell>
          <cell r="M23">
            <v>3</v>
          </cell>
          <cell r="P23" t="str">
            <v/>
          </cell>
          <cell r="Q23">
            <v>0</v>
          </cell>
          <cell r="R23">
            <v>679</v>
          </cell>
          <cell r="AA23">
            <v>90322</v>
          </cell>
          <cell r="AB23">
            <v>420.23</v>
          </cell>
        </row>
        <row r="24">
          <cell r="H24">
            <v>1</v>
          </cell>
          <cell r="I24">
            <v>90338</v>
          </cell>
          <cell r="J24" t="str">
            <v>001</v>
          </cell>
          <cell r="K24" t="str">
            <v>91</v>
          </cell>
          <cell r="L24" t="str">
            <v>081201</v>
          </cell>
          <cell r="M24">
            <v>3</v>
          </cell>
          <cell r="P24" t="str">
            <v/>
          </cell>
          <cell r="Q24">
            <v>0</v>
          </cell>
          <cell r="R24">
            <v>679</v>
          </cell>
          <cell r="AA24">
            <v>90338</v>
          </cell>
          <cell r="AB24">
            <v>98736.81</v>
          </cell>
        </row>
        <row r="25">
          <cell r="H25">
            <v>1</v>
          </cell>
          <cell r="I25">
            <v>90349</v>
          </cell>
          <cell r="J25" t="str">
            <v>001</v>
          </cell>
          <cell r="K25" t="str">
            <v>91</v>
          </cell>
          <cell r="L25" t="str">
            <v>081201</v>
          </cell>
          <cell r="M25">
            <v>3</v>
          </cell>
          <cell r="P25" t="str">
            <v/>
          </cell>
          <cell r="Q25">
            <v>0</v>
          </cell>
          <cell r="R25">
            <v>679</v>
          </cell>
          <cell r="AA25">
            <v>90342</v>
          </cell>
          <cell r="AB25">
            <v>16724.98</v>
          </cell>
        </row>
        <row r="26">
          <cell r="H26">
            <v>1</v>
          </cell>
          <cell r="I26">
            <v>90379</v>
          </cell>
          <cell r="J26" t="str">
            <v>001</v>
          </cell>
          <cell r="K26" t="str">
            <v>91</v>
          </cell>
          <cell r="L26" t="str">
            <v>081201</v>
          </cell>
          <cell r="M26">
            <v>3</v>
          </cell>
          <cell r="P26" t="str">
            <v/>
          </cell>
          <cell r="Q26">
            <v>0</v>
          </cell>
          <cell r="R26">
            <v>679</v>
          </cell>
          <cell r="AA26">
            <v>90349</v>
          </cell>
          <cell r="AB26">
            <v>72653.899999999994</v>
          </cell>
        </row>
        <row r="27">
          <cell r="H27">
            <v>1</v>
          </cell>
          <cell r="I27">
            <v>90392</v>
          </cell>
          <cell r="J27" t="str">
            <v>001</v>
          </cell>
          <cell r="K27" t="str">
            <v>91</v>
          </cell>
          <cell r="L27" t="str">
            <v>081201</v>
          </cell>
          <cell r="M27">
            <v>3</v>
          </cell>
          <cell r="P27" t="str">
            <v/>
          </cell>
          <cell r="Q27">
            <v>0</v>
          </cell>
          <cell r="R27">
            <v>679</v>
          </cell>
          <cell r="AA27">
            <v>90376</v>
          </cell>
          <cell r="AB27">
            <v>83786.820000000007</v>
          </cell>
        </row>
        <row r="28">
          <cell r="H28">
            <v>1</v>
          </cell>
          <cell r="I28">
            <v>90403</v>
          </cell>
          <cell r="J28" t="str">
            <v>001</v>
          </cell>
          <cell r="K28" t="str">
            <v>91</v>
          </cell>
          <cell r="L28" t="str">
            <v>081201</v>
          </cell>
          <cell r="M28">
            <v>3</v>
          </cell>
          <cell r="P28" t="str">
            <v/>
          </cell>
          <cell r="Q28">
            <v>0</v>
          </cell>
          <cell r="R28">
            <v>679</v>
          </cell>
          <cell r="AA28">
            <v>90379</v>
          </cell>
          <cell r="AB28">
            <v>83134.710000000006</v>
          </cell>
        </row>
        <row r="29">
          <cell r="H29">
            <v>1</v>
          </cell>
          <cell r="I29">
            <v>90424</v>
          </cell>
          <cell r="J29" t="str">
            <v>001</v>
          </cell>
          <cell r="K29" t="str">
            <v>91</v>
          </cell>
          <cell r="L29" t="str">
            <v>081201</v>
          </cell>
          <cell r="M29">
            <v>3</v>
          </cell>
          <cell r="P29" t="str">
            <v/>
          </cell>
          <cell r="Q29">
            <v>0</v>
          </cell>
          <cell r="R29">
            <v>679</v>
          </cell>
          <cell r="AA29">
            <v>90390</v>
          </cell>
          <cell r="AB29">
            <v>1859.83</v>
          </cell>
        </row>
        <row r="30">
          <cell r="H30">
            <v>1</v>
          </cell>
          <cell r="I30">
            <v>90463</v>
          </cell>
          <cell r="J30" t="str">
            <v>001</v>
          </cell>
          <cell r="K30" t="str">
            <v>91</v>
          </cell>
          <cell r="L30" t="str">
            <v>081201</v>
          </cell>
          <cell r="M30">
            <v>3</v>
          </cell>
          <cell r="P30" t="str">
            <v/>
          </cell>
          <cell r="Q30">
            <v>0</v>
          </cell>
          <cell r="R30">
            <v>679</v>
          </cell>
          <cell r="AA30">
            <v>90392</v>
          </cell>
          <cell r="AB30">
            <v>4415.53</v>
          </cell>
        </row>
        <row r="31">
          <cell r="H31">
            <v>1</v>
          </cell>
          <cell r="I31">
            <v>90469</v>
          </cell>
          <cell r="J31" t="str">
            <v>001</v>
          </cell>
          <cell r="K31" t="str">
            <v>91</v>
          </cell>
          <cell r="L31" t="str">
            <v>081201</v>
          </cell>
          <cell r="M31">
            <v>3</v>
          </cell>
          <cell r="P31" t="str">
            <v/>
          </cell>
          <cell r="Q31">
            <v>0</v>
          </cell>
          <cell r="R31">
            <v>679</v>
          </cell>
          <cell r="AA31">
            <v>90402</v>
          </cell>
          <cell r="AB31">
            <v>70086.27</v>
          </cell>
        </row>
        <row r="32">
          <cell r="I32" t="str">
            <v>TOTAL.............................................................</v>
          </cell>
          <cell r="P32">
            <v>0</v>
          </cell>
          <cell r="Q32">
            <v>0</v>
          </cell>
          <cell r="V32">
            <v>0</v>
          </cell>
          <cell r="AA32">
            <v>90403</v>
          </cell>
          <cell r="AB32">
            <v>70850.559999999998</v>
          </cell>
        </row>
        <row r="33">
          <cell r="AA33">
            <v>90410</v>
          </cell>
          <cell r="AB33">
            <v>21594.3</v>
          </cell>
        </row>
        <row r="34">
          <cell r="AA34">
            <v>90424</v>
          </cell>
          <cell r="AB34">
            <v>112976.74</v>
          </cell>
        </row>
        <row r="35">
          <cell r="AA35">
            <v>90442</v>
          </cell>
          <cell r="AB35">
            <v>136481.92000000001</v>
          </cell>
        </row>
        <row r="36">
          <cell r="M36" t="str">
            <v>PREPARADO POR:</v>
          </cell>
          <cell r="P36" t="str">
            <v>Vera Lucia</v>
          </cell>
          <cell r="S36" t="str">
            <v>FOLHA Nº</v>
          </cell>
          <cell r="T36">
            <v>1</v>
          </cell>
          <cell r="AA36">
            <v>90463</v>
          </cell>
          <cell r="AB36">
            <v>10039.64</v>
          </cell>
        </row>
        <row r="37">
          <cell r="AA37">
            <v>90468</v>
          </cell>
          <cell r="AB37">
            <v>44632.13</v>
          </cell>
        </row>
        <row r="38">
          <cell r="AA38">
            <v>90469</v>
          </cell>
          <cell r="AB38">
            <v>89930.54</v>
          </cell>
        </row>
        <row r="39">
          <cell r="AA39">
            <v>90472</v>
          </cell>
          <cell r="AB39">
            <v>99347.49</v>
          </cell>
        </row>
        <row r="40">
          <cell r="M40" t="str">
            <v>FICHA DE LANÇAMENTO CONTÁBIL</v>
          </cell>
          <cell r="AA40">
            <v>90485</v>
          </cell>
          <cell r="AB40">
            <v>79247.11</v>
          </cell>
        </row>
        <row r="41">
          <cell r="AA41">
            <v>90487</v>
          </cell>
          <cell r="AB41">
            <v>32631.42</v>
          </cell>
        </row>
        <row r="42">
          <cell r="AA42">
            <v>90496</v>
          </cell>
          <cell r="AB42">
            <v>57914.1</v>
          </cell>
        </row>
        <row r="43">
          <cell r="AA43">
            <v>90503</v>
          </cell>
          <cell r="AB43">
            <v>214759.62</v>
          </cell>
        </row>
        <row r="44">
          <cell r="H44" t="str">
            <v xml:space="preserve">DESCRIÇÃO </v>
          </cell>
          <cell r="Q44" t="str">
            <v>Nº</v>
          </cell>
          <cell r="R44" t="str">
            <v>LC</v>
          </cell>
          <cell r="S44" t="str">
            <v>EMP.</v>
          </cell>
          <cell r="T44" t="str">
            <v>DATA DO</v>
          </cell>
          <cell r="AA44">
            <v>90506</v>
          </cell>
          <cell r="AB44">
            <v>16102.37</v>
          </cell>
        </row>
        <row r="45">
          <cell r="H45" t="str">
            <v>APROPRIAÇÃO DE FATURAS E DESPESAS DE IMPORTAÇÃO - MATERIAL PRODUTIVO</v>
          </cell>
          <cell r="Q45" t="str">
            <v>VOUCHER</v>
          </cell>
          <cell r="R45" t="str">
            <v>EMIT.</v>
          </cell>
          <cell r="S45" t="str">
            <v>EMIT.</v>
          </cell>
          <cell r="T45" t="str">
            <v>LÇTO</v>
          </cell>
          <cell r="AA45">
            <v>90558</v>
          </cell>
          <cell r="AB45">
            <v>7184.99</v>
          </cell>
        </row>
        <row r="46">
          <cell r="Q46" t="str">
            <v>13/0041</v>
          </cell>
          <cell r="R46" t="str">
            <v>91</v>
          </cell>
          <cell r="S46" t="str">
            <v>01</v>
          </cell>
          <cell r="T46">
            <v>36219</v>
          </cell>
          <cell r="AA46">
            <v>90570</v>
          </cell>
          <cell r="AB46">
            <v>903647.93</v>
          </cell>
        </row>
        <row r="47">
          <cell r="H47" t="str">
            <v xml:space="preserve"> </v>
          </cell>
          <cell r="AA47">
            <v>90593</v>
          </cell>
          <cell r="AB47">
            <v>915163.7</v>
          </cell>
        </row>
        <row r="48">
          <cell r="H48" t="str">
            <v>Nº DE</v>
          </cell>
          <cell r="I48" t="str">
            <v>CORRENTISTA</v>
          </cell>
          <cell r="K48" t="str">
            <v>LOCAL</v>
          </cell>
          <cell r="L48" t="str">
            <v xml:space="preserve">CONTA </v>
          </cell>
          <cell r="N48" t="str">
            <v>COD</v>
          </cell>
          <cell r="O48" t="str">
            <v>Nº DE</v>
          </cell>
          <cell r="P48" t="str">
            <v>VALOR</v>
          </cell>
          <cell r="R48" t="str">
            <v>COD.</v>
          </cell>
          <cell r="S48" t="str">
            <v>COMPLEMENTO</v>
          </cell>
          <cell r="AA48">
            <v>90605</v>
          </cell>
          <cell r="AB48">
            <v>26370.44</v>
          </cell>
        </row>
        <row r="49">
          <cell r="H49" t="str">
            <v>LÇTO.</v>
          </cell>
          <cell r="I49" t="str">
            <v>CÓDIGO</v>
          </cell>
          <cell r="K49" t="str">
            <v>CONT.</v>
          </cell>
          <cell r="L49" t="str">
            <v>C/CUSTO</v>
          </cell>
          <cell r="M49" t="str">
            <v>DV</v>
          </cell>
          <cell r="N49" t="str">
            <v>DESP/BCO</v>
          </cell>
          <cell r="O49" t="str">
            <v>ORDEM</v>
          </cell>
          <cell r="P49" t="str">
            <v>DÉBITO</v>
          </cell>
          <cell r="Q49" t="str">
            <v>CRÉDITO</v>
          </cell>
          <cell r="R49" t="str">
            <v>HIST</v>
          </cell>
          <cell r="S49" t="str">
            <v>HISTÓRICO</v>
          </cell>
          <cell r="AA49">
            <v>90614</v>
          </cell>
          <cell r="AB49">
            <v>355965.13</v>
          </cell>
        </row>
        <row r="50">
          <cell r="H50" t="str">
            <v>DE TRANSPORTE ................................................................................................</v>
          </cell>
          <cell r="P50">
            <v>0</v>
          </cell>
          <cell r="Q50">
            <v>0</v>
          </cell>
          <cell r="AA50">
            <v>90629</v>
          </cell>
          <cell r="AB50">
            <v>4354.3</v>
          </cell>
        </row>
        <row r="51">
          <cell r="H51">
            <v>1</v>
          </cell>
          <cell r="I51">
            <v>90485</v>
          </cell>
          <cell r="J51" t="str">
            <v>001</v>
          </cell>
          <cell r="K51" t="str">
            <v>91</v>
          </cell>
          <cell r="L51" t="str">
            <v>081201</v>
          </cell>
          <cell r="M51">
            <v>3</v>
          </cell>
          <cell r="P51" t="str">
            <v/>
          </cell>
          <cell r="Q51">
            <v>0</v>
          </cell>
          <cell r="R51">
            <v>679</v>
          </cell>
          <cell r="AA51">
            <v>90639</v>
          </cell>
          <cell r="AB51">
            <v>5178.24</v>
          </cell>
        </row>
        <row r="52">
          <cell r="H52">
            <v>1</v>
          </cell>
          <cell r="I52">
            <v>90496</v>
          </cell>
          <cell r="J52" t="str">
            <v>001</v>
          </cell>
          <cell r="K52" t="str">
            <v>91</v>
          </cell>
          <cell r="L52" t="str">
            <v>081201</v>
          </cell>
          <cell r="M52">
            <v>3</v>
          </cell>
          <cell r="P52" t="str">
            <v/>
          </cell>
          <cell r="Q52">
            <v>0</v>
          </cell>
          <cell r="R52">
            <v>679</v>
          </cell>
          <cell r="AA52">
            <v>90642</v>
          </cell>
          <cell r="AB52">
            <v>3333.02</v>
          </cell>
        </row>
        <row r="53">
          <cell r="H53">
            <v>1</v>
          </cell>
          <cell r="I53">
            <v>90506</v>
          </cell>
          <cell r="J53" t="str">
            <v>001</v>
          </cell>
          <cell r="K53" t="str">
            <v>91</v>
          </cell>
          <cell r="L53" t="str">
            <v>081201</v>
          </cell>
          <cell r="M53">
            <v>3</v>
          </cell>
          <cell r="P53" t="str">
            <v/>
          </cell>
          <cell r="Q53">
            <v>0</v>
          </cell>
          <cell r="R53">
            <v>679</v>
          </cell>
          <cell r="AA53">
            <v>90662</v>
          </cell>
          <cell r="AB53">
            <v>25339.85</v>
          </cell>
        </row>
        <row r="54">
          <cell r="H54">
            <v>1</v>
          </cell>
          <cell r="I54">
            <v>90570</v>
          </cell>
          <cell r="J54" t="str">
            <v>001</v>
          </cell>
          <cell r="K54" t="str">
            <v>91</v>
          </cell>
          <cell r="L54" t="str">
            <v>081201</v>
          </cell>
          <cell r="M54">
            <v>3</v>
          </cell>
          <cell r="P54" t="str">
            <v/>
          </cell>
          <cell r="Q54">
            <v>0</v>
          </cell>
          <cell r="R54">
            <v>679</v>
          </cell>
          <cell r="AA54">
            <v>90685</v>
          </cell>
          <cell r="AB54">
            <v>313569.14</v>
          </cell>
        </row>
        <row r="55">
          <cell r="H55">
            <v>1</v>
          </cell>
          <cell r="I55">
            <v>90605</v>
          </cell>
          <cell r="J55" t="str">
            <v>001</v>
          </cell>
          <cell r="K55" t="str">
            <v>91</v>
          </cell>
          <cell r="L55" t="str">
            <v>081201</v>
          </cell>
          <cell r="M55">
            <v>3</v>
          </cell>
          <cell r="P55" t="str">
            <v/>
          </cell>
          <cell r="Q55">
            <v>0</v>
          </cell>
          <cell r="R55">
            <v>679</v>
          </cell>
          <cell r="AA55">
            <v>90686</v>
          </cell>
          <cell r="AB55">
            <v>28923.39</v>
          </cell>
        </row>
        <row r="56">
          <cell r="H56">
            <v>1</v>
          </cell>
          <cell r="I56">
            <v>90629</v>
          </cell>
          <cell r="J56" t="str">
            <v>001</v>
          </cell>
          <cell r="K56" t="str">
            <v>91</v>
          </cell>
          <cell r="L56" t="str">
            <v>081201</v>
          </cell>
          <cell r="M56">
            <v>3</v>
          </cell>
          <cell r="P56" t="str">
            <v/>
          </cell>
          <cell r="Q56">
            <v>0</v>
          </cell>
          <cell r="R56">
            <v>679</v>
          </cell>
          <cell r="AA56">
            <v>90697</v>
          </cell>
          <cell r="AB56">
            <v>20861</v>
          </cell>
        </row>
        <row r="57">
          <cell r="H57">
            <v>1</v>
          </cell>
          <cell r="I57">
            <v>90642</v>
          </cell>
          <cell r="J57" t="str">
            <v>001</v>
          </cell>
          <cell r="K57" t="str">
            <v>91</v>
          </cell>
          <cell r="L57" t="str">
            <v>081201</v>
          </cell>
          <cell r="M57">
            <v>3</v>
          </cell>
          <cell r="P57" t="str">
            <v/>
          </cell>
          <cell r="Q57">
            <v>0</v>
          </cell>
          <cell r="R57">
            <v>679</v>
          </cell>
          <cell r="AA57">
            <v>90710</v>
          </cell>
          <cell r="AB57">
            <v>5973.02</v>
          </cell>
        </row>
        <row r="58">
          <cell r="H58">
            <v>1</v>
          </cell>
          <cell r="I58">
            <v>90685</v>
          </cell>
          <cell r="J58" t="str">
            <v>001</v>
          </cell>
          <cell r="K58" t="str">
            <v>91</v>
          </cell>
          <cell r="L58" t="str">
            <v>081201</v>
          </cell>
          <cell r="M58">
            <v>3</v>
          </cell>
          <cell r="P58" t="str">
            <v/>
          </cell>
          <cell r="Q58">
            <v>0</v>
          </cell>
          <cell r="R58">
            <v>679</v>
          </cell>
          <cell r="AA58">
            <v>90721</v>
          </cell>
          <cell r="AB58">
            <v>29008.99</v>
          </cell>
        </row>
        <row r="59">
          <cell r="H59">
            <v>1</v>
          </cell>
          <cell r="I59">
            <v>90697</v>
          </cell>
          <cell r="J59" t="str">
            <v>001</v>
          </cell>
          <cell r="K59" t="str">
            <v>91</v>
          </cell>
          <cell r="L59" t="str">
            <v>081201</v>
          </cell>
          <cell r="M59">
            <v>3</v>
          </cell>
          <cell r="P59" t="str">
            <v/>
          </cell>
          <cell r="Q59">
            <v>0</v>
          </cell>
          <cell r="R59">
            <v>679</v>
          </cell>
          <cell r="AA59">
            <v>90730</v>
          </cell>
          <cell r="AB59">
            <v>5443.5</v>
          </cell>
        </row>
        <row r="60">
          <cell r="H60">
            <v>1</v>
          </cell>
          <cell r="I60">
            <v>90721</v>
          </cell>
          <cell r="J60" t="str">
            <v>001</v>
          </cell>
          <cell r="K60" t="str">
            <v>91</v>
          </cell>
          <cell r="L60" t="str">
            <v>081201</v>
          </cell>
          <cell r="M60">
            <v>3</v>
          </cell>
          <cell r="P60" t="str">
            <v/>
          </cell>
          <cell r="Q60">
            <v>0</v>
          </cell>
          <cell r="R60">
            <v>679</v>
          </cell>
          <cell r="AA60">
            <v>90732</v>
          </cell>
          <cell r="AB60">
            <v>3683.8</v>
          </cell>
        </row>
        <row r="61">
          <cell r="H61">
            <v>1</v>
          </cell>
          <cell r="I61">
            <v>90732</v>
          </cell>
          <cell r="J61" t="str">
            <v>001</v>
          </cell>
          <cell r="K61" t="str">
            <v>91</v>
          </cell>
          <cell r="L61" t="str">
            <v>081201</v>
          </cell>
          <cell r="M61">
            <v>3</v>
          </cell>
          <cell r="P61" t="str">
            <v/>
          </cell>
          <cell r="Q61">
            <v>0</v>
          </cell>
          <cell r="R61">
            <v>679</v>
          </cell>
          <cell r="AA61">
            <v>90742</v>
          </cell>
          <cell r="AB61">
            <v>1335.48</v>
          </cell>
        </row>
        <row r="62">
          <cell r="H62">
            <v>1</v>
          </cell>
          <cell r="I62">
            <v>90809</v>
          </cell>
          <cell r="J62" t="str">
            <v>001</v>
          </cell>
          <cell r="K62" t="str">
            <v>91</v>
          </cell>
          <cell r="L62" t="str">
            <v>081201</v>
          </cell>
          <cell r="M62">
            <v>3</v>
          </cell>
          <cell r="P62" t="str">
            <v/>
          </cell>
          <cell r="Q62">
            <v>0</v>
          </cell>
          <cell r="R62">
            <v>679</v>
          </cell>
          <cell r="AA62">
            <v>90809</v>
          </cell>
          <cell r="AB62">
            <v>9642.85</v>
          </cell>
        </row>
        <row r="63">
          <cell r="H63">
            <v>1</v>
          </cell>
          <cell r="I63">
            <v>90856</v>
          </cell>
          <cell r="J63" t="str">
            <v>001</v>
          </cell>
          <cell r="K63" t="str">
            <v>91</v>
          </cell>
          <cell r="L63" t="str">
            <v>081201</v>
          </cell>
          <cell r="M63">
            <v>3</v>
          </cell>
          <cell r="P63" t="str">
            <v/>
          </cell>
          <cell r="Q63">
            <v>0</v>
          </cell>
          <cell r="R63">
            <v>679</v>
          </cell>
          <cell r="AA63">
            <v>90827</v>
          </cell>
          <cell r="AB63">
            <v>2922.44</v>
          </cell>
        </row>
        <row r="64">
          <cell r="H64">
            <v>1</v>
          </cell>
          <cell r="I64">
            <v>90986</v>
          </cell>
          <cell r="J64" t="str">
            <v>001</v>
          </cell>
          <cell r="K64" t="str">
            <v>91</v>
          </cell>
          <cell r="L64" t="str">
            <v>081201</v>
          </cell>
          <cell r="M64">
            <v>3</v>
          </cell>
          <cell r="P64" t="str">
            <v/>
          </cell>
          <cell r="Q64">
            <v>0</v>
          </cell>
          <cell r="R64">
            <v>679</v>
          </cell>
          <cell r="AA64">
            <v>90856</v>
          </cell>
          <cell r="AB64">
            <v>25596.37</v>
          </cell>
        </row>
        <row r="65">
          <cell r="H65">
            <v>1</v>
          </cell>
          <cell r="I65">
            <v>91064</v>
          </cell>
          <cell r="J65" t="str">
            <v>001</v>
          </cell>
          <cell r="K65" t="str">
            <v>91</v>
          </cell>
          <cell r="L65" t="str">
            <v>081201</v>
          </cell>
          <cell r="M65">
            <v>3</v>
          </cell>
          <cell r="P65" t="str">
            <v/>
          </cell>
          <cell r="Q65">
            <v>0</v>
          </cell>
          <cell r="R65">
            <v>679</v>
          </cell>
          <cell r="AA65">
            <v>90971</v>
          </cell>
          <cell r="AB65">
            <v>18311.900000000001</v>
          </cell>
        </row>
        <row r="66">
          <cell r="H66">
            <v>1</v>
          </cell>
          <cell r="I66">
            <v>91117</v>
          </cell>
          <cell r="J66" t="str">
            <v>001</v>
          </cell>
          <cell r="K66" t="str">
            <v>91</v>
          </cell>
          <cell r="L66" t="str">
            <v>081201</v>
          </cell>
          <cell r="M66">
            <v>3</v>
          </cell>
          <cell r="P66" t="str">
            <v/>
          </cell>
          <cell r="Q66">
            <v>0</v>
          </cell>
          <cell r="R66">
            <v>679</v>
          </cell>
          <cell r="AA66">
            <v>90986</v>
          </cell>
          <cell r="AB66">
            <v>19356.98</v>
          </cell>
        </row>
        <row r="67">
          <cell r="H67">
            <v>1</v>
          </cell>
          <cell r="I67">
            <v>91147</v>
          </cell>
          <cell r="J67" t="str">
            <v>001</v>
          </cell>
          <cell r="K67" t="str">
            <v>91</v>
          </cell>
          <cell r="L67" t="str">
            <v>081201</v>
          </cell>
          <cell r="M67">
            <v>3</v>
          </cell>
          <cell r="P67" t="str">
            <v/>
          </cell>
          <cell r="Q67">
            <v>0</v>
          </cell>
          <cell r="R67">
            <v>679</v>
          </cell>
          <cell r="AA67">
            <v>91039</v>
          </cell>
          <cell r="AB67">
            <v>49858.32</v>
          </cell>
        </row>
        <row r="68">
          <cell r="I68" t="str">
            <v>TOTAL.............................................................</v>
          </cell>
          <cell r="P68">
            <v>0</v>
          </cell>
          <cell r="Q68">
            <v>0</v>
          </cell>
          <cell r="V68">
            <v>0</v>
          </cell>
          <cell r="AA68">
            <v>91064</v>
          </cell>
          <cell r="AB68">
            <v>4583.78</v>
          </cell>
        </row>
        <row r="69">
          <cell r="AA69">
            <v>91066</v>
          </cell>
          <cell r="AB69">
            <v>8415.65</v>
          </cell>
        </row>
        <row r="70">
          <cell r="AA70">
            <v>91117</v>
          </cell>
          <cell r="AB70">
            <v>36788.1</v>
          </cell>
        </row>
        <row r="71">
          <cell r="AA71">
            <v>91144</v>
          </cell>
          <cell r="AB71">
            <v>17818.61</v>
          </cell>
        </row>
        <row r="72">
          <cell r="M72" t="str">
            <v>PREPARADO POR:</v>
          </cell>
          <cell r="P72" t="str">
            <v>Vera Lucia</v>
          </cell>
          <cell r="S72" t="str">
            <v>FOLHA Nº</v>
          </cell>
          <cell r="T72">
            <v>2</v>
          </cell>
          <cell r="AA72">
            <v>91147</v>
          </cell>
          <cell r="AB72">
            <v>32537.63</v>
          </cell>
        </row>
        <row r="73">
          <cell r="AA73">
            <v>91162</v>
          </cell>
          <cell r="AB73">
            <v>1859.34</v>
          </cell>
        </row>
        <row r="74">
          <cell r="AA74">
            <v>91163</v>
          </cell>
          <cell r="AB74">
            <v>9299.81</v>
          </cell>
        </row>
        <row r="75">
          <cell r="AA75">
            <v>91177</v>
          </cell>
          <cell r="AB75">
            <v>292.20999999999998</v>
          </cell>
        </row>
        <row r="76">
          <cell r="M76" t="str">
            <v>FICHA DE LANÇAMENTO CONTÁBIL</v>
          </cell>
          <cell r="AA76">
            <v>91178</v>
          </cell>
          <cell r="AB76">
            <v>29814.53</v>
          </cell>
        </row>
        <row r="77">
          <cell r="AA77">
            <v>91227</v>
          </cell>
          <cell r="AB77">
            <v>12669.66</v>
          </cell>
        </row>
        <row r="78">
          <cell r="AA78">
            <v>91250</v>
          </cell>
          <cell r="AB78">
            <v>77982.600000000006</v>
          </cell>
        </row>
        <row r="79">
          <cell r="AA79">
            <v>91262</v>
          </cell>
          <cell r="AB79">
            <v>136188.31</v>
          </cell>
        </row>
        <row r="80">
          <cell r="H80" t="str">
            <v xml:space="preserve">DESCRIÇÃO </v>
          </cell>
          <cell r="Q80" t="str">
            <v>Nº</v>
          </cell>
          <cell r="R80" t="str">
            <v>LC</v>
          </cell>
          <cell r="S80" t="str">
            <v>EMP.</v>
          </cell>
          <cell r="T80" t="str">
            <v>DATA DO</v>
          </cell>
          <cell r="AA80">
            <v>91304</v>
          </cell>
          <cell r="AB80">
            <v>9119.74</v>
          </cell>
        </row>
        <row r="81">
          <cell r="H81" t="str">
            <v>APROPRIAÇÃO DE FATURAS E DESPESAS DE IMPORTAÇÃO - MATERIAL PRODUTIVO</v>
          </cell>
          <cell r="Q81" t="str">
            <v>VOUCHER</v>
          </cell>
          <cell r="R81" t="str">
            <v>EMIT.</v>
          </cell>
          <cell r="S81" t="str">
            <v>EMIT.</v>
          </cell>
          <cell r="T81" t="str">
            <v>LÇTO</v>
          </cell>
          <cell r="AA81">
            <v>91319</v>
          </cell>
          <cell r="AB81">
            <v>19482.689999999999</v>
          </cell>
        </row>
        <row r="82">
          <cell r="Q82" t="str">
            <v>13/0041</v>
          </cell>
          <cell r="R82" t="str">
            <v>91</v>
          </cell>
          <cell r="S82" t="str">
            <v>01</v>
          </cell>
          <cell r="T82">
            <v>36219</v>
          </cell>
          <cell r="AA82">
            <v>91323</v>
          </cell>
          <cell r="AB82">
            <v>30040.62</v>
          </cell>
        </row>
        <row r="83">
          <cell r="H83" t="str">
            <v xml:space="preserve"> </v>
          </cell>
          <cell r="AA83">
            <v>91333</v>
          </cell>
          <cell r="AB83">
            <v>77270.759999999995</v>
          </cell>
        </row>
        <row r="84">
          <cell r="H84" t="str">
            <v>Nº DE</v>
          </cell>
          <cell r="I84" t="str">
            <v>CORRENTISTA</v>
          </cell>
          <cell r="K84" t="str">
            <v>LOCAL</v>
          </cell>
          <cell r="L84" t="str">
            <v xml:space="preserve">CONTA </v>
          </cell>
          <cell r="N84" t="str">
            <v>COD</v>
          </cell>
          <cell r="O84" t="str">
            <v>Nº DE</v>
          </cell>
          <cell r="P84" t="str">
            <v>VALOR</v>
          </cell>
          <cell r="R84" t="str">
            <v>COD.</v>
          </cell>
          <cell r="S84" t="str">
            <v>COMPLEMENTO</v>
          </cell>
          <cell r="AA84">
            <v>91337</v>
          </cell>
          <cell r="AB84">
            <v>1713706.65</v>
          </cell>
        </row>
        <row r="85">
          <cell r="H85" t="str">
            <v>LÇTO.</v>
          </cell>
          <cell r="I85" t="str">
            <v>CÓDIGO</v>
          </cell>
          <cell r="K85" t="str">
            <v>CONT.</v>
          </cell>
          <cell r="L85" t="str">
            <v>C/CUSTO</v>
          </cell>
          <cell r="M85" t="str">
            <v>DV</v>
          </cell>
          <cell r="N85" t="str">
            <v>DESP/BCO</v>
          </cell>
          <cell r="O85" t="str">
            <v>ORDEM</v>
          </cell>
          <cell r="P85" t="str">
            <v>DÉBITO</v>
          </cell>
          <cell r="Q85" t="str">
            <v>CRÉDITO</v>
          </cell>
          <cell r="R85" t="str">
            <v>HIST</v>
          </cell>
          <cell r="S85" t="str">
            <v>HISTÓRICO</v>
          </cell>
          <cell r="AA85">
            <v>91343</v>
          </cell>
          <cell r="AB85">
            <v>3172.2</v>
          </cell>
        </row>
        <row r="86">
          <cell r="H86" t="str">
            <v>DE TRANSPORTE ................................................................................................</v>
          </cell>
          <cell r="P86">
            <v>0</v>
          </cell>
          <cell r="Q86">
            <v>0</v>
          </cell>
          <cell r="AA86">
            <v>91349</v>
          </cell>
          <cell r="AB86">
            <v>58187.72</v>
          </cell>
        </row>
        <row r="87">
          <cell r="H87">
            <v>1</v>
          </cell>
          <cell r="I87">
            <v>91163</v>
          </cell>
          <cell r="J87" t="str">
            <v>001</v>
          </cell>
          <cell r="K87" t="str">
            <v>91</v>
          </cell>
          <cell r="L87" t="str">
            <v>081201</v>
          </cell>
          <cell r="M87">
            <v>3</v>
          </cell>
          <cell r="P87" t="str">
            <v/>
          </cell>
          <cell r="Q87">
            <v>0</v>
          </cell>
          <cell r="R87">
            <v>679</v>
          </cell>
          <cell r="AA87">
            <v>91351</v>
          </cell>
          <cell r="AB87">
            <v>55984.69</v>
          </cell>
        </row>
        <row r="88">
          <cell r="H88">
            <v>1</v>
          </cell>
          <cell r="I88">
            <v>91178</v>
          </cell>
          <cell r="J88" t="str">
            <v>001</v>
          </cell>
          <cell r="K88" t="str">
            <v>91</v>
          </cell>
          <cell r="L88" t="str">
            <v>081201</v>
          </cell>
          <cell r="M88">
            <v>3</v>
          </cell>
          <cell r="P88" t="str">
            <v/>
          </cell>
          <cell r="Q88">
            <v>0</v>
          </cell>
          <cell r="R88">
            <v>679</v>
          </cell>
          <cell r="AA88">
            <v>91358</v>
          </cell>
          <cell r="AB88">
            <v>27875.81</v>
          </cell>
        </row>
        <row r="89">
          <cell r="H89">
            <v>1</v>
          </cell>
          <cell r="I89">
            <v>91250</v>
          </cell>
          <cell r="J89" t="str">
            <v>001</v>
          </cell>
          <cell r="K89" t="str">
            <v>91</v>
          </cell>
          <cell r="L89" t="str">
            <v>081201</v>
          </cell>
          <cell r="M89">
            <v>3</v>
          </cell>
          <cell r="P89" t="str">
            <v/>
          </cell>
          <cell r="Q89">
            <v>0</v>
          </cell>
          <cell r="R89">
            <v>679</v>
          </cell>
          <cell r="AA89">
            <v>91375</v>
          </cell>
          <cell r="AB89">
            <v>200365.88</v>
          </cell>
        </row>
        <row r="90">
          <cell r="H90">
            <v>1</v>
          </cell>
          <cell r="I90">
            <v>91304</v>
          </cell>
          <cell r="J90" t="str">
            <v>001</v>
          </cell>
          <cell r="K90" t="str">
            <v>91</v>
          </cell>
          <cell r="L90" t="str">
            <v>081201</v>
          </cell>
          <cell r="M90">
            <v>3</v>
          </cell>
          <cell r="P90" t="str">
            <v/>
          </cell>
          <cell r="Q90">
            <v>0</v>
          </cell>
          <cell r="R90">
            <v>679</v>
          </cell>
          <cell r="AA90">
            <v>91384</v>
          </cell>
          <cell r="AB90">
            <v>23862.35</v>
          </cell>
        </row>
        <row r="91">
          <cell r="H91">
            <v>1</v>
          </cell>
          <cell r="I91">
            <v>91323</v>
          </cell>
          <cell r="J91" t="str">
            <v>001</v>
          </cell>
          <cell r="K91" t="str">
            <v>91</v>
          </cell>
          <cell r="L91" t="str">
            <v>081201</v>
          </cell>
          <cell r="M91">
            <v>3</v>
          </cell>
          <cell r="P91" t="str">
            <v/>
          </cell>
          <cell r="Q91">
            <v>0</v>
          </cell>
          <cell r="R91">
            <v>679</v>
          </cell>
          <cell r="AA91">
            <v>91395</v>
          </cell>
          <cell r="AB91">
            <v>28171.41</v>
          </cell>
        </row>
        <row r="92">
          <cell r="H92">
            <v>1</v>
          </cell>
          <cell r="I92">
            <v>91337</v>
          </cell>
          <cell r="J92" t="str">
            <v>001</v>
          </cell>
          <cell r="K92" t="str">
            <v>91</v>
          </cell>
          <cell r="L92" t="str">
            <v>081201</v>
          </cell>
          <cell r="M92">
            <v>3</v>
          </cell>
          <cell r="P92" t="str">
            <v/>
          </cell>
          <cell r="Q92">
            <v>0</v>
          </cell>
          <cell r="R92">
            <v>679</v>
          </cell>
          <cell r="AA92">
            <v>91431</v>
          </cell>
          <cell r="AB92">
            <v>135559.97</v>
          </cell>
        </row>
        <row r="93">
          <cell r="H93">
            <v>1</v>
          </cell>
          <cell r="I93">
            <v>91349</v>
          </cell>
          <cell r="J93" t="str">
            <v>001</v>
          </cell>
          <cell r="K93" t="str">
            <v>91</v>
          </cell>
          <cell r="L93" t="str">
            <v>081201</v>
          </cell>
          <cell r="M93">
            <v>3</v>
          </cell>
          <cell r="P93" t="str">
            <v/>
          </cell>
          <cell r="Q93">
            <v>0</v>
          </cell>
          <cell r="R93">
            <v>679</v>
          </cell>
          <cell r="AA93">
            <v>91437</v>
          </cell>
          <cell r="AB93">
            <v>139918.31</v>
          </cell>
        </row>
        <row r="94">
          <cell r="H94">
            <v>1</v>
          </cell>
          <cell r="I94">
            <v>91358</v>
          </cell>
          <cell r="J94" t="str">
            <v>001</v>
          </cell>
          <cell r="K94" t="str">
            <v>91</v>
          </cell>
          <cell r="L94" t="str">
            <v>081201</v>
          </cell>
          <cell r="M94">
            <v>3</v>
          </cell>
          <cell r="P94" t="str">
            <v/>
          </cell>
          <cell r="Q94">
            <v>0</v>
          </cell>
          <cell r="R94">
            <v>679</v>
          </cell>
          <cell r="AA94">
            <v>91446</v>
          </cell>
          <cell r="AB94">
            <v>10149.530000000001</v>
          </cell>
        </row>
        <row r="95">
          <cell r="H95">
            <v>1</v>
          </cell>
          <cell r="I95">
            <v>91384</v>
          </cell>
          <cell r="J95" t="str">
            <v>001</v>
          </cell>
          <cell r="K95" t="str">
            <v>91</v>
          </cell>
          <cell r="L95" t="str">
            <v>081201</v>
          </cell>
          <cell r="M95">
            <v>3</v>
          </cell>
          <cell r="P95" t="str">
            <v/>
          </cell>
          <cell r="Q95">
            <v>0</v>
          </cell>
          <cell r="R95">
            <v>679</v>
          </cell>
          <cell r="AA95">
            <v>91457</v>
          </cell>
          <cell r="AB95">
            <v>899.76</v>
          </cell>
        </row>
        <row r="96">
          <cell r="H96">
            <v>1</v>
          </cell>
          <cell r="I96">
            <v>91431</v>
          </cell>
          <cell r="J96" t="str">
            <v>001</v>
          </cell>
          <cell r="K96" t="str">
            <v>91</v>
          </cell>
          <cell r="L96" t="str">
            <v>081201</v>
          </cell>
          <cell r="M96">
            <v>3</v>
          </cell>
          <cell r="P96" t="str">
            <v/>
          </cell>
          <cell r="Q96">
            <v>0</v>
          </cell>
          <cell r="R96">
            <v>679</v>
          </cell>
          <cell r="AA96">
            <v>91462</v>
          </cell>
          <cell r="AB96">
            <v>188841.86</v>
          </cell>
        </row>
        <row r="97">
          <cell r="H97">
            <v>1</v>
          </cell>
          <cell r="I97">
            <v>91446</v>
          </cell>
          <cell r="J97" t="str">
            <v>001</v>
          </cell>
          <cell r="K97" t="str">
            <v>91</v>
          </cell>
          <cell r="L97" t="str">
            <v>081201</v>
          </cell>
          <cell r="M97">
            <v>3</v>
          </cell>
          <cell r="P97" t="str">
            <v/>
          </cell>
          <cell r="Q97">
            <v>0</v>
          </cell>
          <cell r="R97">
            <v>679</v>
          </cell>
          <cell r="AA97">
            <v>91468</v>
          </cell>
          <cell r="AB97">
            <v>40611.050000000003</v>
          </cell>
        </row>
        <row r="98">
          <cell r="H98">
            <v>1</v>
          </cell>
          <cell r="I98">
            <v>91462</v>
          </cell>
          <cell r="J98" t="str">
            <v>001</v>
          </cell>
          <cell r="K98" t="str">
            <v>91</v>
          </cell>
          <cell r="L98" t="str">
            <v>081201</v>
          </cell>
          <cell r="M98">
            <v>3</v>
          </cell>
          <cell r="P98" t="str">
            <v/>
          </cell>
          <cell r="Q98">
            <v>0</v>
          </cell>
          <cell r="R98">
            <v>679</v>
          </cell>
          <cell r="AA98">
            <v>91550</v>
          </cell>
          <cell r="AB98">
            <v>10378.129999999999</v>
          </cell>
        </row>
        <row r="99">
          <cell r="H99">
            <v>1</v>
          </cell>
          <cell r="I99">
            <v>91550</v>
          </cell>
          <cell r="J99" t="str">
            <v>001</v>
          </cell>
          <cell r="K99" t="str">
            <v>91</v>
          </cell>
          <cell r="L99" t="str">
            <v>081201</v>
          </cell>
          <cell r="M99">
            <v>3</v>
          </cell>
          <cell r="P99" t="str">
            <v/>
          </cell>
          <cell r="Q99">
            <v>0</v>
          </cell>
          <cell r="R99">
            <v>679</v>
          </cell>
          <cell r="AA99">
            <v>91552</v>
          </cell>
          <cell r="AB99">
            <v>140596.85999999999</v>
          </cell>
        </row>
        <row r="100">
          <cell r="H100">
            <v>1</v>
          </cell>
          <cell r="I100">
            <v>91553</v>
          </cell>
          <cell r="J100" t="str">
            <v>001</v>
          </cell>
          <cell r="K100" t="str">
            <v>91</v>
          </cell>
          <cell r="L100" t="str">
            <v>081201</v>
          </cell>
          <cell r="M100">
            <v>3</v>
          </cell>
          <cell r="P100" t="str">
            <v/>
          </cell>
          <cell r="Q100">
            <v>0</v>
          </cell>
          <cell r="R100">
            <v>679</v>
          </cell>
          <cell r="AA100">
            <v>91553</v>
          </cell>
          <cell r="AB100">
            <v>34978.6</v>
          </cell>
        </row>
        <row r="101">
          <cell r="H101">
            <v>1</v>
          </cell>
          <cell r="I101">
            <v>91578</v>
          </cell>
          <cell r="J101" t="str">
            <v>001</v>
          </cell>
          <cell r="K101" t="str">
            <v>91</v>
          </cell>
          <cell r="L101" t="str">
            <v>081201</v>
          </cell>
          <cell r="M101">
            <v>3</v>
          </cell>
          <cell r="P101" t="str">
            <v/>
          </cell>
          <cell r="Q101">
            <v>0</v>
          </cell>
          <cell r="R101">
            <v>679</v>
          </cell>
          <cell r="AA101">
            <v>91567</v>
          </cell>
          <cell r="AB101">
            <v>2987.7</v>
          </cell>
        </row>
        <row r="102">
          <cell r="H102">
            <v>1</v>
          </cell>
          <cell r="I102">
            <v>91620</v>
          </cell>
          <cell r="J102" t="str">
            <v>001</v>
          </cell>
          <cell r="K102" t="str">
            <v>91</v>
          </cell>
          <cell r="L102" t="str">
            <v>081201</v>
          </cell>
          <cell r="M102">
            <v>3</v>
          </cell>
          <cell r="P102" t="str">
            <v/>
          </cell>
          <cell r="Q102">
            <v>0</v>
          </cell>
          <cell r="R102">
            <v>679</v>
          </cell>
          <cell r="AA102">
            <v>91578</v>
          </cell>
          <cell r="AB102">
            <v>837805.14</v>
          </cell>
        </row>
        <row r="103">
          <cell r="H103">
            <v>1</v>
          </cell>
          <cell r="I103">
            <v>91673</v>
          </cell>
          <cell r="J103" t="str">
            <v>001</v>
          </cell>
          <cell r="K103" t="str">
            <v>91</v>
          </cell>
          <cell r="L103" t="str">
            <v>081201</v>
          </cell>
          <cell r="M103">
            <v>3</v>
          </cell>
          <cell r="P103" t="str">
            <v/>
          </cell>
          <cell r="Q103">
            <v>0</v>
          </cell>
          <cell r="R103">
            <v>679</v>
          </cell>
          <cell r="AA103">
            <v>91591</v>
          </cell>
          <cell r="AB103">
            <v>5305.33</v>
          </cell>
        </row>
        <row r="104">
          <cell r="I104" t="str">
            <v>TOTAL.............................................................</v>
          </cell>
          <cell r="P104">
            <v>0</v>
          </cell>
          <cell r="Q104">
            <v>0</v>
          </cell>
          <cell r="V104">
            <v>0</v>
          </cell>
          <cell r="AA104">
            <v>91620</v>
          </cell>
          <cell r="AB104">
            <v>10967.67</v>
          </cell>
        </row>
        <row r="105">
          <cell r="AA105">
            <v>91670</v>
          </cell>
          <cell r="AB105">
            <v>28581.64</v>
          </cell>
        </row>
        <row r="106">
          <cell r="AA106">
            <v>91673</v>
          </cell>
          <cell r="AB106">
            <v>31612.32</v>
          </cell>
        </row>
        <row r="107">
          <cell r="AA107">
            <v>91678</v>
          </cell>
          <cell r="AB107">
            <v>2960.45</v>
          </cell>
        </row>
        <row r="108">
          <cell r="M108" t="str">
            <v>PREPARADO POR:</v>
          </cell>
          <cell r="P108" t="str">
            <v>Vera Lucia</v>
          </cell>
          <cell r="S108" t="str">
            <v>FOLHA Nº</v>
          </cell>
          <cell r="T108">
            <v>3</v>
          </cell>
          <cell r="AA108">
            <v>91681</v>
          </cell>
          <cell r="AB108">
            <v>86884.62</v>
          </cell>
        </row>
        <row r="109">
          <cell r="AA109">
            <v>91692</v>
          </cell>
          <cell r="AB109">
            <v>85783.1</v>
          </cell>
        </row>
        <row r="110">
          <cell r="AA110">
            <v>91706</v>
          </cell>
          <cell r="AB110">
            <v>1291742.49</v>
          </cell>
        </row>
        <row r="111">
          <cell r="AA111">
            <v>91750</v>
          </cell>
          <cell r="AB111">
            <v>208666.08</v>
          </cell>
        </row>
        <row r="112">
          <cell r="M112" t="str">
            <v>FICHA DE LANÇAMENTO CONTÁBIL</v>
          </cell>
          <cell r="AA112">
            <v>91799</v>
          </cell>
          <cell r="AB112">
            <v>1381.01</v>
          </cell>
        </row>
        <row r="113">
          <cell r="AA113">
            <v>91814</v>
          </cell>
          <cell r="AB113">
            <v>9714.14</v>
          </cell>
        </row>
        <row r="114">
          <cell r="AA114">
            <v>91822</v>
          </cell>
          <cell r="AB114">
            <v>56381.68</v>
          </cell>
        </row>
        <row r="115">
          <cell r="AA115">
            <v>91839</v>
          </cell>
          <cell r="AB115">
            <v>13812.24</v>
          </cell>
        </row>
        <row r="116">
          <cell r="H116" t="str">
            <v xml:space="preserve">DESCRIÇÃO </v>
          </cell>
          <cell r="Q116" t="str">
            <v>Nº</v>
          </cell>
          <cell r="R116" t="str">
            <v>LC</v>
          </cell>
          <cell r="S116" t="str">
            <v>EMP.</v>
          </cell>
          <cell r="T116" t="str">
            <v>DATA DO</v>
          </cell>
          <cell r="AA116">
            <v>91841</v>
          </cell>
          <cell r="AB116">
            <v>14228.08</v>
          </cell>
        </row>
        <row r="117">
          <cell r="H117" t="str">
            <v>APROPRIAÇÃO DE FATURAS E DESPESAS DE IMPORTAÇÃO - MATERIAL PRODUTIVO</v>
          </cell>
          <cell r="Q117" t="str">
            <v>VOUCHER</v>
          </cell>
          <cell r="R117" t="str">
            <v>EMIT.</v>
          </cell>
          <cell r="S117" t="str">
            <v>EMIT.</v>
          </cell>
          <cell r="T117" t="str">
            <v>LÇTO</v>
          </cell>
          <cell r="AA117">
            <v>91868</v>
          </cell>
          <cell r="AB117">
            <v>15107.06</v>
          </cell>
        </row>
        <row r="118">
          <cell r="Q118" t="str">
            <v>13/0041</v>
          </cell>
          <cell r="R118" t="str">
            <v>91</v>
          </cell>
          <cell r="S118" t="str">
            <v>01</v>
          </cell>
          <cell r="T118">
            <v>36219</v>
          </cell>
          <cell r="AA118">
            <v>91869</v>
          </cell>
          <cell r="AB118">
            <v>314.89999999999998</v>
          </cell>
        </row>
        <row r="119">
          <cell r="H119" t="str">
            <v xml:space="preserve"> </v>
          </cell>
          <cell r="AA119">
            <v>91874</v>
          </cell>
          <cell r="AB119">
            <v>24685.919999999998</v>
          </cell>
        </row>
        <row r="120">
          <cell r="H120" t="str">
            <v>Nº DE</v>
          </cell>
          <cell r="I120" t="str">
            <v>CORRENTISTA</v>
          </cell>
          <cell r="K120" t="str">
            <v>LOCAL</v>
          </cell>
          <cell r="L120" t="str">
            <v xml:space="preserve">CONTA </v>
          </cell>
          <cell r="N120" t="str">
            <v>COD</v>
          </cell>
          <cell r="O120" t="str">
            <v>Nº DE</v>
          </cell>
          <cell r="P120" t="str">
            <v>VALOR</v>
          </cell>
          <cell r="R120" t="str">
            <v>COD.</v>
          </cell>
          <cell r="S120" t="str">
            <v>COMPLEMENTO</v>
          </cell>
          <cell r="AA120">
            <v>91901</v>
          </cell>
          <cell r="AB120">
            <v>2045.62</v>
          </cell>
        </row>
        <row r="121">
          <cell r="H121" t="str">
            <v>LÇTO.</v>
          </cell>
          <cell r="I121" t="str">
            <v>CÓDIGO</v>
          </cell>
          <cell r="K121" t="str">
            <v>CONT.</v>
          </cell>
          <cell r="L121" t="str">
            <v>C/CUSTO</v>
          </cell>
          <cell r="M121" t="str">
            <v>DV</v>
          </cell>
          <cell r="N121" t="str">
            <v>DESP/BCO</v>
          </cell>
          <cell r="O121" t="str">
            <v>ORDEM</v>
          </cell>
          <cell r="P121" t="str">
            <v>DÉBITO</v>
          </cell>
          <cell r="Q121" t="str">
            <v>CRÉDITO</v>
          </cell>
          <cell r="R121" t="str">
            <v>HIST</v>
          </cell>
          <cell r="S121" t="str">
            <v>HISTÓRICO</v>
          </cell>
          <cell r="AA121">
            <v>91913</v>
          </cell>
          <cell r="AB121">
            <v>159.29</v>
          </cell>
        </row>
        <row r="122">
          <cell r="H122" t="str">
            <v>DE TRANSPORTE ................................................................................................</v>
          </cell>
          <cell r="P122">
            <v>0</v>
          </cell>
          <cell r="Q122">
            <v>0</v>
          </cell>
          <cell r="AA122">
            <v>91919</v>
          </cell>
          <cell r="AB122">
            <v>3954.84</v>
          </cell>
        </row>
        <row r="123">
          <cell r="H123">
            <v>1</v>
          </cell>
          <cell r="I123">
            <v>91681</v>
          </cell>
          <cell r="J123" t="str">
            <v>001</v>
          </cell>
          <cell r="K123" t="str">
            <v>91</v>
          </cell>
          <cell r="L123" t="str">
            <v>081201</v>
          </cell>
          <cell r="M123">
            <v>3</v>
          </cell>
          <cell r="P123" t="str">
            <v/>
          </cell>
          <cell r="Q123">
            <v>0</v>
          </cell>
          <cell r="R123">
            <v>679</v>
          </cell>
          <cell r="AA123">
            <v>91923</v>
          </cell>
          <cell r="AB123">
            <v>3488.69</v>
          </cell>
        </row>
        <row r="124">
          <cell r="H124">
            <v>1</v>
          </cell>
          <cell r="I124">
            <v>91706</v>
          </cell>
          <cell r="J124" t="str">
            <v>001</v>
          </cell>
          <cell r="K124" t="str">
            <v>91</v>
          </cell>
          <cell r="L124" t="str">
            <v>081201</v>
          </cell>
          <cell r="M124">
            <v>3</v>
          </cell>
          <cell r="P124" t="str">
            <v/>
          </cell>
          <cell r="Q124">
            <v>0</v>
          </cell>
          <cell r="R124">
            <v>679</v>
          </cell>
          <cell r="AA124">
            <v>91934</v>
          </cell>
          <cell r="AB124">
            <v>27392.97</v>
          </cell>
        </row>
        <row r="125">
          <cell r="H125">
            <v>1</v>
          </cell>
          <cell r="I125">
            <v>91799</v>
          </cell>
          <cell r="J125" t="str">
            <v>001</v>
          </cell>
          <cell r="K125" t="str">
            <v>91</v>
          </cell>
          <cell r="L125" t="str">
            <v>081201</v>
          </cell>
          <cell r="M125">
            <v>3</v>
          </cell>
          <cell r="P125" t="str">
            <v/>
          </cell>
          <cell r="Q125">
            <v>0</v>
          </cell>
          <cell r="R125">
            <v>679</v>
          </cell>
          <cell r="AA125">
            <v>91947</v>
          </cell>
          <cell r="AB125">
            <v>2576.87</v>
          </cell>
        </row>
        <row r="126">
          <cell r="H126">
            <v>1</v>
          </cell>
          <cell r="I126">
            <v>91822</v>
          </cell>
          <cell r="J126" t="str">
            <v>001</v>
          </cell>
          <cell r="K126" t="str">
            <v>91</v>
          </cell>
          <cell r="L126" t="str">
            <v>081201</v>
          </cell>
          <cell r="M126">
            <v>3</v>
          </cell>
          <cell r="P126" t="str">
            <v/>
          </cell>
          <cell r="Q126">
            <v>0</v>
          </cell>
          <cell r="R126">
            <v>679</v>
          </cell>
          <cell r="AA126">
            <v>91953</v>
          </cell>
          <cell r="AB126">
            <v>730.84</v>
          </cell>
        </row>
        <row r="127">
          <cell r="H127">
            <v>1</v>
          </cell>
          <cell r="I127">
            <v>91841</v>
          </cell>
          <cell r="J127" t="str">
            <v>001</v>
          </cell>
          <cell r="K127" t="str">
            <v>91</v>
          </cell>
          <cell r="L127" t="str">
            <v>081201</v>
          </cell>
          <cell r="M127">
            <v>3</v>
          </cell>
          <cell r="P127" t="str">
            <v/>
          </cell>
          <cell r="Q127">
            <v>0</v>
          </cell>
          <cell r="R127">
            <v>679</v>
          </cell>
          <cell r="AA127">
            <v>91974</v>
          </cell>
          <cell r="AB127">
            <v>76625.19</v>
          </cell>
        </row>
        <row r="128">
          <cell r="H128">
            <v>1</v>
          </cell>
          <cell r="I128">
            <v>91869</v>
          </cell>
          <cell r="J128" t="str">
            <v>001</v>
          </cell>
          <cell r="K128" t="str">
            <v>91</v>
          </cell>
          <cell r="L128" t="str">
            <v>081201</v>
          </cell>
          <cell r="M128">
            <v>3</v>
          </cell>
          <cell r="P128" t="str">
            <v/>
          </cell>
          <cell r="Q128">
            <v>0</v>
          </cell>
          <cell r="R128">
            <v>679</v>
          </cell>
          <cell r="AA128">
            <v>91975</v>
          </cell>
          <cell r="AB128">
            <v>238796.12</v>
          </cell>
        </row>
        <row r="129">
          <cell r="H129">
            <v>1</v>
          </cell>
          <cell r="I129">
            <v>91901</v>
          </cell>
          <cell r="J129" t="str">
            <v>001</v>
          </cell>
          <cell r="K129" t="str">
            <v>91</v>
          </cell>
          <cell r="L129" t="str">
            <v>081201</v>
          </cell>
          <cell r="M129">
            <v>3</v>
          </cell>
          <cell r="P129" t="str">
            <v/>
          </cell>
          <cell r="Q129">
            <v>0</v>
          </cell>
          <cell r="R129">
            <v>679</v>
          </cell>
          <cell r="AA129">
            <v>91978</v>
          </cell>
          <cell r="AB129">
            <v>23343.279999999999</v>
          </cell>
        </row>
        <row r="130">
          <cell r="H130">
            <v>1</v>
          </cell>
          <cell r="I130">
            <v>91919</v>
          </cell>
          <cell r="J130" t="str">
            <v>001</v>
          </cell>
          <cell r="K130" t="str">
            <v>91</v>
          </cell>
          <cell r="L130" t="str">
            <v>081201</v>
          </cell>
          <cell r="M130">
            <v>3</v>
          </cell>
          <cell r="P130" t="str">
            <v/>
          </cell>
          <cell r="Q130">
            <v>0</v>
          </cell>
          <cell r="R130">
            <v>679</v>
          </cell>
          <cell r="AA130">
            <v>91979</v>
          </cell>
          <cell r="AB130">
            <v>28737.08</v>
          </cell>
        </row>
        <row r="131">
          <cell r="H131">
            <v>1</v>
          </cell>
          <cell r="I131">
            <v>91934</v>
          </cell>
          <cell r="J131" t="str">
            <v>001</v>
          </cell>
          <cell r="K131" t="str">
            <v>91</v>
          </cell>
          <cell r="L131" t="str">
            <v>081201</v>
          </cell>
          <cell r="M131">
            <v>3</v>
          </cell>
          <cell r="P131" t="str">
            <v/>
          </cell>
          <cell r="Q131">
            <v>0</v>
          </cell>
          <cell r="R131">
            <v>679</v>
          </cell>
          <cell r="AA131">
            <v>91980</v>
          </cell>
          <cell r="AB131">
            <v>199552.26</v>
          </cell>
        </row>
        <row r="132">
          <cell r="H132">
            <v>1</v>
          </cell>
          <cell r="I132">
            <v>91953</v>
          </cell>
          <cell r="J132" t="str">
            <v>001</v>
          </cell>
          <cell r="K132" t="str">
            <v>91</v>
          </cell>
          <cell r="L132" t="str">
            <v>081201</v>
          </cell>
          <cell r="M132">
            <v>3</v>
          </cell>
          <cell r="P132" t="str">
            <v/>
          </cell>
          <cell r="Q132">
            <v>0</v>
          </cell>
          <cell r="R132">
            <v>679</v>
          </cell>
          <cell r="AA132">
            <v>91981</v>
          </cell>
          <cell r="AB132">
            <v>9655.18</v>
          </cell>
        </row>
        <row r="133">
          <cell r="H133">
            <v>1</v>
          </cell>
          <cell r="I133">
            <v>91975</v>
          </cell>
          <cell r="J133" t="str">
            <v>001</v>
          </cell>
          <cell r="K133" t="str">
            <v>91</v>
          </cell>
          <cell r="L133" t="str">
            <v>081201</v>
          </cell>
          <cell r="M133">
            <v>3</v>
          </cell>
          <cell r="P133" t="str">
            <v/>
          </cell>
          <cell r="Q133">
            <v>0</v>
          </cell>
          <cell r="R133">
            <v>679</v>
          </cell>
          <cell r="AA133">
            <v>91982</v>
          </cell>
          <cell r="AB133">
            <v>104623.67</v>
          </cell>
        </row>
        <row r="134">
          <cell r="H134">
            <v>1</v>
          </cell>
          <cell r="I134">
            <v>91979</v>
          </cell>
          <cell r="J134" t="str">
            <v>001</v>
          </cell>
          <cell r="K134" t="str">
            <v>91</v>
          </cell>
          <cell r="L134" t="str">
            <v>081201</v>
          </cell>
          <cell r="M134">
            <v>3</v>
          </cell>
          <cell r="P134" t="str">
            <v/>
          </cell>
          <cell r="Q134">
            <v>0</v>
          </cell>
          <cell r="R134">
            <v>679</v>
          </cell>
          <cell r="AA134">
            <v>91984</v>
          </cell>
          <cell r="AB134">
            <v>135435.35</v>
          </cell>
        </row>
        <row r="135">
          <cell r="H135">
            <v>1</v>
          </cell>
          <cell r="I135">
            <v>91981</v>
          </cell>
          <cell r="J135" t="str">
            <v>001</v>
          </cell>
          <cell r="K135" t="str">
            <v>91</v>
          </cell>
          <cell r="L135" t="str">
            <v>081201</v>
          </cell>
          <cell r="M135">
            <v>3</v>
          </cell>
          <cell r="P135" t="str">
            <v/>
          </cell>
          <cell r="Q135">
            <v>0</v>
          </cell>
          <cell r="R135">
            <v>679</v>
          </cell>
          <cell r="AA135">
            <v>91988</v>
          </cell>
          <cell r="AB135">
            <v>2997.93</v>
          </cell>
        </row>
        <row r="136">
          <cell r="H136">
            <v>1</v>
          </cell>
          <cell r="I136">
            <v>91984</v>
          </cell>
          <cell r="J136" t="str">
            <v>001</v>
          </cell>
          <cell r="K136" t="str">
            <v>91</v>
          </cell>
          <cell r="L136" t="str">
            <v>081201</v>
          </cell>
          <cell r="M136">
            <v>3</v>
          </cell>
          <cell r="P136" t="str">
            <v/>
          </cell>
          <cell r="Q136">
            <v>0</v>
          </cell>
          <cell r="R136">
            <v>679</v>
          </cell>
          <cell r="AA136">
            <v>91990</v>
          </cell>
          <cell r="AB136">
            <v>31535.35</v>
          </cell>
        </row>
        <row r="137">
          <cell r="H137">
            <v>1</v>
          </cell>
          <cell r="I137">
            <v>91990</v>
          </cell>
          <cell r="J137" t="str">
            <v>001</v>
          </cell>
          <cell r="K137" t="str">
            <v>91</v>
          </cell>
          <cell r="L137" t="str">
            <v>081201</v>
          </cell>
          <cell r="M137">
            <v>3</v>
          </cell>
          <cell r="P137" t="str">
            <v/>
          </cell>
          <cell r="Q137">
            <v>0</v>
          </cell>
          <cell r="R137">
            <v>679</v>
          </cell>
          <cell r="AA137">
            <v>91996</v>
          </cell>
          <cell r="AB137">
            <v>499700.86</v>
          </cell>
        </row>
        <row r="138">
          <cell r="H138">
            <v>1</v>
          </cell>
          <cell r="I138">
            <v>91997</v>
          </cell>
          <cell r="J138" t="str">
            <v>001</v>
          </cell>
          <cell r="K138" t="str">
            <v>91</v>
          </cell>
          <cell r="L138" t="str">
            <v>081201</v>
          </cell>
          <cell r="M138">
            <v>3</v>
          </cell>
          <cell r="P138" t="str">
            <v/>
          </cell>
          <cell r="Q138">
            <v>0</v>
          </cell>
          <cell r="R138">
            <v>679</v>
          </cell>
          <cell r="AA138">
            <v>91997</v>
          </cell>
          <cell r="AB138">
            <v>127847.72</v>
          </cell>
        </row>
        <row r="139">
          <cell r="H139">
            <v>1</v>
          </cell>
          <cell r="I139">
            <v>92000</v>
          </cell>
          <cell r="J139" t="str">
            <v>001</v>
          </cell>
          <cell r="K139" t="str">
            <v>91</v>
          </cell>
          <cell r="L139" t="str">
            <v>081201</v>
          </cell>
          <cell r="M139">
            <v>3</v>
          </cell>
          <cell r="P139" t="str">
            <v/>
          </cell>
          <cell r="Q139">
            <v>0</v>
          </cell>
          <cell r="R139">
            <v>679</v>
          </cell>
          <cell r="AA139">
            <v>91999</v>
          </cell>
          <cell r="AB139">
            <v>5713.35</v>
          </cell>
        </row>
        <row r="140">
          <cell r="I140" t="str">
            <v>TOTAL.............................................................</v>
          </cell>
          <cell r="P140">
            <v>0</v>
          </cell>
          <cell r="Q140">
            <v>0</v>
          </cell>
          <cell r="V140">
            <v>0</v>
          </cell>
          <cell r="AA140">
            <v>92000</v>
          </cell>
          <cell r="AB140">
            <v>61266.44</v>
          </cell>
        </row>
        <row r="141">
          <cell r="AA141">
            <v>92001</v>
          </cell>
          <cell r="AB141">
            <v>20676.07</v>
          </cell>
        </row>
        <row r="142">
          <cell r="AA142">
            <v>92003</v>
          </cell>
          <cell r="AB142">
            <v>1223852.51</v>
          </cell>
        </row>
        <row r="143">
          <cell r="AA143">
            <v>92015</v>
          </cell>
          <cell r="AB143">
            <v>45629.27</v>
          </cell>
        </row>
        <row r="144">
          <cell r="M144" t="str">
            <v>PREPARADO POR:</v>
          </cell>
          <cell r="P144" t="str">
            <v>Vera Lucia</v>
          </cell>
          <cell r="S144" t="str">
            <v>FOLHA Nº</v>
          </cell>
          <cell r="T144">
            <v>4</v>
          </cell>
          <cell r="AA144">
            <v>92018</v>
          </cell>
          <cell r="AB144">
            <v>12427.99</v>
          </cell>
        </row>
        <row r="145">
          <cell r="AA145">
            <v>92020</v>
          </cell>
          <cell r="AB145">
            <v>20323.11</v>
          </cell>
        </row>
        <row r="146">
          <cell r="AA146">
            <v>92028</v>
          </cell>
          <cell r="AB146">
            <v>1674.46</v>
          </cell>
        </row>
        <row r="147">
          <cell r="AA147">
            <v>92046</v>
          </cell>
          <cell r="AB147">
            <v>22364.880000000001</v>
          </cell>
        </row>
        <row r="148">
          <cell r="M148" t="str">
            <v>FICHA DE LANÇAMENTO CONTÁBIL</v>
          </cell>
          <cell r="AA148">
            <v>92063</v>
          </cell>
          <cell r="AB148">
            <v>10984.74</v>
          </cell>
        </row>
        <row r="149">
          <cell r="AA149">
            <v>92076</v>
          </cell>
          <cell r="AB149">
            <v>211815.75</v>
          </cell>
        </row>
        <row r="150">
          <cell r="AA150">
            <v>92088</v>
          </cell>
          <cell r="AB150">
            <v>55180.18</v>
          </cell>
        </row>
        <row r="151">
          <cell r="AA151">
            <v>92090</v>
          </cell>
          <cell r="AB151">
            <v>25227.279999999999</v>
          </cell>
        </row>
        <row r="152">
          <cell r="H152" t="str">
            <v xml:space="preserve">DESCRIÇÃO </v>
          </cell>
          <cell r="Q152" t="str">
            <v>Nº</v>
          </cell>
          <cell r="R152" t="str">
            <v>LC</v>
          </cell>
          <cell r="S152" t="str">
            <v>EMP.</v>
          </cell>
          <cell r="T152" t="str">
            <v>DATA DO</v>
          </cell>
          <cell r="AA152">
            <v>92091</v>
          </cell>
          <cell r="AB152">
            <v>2075.0500000000002</v>
          </cell>
        </row>
        <row r="153">
          <cell r="H153" t="str">
            <v>APROPRIAÇÃO DE FATURAS E DESPESAS DE IMPORTAÇÃO - MATERIAL PRODUTIVO</v>
          </cell>
          <cell r="Q153" t="str">
            <v>VOUCHER</v>
          </cell>
          <cell r="R153" t="str">
            <v>EMIT.</v>
          </cell>
          <cell r="S153" t="str">
            <v>EMIT.</v>
          </cell>
          <cell r="T153" t="str">
            <v>LÇTO</v>
          </cell>
          <cell r="AA153">
            <v>92092</v>
          </cell>
          <cell r="AB153">
            <v>7391.92</v>
          </cell>
        </row>
        <row r="154">
          <cell r="Q154" t="str">
            <v>13/0041</v>
          </cell>
          <cell r="R154" t="str">
            <v>91</v>
          </cell>
          <cell r="S154" t="str">
            <v>01</v>
          </cell>
          <cell r="T154">
            <v>36219</v>
          </cell>
          <cell r="AA154">
            <v>92093</v>
          </cell>
          <cell r="AB154">
            <v>53519.9</v>
          </cell>
        </row>
        <row r="155">
          <cell r="H155" t="str">
            <v xml:space="preserve"> </v>
          </cell>
          <cell r="AA155">
            <v>92096</v>
          </cell>
          <cell r="AB155">
            <v>344.15</v>
          </cell>
        </row>
        <row r="156">
          <cell r="H156" t="str">
            <v>Nº DE</v>
          </cell>
          <cell r="I156" t="str">
            <v>CORRENTISTA</v>
          </cell>
          <cell r="K156" t="str">
            <v>LOCAL</v>
          </cell>
          <cell r="L156" t="str">
            <v xml:space="preserve">CONTA </v>
          </cell>
          <cell r="N156" t="str">
            <v>COD</v>
          </cell>
          <cell r="O156" t="str">
            <v>Nº DE</v>
          </cell>
          <cell r="P156" t="str">
            <v>VALOR</v>
          </cell>
          <cell r="R156" t="str">
            <v>COD.</v>
          </cell>
          <cell r="S156" t="str">
            <v>COMPLEMENTO</v>
          </cell>
          <cell r="AA156">
            <v>92105</v>
          </cell>
          <cell r="AB156">
            <v>62434.23</v>
          </cell>
        </row>
        <row r="157">
          <cell r="H157" t="str">
            <v>LÇTO.</v>
          </cell>
          <cell r="I157" t="str">
            <v>CÓDIGO</v>
          </cell>
          <cell r="K157" t="str">
            <v>CONT.</v>
          </cell>
          <cell r="L157" t="str">
            <v>C/CUSTO</v>
          </cell>
          <cell r="M157" t="str">
            <v>DV</v>
          </cell>
          <cell r="N157" t="str">
            <v>DESP/BCO</v>
          </cell>
          <cell r="O157" t="str">
            <v>ORDEM</v>
          </cell>
          <cell r="P157" t="str">
            <v>DÉBITO</v>
          </cell>
          <cell r="Q157" t="str">
            <v>CRÉDITO</v>
          </cell>
          <cell r="R157" t="str">
            <v>HIST</v>
          </cell>
          <cell r="S157" t="str">
            <v>HISTÓRICO</v>
          </cell>
          <cell r="AA157">
            <v>92107</v>
          </cell>
          <cell r="AB157">
            <v>1219063.49</v>
          </cell>
        </row>
        <row r="158">
          <cell r="H158" t="str">
            <v>DE TRANSPORTE ................................................................................................</v>
          </cell>
          <cell r="P158">
            <v>0</v>
          </cell>
          <cell r="Q158">
            <v>0</v>
          </cell>
          <cell r="AA158">
            <v>92109</v>
          </cell>
          <cell r="AB158">
            <v>72106.86</v>
          </cell>
        </row>
        <row r="159">
          <cell r="H159">
            <v>1</v>
          </cell>
          <cell r="I159">
            <v>92003</v>
          </cell>
          <cell r="J159" t="str">
            <v>001</v>
          </cell>
          <cell r="K159" t="str">
            <v>91</v>
          </cell>
          <cell r="L159" t="str">
            <v>081201</v>
          </cell>
          <cell r="M159">
            <v>3</v>
          </cell>
          <cell r="P159" t="str">
            <v/>
          </cell>
          <cell r="Q159">
            <v>0</v>
          </cell>
          <cell r="R159">
            <v>679</v>
          </cell>
          <cell r="AA159">
            <v>92130</v>
          </cell>
          <cell r="AB159">
            <v>4125.53</v>
          </cell>
        </row>
        <row r="160">
          <cell r="H160">
            <v>1</v>
          </cell>
          <cell r="I160">
            <v>92018</v>
          </cell>
          <cell r="J160" t="str">
            <v>001</v>
          </cell>
          <cell r="K160" t="str">
            <v>91</v>
          </cell>
          <cell r="L160" t="str">
            <v>081201</v>
          </cell>
          <cell r="M160">
            <v>3</v>
          </cell>
          <cell r="P160" t="str">
            <v/>
          </cell>
          <cell r="Q160">
            <v>0</v>
          </cell>
          <cell r="R160">
            <v>679</v>
          </cell>
          <cell r="AA160">
            <v>92133</v>
          </cell>
          <cell r="AB160">
            <v>46316.480000000003</v>
          </cell>
        </row>
        <row r="161">
          <cell r="H161">
            <v>1</v>
          </cell>
          <cell r="I161">
            <v>92028</v>
          </cell>
          <cell r="J161" t="str">
            <v>001</v>
          </cell>
          <cell r="K161" t="str">
            <v>91</v>
          </cell>
          <cell r="L161" t="str">
            <v>081201</v>
          </cell>
          <cell r="M161">
            <v>3</v>
          </cell>
          <cell r="P161" t="str">
            <v/>
          </cell>
          <cell r="Q161">
            <v>0</v>
          </cell>
          <cell r="R161">
            <v>679</v>
          </cell>
          <cell r="AA161">
            <v>92134</v>
          </cell>
          <cell r="AB161">
            <v>1777.93</v>
          </cell>
        </row>
        <row r="162">
          <cell r="H162">
            <v>1</v>
          </cell>
          <cell r="I162">
            <v>92063</v>
          </cell>
          <cell r="J162" t="str">
            <v>001</v>
          </cell>
          <cell r="K162" t="str">
            <v>91</v>
          </cell>
          <cell r="L162" t="str">
            <v>081201</v>
          </cell>
          <cell r="M162">
            <v>3</v>
          </cell>
          <cell r="P162" t="str">
            <v/>
          </cell>
          <cell r="Q162">
            <v>0</v>
          </cell>
          <cell r="R162">
            <v>679</v>
          </cell>
          <cell r="AA162">
            <v>92140</v>
          </cell>
          <cell r="AB162">
            <v>121000</v>
          </cell>
        </row>
        <row r="163">
          <cell r="H163">
            <v>1</v>
          </cell>
          <cell r="I163">
            <v>92088</v>
          </cell>
          <cell r="J163" t="str">
            <v>001</v>
          </cell>
          <cell r="K163" t="str">
            <v>91</v>
          </cell>
          <cell r="L163" t="str">
            <v>081201</v>
          </cell>
          <cell r="M163">
            <v>3</v>
          </cell>
          <cell r="P163" t="str">
            <v/>
          </cell>
          <cell r="Q163">
            <v>0</v>
          </cell>
          <cell r="R163">
            <v>679</v>
          </cell>
          <cell r="AA163">
            <v>92142</v>
          </cell>
          <cell r="AB163">
            <v>196056</v>
          </cell>
        </row>
        <row r="164">
          <cell r="H164">
            <v>1</v>
          </cell>
          <cell r="I164">
            <v>92091</v>
          </cell>
          <cell r="J164" t="str">
            <v>001</v>
          </cell>
          <cell r="K164" t="str">
            <v>91</v>
          </cell>
          <cell r="L164" t="str">
            <v>081201</v>
          </cell>
          <cell r="M164">
            <v>3</v>
          </cell>
          <cell r="P164" t="str">
            <v/>
          </cell>
          <cell r="Q164">
            <v>0</v>
          </cell>
          <cell r="R164">
            <v>679</v>
          </cell>
          <cell r="AA164">
            <v>92158</v>
          </cell>
          <cell r="AB164">
            <v>68818.8</v>
          </cell>
        </row>
        <row r="165">
          <cell r="H165">
            <v>1</v>
          </cell>
          <cell r="I165">
            <v>92093</v>
          </cell>
          <cell r="J165" t="str">
            <v>001</v>
          </cell>
          <cell r="K165" t="str">
            <v>91</v>
          </cell>
          <cell r="L165" t="str">
            <v>081201</v>
          </cell>
          <cell r="M165">
            <v>3</v>
          </cell>
          <cell r="P165" t="str">
            <v/>
          </cell>
          <cell r="Q165">
            <v>0</v>
          </cell>
          <cell r="R165">
            <v>679</v>
          </cell>
          <cell r="AA165">
            <v>92159</v>
          </cell>
          <cell r="AB165">
            <v>431.53</v>
          </cell>
        </row>
        <row r="166">
          <cell r="H166">
            <v>1</v>
          </cell>
          <cell r="I166">
            <v>92105</v>
          </cell>
          <cell r="J166" t="str">
            <v>001</v>
          </cell>
          <cell r="K166" t="str">
            <v>91</v>
          </cell>
          <cell r="L166" t="str">
            <v>081201</v>
          </cell>
          <cell r="M166">
            <v>3</v>
          </cell>
          <cell r="P166" t="str">
            <v/>
          </cell>
          <cell r="Q166">
            <v>0</v>
          </cell>
          <cell r="R166">
            <v>679</v>
          </cell>
          <cell r="AA166">
            <v>92166</v>
          </cell>
          <cell r="AB166">
            <v>1894.16</v>
          </cell>
        </row>
        <row r="167">
          <cell r="H167">
            <v>1</v>
          </cell>
          <cell r="I167">
            <v>92109</v>
          </cell>
          <cell r="J167" t="str">
            <v>001</v>
          </cell>
          <cell r="K167" t="str">
            <v>91</v>
          </cell>
          <cell r="L167" t="str">
            <v>081201</v>
          </cell>
          <cell r="M167">
            <v>3</v>
          </cell>
          <cell r="P167" t="str">
            <v/>
          </cell>
          <cell r="Q167">
            <v>0</v>
          </cell>
          <cell r="R167">
            <v>679</v>
          </cell>
          <cell r="AA167">
            <v>92167</v>
          </cell>
          <cell r="AB167">
            <v>12281.94</v>
          </cell>
        </row>
        <row r="168">
          <cell r="H168">
            <v>1</v>
          </cell>
          <cell r="I168">
            <v>92133</v>
          </cell>
          <cell r="J168" t="str">
            <v>001</v>
          </cell>
          <cell r="K168" t="str">
            <v>91</v>
          </cell>
          <cell r="L168" t="str">
            <v>081201</v>
          </cell>
          <cell r="M168">
            <v>3</v>
          </cell>
          <cell r="P168" t="str">
            <v/>
          </cell>
          <cell r="Q168">
            <v>0</v>
          </cell>
          <cell r="R168">
            <v>679</v>
          </cell>
          <cell r="AA168">
            <v>92169</v>
          </cell>
          <cell r="AB168">
            <v>2881.2</v>
          </cell>
        </row>
        <row r="169">
          <cell r="H169">
            <v>1</v>
          </cell>
          <cell r="I169">
            <v>92140</v>
          </cell>
          <cell r="J169" t="str">
            <v>001</v>
          </cell>
          <cell r="K169" t="str">
            <v>91</v>
          </cell>
          <cell r="L169" t="str">
            <v>081201</v>
          </cell>
          <cell r="M169">
            <v>3</v>
          </cell>
          <cell r="P169" t="str">
            <v/>
          </cell>
          <cell r="Q169">
            <v>0</v>
          </cell>
          <cell r="R169">
            <v>679</v>
          </cell>
          <cell r="AA169">
            <v>92172</v>
          </cell>
          <cell r="AB169">
            <v>39455.5</v>
          </cell>
        </row>
        <row r="170">
          <cell r="H170">
            <v>1</v>
          </cell>
          <cell r="I170">
            <v>92158</v>
          </cell>
          <cell r="J170" t="str">
            <v>001</v>
          </cell>
          <cell r="K170" t="str">
            <v>91</v>
          </cell>
          <cell r="L170" t="str">
            <v>081201</v>
          </cell>
          <cell r="M170">
            <v>3</v>
          </cell>
          <cell r="P170" t="str">
            <v/>
          </cell>
          <cell r="Q170">
            <v>0</v>
          </cell>
          <cell r="R170">
            <v>679</v>
          </cell>
          <cell r="AA170">
            <v>92174</v>
          </cell>
          <cell r="AB170">
            <v>30997.57</v>
          </cell>
        </row>
        <row r="171">
          <cell r="H171">
            <v>1</v>
          </cell>
          <cell r="I171">
            <v>92166</v>
          </cell>
          <cell r="J171" t="str">
            <v>001</v>
          </cell>
          <cell r="K171" t="str">
            <v>91</v>
          </cell>
          <cell r="L171" t="str">
            <v>081201</v>
          </cell>
          <cell r="M171">
            <v>3</v>
          </cell>
          <cell r="P171" t="str">
            <v/>
          </cell>
          <cell r="Q171">
            <v>0</v>
          </cell>
          <cell r="R171">
            <v>679</v>
          </cell>
          <cell r="AA171">
            <v>92199</v>
          </cell>
          <cell r="AB171">
            <v>11121.76</v>
          </cell>
        </row>
        <row r="172">
          <cell r="H172">
            <v>1</v>
          </cell>
          <cell r="I172">
            <v>92169</v>
          </cell>
          <cell r="J172" t="str">
            <v>001</v>
          </cell>
          <cell r="K172" t="str">
            <v>91</v>
          </cell>
          <cell r="L172" t="str">
            <v>081201</v>
          </cell>
          <cell r="M172">
            <v>3</v>
          </cell>
          <cell r="P172" t="str">
            <v/>
          </cell>
          <cell r="Q172">
            <v>0</v>
          </cell>
          <cell r="R172">
            <v>679</v>
          </cell>
          <cell r="AA172">
            <v>92219</v>
          </cell>
          <cell r="AB172">
            <v>4695.6000000000004</v>
          </cell>
        </row>
        <row r="173">
          <cell r="H173">
            <v>1</v>
          </cell>
          <cell r="I173">
            <v>92174</v>
          </cell>
          <cell r="J173" t="str">
            <v>001</v>
          </cell>
          <cell r="K173" t="str">
            <v>91</v>
          </cell>
          <cell r="L173" t="str">
            <v>081201</v>
          </cell>
          <cell r="M173">
            <v>3</v>
          </cell>
          <cell r="P173" t="str">
            <v/>
          </cell>
          <cell r="Q173">
            <v>0</v>
          </cell>
          <cell r="R173">
            <v>679</v>
          </cell>
          <cell r="AA173">
            <v>92221</v>
          </cell>
          <cell r="AB173">
            <v>6877.17</v>
          </cell>
        </row>
        <row r="174">
          <cell r="H174">
            <v>1</v>
          </cell>
          <cell r="I174">
            <v>92219</v>
          </cell>
          <cell r="J174" t="str">
            <v>001</v>
          </cell>
          <cell r="K174" t="str">
            <v>91</v>
          </cell>
          <cell r="L174" t="str">
            <v>081201</v>
          </cell>
          <cell r="M174">
            <v>3</v>
          </cell>
          <cell r="P174" t="str">
            <v/>
          </cell>
          <cell r="Q174">
            <v>0</v>
          </cell>
          <cell r="R174">
            <v>679</v>
          </cell>
          <cell r="AA174">
            <v>92233</v>
          </cell>
          <cell r="AB174">
            <v>15524.75</v>
          </cell>
        </row>
        <row r="175">
          <cell r="H175">
            <v>1</v>
          </cell>
          <cell r="I175">
            <v>92233</v>
          </cell>
          <cell r="J175" t="str">
            <v>001</v>
          </cell>
          <cell r="K175" t="str">
            <v>91</v>
          </cell>
          <cell r="L175" t="str">
            <v>081201</v>
          </cell>
          <cell r="M175">
            <v>3</v>
          </cell>
          <cell r="P175" t="str">
            <v/>
          </cell>
          <cell r="Q175">
            <v>0</v>
          </cell>
          <cell r="R175">
            <v>679</v>
          </cell>
          <cell r="AA175">
            <v>92235</v>
          </cell>
          <cell r="AB175">
            <v>62844.78</v>
          </cell>
        </row>
        <row r="176">
          <cell r="I176" t="str">
            <v>TOTAL.............................................................</v>
          </cell>
          <cell r="P176">
            <v>0</v>
          </cell>
          <cell r="Q176">
            <v>0</v>
          </cell>
          <cell r="V176">
            <v>0</v>
          </cell>
          <cell r="AA176">
            <v>92240</v>
          </cell>
          <cell r="AB176">
            <v>39929.599999999999</v>
          </cell>
        </row>
        <row r="177">
          <cell r="AA177">
            <v>92243</v>
          </cell>
          <cell r="AB177">
            <v>544829.17000000004</v>
          </cell>
        </row>
        <row r="178">
          <cell r="AA178">
            <v>92249</v>
          </cell>
          <cell r="AB178">
            <v>36312.14</v>
          </cell>
        </row>
        <row r="179">
          <cell r="AA179">
            <v>92251</v>
          </cell>
          <cell r="AB179">
            <v>52139.03</v>
          </cell>
        </row>
        <row r="180">
          <cell r="M180" t="str">
            <v>PREPARADO POR:</v>
          </cell>
          <cell r="P180" t="str">
            <v>Vera Lucia</v>
          </cell>
          <cell r="S180" t="str">
            <v>FOLHA Nº</v>
          </cell>
          <cell r="T180">
            <v>5</v>
          </cell>
          <cell r="AA180">
            <v>92252</v>
          </cell>
          <cell r="AB180">
            <v>1922.87</v>
          </cell>
        </row>
        <row r="181">
          <cell r="AA181">
            <v>92253</v>
          </cell>
          <cell r="AB181">
            <v>49067.34</v>
          </cell>
        </row>
        <row r="182">
          <cell r="AA182">
            <v>92255</v>
          </cell>
          <cell r="AB182">
            <v>17261.099999999999</v>
          </cell>
        </row>
        <row r="183">
          <cell r="AA183">
            <v>92263</v>
          </cell>
          <cell r="AB183">
            <v>3966.4</v>
          </cell>
        </row>
        <row r="184">
          <cell r="M184" t="str">
            <v>FICHA DE LANÇAMENTO CONTÁBIL</v>
          </cell>
          <cell r="AA184">
            <v>92271</v>
          </cell>
          <cell r="AB184">
            <v>16518.88</v>
          </cell>
        </row>
        <row r="185">
          <cell r="AA185">
            <v>92272</v>
          </cell>
          <cell r="AB185">
            <v>40865.360000000001</v>
          </cell>
        </row>
        <row r="186">
          <cell r="AA186">
            <v>92274</v>
          </cell>
          <cell r="AB186">
            <v>2748.98</v>
          </cell>
        </row>
        <row r="187">
          <cell r="AA187">
            <v>92278</v>
          </cell>
          <cell r="AB187">
            <v>58890.45</v>
          </cell>
        </row>
        <row r="188">
          <cell r="H188" t="str">
            <v xml:space="preserve">DESCRIÇÃO </v>
          </cell>
          <cell r="Q188" t="str">
            <v>Nº</v>
          </cell>
          <cell r="R188" t="str">
            <v>LC</v>
          </cell>
          <cell r="S188" t="str">
            <v>EMP.</v>
          </cell>
          <cell r="T188" t="str">
            <v>DATA DO</v>
          </cell>
          <cell r="AA188">
            <v>92280</v>
          </cell>
          <cell r="AB188">
            <v>15882.05</v>
          </cell>
        </row>
        <row r="189">
          <cell r="H189" t="str">
            <v>APROPRIAÇÃO DE FATURAS E DESPESAS DE IMPORTAÇÃO - MATERIAL PRODUTIVO</v>
          </cell>
          <cell r="Q189" t="str">
            <v>VOUCHER</v>
          </cell>
          <cell r="R189" t="str">
            <v>EMIT.</v>
          </cell>
          <cell r="S189" t="str">
            <v>EMIT.</v>
          </cell>
          <cell r="T189" t="str">
            <v>LÇTO</v>
          </cell>
          <cell r="AA189">
            <v>92281</v>
          </cell>
          <cell r="AB189">
            <v>9889.2000000000007</v>
          </cell>
        </row>
        <row r="190">
          <cell r="Q190" t="str">
            <v>13/0041</v>
          </cell>
          <cell r="R190" t="str">
            <v>91</v>
          </cell>
          <cell r="S190" t="str">
            <v>01</v>
          </cell>
          <cell r="T190">
            <v>36219</v>
          </cell>
          <cell r="AA190">
            <v>92282</v>
          </cell>
          <cell r="AB190">
            <v>18196.560000000001</v>
          </cell>
        </row>
        <row r="191">
          <cell r="H191" t="str">
            <v xml:space="preserve"> </v>
          </cell>
          <cell r="AA191">
            <v>92284</v>
          </cell>
          <cell r="AB191">
            <v>34009.040000000001</v>
          </cell>
        </row>
        <row r="192">
          <cell r="H192" t="str">
            <v>Nº DE</v>
          </cell>
          <cell r="I192" t="str">
            <v>CORRENTISTA</v>
          </cell>
          <cell r="K192" t="str">
            <v>LOCAL</v>
          </cell>
          <cell r="L192" t="str">
            <v xml:space="preserve">CONTA </v>
          </cell>
          <cell r="N192" t="str">
            <v>COD</v>
          </cell>
          <cell r="O192" t="str">
            <v>Nº DE</v>
          </cell>
          <cell r="P192" t="str">
            <v>VALOR</v>
          </cell>
          <cell r="R192" t="str">
            <v>COD.</v>
          </cell>
          <cell r="S192" t="str">
            <v>COMPLEMENTO</v>
          </cell>
          <cell r="AA192">
            <v>92285</v>
          </cell>
          <cell r="AB192">
            <v>21849.82</v>
          </cell>
        </row>
        <row r="193">
          <cell r="H193" t="str">
            <v>LÇTO.</v>
          </cell>
          <cell r="I193" t="str">
            <v>CÓDIGO</v>
          </cell>
          <cell r="K193" t="str">
            <v>CONT.</v>
          </cell>
          <cell r="L193" t="str">
            <v>C/CUSTO</v>
          </cell>
          <cell r="M193" t="str">
            <v>DV</v>
          </cell>
          <cell r="N193" t="str">
            <v>DESP/BCO</v>
          </cell>
          <cell r="O193" t="str">
            <v>ORDEM</v>
          </cell>
          <cell r="P193" t="str">
            <v>DÉBITO</v>
          </cell>
          <cell r="Q193" t="str">
            <v>CRÉDITO</v>
          </cell>
          <cell r="R193" t="str">
            <v>HIST</v>
          </cell>
          <cell r="S193" t="str">
            <v>HISTÓRICO</v>
          </cell>
          <cell r="AA193">
            <v>92287</v>
          </cell>
          <cell r="AB193">
            <v>90043.37</v>
          </cell>
        </row>
        <row r="194">
          <cell r="H194" t="str">
            <v>DE TRANSPORTE ................................................................................................</v>
          </cell>
          <cell r="P194">
            <v>0</v>
          </cell>
          <cell r="Q194">
            <v>0</v>
          </cell>
          <cell r="AA194">
            <v>92293</v>
          </cell>
          <cell r="AB194">
            <v>88218.25</v>
          </cell>
        </row>
        <row r="195">
          <cell r="H195">
            <v>1</v>
          </cell>
          <cell r="I195">
            <v>92240</v>
          </cell>
          <cell r="J195" t="str">
            <v>001</v>
          </cell>
          <cell r="K195" t="str">
            <v>91</v>
          </cell>
          <cell r="L195" t="str">
            <v>081201</v>
          </cell>
          <cell r="M195">
            <v>3</v>
          </cell>
          <cell r="P195" t="str">
            <v/>
          </cell>
          <cell r="Q195">
            <v>0</v>
          </cell>
          <cell r="R195">
            <v>679</v>
          </cell>
          <cell r="AA195">
            <v>92294</v>
          </cell>
          <cell r="AB195">
            <v>21312.400000000001</v>
          </cell>
        </row>
        <row r="196">
          <cell r="H196">
            <v>1</v>
          </cell>
          <cell r="I196">
            <v>92249</v>
          </cell>
          <cell r="J196" t="str">
            <v>001</v>
          </cell>
          <cell r="K196" t="str">
            <v>91</v>
          </cell>
          <cell r="L196" t="str">
            <v>081201</v>
          </cell>
          <cell r="M196">
            <v>3</v>
          </cell>
          <cell r="P196" t="str">
            <v/>
          </cell>
          <cell r="Q196">
            <v>0</v>
          </cell>
          <cell r="R196">
            <v>679</v>
          </cell>
          <cell r="AA196">
            <v>92300</v>
          </cell>
          <cell r="AB196">
            <v>2184.59</v>
          </cell>
        </row>
        <row r="197">
          <cell r="H197">
            <v>1</v>
          </cell>
          <cell r="I197">
            <v>92252</v>
          </cell>
          <cell r="J197" t="str">
            <v>001</v>
          </cell>
          <cell r="K197" t="str">
            <v>91</v>
          </cell>
          <cell r="L197" t="str">
            <v>081201</v>
          </cell>
          <cell r="M197">
            <v>3</v>
          </cell>
          <cell r="P197" t="str">
            <v/>
          </cell>
          <cell r="Q197">
            <v>0</v>
          </cell>
          <cell r="R197">
            <v>679</v>
          </cell>
          <cell r="AA197">
            <v>92302</v>
          </cell>
          <cell r="AB197">
            <v>966.23</v>
          </cell>
        </row>
        <row r="198">
          <cell r="H198">
            <v>1</v>
          </cell>
          <cell r="I198">
            <v>92255</v>
          </cell>
          <cell r="J198" t="str">
            <v>001</v>
          </cell>
          <cell r="K198" t="str">
            <v>91</v>
          </cell>
          <cell r="L198" t="str">
            <v>081201</v>
          </cell>
          <cell r="M198">
            <v>3</v>
          </cell>
          <cell r="P198" t="str">
            <v/>
          </cell>
          <cell r="Q198">
            <v>0</v>
          </cell>
          <cell r="R198">
            <v>679</v>
          </cell>
          <cell r="AA198">
            <v>92303</v>
          </cell>
          <cell r="AB198">
            <v>17320.04</v>
          </cell>
        </row>
        <row r="199">
          <cell r="H199">
            <v>1</v>
          </cell>
          <cell r="I199">
            <v>92271</v>
          </cell>
          <cell r="J199" t="str">
            <v>001</v>
          </cell>
          <cell r="K199" t="str">
            <v>91</v>
          </cell>
          <cell r="L199" t="str">
            <v>081201</v>
          </cell>
          <cell r="M199">
            <v>3</v>
          </cell>
          <cell r="P199" t="str">
            <v/>
          </cell>
          <cell r="Q199">
            <v>0</v>
          </cell>
          <cell r="R199">
            <v>679</v>
          </cell>
          <cell r="AA199">
            <v>92304</v>
          </cell>
          <cell r="AB199">
            <v>23171.67</v>
          </cell>
        </row>
        <row r="200">
          <cell r="H200">
            <v>1</v>
          </cell>
          <cell r="I200">
            <v>92274</v>
          </cell>
          <cell r="J200" t="str">
            <v>001</v>
          </cell>
          <cell r="K200" t="str">
            <v>91</v>
          </cell>
          <cell r="L200" t="str">
            <v>081201</v>
          </cell>
          <cell r="M200">
            <v>3</v>
          </cell>
          <cell r="P200" t="str">
            <v/>
          </cell>
          <cell r="Q200">
            <v>0</v>
          </cell>
          <cell r="R200">
            <v>679</v>
          </cell>
          <cell r="AA200">
            <v>92306</v>
          </cell>
          <cell r="AB200">
            <v>1794.06</v>
          </cell>
        </row>
        <row r="201">
          <cell r="H201">
            <v>1</v>
          </cell>
          <cell r="I201">
            <v>92280</v>
          </cell>
          <cell r="J201" t="str">
            <v>001</v>
          </cell>
          <cell r="K201" t="str">
            <v>91</v>
          </cell>
          <cell r="L201" t="str">
            <v>081201</v>
          </cell>
          <cell r="M201">
            <v>3</v>
          </cell>
          <cell r="P201" t="str">
            <v/>
          </cell>
          <cell r="Q201">
            <v>0</v>
          </cell>
          <cell r="R201">
            <v>679</v>
          </cell>
          <cell r="AA201">
            <v>92309</v>
          </cell>
          <cell r="AB201">
            <v>1387.41</v>
          </cell>
        </row>
        <row r="202">
          <cell r="H202">
            <v>1</v>
          </cell>
          <cell r="I202">
            <v>92282</v>
          </cell>
          <cell r="J202" t="str">
            <v>001</v>
          </cell>
          <cell r="K202" t="str">
            <v>91</v>
          </cell>
          <cell r="L202" t="str">
            <v>081201</v>
          </cell>
          <cell r="M202">
            <v>3</v>
          </cell>
          <cell r="P202" t="str">
            <v/>
          </cell>
          <cell r="Q202">
            <v>0</v>
          </cell>
          <cell r="R202">
            <v>679</v>
          </cell>
          <cell r="AA202">
            <v>92313</v>
          </cell>
          <cell r="AB202">
            <v>5531.73</v>
          </cell>
        </row>
        <row r="203">
          <cell r="H203">
            <v>1</v>
          </cell>
          <cell r="I203">
            <v>92285</v>
          </cell>
          <cell r="J203" t="str">
            <v>001</v>
          </cell>
          <cell r="K203" t="str">
            <v>91</v>
          </cell>
          <cell r="L203" t="str">
            <v>081201</v>
          </cell>
          <cell r="M203">
            <v>3</v>
          </cell>
          <cell r="P203" t="str">
            <v/>
          </cell>
          <cell r="Q203">
            <v>0</v>
          </cell>
          <cell r="R203">
            <v>679</v>
          </cell>
          <cell r="AA203">
            <v>92315</v>
          </cell>
          <cell r="AB203">
            <v>162024</v>
          </cell>
        </row>
        <row r="204">
          <cell r="H204">
            <v>1</v>
          </cell>
          <cell r="I204">
            <v>92293</v>
          </cell>
          <cell r="J204" t="str">
            <v>001</v>
          </cell>
          <cell r="K204" t="str">
            <v>91</v>
          </cell>
          <cell r="L204" t="str">
            <v>081201</v>
          </cell>
          <cell r="M204">
            <v>3</v>
          </cell>
          <cell r="P204" t="str">
            <v/>
          </cell>
          <cell r="Q204">
            <v>0</v>
          </cell>
          <cell r="R204">
            <v>679</v>
          </cell>
          <cell r="AA204">
            <v>92316</v>
          </cell>
          <cell r="AB204">
            <v>96677.66</v>
          </cell>
        </row>
        <row r="205">
          <cell r="H205">
            <v>1</v>
          </cell>
          <cell r="I205">
            <v>92300</v>
          </cell>
          <cell r="J205" t="str">
            <v>001</v>
          </cell>
          <cell r="K205" t="str">
            <v>91</v>
          </cell>
          <cell r="L205" t="str">
            <v>081201</v>
          </cell>
          <cell r="M205">
            <v>3</v>
          </cell>
          <cell r="P205" t="str">
            <v/>
          </cell>
          <cell r="Q205">
            <v>0</v>
          </cell>
          <cell r="R205">
            <v>679</v>
          </cell>
          <cell r="AA205">
            <v>92329</v>
          </cell>
          <cell r="AB205">
            <v>9263.4599999999991</v>
          </cell>
        </row>
        <row r="206">
          <cell r="H206">
            <v>1</v>
          </cell>
          <cell r="I206">
            <v>92303</v>
          </cell>
          <cell r="J206" t="str">
            <v>001</v>
          </cell>
          <cell r="K206" t="str">
            <v>91</v>
          </cell>
          <cell r="L206" t="str">
            <v>081201</v>
          </cell>
          <cell r="M206">
            <v>3</v>
          </cell>
          <cell r="P206" t="str">
            <v/>
          </cell>
          <cell r="Q206">
            <v>0</v>
          </cell>
          <cell r="R206">
            <v>679</v>
          </cell>
          <cell r="AA206">
            <v>92330</v>
          </cell>
          <cell r="AB206">
            <v>30230.17</v>
          </cell>
        </row>
        <row r="207">
          <cell r="H207">
            <v>1</v>
          </cell>
          <cell r="I207">
            <v>92306</v>
          </cell>
          <cell r="J207" t="str">
            <v>001</v>
          </cell>
          <cell r="K207" t="str">
            <v>91</v>
          </cell>
          <cell r="L207" t="str">
            <v>081201</v>
          </cell>
          <cell r="M207">
            <v>3</v>
          </cell>
          <cell r="P207" t="str">
            <v/>
          </cell>
          <cell r="Q207">
            <v>0</v>
          </cell>
          <cell r="R207">
            <v>679</v>
          </cell>
          <cell r="AA207">
            <v>92333</v>
          </cell>
          <cell r="AB207">
            <v>1627.15</v>
          </cell>
        </row>
        <row r="208">
          <cell r="H208">
            <v>1</v>
          </cell>
          <cell r="I208">
            <v>92313</v>
          </cell>
          <cell r="J208" t="str">
            <v>001</v>
          </cell>
          <cell r="K208" t="str">
            <v>91</v>
          </cell>
          <cell r="L208" t="str">
            <v>081201</v>
          </cell>
          <cell r="M208">
            <v>3</v>
          </cell>
          <cell r="P208" t="str">
            <v/>
          </cell>
          <cell r="Q208">
            <v>0</v>
          </cell>
          <cell r="R208">
            <v>679</v>
          </cell>
          <cell r="AA208">
            <v>92334</v>
          </cell>
          <cell r="AB208">
            <v>11527.02</v>
          </cell>
        </row>
        <row r="209">
          <cell r="H209">
            <v>1</v>
          </cell>
          <cell r="I209">
            <v>92316</v>
          </cell>
          <cell r="J209" t="str">
            <v>001</v>
          </cell>
          <cell r="K209" t="str">
            <v>91</v>
          </cell>
          <cell r="L209" t="str">
            <v>081201</v>
          </cell>
          <cell r="M209">
            <v>3</v>
          </cell>
          <cell r="P209" t="str">
            <v/>
          </cell>
          <cell r="Q209">
            <v>0</v>
          </cell>
          <cell r="R209">
            <v>679</v>
          </cell>
          <cell r="AA209">
            <v>92336</v>
          </cell>
          <cell r="AB209">
            <v>1640.72</v>
          </cell>
        </row>
        <row r="210">
          <cell r="H210">
            <v>1</v>
          </cell>
          <cell r="I210">
            <v>92330</v>
          </cell>
          <cell r="J210" t="str">
            <v>001</v>
          </cell>
          <cell r="K210" t="str">
            <v>91</v>
          </cell>
          <cell r="L210" t="str">
            <v>081201</v>
          </cell>
          <cell r="M210">
            <v>3</v>
          </cell>
          <cell r="P210" t="str">
            <v/>
          </cell>
          <cell r="Q210">
            <v>0</v>
          </cell>
          <cell r="R210">
            <v>679</v>
          </cell>
          <cell r="AA210">
            <v>92339</v>
          </cell>
          <cell r="AB210">
            <v>26578.35</v>
          </cell>
        </row>
        <row r="211">
          <cell r="H211">
            <v>1</v>
          </cell>
          <cell r="I211">
            <v>92334</v>
          </cell>
          <cell r="J211" t="str">
            <v>001</v>
          </cell>
          <cell r="K211" t="str">
            <v>91</v>
          </cell>
          <cell r="L211" t="str">
            <v>081201</v>
          </cell>
          <cell r="M211">
            <v>3</v>
          </cell>
          <cell r="P211" t="str">
            <v/>
          </cell>
          <cell r="Q211">
            <v>0</v>
          </cell>
          <cell r="R211">
            <v>679</v>
          </cell>
          <cell r="AA211">
            <v>92343</v>
          </cell>
          <cell r="AB211">
            <v>27145.34</v>
          </cell>
        </row>
        <row r="212">
          <cell r="I212" t="str">
            <v>TOTAL.............................................................</v>
          </cell>
          <cell r="P212">
            <v>0</v>
          </cell>
          <cell r="Q212">
            <v>0</v>
          </cell>
          <cell r="V212">
            <v>0</v>
          </cell>
          <cell r="AA212">
            <v>92344</v>
          </cell>
          <cell r="AB212">
            <v>6470.53</v>
          </cell>
        </row>
        <row r="213">
          <cell r="AA213">
            <v>92347</v>
          </cell>
          <cell r="AB213">
            <v>95647.56</v>
          </cell>
        </row>
        <row r="214">
          <cell r="AA214">
            <v>92350</v>
          </cell>
          <cell r="AB214">
            <v>784.18</v>
          </cell>
        </row>
        <row r="215">
          <cell r="AA215">
            <v>92357</v>
          </cell>
          <cell r="AB215">
            <v>10420.07</v>
          </cell>
        </row>
        <row r="216">
          <cell r="M216" t="str">
            <v>PREPARADO POR:</v>
          </cell>
          <cell r="P216" t="str">
            <v>Vera Lucia</v>
          </cell>
          <cell r="S216" t="str">
            <v>FOLHA Nº</v>
          </cell>
          <cell r="T216">
            <v>6</v>
          </cell>
          <cell r="AA216">
            <v>92358</v>
          </cell>
          <cell r="AB216">
            <v>148741.32999999999</v>
          </cell>
        </row>
        <row r="217">
          <cell r="AA217">
            <v>92360</v>
          </cell>
          <cell r="AB217">
            <v>12314.15</v>
          </cell>
        </row>
        <row r="218">
          <cell r="AA218">
            <v>92365</v>
          </cell>
          <cell r="AB218">
            <v>10222.469999999999</v>
          </cell>
        </row>
        <row r="219">
          <cell r="AA219">
            <v>92370</v>
          </cell>
          <cell r="AB219">
            <v>56401.17</v>
          </cell>
        </row>
        <row r="220">
          <cell r="M220" t="str">
            <v>FICHA DE LANÇAMENTO CONTÁBIL</v>
          </cell>
          <cell r="AA220">
            <v>92371</v>
          </cell>
          <cell r="AB220">
            <v>6097.92</v>
          </cell>
        </row>
        <row r="221">
          <cell r="AA221">
            <v>92373</v>
          </cell>
          <cell r="AB221">
            <v>1425.55</v>
          </cell>
        </row>
        <row r="222">
          <cell r="AA222">
            <v>92375</v>
          </cell>
          <cell r="AB222">
            <v>167240.01999999999</v>
          </cell>
        </row>
        <row r="223">
          <cell r="AA223">
            <v>92376</v>
          </cell>
          <cell r="AB223">
            <v>113464.6</v>
          </cell>
        </row>
        <row r="224">
          <cell r="H224" t="str">
            <v xml:space="preserve">DESCRIÇÃO </v>
          </cell>
          <cell r="Q224" t="str">
            <v>Nº</v>
          </cell>
          <cell r="R224" t="str">
            <v>LC</v>
          </cell>
          <cell r="S224" t="str">
            <v>EMP.</v>
          </cell>
          <cell r="T224" t="str">
            <v>DATA DO</v>
          </cell>
          <cell r="AA224">
            <v>92386</v>
          </cell>
          <cell r="AB224">
            <v>156129.59</v>
          </cell>
        </row>
        <row r="225">
          <cell r="H225" t="str">
            <v>APROPRIAÇÃO DE FATURAS E DESPESAS DE IMPORTAÇÃO - MATERIAL PRODUTIVO</v>
          </cell>
          <cell r="Q225" t="str">
            <v>VOUCHER</v>
          </cell>
          <cell r="R225" t="str">
            <v>EMIT.</v>
          </cell>
          <cell r="S225" t="str">
            <v>EMIT.</v>
          </cell>
          <cell r="T225" t="str">
            <v>LÇTO</v>
          </cell>
          <cell r="AA225">
            <v>92416</v>
          </cell>
          <cell r="AB225">
            <v>921.9</v>
          </cell>
        </row>
        <row r="226">
          <cell r="Q226" t="str">
            <v>13/0041</v>
          </cell>
          <cell r="R226" t="str">
            <v>91</v>
          </cell>
          <cell r="S226" t="str">
            <v>01</v>
          </cell>
          <cell r="T226">
            <v>36219</v>
          </cell>
          <cell r="AA226">
            <v>92418</v>
          </cell>
          <cell r="AB226">
            <v>436215.1</v>
          </cell>
        </row>
        <row r="227">
          <cell r="H227" t="str">
            <v xml:space="preserve"> </v>
          </cell>
          <cell r="AA227">
            <v>93008</v>
          </cell>
          <cell r="AB227">
            <v>10275.01</v>
          </cell>
        </row>
        <row r="228">
          <cell r="H228" t="str">
            <v>Nº DE</v>
          </cell>
          <cell r="I228" t="str">
            <v>CORRENTISTA</v>
          </cell>
          <cell r="K228" t="str">
            <v>LOCAL</v>
          </cell>
          <cell r="L228" t="str">
            <v xml:space="preserve">CONTA </v>
          </cell>
          <cell r="N228" t="str">
            <v>COD</v>
          </cell>
          <cell r="O228" t="str">
            <v>Nº DE</v>
          </cell>
          <cell r="P228" t="str">
            <v>VALOR</v>
          </cell>
          <cell r="R228" t="str">
            <v>COD.</v>
          </cell>
          <cell r="S228" t="str">
            <v>COMPLEMENTO</v>
          </cell>
          <cell r="AA228">
            <v>93013</v>
          </cell>
          <cell r="AB228">
            <v>208.75</v>
          </cell>
        </row>
        <row r="229">
          <cell r="H229" t="str">
            <v>LÇTO.</v>
          </cell>
          <cell r="I229" t="str">
            <v>CÓDIGO</v>
          </cell>
          <cell r="K229" t="str">
            <v>CONT.</v>
          </cell>
          <cell r="L229" t="str">
            <v>C/CUSTO</v>
          </cell>
          <cell r="M229" t="str">
            <v>DV</v>
          </cell>
          <cell r="N229" t="str">
            <v>DESP/BCO</v>
          </cell>
          <cell r="O229" t="str">
            <v>ORDEM</v>
          </cell>
          <cell r="P229" t="str">
            <v>DÉBITO</v>
          </cell>
          <cell r="Q229" t="str">
            <v>CRÉDITO</v>
          </cell>
          <cell r="R229" t="str">
            <v>HIST</v>
          </cell>
          <cell r="S229" t="str">
            <v>HISTÓRICO</v>
          </cell>
          <cell r="AA229">
            <v>93023</v>
          </cell>
          <cell r="AB229">
            <v>12510.14</v>
          </cell>
        </row>
        <row r="230">
          <cell r="H230" t="str">
            <v>DE TRANSPORTE ................................................................................................</v>
          </cell>
          <cell r="P230">
            <v>0</v>
          </cell>
          <cell r="Q230">
            <v>0</v>
          </cell>
          <cell r="AA230">
            <v>93025</v>
          </cell>
          <cell r="AB230">
            <v>1055.53</v>
          </cell>
        </row>
        <row r="231">
          <cell r="H231">
            <v>1</v>
          </cell>
          <cell r="I231">
            <v>92339</v>
          </cell>
          <cell r="J231" t="str">
            <v>001</v>
          </cell>
          <cell r="K231" t="str">
            <v>91</v>
          </cell>
          <cell r="L231" t="str">
            <v>081201</v>
          </cell>
          <cell r="M231">
            <v>3</v>
          </cell>
          <cell r="P231" t="str">
            <v/>
          </cell>
          <cell r="Q231">
            <v>0</v>
          </cell>
          <cell r="R231">
            <v>679</v>
          </cell>
          <cell r="AA231">
            <v>93034</v>
          </cell>
          <cell r="AB231">
            <v>2355.65</v>
          </cell>
        </row>
        <row r="232">
          <cell r="H232">
            <v>1</v>
          </cell>
          <cell r="I232">
            <v>92344</v>
          </cell>
          <cell r="J232" t="str">
            <v>001</v>
          </cell>
          <cell r="K232" t="str">
            <v>91</v>
          </cell>
          <cell r="L232" t="str">
            <v>081201</v>
          </cell>
          <cell r="M232">
            <v>3</v>
          </cell>
          <cell r="P232" t="str">
            <v/>
          </cell>
          <cell r="Q232">
            <v>0</v>
          </cell>
          <cell r="R232">
            <v>679</v>
          </cell>
          <cell r="AA232">
            <v>93041</v>
          </cell>
          <cell r="AB232">
            <v>3537.54</v>
          </cell>
        </row>
        <row r="233">
          <cell r="H233">
            <v>1</v>
          </cell>
          <cell r="I233">
            <v>92350</v>
          </cell>
          <cell r="J233" t="str">
            <v>001</v>
          </cell>
          <cell r="K233" t="str">
            <v>91</v>
          </cell>
          <cell r="L233" t="str">
            <v>081201</v>
          </cell>
          <cell r="M233">
            <v>3</v>
          </cell>
          <cell r="P233" t="str">
            <v/>
          </cell>
          <cell r="Q233">
            <v>0</v>
          </cell>
          <cell r="R233">
            <v>679</v>
          </cell>
          <cell r="AA233">
            <v>93042</v>
          </cell>
          <cell r="AB233">
            <v>19536</v>
          </cell>
        </row>
        <row r="234">
          <cell r="H234">
            <v>1</v>
          </cell>
          <cell r="I234">
            <v>92358</v>
          </cell>
          <cell r="J234" t="str">
            <v>001</v>
          </cell>
          <cell r="K234" t="str">
            <v>91</v>
          </cell>
          <cell r="L234" t="str">
            <v>081201</v>
          </cell>
          <cell r="M234">
            <v>3</v>
          </cell>
          <cell r="P234" t="str">
            <v/>
          </cell>
          <cell r="Q234">
            <v>0</v>
          </cell>
          <cell r="R234">
            <v>679</v>
          </cell>
          <cell r="AA234" t="str">
            <v>(blank)</v>
          </cell>
        </row>
        <row r="235">
          <cell r="H235">
            <v>1</v>
          </cell>
          <cell r="I235">
            <v>92365</v>
          </cell>
          <cell r="J235" t="str">
            <v>001</v>
          </cell>
          <cell r="K235" t="str">
            <v>91</v>
          </cell>
          <cell r="L235" t="str">
            <v>081201</v>
          </cell>
          <cell r="M235">
            <v>3</v>
          </cell>
          <cell r="P235" t="str">
            <v/>
          </cell>
          <cell r="Q235">
            <v>0</v>
          </cell>
          <cell r="R235">
            <v>679</v>
          </cell>
        </row>
        <row r="236">
          <cell r="H236">
            <v>1</v>
          </cell>
          <cell r="I236">
            <v>92371</v>
          </cell>
          <cell r="J236" t="str">
            <v>001</v>
          </cell>
          <cell r="K236" t="str">
            <v>91</v>
          </cell>
          <cell r="L236" t="str">
            <v>081201</v>
          </cell>
          <cell r="M236">
            <v>3</v>
          </cell>
          <cell r="P236" t="str">
            <v/>
          </cell>
          <cell r="Q236">
            <v>0</v>
          </cell>
          <cell r="R236">
            <v>679</v>
          </cell>
        </row>
        <row r="237">
          <cell r="H237">
            <v>1</v>
          </cell>
          <cell r="I237">
            <v>92375</v>
          </cell>
          <cell r="J237" t="str">
            <v>001</v>
          </cell>
          <cell r="K237" t="str">
            <v>91</v>
          </cell>
          <cell r="L237" t="str">
            <v>081201</v>
          </cell>
          <cell r="M237">
            <v>3</v>
          </cell>
          <cell r="P237" t="str">
            <v/>
          </cell>
          <cell r="Q237">
            <v>0</v>
          </cell>
          <cell r="R237">
            <v>679</v>
          </cell>
        </row>
        <row r="238">
          <cell r="H238">
            <v>1</v>
          </cell>
          <cell r="I238">
            <v>92386</v>
          </cell>
          <cell r="J238" t="str">
            <v>001</v>
          </cell>
          <cell r="K238" t="str">
            <v>91</v>
          </cell>
          <cell r="L238" t="str">
            <v>081201</v>
          </cell>
          <cell r="M238">
            <v>3</v>
          </cell>
          <cell r="P238" t="str">
            <v/>
          </cell>
          <cell r="Q238">
            <v>0</v>
          </cell>
          <cell r="R238">
            <v>679</v>
          </cell>
        </row>
        <row r="239">
          <cell r="H239">
            <v>1</v>
          </cell>
          <cell r="I239">
            <v>92418</v>
          </cell>
          <cell r="J239" t="str">
            <v>001</v>
          </cell>
          <cell r="K239" t="str">
            <v>91</v>
          </cell>
          <cell r="L239" t="str">
            <v>081201</v>
          </cell>
          <cell r="M239">
            <v>3</v>
          </cell>
          <cell r="P239" t="str">
            <v/>
          </cell>
          <cell r="Q239">
            <v>0</v>
          </cell>
          <cell r="R239">
            <v>679</v>
          </cell>
        </row>
        <row r="240">
          <cell r="H240">
            <v>1</v>
          </cell>
          <cell r="I240">
            <v>93013</v>
          </cell>
          <cell r="J240" t="str">
            <v>001</v>
          </cell>
          <cell r="K240" t="str">
            <v>91</v>
          </cell>
          <cell r="L240" t="str">
            <v>081201</v>
          </cell>
          <cell r="M240">
            <v>3</v>
          </cell>
          <cell r="P240" t="str">
            <v/>
          </cell>
          <cell r="Q240">
            <v>0</v>
          </cell>
          <cell r="R240">
            <v>679</v>
          </cell>
        </row>
        <row r="241">
          <cell r="H241">
            <v>1</v>
          </cell>
          <cell r="I241">
            <v>93025</v>
          </cell>
          <cell r="J241" t="str">
            <v>001</v>
          </cell>
          <cell r="K241" t="str">
            <v>91</v>
          </cell>
          <cell r="L241" t="str">
            <v>081201</v>
          </cell>
          <cell r="M241">
            <v>3</v>
          </cell>
          <cell r="P241" t="str">
            <v/>
          </cell>
          <cell r="Q241">
            <v>0</v>
          </cell>
          <cell r="R241">
            <v>679</v>
          </cell>
        </row>
        <row r="242">
          <cell r="H242">
            <v>1</v>
          </cell>
          <cell r="I242">
            <v>93041</v>
          </cell>
          <cell r="J242" t="str">
            <v>001</v>
          </cell>
          <cell r="K242" t="str">
            <v>91</v>
          </cell>
          <cell r="L242" t="str">
            <v>081201</v>
          </cell>
          <cell r="M242">
            <v>3</v>
          </cell>
          <cell r="P242" t="str">
            <v/>
          </cell>
          <cell r="Q242">
            <v>0</v>
          </cell>
          <cell r="R242">
            <v>679</v>
          </cell>
        </row>
        <row r="243">
          <cell r="H243">
            <v>1</v>
          </cell>
          <cell r="I243" t="str">
            <v/>
          </cell>
          <cell r="J243" t="str">
            <v/>
          </cell>
          <cell r="K243" t="str">
            <v>91</v>
          </cell>
          <cell r="L243" t="str">
            <v>094100</v>
          </cell>
          <cell r="M243">
            <v>1</v>
          </cell>
          <cell r="P243" t="str">
            <v/>
          </cell>
          <cell r="Q243">
            <v>0</v>
          </cell>
          <cell r="R243">
            <v>677</v>
          </cell>
        </row>
        <row r="244">
          <cell r="H244">
            <v>1</v>
          </cell>
          <cell r="I244" t="str">
            <v/>
          </cell>
          <cell r="J244" t="str">
            <v/>
          </cell>
          <cell r="K244" t="str">
            <v>91</v>
          </cell>
          <cell r="L244" t="str">
            <v>130029</v>
          </cell>
          <cell r="M244">
            <v>6</v>
          </cell>
          <cell r="P244">
            <v>0</v>
          </cell>
          <cell r="Q244" t="str">
            <v/>
          </cell>
          <cell r="R244">
            <v>590</v>
          </cell>
        </row>
        <row r="245">
          <cell r="H245" t="str">
            <v/>
          </cell>
          <cell r="I245" t="str">
            <v/>
          </cell>
          <cell r="J245" t="str">
            <v/>
          </cell>
          <cell r="K245" t="str">
            <v>91</v>
          </cell>
          <cell r="L245" t="str">
            <v/>
          </cell>
          <cell r="M245" t="str">
            <v/>
          </cell>
          <cell r="P245" t="str">
            <v/>
          </cell>
          <cell r="Q245" t="str">
            <v/>
          </cell>
          <cell r="R245" t="str">
            <v/>
          </cell>
        </row>
        <row r="246">
          <cell r="H246" t="str">
            <v/>
          </cell>
          <cell r="I246" t="str">
            <v/>
          </cell>
          <cell r="J246" t="str">
            <v/>
          </cell>
          <cell r="K246" t="str">
            <v>91</v>
          </cell>
          <cell r="L246" t="str">
            <v/>
          </cell>
          <cell r="M246" t="str">
            <v/>
          </cell>
          <cell r="P246" t="str">
            <v/>
          </cell>
          <cell r="Q246" t="str">
            <v/>
          </cell>
          <cell r="R246" t="str">
            <v/>
          </cell>
        </row>
        <row r="247">
          <cell r="H247" t="str">
            <v/>
          </cell>
          <cell r="I247" t="str">
            <v/>
          </cell>
          <cell r="J247" t="str">
            <v/>
          </cell>
          <cell r="K247" t="str">
            <v>91</v>
          </cell>
          <cell r="L247" t="str">
            <v/>
          </cell>
          <cell r="M247" t="str">
            <v/>
          </cell>
          <cell r="P247" t="str">
            <v/>
          </cell>
          <cell r="Q247" t="str">
            <v/>
          </cell>
          <cell r="R247" t="str">
            <v/>
          </cell>
        </row>
        <row r="248">
          <cell r="I248" t="str">
            <v>TOTAL.............................................................</v>
          </cell>
          <cell r="P248">
            <v>0</v>
          </cell>
          <cell r="Q248">
            <v>0</v>
          </cell>
          <cell r="V248">
            <v>0</v>
          </cell>
        </row>
        <row r="252">
          <cell r="M252" t="str">
            <v>PREPARADO POR:</v>
          </cell>
          <cell r="P252" t="str">
            <v>Vera Lucia</v>
          </cell>
          <cell r="S252" t="str">
            <v>FOLHA Nº</v>
          </cell>
          <cell r="T252">
            <v>7</v>
          </cell>
        </row>
        <row r="256">
          <cell r="M256" t="str">
            <v>FICHA DE LANÇAMENTO CONTÁBIL</v>
          </cell>
        </row>
        <row r="260">
          <cell r="H260" t="str">
            <v xml:space="preserve">DESCRIÇÃO </v>
          </cell>
          <cell r="Q260" t="str">
            <v>Nº</v>
          </cell>
          <cell r="R260" t="str">
            <v>LC</v>
          </cell>
          <cell r="S260" t="str">
            <v>EMP.</v>
          </cell>
          <cell r="T260" t="str">
            <v>DATA DO</v>
          </cell>
        </row>
        <row r="261">
          <cell r="H261" t="str">
            <v>APROPRIAÇÃO DE FATURAS E DESPESAS DE IMPORTAÇÃO - MATERIAL PRODUTIVO</v>
          </cell>
          <cell r="Q261" t="str">
            <v>VOUCHER</v>
          </cell>
          <cell r="R261" t="str">
            <v>EMIT.</v>
          </cell>
          <cell r="S261" t="str">
            <v>EMIT.</v>
          </cell>
          <cell r="T261" t="str">
            <v>LÇTO</v>
          </cell>
        </row>
        <row r="262">
          <cell r="Q262" t="str">
            <v>13/0041</v>
          </cell>
          <cell r="R262" t="str">
            <v>91</v>
          </cell>
          <cell r="S262" t="str">
            <v>01</v>
          </cell>
          <cell r="T262">
            <v>36219</v>
          </cell>
        </row>
        <row r="263">
          <cell r="H263" t="str">
            <v xml:space="preserve"> </v>
          </cell>
        </row>
        <row r="264">
          <cell r="H264" t="str">
            <v>Nº DE</v>
          </cell>
          <cell r="I264" t="str">
            <v>CORRENTISTA</v>
          </cell>
          <cell r="K264" t="str">
            <v>LOCAL</v>
          </cell>
          <cell r="L264" t="str">
            <v xml:space="preserve">CONTA </v>
          </cell>
          <cell r="N264" t="str">
            <v>COD</v>
          </cell>
          <cell r="O264" t="str">
            <v>Nº DE</v>
          </cell>
          <cell r="P264" t="str">
            <v>VALOR</v>
          </cell>
          <cell r="R264" t="str">
            <v>COD.</v>
          </cell>
          <cell r="S264" t="str">
            <v>COMPLEMENTO</v>
          </cell>
        </row>
        <row r="265">
          <cell r="H265" t="str">
            <v>LÇTO.</v>
          </cell>
          <cell r="I265" t="str">
            <v>CÓDIGO</v>
          </cell>
          <cell r="K265" t="str">
            <v>CONT.</v>
          </cell>
          <cell r="L265" t="str">
            <v>C/CUSTO</v>
          </cell>
          <cell r="M265" t="str">
            <v>DV</v>
          </cell>
          <cell r="N265" t="str">
            <v>DESP/BCO</v>
          </cell>
          <cell r="O265" t="str">
            <v>ORDEM</v>
          </cell>
          <cell r="P265" t="str">
            <v>DÉBITO</v>
          </cell>
          <cell r="Q265" t="str">
            <v>CRÉDITO</v>
          </cell>
          <cell r="R265" t="str">
            <v>HIST</v>
          </cell>
          <cell r="S265" t="str">
            <v>HISTÓRICO</v>
          </cell>
        </row>
        <row r="266">
          <cell r="H266" t="str">
            <v>DE TRANSPORTE ................................................................................................</v>
          </cell>
          <cell r="P266">
            <v>0</v>
          </cell>
          <cell r="Q266">
            <v>0</v>
          </cell>
        </row>
        <row r="267">
          <cell r="H267" t="str">
            <v/>
          </cell>
          <cell r="I267" t="str">
            <v/>
          </cell>
          <cell r="J267" t="str">
            <v/>
          </cell>
          <cell r="K267" t="str">
            <v>91</v>
          </cell>
          <cell r="L267" t="str">
            <v/>
          </cell>
          <cell r="M267" t="str">
            <v/>
          </cell>
          <cell r="P267" t="str">
            <v/>
          </cell>
          <cell r="Q267" t="str">
            <v/>
          </cell>
          <cell r="R267" t="str">
            <v/>
          </cell>
        </row>
        <row r="268">
          <cell r="H268" t="str">
            <v/>
          </cell>
          <cell r="I268" t="str">
            <v/>
          </cell>
          <cell r="J268" t="str">
            <v/>
          </cell>
          <cell r="K268" t="str">
            <v>91</v>
          </cell>
          <cell r="L268" t="str">
            <v/>
          </cell>
          <cell r="M268" t="str">
            <v/>
          </cell>
          <cell r="P268" t="str">
            <v/>
          </cell>
          <cell r="Q268" t="str">
            <v/>
          </cell>
          <cell r="R268" t="str">
            <v/>
          </cell>
        </row>
        <row r="269">
          <cell r="H269" t="str">
            <v/>
          </cell>
          <cell r="I269" t="str">
            <v/>
          </cell>
          <cell r="J269" t="str">
            <v/>
          </cell>
          <cell r="K269" t="str">
            <v>91</v>
          </cell>
          <cell r="L269" t="str">
            <v/>
          </cell>
          <cell r="M269" t="str">
            <v/>
          </cell>
          <cell r="P269" t="str">
            <v/>
          </cell>
          <cell r="Q269" t="str">
            <v/>
          </cell>
          <cell r="R269" t="str">
            <v/>
          </cell>
        </row>
        <row r="270">
          <cell r="H270" t="str">
            <v/>
          </cell>
          <cell r="I270" t="str">
            <v/>
          </cell>
          <cell r="J270" t="str">
            <v/>
          </cell>
          <cell r="K270" t="str">
            <v>91</v>
          </cell>
          <cell r="L270" t="str">
            <v/>
          </cell>
          <cell r="M270" t="str">
            <v/>
          </cell>
          <cell r="P270" t="str">
            <v/>
          </cell>
          <cell r="Q270" t="str">
            <v/>
          </cell>
          <cell r="R270" t="str">
            <v/>
          </cell>
        </row>
        <row r="271">
          <cell r="H271" t="str">
            <v/>
          </cell>
          <cell r="I271" t="str">
            <v/>
          </cell>
          <cell r="J271" t="str">
            <v/>
          </cell>
          <cell r="K271" t="str">
            <v>91</v>
          </cell>
          <cell r="L271" t="str">
            <v/>
          </cell>
          <cell r="M271" t="str">
            <v/>
          </cell>
          <cell r="P271" t="str">
            <v/>
          </cell>
          <cell r="Q271" t="str">
            <v/>
          </cell>
          <cell r="R271" t="str">
            <v/>
          </cell>
        </row>
        <row r="272">
          <cell r="H272" t="str">
            <v/>
          </cell>
          <cell r="I272" t="str">
            <v/>
          </cell>
          <cell r="J272" t="str">
            <v/>
          </cell>
          <cell r="K272" t="str">
            <v>91</v>
          </cell>
          <cell r="L272" t="str">
            <v/>
          </cell>
          <cell r="M272" t="str">
            <v/>
          </cell>
          <cell r="P272" t="str">
            <v/>
          </cell>
          <cell r="Q272" t="str">
            <v/>
          </cell>
          <cell r="R272" t="str">
            <v/>
          </cell>
        </row>
        <row r="273">
          <cell r="H273" t="str">
            <v/>
          </cell>
          <cell r="I273" t="str">
            <v/>
          </cell>
          <cell r="J273" t="str">
            <v/>
          </cell>
          <cell r="K273" t="str">
            <v>91</v>
          </cell>
          <cell r="L273" t="str">
            <v/>
          </cell>
          <cell r="M273" t="str">
            <v/>
          </cell>
          <cell r="P273" t="str">
            <v/>
          </cell>
          <cell r="Q273" t="str">
            <v/>
          </cell>
          <cell r="R273" t="str">
            <v/>
          </cell>
        </row>
        <row r="274">
          <cell r="H274" t="str">
            <v/>
          </cell>
          <cell r="I274" t="str">
            <v/>
          </cell>
          <cell r="J274" t="str">
            <v/>
          </cell>
          <cell r="K274" t="str">
            <v>91</v>
          </cell>
          <cell r="L274" t="str">
            <v/>
          </cell>
          <cell r="M274" t="str">
            <v/>
          </cell>
          <cell r="P274" t="str">
            <v/>
          </cell>
          <cell r="Q274" t="str">
            <v/>
          </cell>
          <cell r="R274" t="str">
            <v/>
          </cell>
        </row>
        <row r="275">
          <cell r="H275" t="str">
            <v/>
          </cell>
          <cell r="I275" t="str">
            <v/>
          </cell>
          <cell r="J275" t="str">
            <v/>
          </cell>
          <cell r="K275" t="str">
            <v>91</v>
          </cell>
          <cell r="L275" t="str">
            <v/>
          </cell>
          <cell r="M275" t="str">
            <v/>
          </cell>
          <cell r="P275" t="str">
            <v/>
          </cell>
          <cell r="Q275" t="str">
            <v/>
          </cell>
          <cell r="R275" t="str">
            <v/>
          </cell>
        </row>
        <row r="276">
          <cell r="H276" t="str">
            <v/>
          </cell>
          <cell r="I276" t="str">
            <v/>
          </cell>
          <cell r="J276" t="str">
            <v/>
          </cell>
          <cell r="K276" t="str">
            <v>91</v>
          </cell>
          <cell r="L276" t="str">
            <v/>
          </cell>
          <cell r="M276" t="str">
            <v/>
          </cell>
          <cell r="P276" t="str">
            <v/>
          </cell>
          <cell r="Q276" t="str">
            <v/>
          </cell>
          <cell r="R276" t="str">
            <v/>
          </cell>
        </row>
        <row r="277">
          <cell r="H277" t="str">
            <v/>
          </cell>
          <cell r="I277" t="str">
            <v/>
          </cell>
          <cell r="J277" t="str">
            <v/>
          </cell>
          <cell r="K277" t="str">
            <v>91</v>
          </cell>
          <cell r="L277" t="str">
            <v/>
          </cell>
          <cell r="M277" t="str">
            <v/>
          </cell>
          <cell r="P277" t="str">
            <v/>
          </cell>
          <cell r="Q277" t="str">
            <v/>
          </cell>
          <cell r="R277" t="str">
            <v/>
          </cell>
        </row>
        <row r="278">
          <cell r="H278" t="str">
            <v/>
          </cell>
          <cell r="I278" t="str">
            <v/>
          </cell>
          <cell r="J278" t="str">
            <v/>
          </cell>
          <cell r="K278" t="str">
            <v>91</v>
          </cell>
          <cell r="L278" t="str">
            <v/>
          </cell>
          <cell r="M278" t="str">
            <v/>
          </cell>
          <cell r="P278" t="str">
            <v/>
          </cell>
          <cell r="Q278" t="str">
            <v/>
          </cell>
          <cell r="R278" t="str">
            <v/>
          </cell>
        </row>
        <row r="279">
          <cell r="H279" t="str">
            <v/>
          </cell>
          <cell r="I279" t="str">
            <v/>
          </cell>
          <cell r="J279" t="str">
            <v/>
          </cell>
          <cell r="K279" t="str">
            <v>91</v>
          </cell>
          <cell r="L279" t="str">
            <v/>
          </cell>
          <cell r="M279" t="str">
            <v/>
          </cell>
          <cell r="P279" t="str">
            <v/>
          </cell>
          <cell r="Q279" t="str">
            <v/>
          </cell>
          <cell r="R279" t="str">
            <v/>
          </cell>
        </row>
        <row r="280">
          <cell r="H280" t="str">
            <v/>
          </cell>
          <cell r="I280" t="str">
            <v/>
          </cell>
          <cell r="J280" t="str">
            <v/>
          </cell>
          <cell r="K280" t="str">
            <v>91</v>
          </cell>
          <cell r="L280" t="str">
            <v/>
          </cell>
          <cell r="M280" t="str">
            <v/>
          </cell>
          <cell r="P280" t="str">
            <v/>
          </cell>
          <cell r="Q280" t="str">
            <v/>
          </cell>
          <cell r="R280" t="str">
            <v/>
          </cell>
        </row>
        <row r="281">
          <cell r="H281" t="str">
            <v/>
          </cell>
          <cell r="I281" t="str">
            <v/>
          </cell>
          <cell r="J281" t="str">
            <v/>
          </cell>
          <cell r="K281" t="str">
            <v>91</v>
          </cell>
          <cell r="L281" t="str">
            <v/>
          </cell>
          <cell r="M281" t="str">
            <v/>
          </cell>
          <cell r="P281" t="str">
            <v/>
          </cell>
          <cell r="Q281" t="str">
            <v/>
          </cell>
          <cell r="R281" t="str">
            <v/>
          </cell>
        </row>
        <row r="282">
          <cell r="H282" t="str">
            <v/>
          </cell>
          <cell r="I282" t="str">
            <v/>
          </cell>
          <cell r="J282" t="str">
            <v/>
          </cell>
          <cell r="K282" t="str">
            <v>91</v>
          </cell>
          <cell r="L282" t="str">
            <v/>
          </cell>
          <cell r="M282" t="str">
            <v/>
          </cell>
          <cell r="P282" t="str">
            <v/>
          </cell>
          <cell r="Q282" t="str">
            <v/>
          </cell>
          <cell r="R282" t="str">
            <v/>
          </cell>
        </row>
        <row r="283">
          <cell r="H283" t="str">
            <v/>
          </cell>
          <cell r="I283" t="str">
            <v/>
          </cell>
          <cell r="J283" t="str">
            <v/>
          </cell>
          <cell r="K283" t="str">
            <v>91</v>
          </cell>
          <cell r="L283" t="str">
            <v/>
          </cell>
          <cell r="M283" t="str">
            <v/>
          </cell>
          <cell r="P283" t="str">
            <v/>
          </cell>
          <cell r="Q283" t="str">
            <v/>
          </cell>
          <cell r="R283" t="str">
            <v/>
          </cell>
        </row>
        <row r="284">
          <cell r="I284" t="str">
            <v>TOTAL.............................................................</v>
          </cell>
          <cell r="P284">
            <v>0</v>
          </cell>
          <cell r="Q284">
            <v>0</v>
          </cell>
          <cell r="V284">
            <v>0</v>
          </cell>
        </row>
        <row r="288">
          <cell r="M288" t="str">
            <v>PREPARADO POR:</v>
          </cell>
          <cell r="P288" t="str">
            <v>Vera Lucia</v>
          </cell>
          <cell r="S288" t="str">
            <v>FOLHA Nº</v>
          </cell>
          <cell r="T288">
            <v>8</v>
          </cell>
        </row>
        <row r="292">
          <cell r="M292" t="str">
            <v>FICHA DE LANÇAMENTO CONTÁBIL</v>
          </cell>
        </row>
        <row r="296">
          <cell r="H296" t="str">
            <v xml:space="preserve">DESCRIÇÃO </v>
          </cell>
          <cell r="Q296" t="str">
            <v>Nº</v>
          </cell>
          <cell r="R296" t="str">
            <v>LC</v>
          </cell>
          <cell r="S296" t="str">
            <v>EMP.</v>
          </cell>
          <cell r="T296" t="str">
            <v>DATA DO</v>
          </cell>
        </row>
        <row r="297">
          <cell r="H297" t="str">
            <v>APROPRIAÇÃO DE FATURAS E DESPESAS DE IMPORTAÇÃO - MATERIAL PRODUTIVO</v>
          </cell>
          <cell r="Q297" t="str">
            <v>VOUCHER</v>
          </cell>
          <cell r="R297" t="str">
            <v>EMIT.</v>
          </cell>
          <cell r="S297" t="str">
            <v>EMIT.</v>
          </cell>
          <cell r="T297" t="str">
            <v>LÇTO</v>
          </cell>
        </row>
        <row r="298">
          <cell r="Q298" t="str">
            <v>13/0041</v>
          </cell>
          <cell r="R298" t="str">
            <v>91</v>
          </cell>
          <cell r="S298" t="str">
            <v>01</v>
          </cell>
          <cell r="T298">
            <v>36219</v>
          </cell>
        </row>
        <row r="299">
          <cell r="H299" t="str">
            <v xml:space="preserve"> </v>
          </cell>
        </row>
        <row r="300">
          <cell r="H300" t="str">
            <v>Nº DE</v>
          </cell>
          <cell r="I300" t="str">
            <v>CORRENTISTA</v>
          </cell>
          <cell r="K300" t="str">
            <v>LOCAL</v>
          </cell>
          <cell r="L300" t="str">
            <v xml:space="preserve">CONTA </v>
          </cell>
          <cell r="N300" t="str">
            <v>COD</v>
          </cell>
          <cell r="O300" t="str">
            <v>Nº DE</v>
          </cell>
          <cell r="P300" t="str">
            <v>VALOR</v>
          </cell>
          <cell r="R300" t="str">
            <v>COD.</v>
          </cell>
          <cell r="S300" t="str">
            <v>COMPLEMENTO</v>
          </cell>
        </row>
        <row r="301">
          <cell r="H301" t="str">
            <v>LÇTO.</v>
          </cell>
          <cell r="I301" t="str">
            <v>CÓDIGO</v>
          </cell>
          <cell r="K301" t="str">
            <v>CONT.</v>
          </cell>
          <cell r="L301" t="str">
            <v>C/CUSTO</v>
          </cell>
          <cell r="M301" t="str">
            <v>DV</v>
          </cell>
          <cell r="N301" t="str">
            <v>DESP/BCO</v>
          </cell>
          <cell r="O301" t="str">
            <v>ORDEM</v>
          </cell>
          <cell r="P301" t="str">
            <v>DÉBITO</v>
          </cell>
          <cell r="Q301" t="str">
            <v>CRÉDITO</v>
          </cell>
          <cell r="R301" t="str">
            <v>HIST</v>
          </cell>
          <cell r="S301" t="str">
            <v>HISTÓRICO</v>
          </cell>
        </row>
        <row r="302">
          <cell r="H302" t="str">
            <v>DE TRANSPORTE ................................................................................................</v>
          </cell>
          <cell r="P302">
            <v>0</v>
          </cell>
          <cell r="Q302">
            <v>0</v>
          </cell>
        </row>
        <row r="303">
          <cell r="H303" t="str">
            <v/>
          </cell>
          <cell r="I303" t="str">
            <v/>
          </cell>
          <cell r="J303" t="str">
            <v/>
          </cell>
          <cell r="K303" t="str">
            <v>91</v>
          </cell>
          <cell r="L303" t="str">
            <v/>
          </cell>
          <cell r="M303" t="str">
            <v/>
          </cell>
          <cell r="P303" t="str">
            <v/>
          </cell>
          <cell r="Q303" t="str">
            <v/>
          </cell>
          <cell r="R303" t="str">
            <v/>
          </cell>
        </row>
        <row r="304">
          <cell r="H304" t="str">
            <v/>
          </cell>
          <cell r="I304" t="str">
            <v/>
          </cell>
          <cell r="J304" t="str">
            <v/>
          </cell>
          <cell r="K304" t="str">
            <v>91</v>
          </cell>
          <cell r="L304" t="str">
            <v/>
          </cell>
          <cell r="M304" t="str">
            <v/>
          </cell>
          <cell r="P304" t="str">
            <v/>
          </cell>
          <cell r="Q304" t="str">
            <v/>
          </cell>
          <cell r="R304" t="str">
            <v/>
          </cell>
        </row>
        <row r="305">
          <cell r="H305" t="str">
            <v/>
          </cell>
          <cell r="I305" t="str">
            <v/>
          </cell>
          <cell r="J305" t="str">
            <v/>
          </cell>
          <cell r="K305" t="str">
            <v>91</v>
          </cell>
          <cell r="L305" t="str">
            <v/>
          </cell>
          <cell r="M305" t="str">
            <v/>
          </cell>
          <cell r="P305" t="str">
            <v/>
          </cell>
          <cell r="Q305" t="str">
            <v/>
          </cell>
          <cell r="R305" t="str">
            <v/>
          </cell>
        </row>
        <row r="306">
          <cell r="H306" t="str">
            <v/>
          </cell>
          <cell r="I306" t="str">
            <v/>
          </cell>
          <cell r="J306" t="str">
            <v/>
          </cell>
          <cell r="K306" t="str">
            <v>91</v>
          </cell>
          <cell r="L306" t="str">
            <v/>
          </cell>
          <cell r="M306" t="str">
            <v/>
          </cell>
          <cell r="P306" t="str">
            <v/>
          </cell>
          <cell r="Q306" t="str">
            <v/>
          </cell>
          <cell r="R306" t="str">
            <v/>
          </cell>
        </row>
        <row r="307">
          <cell r="H307" t="str">
            <v/>
          </cell>
          <cell r="I307" t="str">
            <v/>
          </cell>
          <cell r="J307" t="str">
            <v/>
          </cell>
          <cell r="K307" t="str">
            <v>91</v>
          </cell>
          <cell r="L307" t="str">
            <v/>
          </cell>
          <cell r="M307" t="str">
            <v/>
          </cell>
          <cell r="P307" t="str">
            <v/>
          </cell>
          <cell r="Q307" t="str">
            <v/>
          </cell>
          <cell r="R307" t="str">
            <v/>
          </cell>
        </row>
        <row r="308">
          <cell r="H308" t="str">
            <v/>
          </cell>
          <cell r="I308" t="str">
            <v/>
          </cell>
          <cell r="J308" t="str">
            <v/>
          </cell>
          <cell r="K308" t="str">
            <v>91</v>
          </cell>
          <cell r="L308" t="str">
            <v/>
          </cell>
          <cell r="M308" t="str">
            <v/>
          </cell>
          <cell r="P308" t="str">
            <v/>
          </cell>
          <cell r="Q308" t="str">
            <v/>
          </cell>
          <cell r="R308" t="str">
            <v/>
          </cell>
        </row>
        <row r="309">
          <cell r="H309" t="str">
            <v/>
          </cell>
          <cell r="I309" t="str">
            <v/>
          </cell>
          <cell r="J309" t="str">
            <v/>
          </cell>
          <cell r="K309" t="str">
            <v>91</v>
          </cell>
          <cell r="L309" t="str">
            <v/>
          </cell>
          <cell r="M309" t="str">
            <v/>
          </cell>
          <cell r="P309" t="str">
            <v/>
          </cell>
          <cell r="Q309" t="str">
            <v/>
          </cell>
          <cell r="R309" t="str">
            <v/>
          </cell>
        </row>
        <row r="310">
          <cell r="H310" t="str">
            <v/>
          </cell>
          <cell r="I310" t="str">
            <v/>
          </cell>
          <cell r="J310" t="str">
            <v/>
          </cell>
          <cell r="K310" t="str">
            <v>91</v>
          </cell>
          <cell r="L310" t="str">
            <v/>
          </cell>
          <cell r="M310" t="str">
            <v/>
          </cell>
          <cell r="P310" t="str">
            <v/>
          </cell>
          <cell r="Q310" t="str">
            <v/>
          </cell>
          <cell r="R310" t="str">
            <v/>
          </cell>
        </row>
        <row r="311">
          <cell r="H311" t="str">
            <v/>
          </cell>
          <cell r="I311" t="str">
            <v/>
          </cell>
          <cell r="J311" t="str">
            <v/>
          </cell>
          <cell r="K311" t="str">
            <v>91</v>
          </cell>
          <cell r="L311" t="str">
            <v/>
          </cell>
          <cell r="M311" t="str">
            <v/>
          </cell>
          <cell r="P311" t="str">
            <v/>
          </cell>
          <cell r="Q311" t="str">
            <v/>
          </cell>
          <cell r="R311" t="str">
            <v/>
          </cell>
        </row>
        <row r="312">
          <cell r="H312" t="str">
            <v/>
          </cell>
          <cell r="I312" t="str">
            <v/>
          </cell>
          <cell r="J312" t="str">
            <v/>
          </cell>
          <cell r="K312" t="str">
            <v>91</v>
          </cell>
          <cell r="L312" t="str">
            <v/>
          </cell>
          <cell r="M312" t="str">
            <v/>
          </cell>
          <cell r="P312" t="str">
            <v/>
          </cell>
          <cell r="Q312" t="str">
            <v/>
          </cell>
          <cell r="R312" t="str">
            <v/>
          </cell>
        </row>
        <row r="313">
          <cell r="H313" t="str">
            <v/>
          </cell>
          <cell r="I313" t="str">
            <v/>
          </cell>
          <cell r="J313" t="str">
            <v/>
          </cell>
          <cell r="K313" t="str">
            <v>91</v>
          </cell>
          <cell r="L313" t="str">
            <v/>
          </cell>
          <cell r="M313" t="str">
            <v/>
          </cell>
          <cell r="P313" t="str">
            <v/>
          </cell>
          <cell r="Q313" t="str">
            <v/>
          </cell>
          <cell r="R313" t="str">
            <v/>
          </cell>
        </row>
        <row r="314">
          <cell r="H314" t="str">
            <v/>
          </cell>
          <cell r="I314" t="str">
            <v/>
          </cell>
          <cell r="J314" t="str">
            <v/>
          </cell>
          <cell r="K314" t="str">
            <v>91</v>
          </cell>
          <cell r="L314" t="str">
            <v/>
          </cell>
          <cell r="M314" t="str">
            <v/>
          </cell>
          <cell r="P314" t="str">
            <v/>
          </cell>
          <cell r="Q314" t="str">
            <v/>
          </cell>
          <cell r="R314" t="str">
            <v/>
          </cell>
        </row>
        <row r="315">
          <cell r="H315" t="str">
            <v/>
          </cell>
          <cell r="I315" t="str">
            <v/>
          </cell>
          <cell r="J315" t="str">
            <v/>
          </cell>
          <cell r="K315" t="str">
            <v>91</v>
          </cell>
          <cell r="L315" t="str">
            <v/>
          </cell>
          <cell r="M315" t="str">
            <v/>
          </cell>
          <cell r="P315" t="str">
            <v/>
          </cell>
          <cell r="Q315" t="str">
            <v/>
          </cell>
          <cell r="R315" t="str">
            <v/>
          </cell>
        </row>
        <row r="316">
          <cell r="H316" t="str">
            <v/>
          </cell>
          <cell r="I316" t="str">
            <v/>
          </cell>
          <cell r="J316" t="str">
            <v/>
          </cell>
          <cell r="K316" t="str">
            <v>91</v>
          </cell>
          <cell r="L316" t="str">
            <v/>
          </cell>
          <cell r="M316" t="str">
            <v/>
          </cell>
          <cell r="P316" t="str">
            <v/>
          </cell>
          <cell r="Q316" t="str">
            <v/>
          </cell>
          <cell r="R316" t="str">
            <v/>
          </cell>
        </row>
        <row r="317">
          <cell r="H317" t="str">
            <v/>
          </cell>
          <cell r="I317" t="str">
            <v/>
          </cell>
          <cell r="J317" t="str">
            <v/>
          </cell>
          <cell r="K317" t="str">
            <v>91</v>
          </cell>
          <cell r="L317" t="str">
            <v/>
          </cell>
          <cell r="M317" t="str">
            <v/>
          </cell>
          <cell r="P317" t="str">
            <v/>
          </cell>
          <cell r="Q317" t="str">
            <v/>
          </cell>
          <cell r="R317" t="str">
            <v/>
          </cell>
        </row>
        <row r="318">
          <cell r="H318" t="str">
            <v/>
          </cell>
          <cell r="I318" t="str">
            <v/>
          </cell>
          <cell r="J318" t="str">
            <v/>
          </cell>
          <cell r="K318" t="str">
            <v>91</v>
          </cell>
          <cell r="L318" t="str">
            <v/>
          </cell>
          <cell r="M318" t="str">
            <v/>
          </cell>
          <cell r="P318" t="str">
            <v/>
          </cell>
          <cell r="Q318" t="str">
            <v/>
          </cell>
          <cell r="R318" t="str">
            <v/>
          </cell>
        </row>
        <row r="319">
          <cell r="H319" t="str">
            <v/>
          </cell>
          <cell r="I319" t="str">
            <v/>
          </cell>
          <cell r="J319" t="str">
            <v/>
          </cell>
          <cell r="K319" t="str">
            <v>91</v>
          </cell>
          <cell r="L319" t="str">
            <v/>
          </cell>
          <cell r="M319" t="str">
            <v/>
          </cell>
          <cell r="P319" t="str">
            <v/>
          </cell>
          <cell r="Q319" t="str">
            <v/>
          </cell>
          <cell r="R319" t="str">
            <v/>
          </cell>
        </row>
        <row r="320">
          <cell r="I320" t="str">
            <v>TOTAL.............................................................</v>
          </cell>
          <cell r="P320">
            <v>0</v>
          </cell>
          <cell r="Q320">
            <v>0</v>
          </cell>
          <cell r="V320">
            <v>0</v>
          </cell>
        </row>
        <row r="324">
          <cell r="M324" t="str">
            <v>PREPARADO POR:</v>
          </cell>
          <cell r="P324" t="str">
            <v>Vera Lucia</v>
          </cell>
          <cell r="S324" t="str">
            <v>FOLHA Nº</v>
          </cell>
          <cell r="T324">
            <v>9</v>
          </cell>
        </row>
        <row r="328">
          <cell r="M328" t="str">
            <v>FICHA DE LANÇAMENTO CONTÁBIL</v>
          </cell>
        </row>
        <row r="332">
          <cell r="H332" t="str">
            <v xml:space="preserve">DESCRIÇÃO </v>
          </cell>
          <cell r="Q332" t="str">
            <v>Nº</v>
          </cell>
          <cell r="R332" t="str">
            <v>LC</v>
          </cell>
          <cell r="S332" t="str">
            <v>EMP.</v>
          </cell>
          <cell r="T332" t="str">
            <v>DATA DO</v>
          </cell>
        </row>
        <row r="333">
          <cell r="H333" t="str">
            <v>APROPRIAÇÃO DE FATURAS E DESPESAS DE IMPORTAÇÃO - MATERIAL PRODUTIVO</v>
          </cell>
          <cell r="Q333" t="str">
            <v>VOUCHER</v>
          </cell>
          <cell r="R333" t="str">
            <v>EMIT.</v>
          </cell>
          <cell r="S333" t="str">
            <v>EMIT.</v>
          </cell>
          <cell r="T333" t="str">
            <v>LÇTO</v>
          </cell>
        </row>
        <row r="334">
          <cell r="Q334" t="str">
            <v>13/0041</v>
          </cell>
          <cell r="R334" t="str">
            <v>91</v>
          </cell>
          <cell r="S334" t="str">
            <v>01</v>
          </cell>
          <cell r="T334">
            <v>36219</v>
          </cell>
        </row>
        <row r="335">
          <cell r="H335" t="str">
            <v xml:space="preserve"> </v>
          </cell>
        </row>
        <row r="336">
          <cell r="H336" t="str">
            <v>Nº DE</v>
          </cell>
          <cell r="I336" t="str">
            <v>CORRENTISTA</v>
          </cell>
          <cell r="K336" t="str">
            <v>LOCAL</v>
          </cell>
          <cell r="L336" t="str">
            <v xml:space="preserve">CONTA </v>
          </cell>
          <cell r="N336" t="str">
            <v>COD</v>
          </cell>
          <cell r="O336" t="str">
            <v>Nº DE</v>
          </cell>
          <cell r="P336" t="str">
            <v>VALOR</v>
          </cell>
          <cell r="R336" t="str">
            <v>COD.</v>
          </cell>
          <cell r="S336" t="str">
            <v>COMPLEMENTO</v>
          </cell>
        </row>
        <row r="337">
          <cell r="H337" t="str">
            <v>LÇTO.</v>
          </cell>
          <cell r="I337" t="str">
            <v>CÓDIGO</v>
          </cell>
          <cell r="K337" t="str">
            <v>CONT.</v>
          </cell>
          <cell r="L337" t="str">
            <v>C/CUSTO</v>
          </cell>
          <cell r="M337" t="str">
            <v>DV</v>
          </cell>
          <cell r="N337" t="str">
            <v>DESP/BCO</v>
          </cell>
          <cell r="O337" t="str">
            <v>ORDEM</v>
          </cell>
          <cell r="P337" t="str">
            <v>DÉBITO</v>
          </cell>
          <cell r="Q337" t="str">
            <v>CRÉDITO</v>
          </cell>
          <cell r="R337" t="str">
            <v>HIST</v>
          </cell>
          <cell r="S337" t="str">
            <v>HISTÓRICO</v>
          </cell>
        </row>
        <row r="338">
          <cell r="H338" t="str">
            <v>DE TRANSPORTE ................................................................................................</v>
          </cell>
          <cell r="P338">
            <v>0</v>
          </cell>
          <cell r="Q338">
            <v>0</v>
          </cell>
        </row>
        <row r="339">
          <cell r="H339" t="str">
            <v/>
          </cell>
          <cell r="I339" t="str">
            <v/>
          </cell>
          <cell r="J339" t="str">
            <v/>
          </cell>
          <cell r="K339" t="str">
            <v>91</v>
          </cell>
          <cell r="L339" t="str">
            <v/>
          </cell>
          <cell r="M339" t="str">
            <v/>
          </cell>
          <cell r="P339" t="str">
            <v/>
          </cell>
          <cell r="Q339" t="str">
            <v/>
          </cell>
          <cell r="R339" t="str">
            <v/>
          </cell>
        </row>
        <row r="340">
          <cell r="H340" t="str">
            <v/>
          </cell>
          <cell r="I340" t="str">
            <v/>
          </cell>
          <cell r="J340" t="str">
            <v/>
          </cell>
          <cell r="K340" t="str">
            <v>91</v>
          </cell>
          <cell r="L340" t="str">
            <v/>
          </cell>
          <cell r="M340" t="str">
            <v/>
          </cell>
          <cell r="P340" t="str">
            <v/>
          </cell>
          <cell r="Q340" t="str">
            <v/>
          </cell>
          <cell r="R340" t="str">
            <v/>
          </cell>
        </row>
        <row r="341">
          <cell r="H341" t="str">
            <v/>
          </cell>
          <cell r="I341" t="str">
            <v/>
          </cell>
          <cell r="J341" t="str">
            <v/>
          </cell>
          <cell r="K341" t="str">
            <v>91</v>
          </cell>
          <cell r="L341" t="str">
            <v/>
          </cell>
          <cell r="M341" t="str">
            <v/>
          </cell>
          <cell r="P341" t="str">
            <v/>
          </cell>
          <cell r="Q341" t="str">
            <v/>
          </cell>
          <cell r="R341" t="str">
            <v/>
          </cell>
        </row>
        <row r="342">
          <cell r="H342" t="str">
            <v/>
          </cell>
          <cell r="I342" t="str">
            <v/>
          </cell>
          <cell r="J342" t="str">
            <v/>
          </cell>
          <cell r="K342" t="str">
            <v>91</v>
          </cell>
          <cell r="L342" t="str">
            <v/>
          </cell>
          <cell r="M342" t="str">
            <v/>
          </cell>
          <cell r="P342" t="str">
            <v/>
          </cell>
          <cell r="Q342" t="str">
            <v/>
          </cell>
          <cell r="R342" t="str">
            <v/>
          </cell>
        </row>
        <row r="343">
          <cell r="H343" t="str">
            <v/>
          </cell>
          <cell r="I343" t="str">
            <v/>
          </cell>
          <cell r="J343" t="str">
            <v/>
          </cell>
          <cell r="K343" t="str">
            <v>91</v>
          </cell>
          <cell r="L343" t="str">
            <v/>
          </cell>
          <cell r="M343" t="str">
            <v/>
          </cell>
          <cell r="P343" t="str">
            <v/>
          </cell>
          <cell r="Q343" t="str">
            <v/>
          </cell>
          <cell r="R343" t="str">
            <v/>
          </cell>
        </row>
        <row r="344">
          <cell r="H344" t="str">
            <v/>
          </cell>
          <cell r="I344" t="str">
            <v/>
          </cell>
          <cell r="J344" t="str">
            <v/>
          </cell>
          <cell r="K344" t="str">
            <v>91</v>
          </cell>
          <cell r="L344" t="str">
            <v/>
          </cell>
          <cell r="M344" t="str">
            <v/>
          </cell>
          <cell r="P344" t="str">
            <v/>
          </cell>
          <cell r="Q344" t="str">
            <v/>
          </cell>
          <cell r="R344" t="str">
            <v/>
          </cell>
        </row>
        <row r="345">
          <cell r="H345" t="str">
            <v/>
          </cell>
          <cell r="I345" t="str">
            <v/>
          </cell>
          <cell r="J345" t="str">
            <v/>
          </cell>
          <cell r="K345" t="str">
            <v>91</v>
          </cell>
          <cell r="L345" t="str">
            <v/>
          </cell>
          <cell r="M345" t="str">
            <v/>
          </cell>
          <cell r="P345" t="str">
            <v/>
          </cell>
          <cell r="Q345" t="str">
            <v/>
          </cell>
          <cell r="R345" t="str">
            <v/>
          </cell>
        </row>
        <row r="346">
          <cell r="H346" t="str">
            <v/>
          </cell>
          <cell r="I346" t="str">
            <v/>
          </cell>
          <cell r="J346" t="str">
            <v/>
          </cell>
          <cell r="K346" t="str">
            <v>91</v>
          </cell>
          <cell r="L346" t="str">
            <v/>
          </cell>
          <cell r="M346" t="str">
            <v/>
          </cell>
          <cell r="P346" t="str">
            <v/>
          </cell>
          <cell r="Q346" t="str">
            <v/>
          </cell>
          <cell r="R346" t="str">
            <v/>
          </cell>
        </row>
        <row r="347">
          <cell r="H347" t="str">
            <v/>
          </cell>
          <cell r="I347" t="str">
            <v/>
          </cell>
          <cell r="J347" t="str">
            <v/>
          </cell>
          <cell r="K347" t="str">
            <v>91</v>
          </cell>
          <cell r="L347" t="str">
            <v/>
          </cell>
          <cell r="M347" t="str">
            <v/>
          </cell>
          <cell r="P347" t="str">
            <v/>
          </cell>
          <cell r="Q347" t="str">
            <v/>
          </cell>
          <cell r="R347" t="str">
            <v/>
          </cell>
        </row>
        <row r="348">
          <cell r="H348" t="str">
            <v/>
          </cell>
          <cell r="I348" t="str">
            <v/>
          </cell>
          <cell r="J348" t="str">
            <v/>
          </cell>
          <cell r="K348" t="str">
            <v>91</v>
          </cell>
          <cell r="L348" t="str">
            <v/>
          </cell>
          <cell r="M348" t="str">
            <v/>
          </cell>
          <cell r="P348" t="str">
            <v/>
          </cell>
          <cell r="Q348" t="str">
            <v/>
          </cell>
          <cell r="R348" t="str">
            <v/>
          </cell>
        </row>
        <row r="349">
          <cell r="H349" t="str">
            <v/>
          </cell>
          <cell r="I349" t="str">
            <v/>
          </cell>
          <cell r="J349" t="str">
            <v/>
          </cell>
          <cell r="K349" t="str">
            <v>91</v>
          </cell>
          <cell r="L349" t="str">
            <v/>
          </cell>
          <cell r="M349" t="str">
            <v/>
          </cell>
          <cell r="P349" t="str">
            <v/>
          </cell>
          <cell r="Q349" t="str">
            <v/>
          </cell>
          <cell r="R349" t="str">
            <v/>
          </cell>
        </row>
        <row r="350">
          <cell r="H350" t="str">
            <v/>
          </cell>
          <cell r="I350" t="str">
            <v/>
          </cell>
          <cell r="J350" t="str">
            <v/>
          </cell>
          <cell r="K350" t="str">
            <v>91</v>
          </cell>
          <cell r="L350" t="str">
            <v/>
          </cell>
          <cell r="M350" t="str">
            <v/>
          </cell>
          <cell r="P350" t="str">
            <v/>
          </cell>
          <cell r="Q350" t="str">
            <v/>
          </cell>
          <cell r="R350" t="str">
            <v/>
          </cell>
        </row>
        <row r="351">
          <cell r="H351" t="str">
            <v/>
          </cell>
          <cell r="I351" t="str">
            <v/>
          </cell>
          <cell r="J351" t="str">
            <v/>
          </cell>
          <cell r="K351" t="str">
            <v>91</v>
          </cell>
          <cell r="L351" t="str">
            <v/>
          </cell>
          <cell r="M351" t="str">
            <v/>
          </cell>
          <cell r="P351" t="str">
            <v/>
          </cell>
          <cell r="Q351" t="str">
            <v/>
          </cell>
          <cell r="R351" t="str">
            <v/>
          </cell>
        </row>
        <row r="352">
          <cell r="H352" t="str">
            <v/>
          </cell>
          <cell r="I352" t="str">
            <v/>
          </cell>
          <cell r="J352" t="str">
            <v/>
          </cell>
          <cell r="K352" t="str">
            <v>91</v>
          </cell>
          <cell r="L352" t="str">
            <v/>
          </cell>
          <cell r="M352" t="str">
            <v/>
          </cell>
          <cell r="P352" t="str">
            <v/>
          </cell>
          <cell r="Q352" t="str">
            <v/>
          </cell>
          <cell r="R352" t="str">
            <v/>
          </cell>
        </row>
        <row r="353">
          <cell r="H353" t="str">
            <v/>
          </cell>
          <cell r="I353" t="str">
            <v/>
          </cell>
          <cell r="J353" t="str">
            <v/>
          </cell>
          <cell r="K353" t="str">
            <v>91</v>
          </cell>
          <cell r="L353" t="str">
            <v/>
          </cell>
          <cell r="M353" t="str">
            <v/>
          </cell>
          <cell r="P353" t="str">
            <v/>
          </cell>
          <cell r="Q353" t="str">
            <v/>
          </cell>
          <cell r="R353" t="str">
            <v/>
          </cell>
        </row>
        <row r="354">
          <cell r="H354" t="str">
            <v/>
          </cell>
          <cell r="I354" t="str">
            <v/>
          </cell>
          <cell r="J354" t="str">
            <v/>
          </cell>
          <cell r="K354" t="str">
            <v>91</v>
          </cell>
          <cell r="L354" t="str">
            <v/>
          </cell>
          <cell r="M354" t="str">
            <v/>
          </cell>
          <cell r="P354" t="str">
            <v/>
          </cell>
          <cell r="Q354" t="str">
            <v/>
          </cell>
          <cell r="R354" t="str">
            <v/>
          </cell>
        </row>
        <row r="355">
          <cell r="H355" t="str">
            <v/>
          </cell>
          <cell r="I355" t="str">
            <v/>
          </cell>
          <cell r="J355" t="str">
            <v/>
          </cell>
          <cell r="K355" t="str">
            <v>91</v>
          </cell>
          <cell r="L355" t="str">
            <v/>
          </cell>
          <cell r="M355" t="str">
            <v/>
          </cell>
          <cell r="P355" t="str">
            <v/>
          </cell>
          <cell r="Q355" t="str">
            <v/>
          </cell>
          <cell r="R355" t="str">
            <v/>
          </cell>
        </row>
        <row r="356">
          <cell r="I356" t="str">
            <v>TOTAL.............................................................</v>
          </cell>
          <cell r="P356">
            <v>0</v>
          </cell>
          <cell r="Q356">
            <v>0</v>
          </cell>
          <cell r="V356">
            <v>0</v>
          </cell>
        </row>
        <row r="360">
          <cell r="M360" t="str">
            <v>PREPARADO POR:</v>
          </cell>
          <cell r="P360" t="str">
            <v>Vera Lucia</v>
          </cell>
          <cell r="S360" t="str">
            <v>FOLHA Nº</v>
          </cell>
          <cell r="T360">
            <v>10</v>
          </cell>
        </row>
        <row r="364">
          <cell r="M364" t="str">
            <v>FICHA DE LANÇAMENTO CONTÁBIL</v>
          </cell>
        </row>
        <row r="368">
          <cell r="H368" t="str">
            <v xml:space="preserve">DESCRIÇÃO </v>
          </cell>
          <cell r="Q368" t="str">
            <v>Nº</v>
          </cell>
          <cell r="R368" t="str">
            <v>LC</v>
          </cell>
          <cell r="S368" t="str">
            <v>EMP.</v>
          </cell>
          <cell r="T368" t="str">
            <v>DATA DO</v>
          </cell>
        </row>
        <row r="369">
          <cell r="H369" t="str">
            <v>APROPRIAÇÃO DE FATURAS E DESPESAS DE IMPORTAÇÃO - MATERIAL PRODUTIVO</v>
          </cell>
          <cell r="Q369" t="str">
            <v>VOUCHER</v>
          </cell>
          <cell r="R369" t="str">
            <v>EMIT.</v>
          </cell>
          <cell r="S369" t="str">
            <v>EMIT.</v>
          </cell>
          <cell r="T369" t="str">
            <v>LÇTO</v>
          </cell>
        </row>
        <row r="370">
          <cell r="Q370" t="str">
            <v>13/0041</v>
          </cell>
          <cell r="R370" t="str">
            <v>91</v>
          </cell>
          <cell r="S370" t="str">
            <v>01</v>
          </cell>
          <cell r="T370">
            <v>36219</v>
          </cell>
        </row>
        <row r="371">
          <cell r="H371" t="str">
            <v xml:space="preserve"> </v>
          </cell>
        </row>
        <row r="372">
          <cell r="H372" t="str">
            <v>Nº DE</v>
          </cell>
          <cell r="I372" t="str">
            <v>CORRENTISTA</v>
          </cell>
          <cell r="K372" t="str">
            <v>LOCAL</v>
          </cell>
          <cell r="L372" t="str">
            <v xml:space="preserve">CONTA </v>
          </cell>
          <cell r="N372" t="str">
            <v>COD</v>
          </cell>
          <cell r="O372" t="str">
            <v>Nº DE</v>
          </cell>
          <cell r="P372" t="str">
            <v>VALOR</v>
          </cell>
          <cell r="R372" t="str">
            <v>COD.</v>
          </cell>
          <cell r="S372" t="str">
            <v>COMPLEMENTO</v>
          </cell>
        </row>
        <row r="373">
          <cell r="H373" t="str">
            <v>LÇTO.</v>
          </cell>
          <cell r="I373" t="str">
            <v>CÓDIGO</v>
          </cell>
          <cell r="K373" t="str">
            <v>CONT.</v>
          </cell>
          <cell r="L373" t="str">
            <v>C/CUSTO</v>
          </cell>
          <cell r="M373" t="str">
            <v>DV</v>
          </cell>
          <cell r="N373" t="str">
            <v>DESP/BCO</v>
          </cell>
          <cell r="O373" t="str">
            <v>ORDEM</v>
          </cell>
          <cell r="P373" t="str">
            <v>DÉBITO</v>
          </cell>
          <cell r="Q373" t="str">
            <v>CRÉDITO</v>
          </cell>
          <cell r="R373" t="str">
            <v>HIST</v>
          </cell>
          <cell r="S373" t="str">
            <v>HISTÓRICO</v>
          </cell>
        </row>
        <row r="374">
          <cell r="H374" t="str">
            <v>DE TRANSPORTE ................................................................................................</v>
          </cell>
          <cell r="P374">
            <v>0</v>
          </cell>
          <cell r="Q374">
            <v>0</v>
          </cell>
        </row>
        <row r="375">
          <cell r="H375" t="str">
            <v/>
          </cell>
          <cell r="I375" t="str">
            <v/>
          </cell>
          <cell r="J375" t="str">
            <v/>
          </cell>
          <cell r="K375" t="str">
            <v>91</v>
          </cell>
          <cell r="L375" t="str">
            <v/>
          </cell>
          <cell r="M375" t="str">
            <v/>
          </cell>
          <cell r="P375" t="str">
            <v/>
          </cell>
          <cell r="Q375" t="str">
            <v/>
          </cell>
          <cell r="R375" t="str">
            <v/>
          </cell>
        </row>
        <row r="376">
          <cell r="H376" t="str">
            <v/>
          </cell>
          <cell r="I376" t="str">
            <v/>
          </cell>
          <cell r="J376" t="str">
            <v/>
          </cell>
          <cell r="K376" t="str">
            <v>91</v>
          </cell>
          <cell r="L376" t="str">
            <v/>
          </cell>
          <cell r="M376" t="str">
            <v/>
          </cell>
          <cell r="P376" t="str">
            <v/>
          </cell>
          <cell r="Q376" t="str">
            <v/>
          </cell>
          <cell r="R376" t="str">
            <v/>
          </cell>
        </row>
        <row r="377">
          <cell r="H377" t="str">
            <v/>
          </cell>
          <cell r="I377" t="str">
            <v/>
          </cell>
          <cell r="J377" t="str">
            <v/>
          </cell>
          <cell r="K377" t="str">
            <v>91</v>
          </cell>
          <cell r="L377" t="str">
            <v/>
          </cell>
          <cell r="M377" t="str">
            <v/>
          </cell>
          <cell r="P377" t="str">
            <v/>
          </cell>
          <cell r="Q377" t="str">
            <v/>
          </cell>
          <cell r="R377" t="str">
            <v/>
          </cell>
        </row>
        <row r="378">
          <cell r="H378" t="str">
            <v/>
          </cell>
          <cell r="I378" t="str">
            <v/>
          </cell>
          <cell r="J378" t="str">
            <v/>
          </cell>
          <cell r="K378" t="str">
            <v>91</v>
          </cell>
          <cell r="L378" t="str">
            <v/>
          </cell>
          <cell r="M378" t="str">
            <v/>
          </cell>
          <cell r="P378" t="str">
            <v/>
          </cell>
          <cell r="Q378" t="str">
            <v/>
          </cell>
          <cell r="R378" t="str">
            <v/>
          </cell>
        </row>
        <row r="379">
          <cell r="H379" t="str">
            <v/>
          </cell>
          <cell r="I379" t="str">
            <v/>
          </cell>
          <cell r="J379" t="str">
            <v/>
          </cell>
          <cell r="K379" t="str">
            <v>91</v>
          </cell>
          <cell r="L379" t="str">
            <v/>
          </cell>
          <cell r="M379" t="str">
            <v/>
          </cell>
          <cell r="P379" t="str">
            <v/>
          </cell>
          <cell r="Q379" t="str">
            <v/>
          </cell>
          <cell r="R379" t="str">
            <v/>
          </cell>
        </row>
        <row r="380">
          <cell r="H380" t="str">
            <v/>
          </cell>
          <cell r="I380" t="str">
            <v/>
          </cell>
          <cell r="J380" t="str">
            <v/>
          </cell>
          <cell r="K380" t="str">
            <v>91</v>
          </cell>
          <cell r="L380" t="str">
            <v/>
          </cell>
          <cell r="M380" t="str">
            <v/>
          </cell>
          <cell r="P380" t="str">
            <v/>
          </cell>
          <cell r="Q380" t="str">
            <v/>
          </cell>
          <cell r="R380" t="str">
            <v/>
          </cell>
        </row>
        <row r="381">
          <cell r="H381" t="str">
            <v/>
          </cell>
          <cell r="I381" t="str">
            <v/>
          </cell>
          <cell r="J381" t="str">
            <v/>
          </cell>
          <cell r="K381" t="str">
            <v>91</v>
          </cell>
          <cell r="L381" t="str">
            <v/>
          </cell>
          <cell r="M381" t="str">
            <v/>
          </cell>
          <cell r="P381" t="str">
            <v/>
          </cell>
          <cell r="Q381" t="str">
            <v/>
          </cell>
          <cell r="R381" t="str">
            <v/>
          </cell>
        </row>
        <row r="382">
          <cell r="H382" t="str">
            <v/>
          </cell>
          <cell r="I382" t="str">
            <v/>
          </cell>
          <cell r="J382" t="str">
            <v/>
          </cell>
          <cell r="K382" t="str">
            <v>91</v>
          </cell>
          <cell r="L382" t="str">
            <v/>
          </cell>
          <cell r="M382" t="str">
            <v/>
          </cell>
          <cell r="P382" t="str">
            <v/>
          </cell>
          <cell r="Q382" t="str">
            <v/>
          </cell>
          <cell r="R382" t="str">
            <v/>
          </cell>
        </row>
        <row r="383">
          <cell r="H383" t="str">
            <v/>
          </cell>
          <cell r="I383" t="str">
            <v/>
          </cell>
          <cell r="J383" t="str">
            <v/>
          </cell>
          <cell r="K383" t="str">
            <v>91</v>
          </cell>
          <cell r="L383" t="str">
            <v/>
          </cell>
          <cell r="M383" t="str">
            <v/>
          </cell>
          <cell r="P383" t="str">
            <v/>
          </cell>
          <cell r="Q383" t="str">
            <v/>
          </cell>
          <cell r="R383" t="str">
            <v/>
          </cell>
        </row>
        <row r="384">
          <cell r="H384" t="str">
            <v/>
          </cell>
          <cell r="I384" t="str">
            <v/>
          </cell>
          <cell r="J384" t="str">
            <v/>
          </cell>
          <cell r="K384" t="str">
            <v>91</v>
          </cell>
          <cell r="L384" t="str">
            <v/>
          </cell>
          <cell r="M384" t="str">
            <v/>
          </cell>
          <cell r="P384" t="str">
            <v/>
          </cell>
          <cell r="Q384" t="str">
            <v/>
          </cell>
          <cell r="R384" t="str">
            <v/>
          </cell>
        </row>
        <row r="385">
          <cell r="H385" t="str">
            <v/>
          </cell>
          <cell r="I385" t="str">
            <v/>
          </cell>
          <cell r="J385" t="str">
            <v/>
          </cell>
          <cell r="K385" t="str">
            <v>91</v>
          </cell>
          <cell r="L385" t="str">
            <v/>
          </cell>
          <cell r="M385" t="str">
            <v/>
          </cell>
          <cell r="P385" t="str">
            <v/>
          </cell>
          <cell r="Q385" t="str">
            <v/>
          </cell>
          <cell r="R385" t="str">
            <v/>
          </cell>
        </row>
        <row r="386">
          <cell r="H386" t="str">
            <v/>
          </cell>
          <cell r="I386" t="str">
            <v/>
          </cell>
          <cell r="J386" t="str">
            <v/>
          </cell>
          <cell r="K386" t="str">
            <v>91</v>
          </cell>
          <cell r="L386" t="str">
            <v/>
          </cell>
          <cell r="M386" t="str">
            <v/>
          </cell>
          <cell r="P386" t="str">
            <v/>
          </cell>
          <cell r="Q386" t="str">
            <v/>
          </cell>
          <cell r="R386" t="str">
            <v/>
          </cell>
        </row>
        <row r="387">
          <cell r="H387" t="str">
            <v/>
          </cell>
          <cell r="I387" t="str">
            <v/>
          </cell>
          <cell r="J387" t="str">
            <v/>
          </cell>
          <cell r="K387" t="str">
            <v>91</v>
          </cell>
          <cell r="L387" t="str">
            <v/>
          </cell>
          <cell r="M387" t="str">
            <v/>
          </cell>
          <cell r="P387" t="str">
            <v/>
          </cell>
          <cell r="Q387" t="str">
            <v/>
          </cell>
          <cell r="R387" t="str">
            <v/>
          </cell>
        </row>
        <row r="388">
          <cell r="H388" t="str">
            <v/>
          </cell>
          <cell r="I388" t="str">
            <v/>
          </cell>
          <cell r="J388" t="str">
            <v/>
          </cell>
          <cell r="K388" t="str">
            <v>91</v>
          </cell>
          <cell r="L388" t="str">
            <v/>
          </cell>
          <cell r="M388" t="str">
            <v/>
          </cell>
          <cell r="P388" t="str">
            <v/>
          </cell>
          <cell r="Q388" t="str">
            <v/>
          </cell>
          <cell r="R388" t="str">
            <v/>
          </cell>
        </row>
        <row r="389">
          <cell r="H389" t="str">
            <v/>
          </cell>
          <cell r="I389" t="str">
            <v/>
          </cell>
          <cell r="J389" t="str">
            <v/>
          </cell>
          <cell r="K389" t="str">
            <v>91</v>
          </cell>
          <cell r="L389" t="str">
            <v/>
          </cell>
          <cell r="M389" t="str">
            <v/>
          </cell>
          <cell r="P389" t="str">
            <v/>
          </cell>
          <cell r="Q389" t="str">
            <v/>
          </cell>
          <cell r="R389" t="str">
            <v/>
          </cell>
        </row>
        <row r="390">
          <cell r="H390" t="str">
            <v/>
          </cell>
          <cell r="I390" t="str">
            <v/>
          </cell>
          <cell r="J390" t="str">
            <v/>
          </cell>
          <cell r="K390" t="str">
            <v>91</v>
          </cell>
          <cell r="L390" t="str">
            <v/>
          </cell>
          <cell r="M390" t="str">
            <v/>
          </cell>
          <cell r="P390" t="str">
            <v/>
          </cell>
          <cell r="Q390" t="str">
            <v/>
          </cell>
          <cell r="R390" t="str">
            <v/>
          </cell>
        </row>
        <row r="391">
          <cell r="H391" t="str">
            <v/>
          </cell>
          <cell r="I391" t="str">
            <v/>
          </cell>
          <cell r="J391" t="str">
            <v/>
          </cell>
          <cell r="K391" t="str">
            <v>91</v>
          </cell>
          <cell r="L391" t="str">
            <v/>
          </cell>
          <cell r="M391" t="str">
            <v/>
          </cell>
          <cell r="P391" t="str">
            <v/>
          </cell>
          <cell r="Q391" t="str">
            <v/>
          </cell>
          <cell r="R391" t="str">
            <v/>
          </cell>
        </row>
        <row r="392">
          <cell r="I392" t="str">
            <v>TOTAL.............................................................</v>
          </cell>
          <cell r="P392">
            <v>0</v>
          </cell>
          <cell r="Q392">
            <v>0</v>
          </cell>
          <cell r="V392">
            <v>0</v>
          </cell>
        </row>
        <row r="396">
          <cell r="M396" t="str">
            <v>PREPARADO POR:</v>
          </cell>
          <cell r="P396" t="str">
            <v>Vera Lucia</v>
          </cell>
          <cell r="S396" t="str">
            <v>FOLHA Nº</v>
          </cell>
          <cell r="T396">
            <v>11</v>
          </cell>
        </row>
        <row r="400">
          <cell r="M400" t="str">
            <v>FICHA DE LANÇAMENTO CONTÁBIL</v>
          </cell>
        </row>
        <row r="404">
          <cell r="H404" t="str">
            <v xml:space="preserve">DESCRIÇÃO </v>
          </cell>
          <cell r="Q404" t="str">
            <v>Nº</v>
          </cell>
          <cell r="R404" t="str">
            <v>LC</v>
          </cell>
          <cell r="S404" t="str">
            <v>EMP.</v>
          </cell>
          <cell r="T404" t="str">
            <v>DATA DO</v>
          </cell>
        </row>
        <row r="405">
          <cell r="H405" t="str">
            <v>APROPRIAÇÃO DE FATURAS E DESPESAS DE IMPORTAÇÃO - MATERIAL PRODUTIVO</v>
          </cell>
          <cell r="Q405" t="str">
            <v>VOUCHER</v>
          </cell>
          <cell r="R405" t="str">
            <v>EMIT.</v>
          </cell>
          <cell r="S405" t="str">
            <v>EMIT.</v>
          </cell>
          <cell r="T405" t="str">
            <v>LÇTO</v>
          </cell>
        </row>
        <row r="406">
          <cell r="Q406" t="str">
            <v>13/0041</v>
          </cell>
          <cell r="R406" t="str">
            <v>91</v>
          </cell>
          <cell r="S406" t="str">
            <v>01</v>
          </cell>
          <cell r="T406">
            <v>36219</v>
          </cell>
        </row>
        <row r="407">
          <cell r="H407" t="str">
            <v xml:space="preserve"> </v>
          </cell>
        </row>
        <row r="408">
          <cell r="H408" t="str">
            <v>Nº DE</v>
          </cell>
          <cell r="I408" t="str">
            <v>CORRENTISTA</v>
          </cell>
          <cell r="K408" t="str">
            <v>LOCAL</v>
          </cell>
          <cell r="L408" t="str">
            <v xml:space="preserve">CONTA </v>
          </cell>
          <cell r="N408" t="str">
            <v>COD</v>
          </cell>
          <cell r="O408" t="str">
            <v>Nº DE</v>
          </cell>
          <cell r="P408" t="str">
            <v>VALOR</v>
          </cell>
          <cell r="R408" t="str">
            <v>COD.</v>
          </cell>
          <cell r="S408" t="str">
            <v>COMPLEMENTO</v>
          </cell>
        </row>
        <row r="409">
          <cell r="H409" t="str">
            <v>LÇTO.</v>
          </cell>
          <cell r="I409" t="str">
            <v>CÓDIGO</v>
          </cell>
          <cell r="K409" t="str">
            <v>CONT.</v>
          </cell>
          <cell r="L409" t="str">
            <v>C/CUSTO</v>
          </cell>
          <cell r="M409" t="str">
            <v>DV</v>
          </cell>
          <cell r="N409" t="str">
            <v>DESP/BCO</v>
          </cell>
          <cell r="O409" t="str">
            <v>ORDEM</v>
          </cell>
          <cell r="P409" t="str">
            <v>DÉBITO</v>
          </cell>
          <cell r="Q409" t="str">
            <v>CRÉDITO</v>
          </cell>
          <cell r="R409" t="str">
            <v>HIST</v>
          </cell>
          <cell r="S409" t="str">
            <v>HISTÓRICO</v>
          </cell>
        </row>
        <row r="410">
          <cell r="H410" t="str">
            <v>DE TRANSPORTE ................................................................................................</v>
          </cell>
          <cell r="P410">
            <v>0</v>
          </cell>
          <cell r="Q410">
            <v>0</v>
          </cell>
        </row>
        <row r="411">
          <cell r="H411" t="str">
            <v/>
          </cell>
          <cell r="I411" t="str">
            <v/>
          </cell>
          <cell r="J411" t="str">
            <v/>
          </cell>
          <cell r="K411" t="str">
            <v>91</v>
          </cell>
          <cell r="L411" t="str">
            <v/>
          </cell>
          <cell r="M411" t="str">
            <v/>
          </cell>
          <cell r="P411" t="str">
            <v/>
          </cell>
          <cell r="Q411" t="str">
            <v/>
          </cell>
          <cell r="R411" t="str">
            <v/>
          </cell>
        </row>
        <row r="412">
          <cell r="H412" t="str">
            <v/>
          </cell>
          <cell r="I412" t="str">
            <v/>
          </cell>
          <cell r="J412" t="str">
            <v/>
          </cell>
          <cell r="K412" t="str">
            <v>91</v>
          </cell>
          <cell r="L412" t="str">
            <v/>
          </cell>
          <cell r="M412" t="str">
            <v/>
          </cell>
          <cell r="P412" t="str">
            <v/>
          </cell>
          <cell r="Q412" t="str">
            <v/>
          </cell>
          <cell r="R412" t="str">
            <v/>
          </cell>
        </row>
        <row r="413">
          <cell r="H413" t="str">
            <v/>
          </cell>
          <cell r="I413" t="str">
            <v/>
          </cell>
          <cell r="J413" t="str">
            <v/>
          </cell>
          <cell r="K413" t="str">
            <v>91</v>
          </cell>
          <cell r="L413" t="str">
            <v/>
          </cell>
          <cell r="M413" t="str">
            <v/>
          </cell>
          <cell r="P413" t="str">
            <v/>
          </cell>
          <cell r="Q413" t="str">
            <v/>
          </cell>
          <cell r="R413" t="str">
            <v/>
          </cell>
        </row>
        <row r="414">
          <cell r="H414" t="str">
            <v/>
          </cell>
          <cell r="I414" t="str">
            <v/>
          </cell>
          <cell r="J414" t="str">
            <v/>
          </cell>
          <cell r="K414" t="str">
            <v>91</v>
          </cell>
          <cell r="L414" t="str">
            <v/>
          </cell>
          <cell r="M414" t="str">
            <v/>
          </cell>
          <cell r="P414" t="str">
            <v/>
          </cell>
          <cell r="Q414" t="str">
            <v/>
          </cell>
          <cell r="R414" t="str">
            <v/>
          </cell>
        </row>
        <row r="415">
          <cell r="H415" t="str">
            <v/>
          </cell>
          <cell r="I415" t="str">
            <v/>
          </cell>
          <cell r="J415" t="str">
            <v/>
          </cell>
          <cell r="K415" t="str">
            <v>91</v>
          </cell>
          <cell r="L415" t="str">
            <v/>
          </cell>
          <cell r="M415" t="str">
            <v/>
          </cell>
          <cell r="P415" t="str">
            <v/>
          </cell>
          <cell r="Q415" t="str">
            <v/>
          </cell>
          <cell r="R415" t="str">
            <v/>
          </cell>
        </row>
        <row r="416">
          <cell r="H416" t="str">
            <v/>
          </cell>
          <cell r="I416" t="str">
            <v/>
          </cell>
          <cell r="J416" t="str">
            <v/>
          </cell>
          <cell r="K416" t="str">
            <v>91</v>
          </cell>
          <cell r="L416" t="str">
            <v/>
          </cell>
          <cell r="M416" t="str">
            <v/>
          </cell>
          <cell r="P416" t="str">
            <v/>
          </cell>
          <cell r="Q416" t="str">
            <v/>
          </cell>
          <cell r="R416" t="str">
            <v/>
          </cell>
        </row>
        <row r="417">
          <cell r="H417" t="str">
            <v/>
          </cell>
          <cell r="I417" t="str">
            <v/>
          </cell>
          <cell r="J417" t="str">
            <v/>
          </cell>
          <cell r="K417" t="str">
            <v>91</v>
          </cell>
          <cell r="L417" t="str">
            <v/>
          </cell>
          <cell r="M417" t="str">
            <v/>
          </cell>
          <cell r="P417" t="str">
            <v/>
          </cell>
          <cell r="Q417" t="str">
            <v/>
          </cell>
          <cell r="R417" t="str">
            <v/>
          </cell>
        </row>
        <row r="418">
          <cell r="H418" t="str">
            <v/>
          </cell>
          <cell r="I418" t="str">
            <v/>
          </cell>
          <cell r="J418" t="str">
            <v/>
          </cell>
          <cell r="K418" t="str">
            <v>91</v>
          </cell>
          <cell r="L418" t="str">
            <v/>
          </cell>
          <cell r="M418" t="str">
            <v/>
          </cell>
          <cell r="P418" t="str">
            <v/>
          </cell>
          <cell r="Q418" t="str">
            <v/>
          </cell>
          <cell r="R418" t="str">
            <v/>
          </cell>
        </row>
        <row r="419">
          <cell r="H419" t="str">
            <v/>
          </cell>
          <cell r="I419" t="str">
            <v/>
          </cell>
          <cell r="J419" t="str">
            <v/>
          </cell>
          <cell r="K419" t="str">
            <v>91</v>
          </cell>
          <cell r="L419" t="str">
            <v/>
          </cell>
          <cell r="M419" t="str">
            <v/>
          </cell>
          <cell r="P419" t="str">
            <v/>
          </cell>
          <cell r="Q419" t="str">
            <v/>
          </cell>
          <cell r="R419" t="str">
            <v/>
          </cell>
        </row>
        <row r="420">
          <cell r="H420" t="str">
            <v/>
          </cell>
          <cell r="I420" t="str">
            <v/>
          </cell>
          <cell r="J420" t="str">
            <v/>
          </cell>
          <cell r="K420" t="str">
            <v>91</v>
          </cell>
          <cell r="L420" t="str">
            <v/>
          </cell>
          <cell r="M420" t="str">
            <v/>
          </cell>
          <cell r="P420" t="str">
            <v/>
          </cell>
          <cell r="Q420" t="str">
            <v/>
          </cell>
          <cell r="R420" t="str">
            <v/>
          </cell>
        </row>
        <row r="421">
          <cell r="H421" t="str">
            <v/>
          </cell>
          <cell r="I421" t="str">
            <v/>
          </cell>
          <cell r="J421" t="str">
            <v/>
          </cell>
          <cell r="K421" t="str">
            <v>91</v>
          </cell>
          <cell r="L421" t="str">
            <v/>
          </cell>
          <cell r="M421" t="str">
            <v/>
          </cell>
          <cell r="P421" t="str">
            <v/>
          </cell>
          <cell r="Q421" t="str">
            <v/>
          </cell>
          <cell r="R421" t="str">
            <v/>
          </cell>
        </row>
        <row r="422">
          <cell r="H422" t="str">
            <v/>
          </cell>
          <cell r="I422" t="str">
            <v/>
          </cell>
          <cell r="J422" t="str">
            <v/>
          </cell>
          <cell r="K422" t="str">
            <v>91</v>
          </cell>
          <cell r="L422" t="str">
            <v/>
          </cell>
          <cell r="M422" t="str">
            <v/>
          </cell>
          <cell r="P422" t="str">
            <v/>
          </cell>
          <cell r="Q422" t="str">
            <v/>
          </cell>
          <cell r="R422" t="str">
            <v/>
          </cell>
        </row>
        <row r="423">
          <cell r="H423" t="str">
            <v/>
          </cell>
          <cell r="I423" t="str">
            <v/>
          </cell>
          <cell r="J423" t="str">
            <v/>
          </cell>
          <cell r="K423" t="str">
            <v>91</v>
          </cell>
          <cell r="L423" t="str">
            <v/>
          </cell>
          <cell r="M423" t="str">
            <v/>
          </cell>
          <cell r="P423" t="str">
            <v/>
          </cell>
          <cell r="Q423" t="str">
            <v/>
          </cell>
          <cell r="R423" t="str">
            <v/>
          </cell>
        </row>
        <row r="424">
          <cell r="H424" t="str">
            <v/>
          </cell>
          <cell r="I424" t="str">
            <v/>
          </cell>
          <cell r="J424" t="str">
            <v/>
          </cell>
          <cell r="K424" t="str">
            <v>91</v>
          </cell>
          <cell r="L424" t="str">
            <v/>
          </cell>
          <cell r="M424" t="str">
            <v/>
          </cell>
          <cell r="P424" t="str">
            <v/>
          </cell>
          <cell r="Q424" t="str">
            <v/>
          </cell>
          <cell r="R424" t="str">
            <v/>
          </cell>
        </row>
        <row r="425">
          <cell r="H425" t="str">
            <v/>
          </cell>
          <cell r="I425" t="str">
            <v/>
          </cell>
          <cell r="J425" t="str">
            <v/>
          </cell>
          <cell r="K425" t="str">
            <v>91</v>
          </cell>
          <cell r="L425" t="str">
            <v/>
          </cell>
          <cell r="M425" t="str">
            <v/>
          </cell>
          <cell r="P425" t="str">
            <v/>
          </cell>
          <cell r="Q425" t="str">
            <v/>
          </cell>
          <cell r="R425" t="str">
            <v/>
          </cell>
        </row>
        <row r="426">
          <cell r="H426" t="str">
            <v/>
          </cell>
          <cell r="I426" t="str">
            <v/>
          </cell>
          <cell r="J426" t="str">
            <v/>
          </cell>
          <cell r="K426" t="str">
            <v>91</v>
          </cell>
          <cell r="L426" t="str">
            <v/>
          </cell>
          <cell r="M426" t="str">
            <v/>
          </cell>
          <cell r="P426" t="str">
            <v/>
          </cell>
          <cell r="Q426" t="str">
            <v/>
          </cell>
          <cell r="R426" t="str">
            <v/>
          </cell>
        </row>
        <row r="427">
          <cell r="H427" t="str">
            <v/>
          </cell>
          <cell r="I427" t="str">
            <v/>
          </cell>
          <cell r="J427" t="str">
            <v/>
          </cell>
          <cell r="K427" t="str">
            <v>91</v>
          </cell>
          <cell r="L427" t="str">
            <v/>
          </cell>
          <cell r="M427" t="str">
            <v/>
          </cell>
          <cell r="P427" t="str">
            <v/>
          </cell>
          <cell r="Q427" t="str">
            <v/>
          </cell>
          <cell r="R427" t="str">
            <v/>
          </cell>
        </row>
        <row r="428">
          <cell r="I428" t="str">
            <v>TOTAL.............................................................</v>
          </cell>
          <cell r="P428">
            <v>0</v>
          </cell>
          <cell r="Q428">
            <v>0</v>
          </cell>
          <cell r="V428">
            <v>0</v>
          </cell>
          <cell r="W428">
            <v>0</v>
          </cell>
        </row>
        <row r="432">
          <cell r="M432" t="str">
            <v>PREPARADO POR:</v>
          </cell>
          <cell r="P432" t="str">
            <v>Vera Lucia</v>
          </cell>
          <cell r="S432" t="str">
            <v>FOLHA Nº</v>
          </cell>
          <cell r="T432">
            <v>12</v>
          </cell>
        </row>
        <row r="436">
          <cell r="M436" t="str">
            <v>FICHA DE LANÇAMENTO CONTÁBIL</v>
          </cell>
        </row>
        <row r="440">
          <cell r="H440" t="str">
            <v xml:space="preserve">DESCRIÇÃO </v>
          </cell>
          <cell r="Q440" t="str">
            <v>Nº</v>
          </cell>
          <cell r="R440" t="str">
            <v>LC</v>
          </cell>
          <cell r="S440" t="str">
            <v>EMP.</v>
          </cell>
          <cell r="T440" t="str">
            <v>DATA DO</v>
          </cell>
        </row>
        <row r="441">
          <cell r="H441" t="str">
            <v>APROPRIAÇÃO DE FATURAS E DESPESAS DE IMPORTAÇÃO - ATIVO FIXO</v>
          </cell>
          <cell r="Q441" t="str">
            <v>VOUCHER</v>
          </cell>
          <cell r="R441" t="str">
            <v>EMIT.</v>
          </cell>
          <cell r="S441" t="str">
            <v>EMIT.</v>
          </cell>
          <cell r="T441" t="str">
            <v>LÇTO</v>
          </cell>
        </row>
        <row r="442">
          <cell r="Q442" t="str">
            <v>13/0041</v>
          </cell>
          <cell r="R442" t="str">
            <v>91</v>
          </cell>
          <cell r="S442" t="str">
            <v>01</v>
          </cell>
          <cell r="T442">
            <v>36219</v>
          </cell>
        </row>
        <row r="443">
          <cell r="H443" t="str">
            <v xml:space="preserve"> </v>
          </cell>
        </row>
        <row r="444">
          <cell r="H444" t="str">
            <v>Nº DE</v>
          </cell>
          <cell r="I444" t="str">
            <v>CORRENTISTA</v>
          </cell>
          <cell r="K444" t="str">
            <v>LOCAL</v>
          </cell>
          <cell r="L444" t="str">
            <v xml:space="preserve">CONTA </v>
          </cell>
          <cell r="N444" t="str">
            <v>COD</v>
          </cell>
          <cell r="O444" t="str">
            <v>Nº DE</v>
          </cell>
          <cell r="P444" t="str">
            <v>VALOR</v>
          </cell>
          <cell r="R444" t="str">
            <v>COD.</v>
          </cell>
          <cell r="S444" t="str">
            <v>COMPLEMENTO</v>
          </cell>
        </row>
        <row r="445">
          <cell r="H445" t="str">
            <v>LÇTO.</v>
          </cell>
          <cell r="I445" t="str">
            <v>CÓDIGO</v>
          </cell>
          <cell r="K445" t="str">
            <v>CONT.</v>
          </cell>
          <cell r="L445" t="str">
            <v>C/CUSTO</v>
          </cell>
          <cell r="M445" t="str">
            <v>DV</v>
          </cell>
          <cell r="N445" t="str">
            <v>DESP/BCO</v>
          </cell>
          <cell r="O445" t="str">
            <v>ORDEM</v>
          </cell>
          <cell r="P445" t="str">
            <v>DÉBITO</v>
          </cell>
          <cell r="Q445" t="str">
            <v>CRÉDITO</v>
          </cell>
          <cell r="R445" t="str">
            <v>HIST</v>
          </cell>
          <cell r="S445" t="str">
            <v>HISTÓRICO</v>
          </cell>
          <cell r="AA445" t="str">
            <v>FORN</v>
          </cell>
          <cell r="AB445" t="str">
            <v>Data</v>
          </cell>
          <cell r="AC445" t="str">
            <v>Total</v>
          </cell>
        </row>
        <row r="446">
          <cell r="H446">
            <v>2</v>
          </cell>
          <cell r="I446">
            <v>91491</v>
          </cell>
          <cell r="J446" t="str">
            <v>001</v>
          </cell>
          <cell r="K446" t="str">
            <v>91</v>
          </cell>
          <cell r="L446" t="str">
            <v>081201</v>
          </cell>
          <cell r="M446">
            <v>3</v>
          </cell>
          <cell r="P446" t="str">
            <v/>
          </cell>
          <cell r="Q446">
            <v>935212.8</v>
          </cell>
          <cell r="R446">
            <v>679</v>
          </cell>
          <cell r="AA446">
            <v>91491</v>
          </cell>
          <cell r="AB446" t="str">
            <v>Sum of FOB</v>
          </cell>
          <cell r="AC446">
            <v>935212.8</v>
          </cell>
        </row>
        <row r="447">
          <cell r="H447">
            <v>2</v>
          </cell>
          <cell r="I447">
            <v>91700</v>
          </cell>
          <cell r="J447" t="str">
            <v>001</v>
          </cell>
          <cell r="K447" t="str">
            <v>91</v>
          </cell>
          <cell r="L447" t="str">
            <v>081201</v>
          </cell>
          <cell r="M447">
            <v>3</v>
          </cell>
          <cell r="P447" t="str">
            <v/>
          </cell>
          <cell r="Q447">
            <v>21025.63</v>
          </cell>
          <cell r="R447">
            <v>679</v>
          </cell>
          <cell r="AB447" t="str">
            <v>Sum of TOTAL</v>
          </cell>
          <cell r="AC447">
            <v>206242.05</v>
          </cell>
        </row>
        <row r="448">
          <cell r="H448">
            <v>2</v>
          </cell>
          <cell r="I448">
            <v>91953</v>
          </cell>
          <cell r="J448" t="str">
            <v>001</v>
          </cell>
          <cell r="K448" t="str">
            <v>91</v>
          </cell>
          <cell r="L448" t="str">
            <v>081201</v>
          </cell>
          <cell r="M448">
            <v>3</v>
          </cell>
          <cell r="P448" t="str">
            <v/>
          </cell>
          <cell r="Q448">
            <v>461385.86</v>
          </cell>
          <cell r="R448">
            <v>679</v>
          </cell>
          <cell r="AB448" t="str">
            <v>Sum of ICMS</v>
          </cell>
          <cell r="AC448">
            <v>0</v>
          </cell>
        </row>
        <row r="449">
          <cell r="H449">
            <v>2</v>
          </cell>
          <cell r="I449" t="str">
            <v/>
          </cell>
          <cell r="J449" t="str">
            <v/>
          </cell>
          <cell r="K449" t="str">
            <v>91</v>
          </cell>
          <cell r="L449" t="str">
            <v>094100</v>
          </cell>
          <cell r="M449">
            <v>1</v>
          </cell>
          <cell r="P449" t="str">
            <v/>
          </cell>
          <cell r="Q449">
            <v>367607.27</v>
          </cell>
          <cell r="R449">
            <v>677</v>
          </cell>
          <cell r="AA449">
            <v>91700</v>
          </cell>
          <cell r="AB449" t="str">
            <v>Sum of FOB</v>
          </cell>
          <cell r="AC449">
            <v>21025.63</v>
          </cell>
        </row>
        <row r="450">
          <cell r="H450">
            <v>2</v>
          </cell>
          <cell r="I450" t="str">
            <v/>
          </cell>
          <cell r="J450" t="str">
            <v/>
          </cell>
          <cell r="K450" t="str">
            <v>91</v>
          </cell>
          <cell r="L450" t="str">
            <v>104200</v>
          </cell>
          <cell r="M450">
            <v>9</v>
          </cell>
          <cell r="P450">
            <v>1785231.56</v>
          </cell>
          <cell r="Q450" t="str">
            <v/>
          </cell>
          <cell r="R450">
            <v>303</v>
          </cell>
          <cell r="AB450" t="str">
            <v>Sum of TOTAL</v>
          </cell>
          <cell r="AC450">
            <v>7849.53</v>
          </cell>
        </row>
        <row r="451">
          <cell r="H451">
            <v>2</v>
          </cell>
          <cell r="I451" t="str">
            <v/>
          </cell>
          <cell r="J451" t="str">
            <v/>
          </cell>
          <cell r="K451" t="str">
            <v>91</v>
          </cell>
          <cell r="L451" t="str">
            <v>095200</v>
          </cell>
          <cell r="M451">
            <v>1</v>
          </cell>
          <cell r="P451">
            <v>0</v>
          </cell>
          <cell r="Q451" t="str">
            <v/>
          </cell>
          <cell r="R451">
            <v>233</v>
          </cell>
          <cell r="AB451" t="str">
            <v>Sum of ICMS</v>
          </cell>
          <cell r="AC451">
            <v>0</v>
          </cell>
        </row>
        <row r="452">
          <cell r="H452" t="str">
            <v/>
          </cell>
          <cell r="I452" t="str">
            <v/>
          </cell>
          <cell r="J452" t="str">
            <v/>
          </cell>
          <cell r="K452" t="str">
            <v>91</v>
          </cell>
          <cell r="L452" t="str">
            <v/>
          </cell>
          <cell r="M452" t="str">
            <v/>
          </cell>
          <cell r="P452" t="str">
            <v/>
          </cell>
          <cell r="Q452" t="str">
            <v/>
          </cell>
          <cell r="R452" t="str">
            <v/>
          </cell>
          <cell r="AA452">
            <v>91953</v>
          </cell>
          <cell r="AB452" t="str">
            <v>Sum of FOB</v>
          </cell>
          <cell r="AC452">
            <v>461385.86</v>
          </cell>
        </row>
        <row r="453">
          <cell r="H453" t="str">
            <v/>
          </cell>
          <cell r="I453" t="str">
            <v/>
          </cell>
          <cell r="J453" t="str">
            <v/>
          </cell>
          <cell r="K453" t="str">
            <v>91</v>
          </cell>
          <cell r="L453" t="str">
            <v/>
          </cell>
          <cell r="M453" t="str">
            <v/>
          </cell>
          <cell r="P453" t="str">
            <v/>
          </cell>
          <cell r="Q453" t="str">
            <v/>
          </cell>
          <cell r="R453" t="str">
            <v/>
          </cell>
          <cell r="AB453" t="str">
            <v>Sum of TOTAL</v>
          </cell>
          <cell r="AC453">
            <v>153515.69</v>
          </cell>
        </row>
        <row r="454">
          <cell r="H454" t="str">
            <v/>
          </cell>
          <cell r="I454" t="str">
            <v/>
          </cell>
          <cell r="J454" t="str">
            <v/>
          </cell>
          <cell r="K454" t="str">
            <v>91</v>
          </cell>
          <cell r="L454" t="str">
            <v/>
          </cell>
          <cell r="M454" t="str">
            <v/>
          </cell>
          <cell r="P454" t="str">
            <v/>
          </cell>
          <cell r="Q454" t="str">
            <v/>
          </cell>
          <cell r="R454" t="str">
            <v/>
          </cell>
          <cell r="AB454" t="str">
            <v>Sum of ICMS</v>
          </cell>
          <cell r="AC454">
            <v>0</v>
          </cell>
        </row>
        <row r="455">
          <cell r="H455" t="str">
            <v/>
          </cell>
          <cell r="I455" t="str">
            <v/>
          </cell>
          <cell r="J455" t="str">
            <v/>
          </cell>
          <cell r="K455" t="str">
            <v>91</v>
          </cell>
          <cell r="L455" t="str">
            <v/>
          </cell>
          <cell r="M455" t="str">
            <v/>
          </cell>
          <cell r="P455" t="str">
            <v/>
          </cell>
          <cell r="Q455" t="str">
            <v/>
          </cell>
          <cell r="R455" t="str">
            <v/>
          </cell>
          <cell r="AA455" t="str">
            <v>(blank)</v>
          </cell>
          <cell r="AB455" t="str">
            <v>Sum of FOB</v>
          </cell>
        </row>
        <row r="456">
          <cell r="H456" t="str">
            <v/>
          </cell>
          <cell r="I456" t="str">
            <v/>
          </cell>
          <cell r="J456" t="str">
            <v/>
          </cell>
          <cell r="K456" t="str">
            <v>91</v>
          </cell>
          <cell r="L456" t="str">
            <v/>
          </cell>
          <cell r="M456" t="str">
            <v/>
          </cell>
          <cell r="P456" t="str">
            <v/>
          </cell>
          <cell r="Q456" t="str">
            <v/>
          </cell>
          <cell r="R456" t="str">
            <v/>
          </cell>
          <cell r="AB456" t="str">
            <v>Sum of TOTAL</v>
          </cell>
          <cell r="AC456">
            <v>0</v>
          </cell>
        </row>
        <row r="457">
          <cell r="H457" t="str">
            <v/>
          </cell>
          <cell r="I457" t="str">
            <v/>
          </cell>
          <cell r="J457" t="str">
            <v/>
          </cell>
          <cell r="K457" t="str">
            <v>91</v>
          </cell>
          <cell r="L457" t="str">
            <v/>
          </cell>
          <cell r="M457" t="str">
            <v/>
          </cell>
          <cell r="P457" t="str">
            <v/>
          </cell>
          <cell r="Q457" t="str">
            <v/>
          </cell>
          <cell r="R457" t="str">
            <v/>
          </cell>
          <cell r="AB457" t="str">
            <v>Sum of ICMS</v>
          </cell>
        </row>
        <row r="458">
          <cell r="H458" t="str">
            <v/>
          </cell>
          <cell r="I458" t="str">
            <v/>
          </cell>
          <cell r="J458" t="str">
            <v/>
          </cell>
          <cell r="K458" t="str">
            <v>91</v>
          </cell>
          <cell r="L458" t="str">
            <v/>
          </cell>
          <cell r="M458" t="str">
            <v/>
          </cell>
          <cell r="P458" t="str">
            <v/>
          </cell>
          <cell r="Q458" t="str">
            <v/>
          </cell>
          <cell r="R458" t="str">
            <v/>
          </cell>
        </row>
        <row r="459">
          <cell r="H459" t="str">
            <v/>
          </cell>
          <cell r="I459" t="str">
            <v/>
          </cell>
          <cell r="J459" t="str">
            <v/>
          </cell>
          <cell r="K459" t="str">
            <v>91</v>
          </cell>
          <cell r="L459" t="str">
            <v/>
          </cell>
          <cell r="M459" t="str">
            <v/>
          </cell>
          <cell r="P459" t="str">
            <v/>
          </cell>
          <cell r="Q459" t="str">
            <v/>
          </cell>
          <cell r="R459" t="str">
            <v/>
          </cell>
        </row>
        <row r="460">
          <cell r="H460" t="str">
            <v/>
          </cell>
          <cell r="I460" t="str">
            <v/>
          </cell>
          <cell r="J460" t="str">
            <v/>
          </cell>
          <cell r="K460" t="str">
            <v>91</v>
          </cell>
          <cell r="L460" t="str">
            <v/>
          </cell>
          <cell r="M460" t="str">
            <v/>
          </cell>
          <cell r="P460" t="str">
            <v/>
          </cell>
          <cell r="Q460" t="str">
            <v/>
          </cell>
          <cell r="R460" t="str">
            <v/>
          </cell>
        </row>
        <row r="461">
          <cell r="H461" t="str">
            <v/>
          </cell>
          <cell r="I461" t="str">
            <v/>
          </cell>
          <cell r="J461" t="str">
            <v/>
          </cell>
          <cell r="K461" t="str">
            <v>91</v>
          </cell>
          <cell r="L461" t="str">
            <v/>
          </cell>
          <cell r="M461" t="str">
            <v/>
          </cell>
          <cell r="P461" t="str">
            <v/>
          </cell>
          <cell r="Q461" t="str">
            <v/>
          </cell>
          <cell r="R461" t="str">
            <v/>
          </cell>
        </row>
        <row r="462">
          <cell r="H462" t="str">
            <v/>
          </cell>
          <cell r="I462" t="str">
            <v/>
          </cell>
          <cell r="J462" t="str">
            <v/>
          </cell>
          <cell r="K462" t="str">
            <v>91</v>
          </cell>
          <cell r="L462" t="str">
            <v/>
          </cell>
          <cell r="M462" t="str">
            <v/>
          </cell>
          <cell r="P462" t="str">
            <v/>
          </cell>
          <cell r="Q462" t="str">
            <v/>
          </cell>
          <cell r="R462" t="str">
            <v/>
          </cell>
        </row>
        <row r="463">
          <cell r="H463" t="str">
            <v/>
          </cell>
          <cell r="I463" t="str">
            <v/>
          </cell>
          <cell r="J463" t="str">
            <v/>
          </cell>
          <cell r="K463" t="str">
            <v>91</v>
          </cell>
          <cell r="L463" t="str">
            <v/>
          </cell>
          <cell r="M463" t="str">
            <v/>
          </cell>
          <cell r="P463" t="str">
            <v/>
          </cell>
          <cell r="Q463" t="str">
            <v/>
          </cell>
          <cell r="R463" t="str">
            <v/>
          </cell>
        </row>
        <row r="464">
          <cell r="I464" t="str">
            <v>TOTAL.............................................................</v>
          </cell>
          <cell r="P464">
            <v>1785231.56</v>
          </cell>
          <cell r="Q464">
            <v>1785231.56</v>
          </cell>
          <cell r="V464">
            <v>1</v>
          </cell>
        </row>
        <row r="468">
          <cell r="M468" t="str">
            <v>PREPARADO POR:</v>
          </cell>
          <cell r="P468" t="str">
            <v>Vera Lucia</v>
          </cell>
          <cell r="S468" t="str">
            <v>FOLHA Nº</v>
          </cell>
          <cell r="T468">
            <v>1</v>
          </cell>
        </row>
        <row r="472">
          <cell r="M472" t="str">
            <v>FICHA DE LANÇAMENTO CONTÁBIL</v>
          </cell>
        </row>
        <row r="476">
          <cell r="H476" t="str">
            <v xml:space="preserve">DESCRIÇÃO </v>
          </cell>
          <cell r="Q476" t="str">
            <v>Nº</v>
          </cell>
          <cell r="R476" t="str">
            <v>LC</v>
          </cell>
          <cell r="S476" t="str">
            <v>EMP.</v>
          </cell>
          <cell r="T476" t="str">
            <v>DATA DO</v>
          </cell>
        </row>
        <row r="477">
          <cell r="H477" t="str">
            <v>APROPRIAÇÃO DE FATURAS E DESPESAS DE IMPORTAÇÃO - ATIVO FIXO</v>
          </cell>
          <cell r="Q477" t="str">
            <v>VOUCHER</v>
          </cell>
          <cell r="R477" t="str">
            <v>EMIT.</v>
          </cell>
          <cell r="S477" t="str">
            <v>EMIT.</v>
          </cell>
          <cell r="T477" t="str">
            <v>LÇTO</v>
          </cell>
        </row>
        <row r="478">
          <cell r="Q478" t="str">
            <v>13/0041</v>
          </cell>
          <cell r="R478" t="str">
            <v>91</v>
          </cell>
          <cell r="S478" t="str">
            <v>01</v>
          </cell>
          <cell r="T478">
            <v>36219</v>
          </cell>
        </row>
        <row r="479">
          <cell r="H479" t="str">
            <v xml:space="preserve"> </v>
          </cell>
        </row>
        <row r="480">
          <cell r="H480" t="str">
            <v>Nº DE</v>
          </cell>
          <cell r="I480" t="str">
            <v>CORRENTISTA</v>
          </cell>
          <cell r="K480" t="str">
            <v>LOCAL</v>
          </cell>
          <cell r="L480" t="str">
            <v xml:space="preserve">CONTA </v>
          </cell>
          <cell r="N480" t="str">
            <v>COD</v>
          </cell>
          <cell r="O480" t="str">
            <v>Nº DE</v>
          </cell>
          <cell r="P480" t="str">
            <v>VALOR</v>
          </cell>
          <cell r="R480" t="str">
            <v>COD.</v>
          </cell>
          <cell r="S480" t="str">
            <v>COMPLEMENTO</v>
          </cell>
        </row>
        <row r="481">
          <cell r="H481" t="str">
            <v>LÇTO.</v>
          </cell>
          <cell r="I481" t="str">
            <v>CÓDIGO</v>
          </cell>
          <cell r="K481" t="str">
            <v>CONT.</v>
          </cell>
          <cell r="L481" t="str">
            <v>C/CUSTO</v>
          </cell>
          <cell r="M481" t="str">
            <v>DV</v>
          </cell>
          <cell r="N481" t="str">
            <v>DESP/BCO</v>
          </cell>
          <cell r="O481" t="str">
            <v>ORDEM</v>
          </cell>
          <cell r="P481" t="str">
            <v>DÉBITO</v>
          </cell>
          <cell r="Q481" t="str">
            <v>CRÉDITO</v>
          </cell>
          <cell r="R481" t="str">
            <v>HIST</v>
          </cell>
          <cell r="S481" t="str">
            <v>HISTÓRICO</v>
          </cell>
        </row>
        <row r="482">
          <cell r="H482" t="str">
            <v>DE TRANSPORTE ................................................................................................</v>
          </cell>
          <cell r="P482">
            <v>1785231.56</v>
          </cell>
          <cell r="Q482">
            <v>1785231.56</v>
          </cell>
        </row>
        <row r="483">
          <cell r="H483" t="str">
            <v/>
          </cell>
          <cell r="I483" t="str">
            <v/>
          </cell>
          <cell r="J483" t="str">
            <v/>
          </cell>
          <cell r="K483" t="str">
            <v>91</v>
          </cell>
          <cell r="L483" t="str">
            <v/>
          </cell>
          <cell r="M483" t="str">
            <v/>
          </cell>
          <cell r="P483" t="str">
            <v/>
          </cell>
          <cell r="Q483" t="str">
            <v/>
          </cell>
          <cell r="R483" t="str">
            <v/>
          </cell>
        </row>
        <row r="484">
          <cell r="H484" t="str">
            <v/>
          </cell>
          <cell r="I484" t="str">
            <v/>
          </cell>
          <cell r="J484" t="str">
            <v/>
          </cell>
          <cell r="K484" t="str">
            <v>91</v>
          </cell>
          <cell r="L484" t="str">
            <v/>
          </cell>
          <cell r="M484" t="str">
            <v/>
          </cell>
          <cell r="P484" t="str">
            <v/>
          </cell>
          <cell r="Q484" t="str">
            <v/>
          </cell>
          <cell r="R484" t="str">
            <v/>
          </cell>
        </row>
        <row r="485">
          <cell r="H485" t="str">
            <v/>
          </cell>
          <cell r="I485" t="str">
            <v/>
          </cell>
          <cell r="J485" t="str">
            <v/>
          </cell>
          <cell r="K485" t="str">
            <v>91</v>
          </cell>
          <cell r="L485" t="str">
            <v/>
          </cell>
          <cell r="M485" t="str">
            <v/>
          </cell>
          <cell r="P485" t="str">
            <v/>
          </cell>
          <cell r="Q485" t="str">
            <v/>
          </cell>
          <cell r="R485" t="str">
            <v/>
          </cell>
        </row>
        <row r="486">
          <cell r="H486" t="str">
            <v/>
          </cell>
          <cell r="I486" t="str">
            <v/>
          </cell>
          <cell r="J486" t="str">
            <v/>
          </cell>
          <cell r="K486" t="str">
            <v>91</v>
          </cell>
          <cell r="L486" t="str">
            <v/>
          </cell>
          <cell r="M486" t="str">
            <v/>
          </cell>
          <cell r="P486" t="str">
            <v/>
          </cell>
          <cell r="Q486" t="str">
            <v/>
          </cell>
          <cell r="R486" t="str">
            <v/>
          </cell>
        </row>
        <row r="487">
          <cell r="H487" t="str">
            <v/>
          </cell>
          <cell r="I487" t="str">
            <v/>
          </cell>
          <cell r="J487" t="str">
            <v/>
          </cell>
          <cell r="K487" t="str">
            <v>91</v>
          </cell>
          <cell r="L487" t="str">
            <v/>
          </cell>
          <cell r="M487" t="str">
            <v/>
          </cell>
          <cell r="P487" t="str">
            <v/>
          </cell>
          <cell r="Q487" t="str">
            <v/>
          </cell>
          <cell r="R487" t="str">
            <v/>
          </cell>
        </row>
        <row r="488">
          <cell r="H488" t="str">
            <v/>
          </cell>
          <cell r="I488" t="str">
            <v/>
          </cell>
          <cell r="J488" t="str">
            <v/>
          </cell>
          <cell r="K488" t="str">
            <v>91</v>
          </cell>
          <cell r="L488" t="str">
            <v/>
          </cell>
          <cell r="M488" t="str">
            <v/>
          </cell>
          <cell r="P488" t="str">
            <v/>
          </cell>
          <cell r="Q488" t="str">
            <v/>
          </cell>
          <cell r="R488" t="str">
            <v/>
          </cell>
        </row>
        <row r="489">
          <cell r="H489" t="str">
            <v/>
          </cell>
          <cell r="I489" t="str">
            <v/>
          </cell>
          <cell r="J489" t="str">
            <v/>
          </cell>
          <cell r="K489" t="str">
            <v>91</v>
          </cell>
          <cell r="L489" t="str">
            <v/>
          </cell>
          <cell r="M489" t="str">
            <v/>
          </cell>
          <cell r="P489" t="str">
            <v/>
          </cell>
          <cell r="Q489" t="str">
            <v/>
          </cell>
          <cell r="R489" t="str">
            <v/>
          </cell>
        </row>
        <row r="490">
          <cell r="H490" t="str">
            <v/>
          </cell>
          <cell r="I490" t="str">
            <v/>
          </cell>
          <cell r="J490" t="str">
            <v/>
          </cell>
          <cell r="K490" t="str">
            <v>91</v>
          </cell>
          <cell r="L490" t="str">
            <v/>
          </cell>
          <cell r="M490" t="str">
            <v/>
          </cell>
          <cell r="P490" t="str">
            <v/>
          </cell>
          <cell r="Q490" t="str">
            <v/>
          </cell>
          <cell r="R490" t="str">
            <v/>
          </cell>
        </row>
        <row r="491">
          <cell r="H491" t="str">
            <v/>
          </cell>
          <cell r="I491" t="str">
            <v/>
          </cell>
          <cell r="J491" t="str">
            <v/>
          </cell>
          <cell r="K491" t="str">
            <v>91</v>
          </cell>
          <cell r="L491" t="str">
            <v/>
          </cell>
          <cell r="M491" t="str">
            <v/>
          </cell>
          <cell r="P491" t="str">
            <v/>
          </cell>
          <cell r="Q491" t="str">
            <v/>
          </cell>
          <cell r="R491" t="str">
            <v/>
          </cell>
        </row>
        <row r="492">
          <cell r="H492" t="str">
            <v/>
          </cell>
          <cell r="I492" t="str">
            <v/>
          </cell>
          <cell r="J492" t="str">
            <v/>
          </cell>
          <cell r="K492" t="str">
            <v>91</v>
          </cell>
          <cell r="L492" t="str">
            <v/>
          </cell>
          <cell r="M492" t="str">
            <v/>
          </cell>
          <cell r="P492" t="str">
            <v/>
          </cell>
          <cell r="Q492" t="str">
            <v/>
          </cell>
          <cell r="R492" t="str">
            <v/>
          </cell>
        </row>
        <row r="493">
          <cell r="H493" t="str">
            <v/>
          </cell>
          <cell r="I493" t="str">
            <v/>
          </cell>
          <cell r="J493" t="str">
            <v/>
          </cell>
          <cell r="K493" t="str">
            <v>91</v>
          </cell>
          <cell r="L493" t="str">
            <v/>
          </cell>
          <cell r="M493" t="str">
            <v/>
          </cell>
          <cell r="P493" t="str">
            <v/>
          </cell>
          <cell r="Q493" t="str">
            <v/>
          </cell>
          <cell r="R493" t="str">
            <v/>
          </cell>
        </row>
        <row r="494">
          <cell r="H494" t="str">
            <v/>
          </cell>
          <cell r="I494" t="str">
            <v/>
          </cell>
          <cell r="J494" t="str">
            <v/>
          </cell>
          <cell r="K494" t="str">
            <v>91</v>
          </cell>
          <cell r="L494" t="str">
            <v/>
          </cell>
          <cell r="M494" t="str">
            <v/>
          </cell>
          <cell r="P494" t="str">
            <v/>
          </cell>
          <cell r="Q494" t="str">
            <v/>
          </cell>
          <cell r="R494" t="str">
            <v/>
          </cell>
        </row>
        <row r="495">
          <cell r="H495" t="str">
            <v/>
          </cell>
          <cell r="I495" t="str">
            <v/>
          </cell>
          <cell r="J495" t="str">
            <v/>
          </cell>
          <cell r="K495" t="str">
            <v>91</v>
          </cell>
          <cell r="L495" t="str">
            <v/>
          </cell>
          <cell r="M495" t="str">
            <v/>
          </cell>
          <cell r="P495" t="str">
            <v/>
          </cell>
          <cell r="Q495" t="str">
            <v/>
          </cell>
          <cell r="R495" t="str">
            <v/>
          </cell>
        </row>
        <row r="496">
          <cell r="H496" t="str">
            <v/>
          </cell>
          <cell r="I496" t="str">
            <v/>
          </cell>
          <cell r="J496" t="str">
            <v/>
          </cell>
          <cell r="K496" t="str">
            <v>91</v>
          </cell>
          <cell r="L496" t="str">
            <v/>
          </cell>
          <cell r="M496" t="str">
            <v/>
          </cell>
          <cell r="P496" t="str">
            <v/>
          </cell>
          <cell r="Q496" t="str">
            <v/>
          </cell>
          <cell r="R496" t="str">
            <v/>
          </cell>
        </row>
        <row r="497">
          <cell r="H497" t="str">
            <v/>
          </cell>
          <cell r="I497" t="str">
            <v/>
          </cell>
          <cell r="J497" t="str">
            <v/>
          </cell>
          <cell r="K497" t="str">
            <v>91</v>
          </cell>
          <cell r="L497" t="str">
            <v/>
          </cell>
          <cell r="M497" t="str">
            <v/>
          </cell>
          <cell r="P497" t="str">
            <v/>
          </cell>
          <cell r="Q497" t="str">
            <v/>
          </cell>
          <cell r="R497" t="str">
            <v/>
          </cell>
        </row>
        <row r="498">
          <cell r="H498" t="str">
            <v/>
          </cell>
          <cell r="I498" t="str">
            <v/>
          </cell>
          <cell r="J498" t="str">
            <v/>
          </cell>
          <cell r="K498" t="str">
            <v>91</v>
          </cell>
          <cell r="L498" t="str">
            <v/>
          </cell>
          <cell r="M498" t="str">
            <v/>
          </cell>
          <cell r="P498" t="str">
            <v/>
          </cell>
          <cell r="Q498" t="str">
            <v/>
          </cell>
          <cell r="R498" t="str">
            <v/>
          </cell>
        </row>
        <row r="499">
          <cell r="H499" t="str">
            <v/>
          </cell>
          <cell r="I499" t="str">
            <v/>
          </cell>
          <cell r="J499" t="str">
            <v/>
          </cell>
          <cell r="K499" t="str">
            <v>91</v>
          </cell>
          <cell r="L499" t="str">
            <v/>
          </cell>
          <cell r="M499" t="str">
            <v/>
          </cell>
          <cell r="P499" t="str">
            <v/>
          </cell>
          <cell r="Q499" t="str">
            <v/>
          </cell>
          <cell r="R499" t="str">
            <v/>
          </cell>
        </row>
        <row r="500">
          <cell r="I500" t="str">
            <v>TOTAL.............................................................</v>
          </cell>
          <cell r="P500">
            <v>1785231.56</v>
          </cell>
          <cell r="Q500">
            <v>1785231.56</v>
          </cell>
          <cell r="V500">
            <v>0</v>
          </cell>
        </row>
        <row r="504">
          <cell r="M504" t="str">
            <v>PREPARADO POR:</v>
          </cell>
          <cell r="P504" t="str">
            <v>Vera Lucia</v>
          </cell>
          <cell r="S504" t="str">
            <v>FOLHA Nº</v>
          </cell>
          <cell r="T504">
            <v>2</v>
          </cell>
        </row>
        <row r="508">
          <cell r="M508" t="str">
            <v>FICHA DE LANÇAMENTO CONTÁBIL</v>
          </cell>
        </row>
        <row r="512">
          <cell r="H512" t="str">
            <v xml:space="preserve">DESCRIÇÃO </v>
          </cell>
          <cell r="Q512" t="str">
            <v>Nº</v>
          </cell>
          <cell r="R512" t="str">
            <v>LC</v>
          </cell>
          <cell r="S512" t="str">
            <v>EMP.</v>
          </cell>
          <cell r="T512" t="str">
            <v>DATA DO</v>
          </cell>
        </row>
        <row r="513">
          <cell r="H513" t="str">
            <v>APROPRIAÇÃO DE FATURAS E DESPESAS DE IMPORTAÇÃO - MATERIAL DE CONSUMO</v>
          </cell>
          <cell r="Q513" t="str">
            <v>VOUCHER</v>
          </cell>
          <cell r="R513" t="str">
            <v>EMIT.</v>
          </cell>
          <cell r="S513" t="str">
            <v>EMIT.</v>
          </cell>
          <cell r="T513" t="str">
            <v>LÇTO</v>
          </cell>
        </row>
        <row r="514">
          <cell r="Q514" t="str">
            <v>13/0041</v>
          </cell>
          <cell r="R514" t="str">
            <v>91</v>
          </cell>
          <cell r="S514" t="str">
            <v>01</v>
          </cell>
          <cell r="T514">
            <v>36219</v>
          </cell>
        </row>
        <row r="515">
          <cell r="H515" t="str">
            <v xml:space="preserve"> </v>
          </cell>
        </row>
        <row r="516">
          <cell r="H516" t="str">
            <v>Nº DE</v>
          </cell>
          <cell r="I516" t="str">
            <v>CORRENTISTA</v>
          </cell>
          <cell r="K516" t="str">
            <v>LOCAL</v>
          </cell>
          <cell r="L516" t="str">
            <v xml:space="preserve">CONTA </v>
          </cell>
          <cell r="N516" t="str">
            <v>COD</v>
          </cell>
          <cell r="O516" t="str">
            <v>Nº DE</v>
          </cell>
          <cell r="P516" t="str">
            <v>VALOR</v>
          </cell>
          <cell r="R516" t="str">
            <v>COD.</v>
          </cell>
          <cell r="S516" t="str">
            <v>COMPLEMENTO</v>
          </cell>
        </row>
        <row r="517">
          <cell r="H517" t="str">
            <v>LÇTO.</v>
          </cell>
          <cell r="I517" t="str">
            <v>CÓDIGO</v>
          </cell>
          <cell r="K517" t="str">
            <v>CONT.</v>
          </cell>
          <cell r="L517" t="str">
            <v>C/CUSTO</v>
          </cell>
          <cell r="M517" t="str">
            <v>DV</v>
          </cell>
          <cell r="N517" t="str">
            <v>DESP/BCO</v>
          </cell>
          <cell r="O517" t="str">
            <v>ORDEM</v>
          </cell>
          <cell r="P517" t="str">
            <v>DÉBITO</v>
          </cell>
          <cell r="Q517" t="str">
            <v>CRÉDITO</v>
          </cell>
          <cell r="R517" t="str">
            <v>HIST</v>
          </cell>
          <cell r="S517" t="str">
            <v>HISTÓRICO</v>
          </cell>
        </row>
        <row r="518">
          <cell r="H518">
            <v>3</v>
          </cell>
          <cell r="I518">
            <v>91953</v>
          </cell>
          <cell r="J518" t="str">
            <v>001</v>
          </cell>
          <cell r="K518" t="str">
            <v>91</v>
          </cell>
          <cell r="L518" t="str">
            <v>081201</v>
          </cell>
          <cell r="M518">
            <v>3</v>
          </cell>
          <cell r="Q518">
            <v>239009.89</v>
          </cell>
          <cell r="R518">
            <v>679</v>
          </cell>
        </row>
        <row r="519">
          <cell r="H519">
            <v>3</v>
          </cell>
          <cell r="K519" t="str">
            <v>91</v>
          </cell>
          <cell r="L519">
            <v>31220</v>
          </cell>
          <cell r="M519" t="e">
            <v>#VALUE!</v>
          </cell>
          <cell r="N519">
            <v>220</v>
          </cell>
          <cell r="P519">
            <v>241493.14</v>
          </cell>
          <cell r="R519">
            <v>304</v>
          </cell>
        </row>
        <row r="520">
          <cell r="H520">
            <v>3</v>
          </cell>
          <cell r="K520" t="str">
            <v>91</v>
          </cell>
          <cell r="L520" t="str">
            <v>094100</v>
          </cell>
          <cell r="M520">
            <v>1</v>
          </cell>
          <cell r="Q520">
            <v>2483.25</v>
          </cell>
          <cell r="R520">
            <v>677</v>
          </cell>
        </row>
        <row r="521">
          <cell r="H521">
            <v>4</v>
          </cell>
          <cell r="I521">
            <v>91953</v>
          </cell>
          <cell r="J521" t="str">
            <v>001</v>
          </cell>
          <cell r="K521" t="str">
            <v>91</v>
          </cell>
          <cell r="L521" t="str">
            <v>081201</v>
          </cell>
          <cell r="M521">
            <v>3</v>
          </cell>
          <cell r="Q521">
            <v>4762.32</v>
          </cell>
          <cell r="R521">
            <v>679</v>
          </cell>
        </row>
        <row r="522">
          <cell r="H522">
            <v>4</v>
          </cell>
          <cell r="K522" t="str">
            <v>91</v>
          </cell>
          <cell r="L522">
            <v>312200</v>
          </cell>
          <cell r="M522">
            <v>1</v>
          </cell>
          <cell r="N522">
            <v>85</v>
          </cell>
          <cell r="P522">
            <v>9546.74</v>
          </cell>
          <cell r="R522">
            <v>304</v>
          </cell>
        </row>
        <row r="523">
          <cell r="H523">
            <v>4</v>
          </cell>
          <cell r="K523" t="str">
            <v>91</v>
          </cell>
          <cell r="L523" t="str">
            <v>094100</v>
          </cell>
          <cell r="M523">
            <v>1</v>
          </cell>
          <cell r="Q523">
            <v>4784.42</v>
          </cell>
          <cell r="R523">
            <v>677</v>
          </cell>
        </row>
        <row r="524">
          <cell r="H524">
            <v>5</v>
          </cell>
          <cell r="I524">
            <v>91330</v>
          </cell>
          <cell r="J524" t="str">
            <v>001</v>
          </cell>
          <cell r="K524" t="str">
            <v>91</v>
          </cell>
          <cell r="L524" t="str">
            <v>081201</v>
          </cell>
          <cell r="M524">
            <v>3</v>
          </cell>
          <cell r="Q524">
            <v>7098.03</v>
          </cell>
          <cell r="R524">
            <v>679</v>
          </cell>
        </row>
        <row r="525">
          <cell r="H525">
            <v>5</v>
          </cell>
          <cell r="K525" t="str">
            <v>91</v>
          </cell>
          <cell r="L525">
            <v>312200</v>
          </cell>
          <cell r="M525">
            <v>1</v>
          </cell>
          <cell r="N525">
            <v>85</v>
          </cell>
          <cell r="P525">
            <v>13880.39</v>
          </cell>
          <cell r="R525">
            <v>304</v>
          </cell>
        </row>
        <row r="526">
          <cell r="H526">
            <v>5</v>
          </cell>
          <cell r="K526" t="str">
            <v>91</v>
          </cell>
          <cell r="L526" t="str">
            <v>094100</v>
          </cell>
          <cell r="M526">
            <v>1</v>
          </cell>
          <cell r="Q526">
            <v>6782.36</v>
          </cell>
          <cell r="R526">
            <v>677</v>
          </cell>
        </row>
        <row r="527">
          <cell r="H527">
            <v>6</v>
          </cell>
          <cell r="I527">
            <v>91330</v>
          </cell>
          <cell r="J527" t="str">
            <v>001</v>
          </cell>
          <cell r="K527" t="str">
            <v>91</v>
          </cell>
          <cell r="L527" t="str">
            <v>081201</v>
          </cell>
          <cell r="M527">
            <v>3</v>
          </cell>
          <cell r="Q527">
            <v>1413.42</v>
          </cell>
          <cell r="R527">
            <v>679</v>
          </cell>
        </row>
        <row r="528">
          <cell r="H528">
            <v>6</v>
          </cell>
          <cell r="K528" t="str">
            <v>91</v>
          </cell>
          <cell r="L528">
            <v>312200</v>
          </cell>
          <cell r="M528">
            <v>1</v>
          </cell>
          <cell r="N528">
            <v>85</v>
          </cell>
          <cell r="P528">
            <v>3348.79</v>
          </cell>
          <cell r="R528">
            <v>304</v>
          </cell>
        </row>
        <row r="529">
          <cell r="H529">
            <v>6</v>
          </cell>
          <cell r="K529" t="str">
            <v>91</v>
          </cell>
          <cell r="L529" t="str">
            <v>094100</v>
          </cell>
          <cell r="M529">
            <v>1</v>
          </cell>
          <cell r="Q529">
            <v>1935.37</v>
          </cell>
          <cell r="R529">
            <v>677</v>
          </cell>
        </row>
        <row r="530">
          <cell r="H530">
            <v>7</v>
          </cell>
          <cell r="I530">
            <v>91330</v>
          </cell>
          <cell r="J530" t="str">
            <v>001</v>
          </cell>
          <cell r="K530" t="str">
            <v>91</v>
          </cell>
          <cell r="L530" t="str">
            <v>081201</v>
          </cell>
          <cell r="M530">
            <v>3</v>
          </cell>
          <cell r="Q530">
            <v>1656.45</v>
          </cell>
          <cell r="R530">
            <v>679</v>
          </cell>
        </row>
        <row r="531">
          <cell r="H531">
            <v>7</v>
          </cell>
          <cell r="K531" t="str">
            <v>91</v>
          </cell>
          <cell r="L531">
            <v>315320</v>
          </cell>
          <cell r="M531">
            <v>7</v>
          </cell>
          <cell r="N531">
            <v>24</v>
          </cell>
          <cell r="P531">
            <v>3924.8900000000003</v>
          </cell>
          <cell r="R531">
            <v>304</v>
          </cell>
        </row>
        <row r="532">
          <cell r="H532">
            <v>7</v>
          </cell>
          <cell r="K532" t="str">
            <v>91</v>
          </cell>
          <cell r="L532" t="str">
            <v>094100</v>
          </cell>
          <cell r="M532">
            <v>1</v>
          </cell>
          <cell r="Q532">
            <v>2268.44</v>
          </cell>
          <cell r="R532">
            <v>677</v>
          </cell>
        </row>
        <row r="533">
          <cell r="H533">
            <v>8</v>
          </cell>
          <cell r="I533">
            <v>91330</v>
          </cell>
          <cell r="J533" t="str">
            <v>001</v>
          </cell>
          <cell r="K533" t="str">
            <v>91</v>
          </cell>
          <cell r="L533" t="str">
            <v>081201</v>
          </cell>
          <cell r="M533">
            <v>3</v>
          </cell>
          <cell r="Q533">
            <v>1923.15</v>
          </cell>
          <cell r="R533">
            <v>679</v>
          </cell>
        </row>
        <row r="534">
          <cell r="H534">
            <v>8</v>
          </cell>
          <cell r="K534" t="str">
            <v>91</v>
          </cell>
          <cell r="L534">
            <v>315320</v>
          </cell>
          <cell r="M534">
            <v>7</v>
          </cell>
          <cell r="N534">
            <v>25</v>
          </cell>
          <cell r="P534">
            <v>4556.7800000000007</v>
          </cell>
          <cell r="R534">
            <v>304</v>
          </cell>
        </row>
        <row r="535">
          <cell r="H535">
            <v>8</v>
          </cell>
          <cell r="K535" t="str">
            <v>91</v>
          </cell>
          <cell r="L535" t="str">
            <v>094100</v>
          </cell>
          <cell r="M535">
            <v>1</v>
          </cell>
          <cell r="Q535">
            <v>2633.63</v>
          </cell>
          <cell r="R535">
            <v>677</v>
          </cell>
        </row>
        <row r="536">
          <cell r="I536" t="str">
            <v>TOTAL.............................................................</v>
          </cell>
          <cell r="P536">
            <v>276750.73000000004</v>
          </cell>
          <cell r="Q536">
            <v>276750.73000000004</v>
          </cell>
          <cell r="V536">
            <v>1</v>
          </cell>
        </row>
        <row r="540">
          <cell r="M540" t="str">
            <v>PREPARADO POR:</v>
          </cell>
          <cell r="P540" t="str">
            <v>Vera Lucia</v>
          </cell>
          <cell r="S540" t="str">
            <v>FOLHA Nº</v>
          </cell>
          <cell r="T540">
            <v>2</v>
          </cell>
        </row>
        <row r="544">
          <cell r="M544" t="str">
            <v>FICHA DE LANÇAMENTO CONTÁBIL</v>
          </cell>
        </row>
        <row r="548">
          <cell r="H548" t="str">
            <v xml:space="preserve">DESCRIÇÃO </v>
          </cell>
          <cell r="Q548" t="str">
            <v>Nº</v>
          </cell>
          <cell r="R548" t="str">
            <v>LC</v>
          </cell>
          <cell r="S548" t="str">
            <v>EMP.</v>
          </cell>
          <cell r="T548" t="str">
            <v>DATA DO</v>
          </cell>
        </row>
        <row r="549">
          <cell r="H549" t="str">
            <v>APROPRIAÇÃO DE FATURAS E DESPESAS DE IMPORTAÇÃO - MATERIAL DE CONSUMO</v>
          </cell>
          <cell r="Q549" t="str">
            <v>VOUCHER</v>
          </cell>
          <cell r="R549" t="str">
            <v>EMIT.</v>
          </cell>
          <cell r="S549" t="str">
            <v>EMIT.</v>
          </cell>
          <cell r="T549" t="str">
            <v>LÇTO</v>
          </cell>
        </row>
        <row r="550">
          <cell r="Q550" t="str">
            <v>13/0041</v>
          </cell>
          <cell r="R550" t="str">
            <v>91</v>
          </cell>
          <cell r="S550" t="str">
            <v>01</v>
          </cell>
          <cell r="T550">
            <v>36219</v>
          </cell>
        </row>
        <row r="551">
          <cell r="H551" t="str">
            <v xml:space="preserve"> </v>
          </cell>
        </row>
        <row r="552">
          <cell r="H552" t="str">
            <v>Nº DE</v>
          </cell>
          <cell r="I552" t="str">
            <v>CORRENTISTA</v>
          </cell>
          <cell r="K552" t="str">
            <v>LOCAL</v>
          </cell>
          <cell r="L552" t="str">
            <v xml:space="preserve">CONTA </v>
          </cell>
          <cell r="N552" t="str">
            <v>COD</v>
          </cell>
          <cell r="O552" t="str">
            <v>Nº DE</v>
          </cell>
          <cell r="P552" t="str">
            <v>VALOR</v>
          </cell>
          <cell r="R552" t="str">
            <v>COD.</v>
          </cell>
          <cell r="S552" t="str">
            <v>COMPLEMENTO</v>
          </cell>
        </row>
        <row r="553">
          <cell r="H553" t="str">
            <v>LÇTO.</v>
          </cell>
          <cell r="I553" t="str">
            <v>CÓDIGO</v>
          </cell>
          <cell r="K553" t="str">
            <v>CONT.</v>
          </cell>
          <cell r="L553" t="str">
            <v>C/CUSTO</v>
          </cell>
          <cell r="M553" t="str">
            <v>DV</v>
          </cell>
          <cell r="N553" t="str">
            <v>DESP/BCO</v>
          </cell>
          <cell r="O553" t="str">
            <v>ORDEM</v>
          </cell>
          <cell r="P553" t="str">
            <v>DÉBITO</v>
          </cell>
          <cell r="Q553" t="str">
            <v>CRÉDITO</v>
          </cell>
          <cell r="R553" t="str">
            <v>HIST</v>
          </cell>
          <cell r="S553" t="str">
            <v>HISTÓRICO</v>
          </cell>
        </row>
        <row r="554">
          <cell r="H554" t="str">
            <v>DE TRANSPORTE ................................................................................................</v>
          </cell>
          <cell r="P554">
            <v>276750.73000000004</v>
          </cell>
          <cell r="Q554">
            <v>276750.73000000004</v>
          </cell>
        </row>
        <row r="555">
          <cell r="H555">
            <v>9</v>
          </cell>
          <cell r="I555" t="str">
            <v>92375</v>
          </cell>
          <cell r="J555" t="str">
            <v>001</v>
          </cell>
          <cell r="K555" t="str">
            <v>91</v>
          </cell>
          <cell r="L555" t="str">
            <v>081201</v>
          </cell>
          <cell r="M555">
            <v>3</v>
          </cell>
          <cell r="Q555">
            <v>80.44</v>
          </cell>
          <cell r="R555">
            <v>679</v>
          </cell>
        </row>
        <row r="556">
          <cell r="H556">
            <v>9</v>
          </cell>
          <cell r="K556" t="str">
            <v>91</v>
          </cell>
          <cell r="L556">
            <v>390008</v>
          </cell>
          <cell r="M556">
            <v>8</v>
          </cell>
          <cell r="N556">
            <v>24</v>
          </cell>
          <cell r="P556">
            <v>1043.1500000000001</v>
          </cell>
          <cell r="R556">
            <v>304</v>
          </cell>
        </row>
        <row r="557">
          <cell r="H557">
            <v>9</v>
          </cell>
          <cell r="K557" t="str">
            <v>91</v>
          </cell>
          <cell r="L557" t="str">
            <v>094100</v>
          </cell>
          <cell r="M557">
            <v>1</v>
          </cell>
          <cell r="Q557">
            <v>962.71</v>
          </cell>
          <cell r="R557">
            <v>677</v>
          </cell>
        </row>
        <row r="558">
          <cell r="H558">
            <v>10</v>
          </cell>
          <cell r="I558" t="str">
            <v>92375</v>
          </cell>
          <cell r="J558" t="str">
            <v>001</v>
          </cell>
          <cell r="K558" t="str">
            <v>91</v>
          </cell>
          <cell r="L558" t="str">
            <v>081201</v>
          </cell>
          <cell r="M558">
            <v>3</v>
          </cell>
          <cell r="Q558">
            <v>273.14</v>
          </cell>
          <cell r="R558">
            <v>679</v>
          </cell>
        </row>
        <row r="559">
          <cell r="H559">
            <v>10</v>
          </cell>
          <cell r="K559" t="str">
            <v>91</v>
          </cell>
          <cell r="L559">
            <v>390008</v>
          </cell>
          <cell r="M559">
            <v>8</v>
          </cell>
          <cell r="N559">
            <v>24</v>
          </cell>
          <cell r="P559">
            <v>1276.53</v>
          </cell>
          <cell r="R559">
            <v>304</v>
          </cell>
        </row>
        <row r="560">
          <cell r="H560">
            <v>10</v>
          </cell>
          <cell r="K560" t="str">
            <v>91</v>
          </cell>
          <cell r="L560" t="str">
            <v>094100</v>
          </cell>
          <cell r="M560">
            <v>1</v>
          </cell>
          <cell r="Q560">
            <v>1003.39</v>
          </cell>
          <cell r="R560">
            <v>677</v>
          </cell>
          <cell r="AA560" t="str">
            <v>PROC</v>
          </cell>
          <cell r="AB560" t="str">
            <v>NF</v>
          </cell>
          <cell r="AC560" t="str">
            <v>FRETE</v>
          </cell>
          <cell r="AD560" t="str">
            <v>SEG</v>
          </cell>
          <cell r="AE560" t="str">
            <v>COM</v>
          </cell>
          <cell r="AF560" t="str">
            <v>ALF</v>
          </cell>
          <cell r="AG560" t="str">
            <v>IMP</v>
          </cell>
          <cell r="AH560" t="str">
            <v>TOTAL</v>
          </cell>
          <cell r="AI560" t="str">
            <v>FOB</v>
          </cell>
          <cell r="AJ560" t="str">
            <v>FORN</v>
          </cell>
          <cell r="AK560" t="str">
            <v>TIPO</v>
          </cell>
          <cell r="AL560" t="str">
            <v>DESP</v>
          </cell>
          <cell r="AM560" t="str">
            <v>CC</v>
          </cell>
        </row>
        <row r="561">
          <cell r="H561">
            <v>11</v>
          </cell>
          <cell r="I561" t="str">
            <v>92385</v>
          </cell>
          <cell r="J561" t="str">
            <v>001</v>
          </cell>
          <cell r="K561" t="str">
            <v>91</v>
          </cell>
          <cell r="L561" t="str">
            <v>081201</v>
          </cell>
          <cell r="M561">
            <v>3</v>
          </cell>
          <cell r="Q561">
            <v>566.47</v>
          </cell>
          <cell r="R561">
            <v>679</v>
          </cell>
          <cell r="AA561">
            <v>984386</v>
          </cell>
          <cell r="AC561">
            <v>95</v>
          </cell>
          <cell r="AD561">
            <v>20</v>
          </cell>
          <cell r="AE561">
            <v>460</v>
          </cell>
          <cell r="AF561">
            <v>205</v>
          </cell>
          <cell r="AG561">
            <v>625</v>
          </cell>
          <cell r="AH561">
            <v>2483.25</v>
          </cell>
          <cell r="AI561">
            <v>239009.89</v>
          </cell>
          <cell r="AJ561">
            <v>91953</v>
          </cell>
          <cell r="AK561" t="str">
            <v>MC</v>
          </cell>
          <cell r="AL561">
            <v>220</v>
          </cell>
          <cell r="AM561">
            <v>31220</v>
          </cell>
        </row>
        <row r="562">
          <cell r="H562">
            <v>11</v>
          </cell>
          <cell r="K562" t="str">
            <v>91</v>
          </cell>
          <cell r="L562">
            <v>390012</v>
          </cell>
          <cell r="M562">
            <v>6</v>
          </cell>
          <cell r="N562">
            <v>24</v>
          </cell>
          <cell r="P562">
            <v>2079.27</v>
          </cell>
          <cell r="R562">
            <v>304</v>
          </cell>
          <cell r="AA562">
            <v>985203</v>
          </cell>
          <cell r="AC562">
            <v>95</v>
          </cell>
          <cell r="AD562">
            <v>46</v>
          </cell>
          <cell r="AE562">
            <v>460</v>
          </cell>
          <cell r="AF562">
            <v>337</v>
          </cell>
          <cell r="AG562">
            <v>1414</v>
          </cell>
          <cell r="AH562">
            <v>4784.42</v>
          </cell>
          <cell r="AI562">
            <v>4762.32</v>
          </cell>
          <cell r="AJ562">
            <v>91953</v>
          </cell>
          <cell r="AK562" t="str">
            <v>MC</v>
          </cell>
          <cell r="AL562">
            <v>85</v>
          </cell>
          <cell r="AM562">
            <v>312200</v>
          </cell>
        </row>
        <row r="563">
          <cell r="H563">
            <v>11</v>
          </cell>
          <cell r="K563" t="str">
            <v>91</v>
          </cell>
          <cell r="L563" t="str">
            <v>094100</v>
          </cell>
          <cell r="M563">
            <v>1</v>
          </cell>
          <cell r="Q563">
            <v>1512.8</v>
          </cell>
          <cell r="R563">
            <v>677</v>
          </cell>
          <cell r="AA563">
            <v>985254</v>
          </cell>
          <cell r="AC563">
            <v>228</v>
          </cell>
          <cell r="AD563">
            <v>68</v>
          </cell>
          <cell r="AE563">
            <v>439</v>
          </cell>
          <cell r="AF563">
            <v>499</v>
          </cell>
          <cell r="AG563">
            <v>2100</v>
          </cell>
          <cell r="AH563">
            <v>6782.36</v>
          </cell>
          <cell r="AI563">
            <v>7098.03</v>
          </cell>
          <cell r="AJ563">
            <v>91330</v>
          </cell>
          <cell r="AK563" t="str">
            <v>MC</v>
          </cell>
          <cell r="AL563">
            <v>85</v>
          </cell>
          <cell r="AM563">
            <v>312200</v>
          </cell>
        </row>
        <row r="564">
          <cell r="H564">
            <v>12</v>
          </cell>
          <cell r="I564" t="str">
            <v>91031</v>
          </cell>
          <cell r="J564" t="str">
            <v>001</v>
          </cell>
          <cell r="K564" t="str">
            <v>91</v>
          </cell>
          <cell r="L564" t="str">
            <v>081201</v>
          </cell>
          <cell r="M564">
            <v>3</v>
          </cell>
          <cell r="Q564">
            <v>2934.31</v>
          </cell>
          <cell r="R564">
            <v>679</v>
          </cell>
          <cell r="AA564">
            <v>990570</v>
          </cell>
          <cell r="AC564">
            <v>66.97</v>
          </cell>
          <cell r="AD564">
            <v>17.12</v>
          </cell>
          <cell r="AE564">
            <v>128.72</v>
          </cell>
          <cell r="AF564">
            <v>124.9</v>
          </cell>
          <cell r="AG564">
            <v>563.84</v>
          </cell>
          <cell r="AH564">
            <v>1935.37</v>
          </cell>
          <cell r="AI564">
            <v>1413.42</v>
          </cell>
          <cell r="AJ564">
            <v>91330</v>
          </cell>
          <cell r="AK564" t="str">
            <v>MC</v>
          </cell>
          <cell r="AL564">
            <v>85</v>
          </cell>
          <cell r="AM564">
            <v>312200</v>
          </cell>
        </row>
        <row r="565">
          <cell r="H565">
            <v>12</v>
          </cell>
          <cell r="K565" t="str">
            <v>91</v>
          </cell>
          <cell r="L565">
            <v>312200</v>
          </cell>
          <cell r="M565">
            <v>1</v>
          </cell>
          <cell r="N565">
            <v>85</v>
          </cell>
          <cell r="P565">
            <v>5826.1</v>
          </cell>
          <cell r="R565">
            <v>304</v>
          </cell>
          <cell r="AA565">
            <v>990570</v>
          </cell>
          <cell r="AC565">
            <v>78.5</v>
          </cell>
          <cell r="AD565">
            <v>20.07</v>
          </cell>
          <cell r="AE565">
            <v>150.88</v>
          </cell>
          <cell r="AF565">
            <v>146.4</v>
          </cell>
          <cell r="AG565">
            <v>660.87</v>
          </cell>
          <cell r="AH565">
            <v>2268.44</v>
          </cell>
          <cell r="AI565">
            <v>1656.45</v>
          </cell>
          <cell r="AJ565">
            <v>91330</v>
          </cell>
          <cell r="AK565" t="str">
            <v>MC</v>
          </cell>
          <cell r="AL565">
            <v>24</v>
          </cell>
          <cell r="AM565">
            <v>315320</v>
          </cell>
        </row>
        <row r="566">
          <cell r="H566">
            <v>12</v>
          </cell>
          <cell r="K566" t="str">
            <v>91</v>
          </cell>
          <cell r="L566" t="str">
            <v>094100</v>
          </cell>
          <cell r="M566">
            <v>1</v>
          </cell>
          <cell r="Q566">
            <v>2891.79</v>
          </cell>
          <cell r="R566">
            <v>677</v>
          </cell>
          <cell r="AA566">
            <v>990570</v>
          </cell>
          <cell r="AC566">
            <v>91.13</v>
          </cell>
          <cell r="AD566">
            <v>23.3</v>
          </cell>
          <cell r="AE566">
            <v>175.17</v>
          </cell>
          <cell r="AF566">
            <v>169.97</v>
          </cell>
          <cell r="AG566">
            <v>767.26</v>
          </cell>
          <cell r="AH566">
            <v>2633.63</v>
          </cell>
          <cell r="AI566">
            <v>1923.15</v>
          </cell>
          <cell r="AJ566">
            <v>91330</v>
          </cell>
          <cell r="AK566" t="str">
            <v>MC</v>
          </cell>
          <cell r="AL566">
            <v>25</v>
          </cell>
          <cell r="AM566">
            <v>315320</v>
          </cell>
        </row>
        <row r="567">
          <cell r="H567" t="str">
            <v/>
          </cell>
          <cell r="I567" t="str">
            <v/>
          </cell>
          <cell r="J567" t="str">
            <v/>
          </cell>
          <cell r="K567" t="str">
            <v>91</v>
          </cell>
          <cell r="L567" t="str">
            <v/>
          </cell>
          <cell r="M567" t="str">
            <v/>
          </cell>
          <cell r="Q567" t="str">
            <v/>
          </cell>
          <cell r="R567" t="str">
            <v/>
          </cell>
          <cell r="AA567">
            <v>990655</v>
          </cell>
          <cell r="AC567">
            <v>208</v>
          </cell>
          <cell r="AD567">
            <v>1</v>
          </cell>
          <cell r="AE567">
            <v>463</v>
          </cell>
          <cell r="AF567">
            <v>138</v>
          </cell>
          <cell r="AG567">
            <v>54</v>
          </cell>
          <cell r="AH567">
            <v>962.71</v>
          </cell>
          <cell r="AI567">
            <v>80.44</v>
          </cell>
          <cell r="AJ567">
            <v>92375</v>
          </cell>
          <cell r="AK567" t="str">
            <v>MC</v>
          </cell>
          <cell r="AL567">
            <v>24</v>
          </cell>
          <cell r="AM567">
            <v>390008</v>
          </cell>
        </row>
        <row r="568">
          <cell r="H568" t="str">
            <v/>
          </cell>
          <cell r="K568" t="str">
            <v>91</v>
          </cell>
          <cell r="L568" t="str">
            <v/>
          </cell>
          <cell r="M568" t="str">
            <v/>
          </cell>
          <cell r="N568" t="str">
            <v/>
          </cell>
          <cell r="P568" t="str">
            <v/>
          </cell>
          <cell r="R568" t="str">
            <v/>
          </cell>
          <cell r="AA568">
            <v>990659</v>
          </cell>
          <cell r="AC568">
            <v>182</v>
          </cell>
          <cell r="AD568">
            <v>2</v>
          </cell>
          <cell r="AE568">
            <v>446</v>
          </cell>
          <cell r="AF568">
            <v>142</v>
          </cell>
          <cell r="AG568">
            <v>84</v>
          </cell>
          <cell r="AH568">
            <v>1003.39</v>
          </cell>
          <cell r="AI568">
            <v>273.14</v>
          </cell>
          <cell r="AJ568">
            <v>92375</v>
          </cell>
          <cell r="AK568" t="str">
            <v>MC</v>
          </cell>
          <cell r="AL568">
            <v>24</v>
          </cell>
          <cell r="AM568">
            <v>390008</v>
          </cell>
        </row>
        <row r="569">
          <cell r="H569" t="str">
            <v/>
          </cell>
          <cell r="K569" t="str">
            <v>91</v>
          </cell>
          <cell r="L569" t="str">
            <v/>
          </cell>
          <cell r="M569" t="str">
            <v/>
          </cell>
          <cell r="Q569" t="str">
            <v/>
          </cell>
          <cell r="R569" t="str">
            <v/>
          </cell>
          <cell r="AA569">
            <v>990691</v>
          </cell>
          <cell r="AC569">
            <v>338</v>
          </cell>
          <cell r="AD569">
            <v>6</v>
          </cell>
          <cell r="AE569">
            <v>455</v>
          </cell>
          <cell r="AF569">
            <v>154</v>
          </cell>
          <cell r="AG569">
            <v>200</v>
          </cell>
          <cell r="AH569">
            <v>1512.8</v>
          </cell>
          <cell r="AI569">
            <v>566.47</v>
          </cell>
          <cell r="AJ569">
            <v>92385</v>
          </cell>
          <cell r="AK569" t="str">
            <v>MC</v>
          </cell>
          <cell r="AL569">
            <v>24</v>
          </cell>
          <cell r="AM569">
            <v>390012</v>
          </cell>
        </row>
        <row r="570">
          <cell r="H570" t="str">
            <v/>
          </cell>
          <cell r="I570" t="str">
            <v/>
          </cell>
          <cell r="J570" t="str">
            <v/>
          </cell>
          <cell r="K570" t="str">
            <v>91</v>
          </cell>
          <cell r="L570" t="str">
            <v/>
          </cell>
          <cell r="M570" t="str">
            <v/>
          </cell>
          <cell r="Q570" t="str">
            <v/>
          </cell>
          <cell r="R570" t="str">
            <v/>
          </cell>
          <cell r="AA570">
            <v>990692</v>
          </cell>
          <cell r="AC570">
            <v>283</v>
          </cell>
          <cell r="AD570">
            <v>19</v>
          </cell>
          <cell r="AE570">
            <v>439</v>
          </cell>
          <cell r="AF570">
            <v>203</v>
          </cell>
          <cell r="AG570">
            <v>601</v>
          </cell>
          <cell r="AH570">
            <v>2891.79</v>
          </cell>
          <cell r="AI570">
            <v>2934.31</v>
          </cell>
          <cell r="AJ570">
            <v>91031</v>
          </cell>
          <cell r="AK570" t="str">
            <v>MC</v>
          </cell>
          <cell r="AL570">
            <v>85</v>
          </cell>
          <cell r="AM570">
            <v>312200</v>
          </cell>
        </row>
        <row r="571">
          <cell r="H571" t="str">
            <v/>
          </cell>
          <cell r="K571" t="str">
            <v>91</v>
          </cell>
          <cell r="L571" t="str">
            <v/>
          </cell>
          <cell r="M571" t="str">
            <v/>
          </cell>
          <cell r="N571" t="str">
            <v/>
          </cell>
          <cell r="P571" t="str">
            <v/>
          </cell>
          <cell r="R571" t="str">
            <v/>
          </cell>
          <cell r="AH571">
            <v>0</v>
          </cell>
        </row>
        <row r="572">
          <cell r="I572" t="str">
            <v>TOTAL.............................................................</v>
          </cell>
          <cell r="P572">
            <v>286975.78000000009</v>
          </cell>
          <cell r="Q572">
            <v>286975.78000000003</v>
          </cell>
          <cell r="V572">
            <v>1</v>
          </cell>
        </row>
        <row r="576">
          <cell r="M576" t="str">
            <v>PREPARADO POR:</v>
          </cell>
          <cell r="P576" t="str">
            <v>Vera Lucia</v>
          </cell>
          <cell r="S576" t="str">
            <v>FOLHA Nº</v>
          </cell>
          <cell r="T576">
            <v>3</v>
          </cell>
        </row>
        <row r="580">
          <cell r="M580" t="str">
            <v>FICHA DE LANÇAMENTO CONTÁBIL</v>
          </cell>
        </row>
        <row r="584">
          <cell r="H584" t="str">
            <v xml:space="preserve">DESCRIÇÃO </v>
          </cell>
          <cell r="Q584" t="str">
            <v>Nº</v>
          </cell>
          <cell r="R584" t="str">
            <v>LC</v>
          </cell>
          <cell r="S584" t="str">
            <v>EMP.</v>
          </cell>
          <cell r="T584" t="str">
            <v>DATA DO</v>
          </cell>
        </row>
        <row r="585">
          <cell r="H585" t="str">
            <v>APROPRIAÇÃO DE FATURAS E DESPESAS DE IMPORTAÇÃO - MATERIAL DE CONSUMO</v>
          </cell>
          <cell r="Q585" t="str">
            <v>VOUCHER</v>
          </cell>
          <cell r="R585" t="str">
            <v>EMIT.</v>
          </cell>
          <cell r="S585" t="str">
            <v>EMIT.</v>
          </cell>
          <cell r="T585" t="str">
            <v>LÇTO</v>
          </cell>
        </row>
        <row r="586">
          <cell r="Q586" t="str">
            <v>13/0041</v>
          </cell>
          <cell r="R586" t="str">
            <v>91</v>
          </cell>
          <cell r="S586" t="str">
            <v>01</v>
          </cell>
          <cell r="T586">
            <v>36219</v>
          </cell>
        </row>
        <row r="587">
          <cell r="H587" t="str">
            <v xml:space="preserve"> </v>
          </cell>
        </row>
        <row r="588">
          <cell r="H588" t="str">
            <v>Nº DE</v>
          </cell>
          <cell r="I588" t="str">
            <v>CORRENTISTA</v>
          </cell>
          <cell r="K588" t="str">
            <v>LOCAL</v>
          </cell>
          <cell r="L588" t="str">
            <v xml:space="preserve">CONTA </v>
          </cell>
          <cell r="N588" t="str">
            <v>COD</v>
          </cell>
          <cell r="O588" t="str">
            <v>Nº DE</v>
          </cell>
          <cell r="P588" t="str">
            <v>VALOR</v>
          </cell>
          <cell r="R588" t="str">
            <v>COD.</v>
          </cell>
          <cell r="S588" t="str">
            <v>COMPLEMENTO</v>
          </cell>
        </row>
        <row r="589">
          <cell r="H589" t="str">
            <v>LÇTO.</v>
          </cell>
          <cell r="I589" t="str">
            <v>CÓDIGO</v>
          </cell>
          <cell r="K589" t="str">
            <v>CONT.</v>
          </cell>
          <cell r="L589" t="str">
            <v>C/CUSTO</v>
          </cell>
          <cell r="M589" t="str">
            <v>DV</v>
          </cell>
          <cell r="N589" t="str">
            <v>DESP/BCO</v>
          </cell>
          <cell r="O589" t="str">
            <v>ORDEM</v>
          </cell>
          <cell r="P589" t="str">
            <v>DÉBITO</v>
          </cell>
          <cell r="Q589" t="str">
            <v>CRÉDITO</v>
          </cell>
          <cell r="R589" t="str">
            <v>HIST</v>
          </cell>
          <cell r="S589" t="str">
            <v>HISTÓRICO</v>
          </cell>
        </row>
        <row r="590">
          <cell r="H590" t="str">
            <v>DE TRANSPORTE ................................................................................................</v>
          </cell>
          <cell r="P590">
            <v>286975.78000000009</v>
          </cell>
          <cell r="Q590">
            <v>286975.78000000003</v>
          </cell>
        </row>
        <row r="591">
          <cell r="H591" t="str">
            <v/>
          </cell>
          <cell r="K591" t="str">
            <v>91</v>
          </cell>
          <cell r="L591" t="str">
            <v/>
          </cell>
          <cell r="M591" t="str">
            <v/>
          </cell>
          <cell r="Q591" t="str">
            <v/>
          </cell>
          <cell r="R591" t="str">
            <v/>
          </cell>
        </row>
        <row r="592">
          <cell r="H592" t="str">
            <v/>
          </cell>
          <cell r="I592" t="str">
            <v/>
          </cell>
          <cell r="J592" t="str">
            <v/>
          </cell>
          <cell r="K592" t="str">
            <v>91</v>
          </cell>
          <cell r="L592" t="str">
            <v/>
          </cell>
          <cell r="M592" t="str">
            <v/>
          </cell>
          <cell r="Q592" t="str">
            <v/>
          </cell>
          <cell r="R592" t="str">
            <v/>
          </cell>
        </row>
        <row r="593">
          <cell r="H593" t="str">
            <v/>
          </cell>
          <cell r="K593" t="str">
            <v>91</v>
          </cell>
          <cell r="L593" t="str">
            <v/>
          </cell>
          <cell r="M593" t="str">
            <v/>
          </cell>
          <cell r="N593" t="str">
            <v/>
          </cell>
          <cell r="P593" t="str">
            <v/>
          </cell>
          <cell r="R593" t="str">
            <v/>
          </cell>
        </row>
        <row r="594">
          <cell r="H594" t="str">
            <v/>
          </cell>
          <cell r="K594" t="str">
            <v>91</v>
          </cell>
          <cell r="L594" t="str">
            <v/>
          </cell>
          <cell r="M594" t="str">
            <v/>
          </cell>
          <cell r="Q594" t="str">
            <v/>
          </cell>
          <cell r="R594" t="str">
            <v/>
          </cell>
        </row>
        <row r="595">
          <cell r="H595" t="str">
            <v/>
          </cell>
          <cell r="I595" t="str">
            <v/>
          </cell>
          <cell r="J595" t="str">
            <v/>
          </cell>
          <cell r="K595" t="str">
            <v>91</v>
          </cell>
          <cell r="L595" t="str">
            <v/>
          </cell>
          <cell r="M595" t="str">
            <v/>
          </cell>
          <cell r="Q595" t="str">
            <v/>
          </cell>
          <cell r="R595" t="str">
            <v/>
          </cell>
        </row>
        <row r="596">
          <cell r="H596" t="str">
            <v/>
          </cell>
          <cell r="K596" t="str">
            <v>91</v>
          </cell>
          <cell r="L596" t="str">
            <v/>
          </cell>
          <cell r="M596" t="str">
            <v/>
          </cell>
          <cell r="N596" t="str">
            <v/>
          </cell>
          <cell r="P596" t="str">
            <v/>
          </cell>
          <cell r="R596" t="str">
            <v/>
          </cell>
        </row>
        <row r="597">
          <cell r="H597" t="str">
            <v/>
          </cell>
          <cell r="K597" t="str">
            <v>91</v>
          </cell>
          <cell r="L597" t="str">
            <v/>
          </cell>
          <cell r="M597" t="str">
            <v/>
          </cell>
          <cell r="Q597" t="str">
            <v/>
          </cell>
          <cell r="R597" t="str">
            <v/>
          </cell>
        </row>
        <row r="598">
          <cell r="H598" t="str">
            <v/>
          </cell>
          <cell r="I598" t="str">
            <v/>
          </cell>
          <cell r="J598" t="str">
            <v/>
          </cell>
          <cell r="K598" t="str">
            <v>91</v>
          </cell>
          <cell r="L598" t="str">
            <v/>
          </cell>
          <cell r="M598" t="str">
            <v/>
          </cell>
          <cell r="Q598" t="str">
            <v/>
          </cell>
          <cell r="R598" t="str">
            <v/>
          </cell>
        </row>
        <row r="599">
          <cell r="H599" t="str">
            <v/>
          </cell>
          <cell r="K599" t="str">
            <v>91</v>
          </cell>
          <cell r="L599" t="str">
            <v/>
          </cell>
          <cell r="M599" t="str">
            <v/>
          </cell>
          <cell r="N599" t="str">
            <v/>
          </cell>
          <cell r="P599" t="str">
            <v/>
          </cell>
          <cell r="R599" t="str">
            <v/>
          </cell>
        </row>
        <row r="600">
          <cell r="H600" t="str">
            <v/>
          </cell>
          <cell r="K600" t="str">
            <v>91</v>
          </cell>
          <cell r="L600" t="str">
            <v/>
          </cell>
          <cell r="M600" t="str">
            <v/>
          </cell>
          <cell r="Q600" t="str">
            <v/>
          </cell>
          <cell r="R600" t="str">
            <v/>
          </cell>
        </row>
        <row r="601">
          <cell r="H601" t="str">
            <v/>
          </cell>
          <cell r="I601" t="str">
            <v/>
          </cell>
          <cell r="J601" t="str">
            <v/>
          </cell>
          <cell r="K601" t="str">
            <v>91</v>
          </cell>
          <cell r="L601" t="str">
            <v/>
          </cell>
          <cell r="M601" t="str">
            <v/>
          </cell>
          <cell r="Q601" t="str">
            <v/>
          </cell>
          <cell r="R601" t="str">
            <v/>
          </cell>
        </row>
        <row r="602">
          <cell r="H602" t="str">
            <v/>
          </cell>
          <cell r="K602" t="str">
            <v>91</v>
          </cell>
          <cell r="L602" t="str">
            <v/>
          </cell>
          <cell r="M602" t="str">
            <v/>
          </cell>
          <cell r="N602" t="str">
            <v/>
          </cell>
          <cell r="P602" t="str">
            <v/>
          </cell>
          <cell r="R602" t="str">
            <v/>
          </cell>
        </row>
        <row r="603">
          <cell r="H603" t="str">
            <v/>
          </cell>
          <cell r="K603" t="str">
            <v>91</v>
          </cell>
          <cell r="L603" t="str">
            <v/>
          </cell>
          <cell r="M603" t="str">
            <v/>
          </cell>
          <cell r="Q603" t="str">
            <v/>
          </cell>
          <cell r="R603" t="str">
            <v/>
          </cell>
        </row>
        <row r="604">
          <cell r="H604" t="str">
            <v/>
          </cell>
          <cell r="I604" t="str">
            <v/>
          </cell>
          <cell r="J604" t="str">
            <v/>
          </cell>
          <cell r="K604" t="str">
            <v>91</v>
          </cell>
          <cell r="L604" t="str">
            <v/>
          </cell>
          <cell r="M604" t="str">
            <v/>
          </cell>
          <cell r="Q604" t="str">
            <v/>
          </cell>
          <cell r="R604" t="str">
            <v/>
          </cell>
        </row>
        <row r="605">
          <cell r="H605" t="str">
            <v/>
          </cell>
          <cell r="K605" t="str">
            <v>91</v>
          </cell>
          <cell r="L605" t="str">
            <v/>
          </cell>
          <cell r="M605" t="str">
            <v/>
          </cell>
          <cell r="N605" t="str">
            <v/>
          </cell>
          <cell r="P605" t="str">
            <v/>
          </cell>
          <cell r="R605" t="str">
            <v/>
          </cell>
        </row>
        <row r="606">
          <cell r="H606" t="str">
            <v/>
          </cell>
          <cell r="K606" t="str">
            <v>91</v>
          </cell>
          <cell r="L606" t="str">
            <v/>
          </cell>
          <cell r="M606" t="str">
            <v/>
          </cell>
          <cell r="Q606" t="str">
            <v/>
          </cell>
          <cell r="R606" t="str">
            <v/>
          </cell>
        </row>
        <row r="607">
          <cell r="H607" t="str">
            <v/>
          </cell>
          <cell r="I607" t="str">
            <v/>
          </cell>
          <cell r="J607" t="str">
            <v/>
          </cell>
          <cell r="K607" t="str">
            <v>91</v>
          </cell>
          <cell r="L607" t="str">
            <v/>
          </cell>
          <cell r="M607" t="str">
            <v/>
          </cell>
          <cell r="Q607" t="str">
            <v/>
          </cell>
          <cell r="R607" t="str">
            <v/>
          </cell>
        </row>
        <row r="608">
          <cell r="I608" t="str">
            <v>TOTAL.............................................................</v>
          </cell>
          <cell r="P608">
            <v>286975.78000000009</v>
          </cell>
          <cell r="Q608">
            <v>286975.78000000003</v>
          </cell>
          <cell r="V608">
            <v>0</v>
          </cell>
        </row>
        <row r="612">
          <cell r="M612" t="str">
            <v>PREPARADO POR:</v>
          </cell>
          <cell r="P612" t="str">
            <v>Vera Lucia</v>
          </cell>
          <cell r="S612" t="str">
            <v>FOLHA Nº</v>
          </cell>
          <cell r="T612">
            <v>4</v>
          </cell>
        </row>
        <row r="616">
          <cell r="M616" t="str">
            <v>FICHA DE LANÇAMENTO CONTÁBIL</v>
          </cell>
        </row>
        <row r="620">
          <cell r="H620" t="str">
            <v xml:space="preserve">DESCRIÇÃO </v>
          </cell>
          <cell r="Q620" t="str">
            <v>Nº</v>
          </cell>
          <cell r="R620" t="str">
            <v>LC</v>
          </cell>
          <cell r="S620" t="str">
            <v>EMP.</v>
          </cell>
          <cell r="T620" t="str">
            <v>DATA DO</v>
          </cell>
        </row>
        <row r="621">
          <cell r="H621" t="str">
            <v>APROPRIAÇÃO DE FATURAS E DESPESAS DE IMPORTAÇÃO - MATERIAL DE CONSUMO</v>
          </cell>
          <cell r="Q621" t="str">
            <v>VOUCHER</v>
          </cell>
          <cell r="R621" t="str">
            <v>EMIT.</v>
          </cell>
          <cell r="S621" t="str">
            <v>EMIT.</v>
          </cell>
          <cell r="T621" t="str">
            <v>LÇTO</v>
          </cell>
        </row>
        <row r="622">
          <cell r="Q622" t="str">
            <v>13/0041</v>
          </cell>
          <cell r="R622" t="str">
            <v>91</v>
          </cell>
          <cell r="S622" t="str">
            <v>01</v>
          </cell>
          <cell r="T622">
            <v>36219</v>
          </cell>
        </row>
        <row r="623">
          <cell r="H623" t="str">
            <v xml:space="preserve"> </v>
          </cell>
        </row>
        <row r="624">
          <cell r="H624" t="str">
            <v>Nº DE</v>
          </cell>
          <cell r="I624" t="str">
            <v>CORRENTISTA</v>
          </cell>
          <cell r="K624" t="str">
            <v>LOCAL</v>
          </cell>
          <cell r="L624" t="str">
            <v xml:space="preserve">CONTA </v>
          </cell>
          <cell r="N624" t="str">
            <v>COD</v>
          </cell>
          <cell r="O624" t="str">
            <v>Nº DE</v>
          </cell>
          <cell r="P624" t="str">
            <v>VALOR</v>
          </cell>
          <cell r="R624" t="str">
            <v>COD.</v>
          </cell>
          <cell r="S624" t="str">
            <v>COMPLEMENTO</v>
          </cell>
        </row>
        <row r="625">
          <cell r="H625" t="str">
            <v>LÇTO.</v>
          </cell>
          <cell r="I625" t="str">
            <v>CÓDIGO</v>
          </cell>
          <cell r="K625" t="str">
            <v>CONT.</v>
          </cell>
          <cell r="L625" t="str">
            <v>C/CUSTO</v>
          </cell>
          <cell r="M625" t="str">
            <v>DV</v>
          </cell>
          <cell r="N625" t="str">
            <v>DESP/BCO</v>
          </cell>
          <cell r="O625" t="str">
            <v>ORDEM</v>
          </cell>
          <cell r="P625" t="str">
            <v>DÉBITO</v>
          </cell>
          <cell r="Q625" t="str">
            <v>CRÉDITO</v>
          </cell>
          <cell r="R625" t="str">
            <v>HIST</v>
          </cell>
          <cell r="S625" t="str">
            <v>HISTÓRICO</v>
          </cell>
        </row>
        <row r="626">
          <cell r="H626" t="str">
            <v>DE TRANSPORTE ................................................................................................</v>
          </cell>
          <cell r="P626">
            <v>286975.78000000009</v>
          </cell>
          <cell r="Q626">
            <v>286975.78000000003</v>
          </cell>
        </row>
        <row r="627">
          <cell r="H627" t="str">
            <v/>
          </cell>
          <cell r="K627" t="str">
            <v>91</v>
          </cell>
          <cell r="L627" t="str">
            <v/>
          </cell>
          <cell r="M627" t="str">
            <v/>
          </cell>
          <cell r="N627" t="str">
            <v/>
          </cell>
          <cell r="P627" t="str">
            <v/>
          </cell>
          <cell r="R627" t="str">
            <v/>
          </cell>
        </row>
        <row r="628">
          <cell r="H628" t="str">
            <v/>
          </cell>
          <cell r="K628" t="str">
            <v>91</v>
          </cell>
          <cell r="L628" t="str">
            <v/>
          </cell>
          <cell r="M628" t="str">
            <v/>
          </cell>
          <cell r="Q628" t="str">
            <v/>
          </cell>
          <cell r="R628" t="str">
            <v/>
          </cell>
        </row>
        <row r="629">
          <cell r="H629" t="str">
            <v/>
          </cell>
          <cell r="I629" t="str">
            <v/>
          </cell>
          <cell r="J629" t="str">
            <v/>
          </cell>
          <cell r="K629" t="str">
            <v>91</v>
          </cell>
          <cell r="L629" t="str">
            <v/>
          </cell>
          <cell r="M629" t="str">
            <v/>
          </cell>
          <cell r="Q629" t="str">
            <v/>
          </cell>
          <cell r="R629" t="str">
            <v/>
          </cell>
        </row>
        <row r="630">
          <cell r="H630" t="str">
            <v/>
          </cell>
          <cell r="K630" t="str">
            <v>91</v>
          </cell>
          <cell r="L630" t="str">
            <v/>
          </cell>
          <cell r="M630" t="str">
            <v/>
          </cell>
          <cell r="N630" t="str">
            <v/>
          </cell>
          <cell r="P630" t="str">
            <v/>
          </cell>
          <cell r="R630" t="str">
            <v/>
          </cell>
        </row>
        <row r="631">
          <cell r="H631" t="str">
            <v/>
          </cell>
          <cell r="K631" t="str">
            <v>91</v>
          </cell>
          <cell r="L631" t="str">
            <v/>
          </cell>
          <cell r="M631" t="str">
            <v/>
          </cell>
          <cell r="Q631" t="str">
            <v/>
          </cell>
          <cell r="R631" t="str">
            <v/>
          </cell>
        </row>
        <row r="632">
          <cell r="H632" t="str">
            <v/>
          </cell>
          <cell r="I632" t="str">
            <v/>
          </cell>
          <cell r="J632" t="str">
            <v/>
          </cell>
          <cell r="K632" t="str">
            <v>91</v>
          </cell>
          <cell r="L632" t="str">
            <v/>
          </cell>
          <cell r="M632" t="str">
            <v/>
          </cell>
          <cell r="Q632" t="str">
            <v/>
          </cell>
          <cell r="R632" t="str">
            <v/>
          </cell>
        </row>
        <row r="633">
          <cell r="H633" t="str">
            <v/>
          </cell>
          <cell r="K633" t="str">
            <v>91</v>
          </cell>
          <cell r="L633" t="str">
            <v/>
          </cell>
          <cell r="M633" t="str">
            <v/>
          </cell>
          <cell r="N633" t="str">
            <v/>
          </cell>
          <cell r="P633" t="str">
            <v/>
          </cell>
          <cell r="R633" t="str">
            <v/>
          </cell>
        </row>
        <row r="634">
          <cell r="H634" t="str">
            <v/>
          </cell>
          <cell r="K634" t="str">
            <v>91</v>
          </cell>
          <cell r="L634" t="str">
            <v/>
          </cell>
          <cell r="M634" t="str">
            <v/>
          </cell>
          <cell r="Q634" t="str">
            <v/>
          </cell>
          <cell r="R634" t="str">
            <v/>
          </cell>
        </row>
        <row r="635">
          <cell r="H635" t="str">
            <v/>
          </cell>
          <cell r="I635" t="str">
            <v/>
          </cell>
          <cell r="J635" t="str">
            <v/>
          </cell>
          <cell r="K635" t="str">
            <v>91</v>
          </cell>
          <cell r="L635" t="str">
            <v/>
          </cell>
          <cell r="M635" t="str">
            <v/>
          </cell>
          <cell r="Q635" t="str">
            <v/>
          </cell>
          <cell r="R635" t="str">
            <v/>
          </cell>
        </row>
        <row r="636">
          <cell r="H636" t="str">
            <v/>
          </cell>
          <cell r="K636" t="str">
            <v>91</v>
          </cell>
          <cell r="L636" t="str">
            <v/>
          </cell>
          <cell r="M636" t="str">
            <v/>
          </cell>
          <cell r="N636" t="str">
            <v/>
          </cell>
          <cell r="P636" t="str">
            <v/>
          </cell>
          <cell r="R636" t="str">
            <v/>
          </cell>
        </row>
        <row r="637">
          <cell r="H637" t="str">
            <v/>
          </cell>
          <cell r="K637" t="str">
            <v>91</v>
          </cell>
          <cell r="L637" t="str">
            <v/>
          </cell>
          <cell r="M637" t="str">
            <v/>
          </cell>
          <cell r="Q637" t="str">
            <v/>
          </cell>
          <cell r="R637" t="str">
            <v/>
          </cell>
        </row>
        <row r="638">
          <cell r="H638" t="str">
            <v/>
          </cell>
          <cell r="I638" t="str">
            <v/>
          </cell>
          <cell r="J638" t="str">
            <v/>
          </cell>
          <cell r="K638" t="str">
            <v>91</v>
          </cell>
          <cell r="L638" t="str">
            <v/>
          </cell>
          <cell r="M638" t="str">
            <v/>
          </cell>
          <cell r="Q638" t="str">
            <v/>
          </cell>
          <cell r="R638" t="str">
            <v/>
          </cell>
        </row>
        <row r="639">
          <cell r="H639" t="str">
            <v/>
          </cell>
          <cell r="K639" t="str">
            <v>91</v>
          </cell>
          <cell r="L639" t="str">
            <v/>
          </cell>
          <cell r="M639" t="str">
            <v/>
          </cell>
          <cell r="N639" t="str">
            <v/>
          </cell>
          <cell r="P639" t="str">
            <v/>
          </cell>
          <cell r="R639" t="str">
            <v/>
          </cell>
        </row>
        <row r="640">
          <cell r="H640" t="str">
            <v/>
          </cell>
          <cell r="K640" t="str">
            <v>91</v>
          </cell>
          <cell r="L640" t="str">
            <v/>
          </cell>
          <cell r="M640" t="str">
            <v/>
          </cell>
          <cell r="Q640" t="str">
            <v/>
          </cell>
          <cell r="R640" t="str">
            <v/>
          </cell>
        </row>
        <row r="641">
          <cell r="H641" t="str">
            <v/>
          </cell>
          <cell r="I641" t="str">
            <v/>
          </cell>
          <cell r="J641" t="str">
            <v/>
          </cell>
          <cell r="K641" t="str">
            <v>91</v>
          </cell>
          <cell r="L641" t="str">
            <v/>
          </cell>
          <cell r="M641" t="str">
            <v/>
          </cell>
          <cell r="Q641" t="str">
            <v/>
          </cell>
          <cell r="R641" t="str">
            <v/>
          </cell>
        </row>
        <row r="642">
          <cell r="H642" t="str">
            <v/>
          </cell>
          <cell r="K642" t="str">
            <v>91</v>
          </cell>
          <cell r="L642" t="str">
            <v/>
          </cell>
          <cell r="M642" t="str">
            <v/>
          </cell>
          <cell r="N642" t="str">
            <v/>
          </cell>
          <cell r="P642" t="str">
            <v/>
          </cell>
          <cell r="R642" t="str">
            <v/>
          </cell>
        </row>
        <row r="643">
          <cell r="H643" t="str">
            <v/>
          </cell>
          <cell r="K643" t="str">
            <v>91</v>
          </cell>
          <cell r="L643" t="str">
            <v/>
          </cell>
          <cell r="M643" t="str">
            <v/>
          </cell>
          <cell r="Q643" t="str">
            <v/>
          </cell>
          <cell r="R643" t="str">
            <v/>
          </cell>
        </row>
        <row r="644">
          <cell r="I644" t="str">
            <v>TOTAL.............................................................</v>
          </cell>
          <cell r="P644">
            <v>286975.78000000009</v>
          </cell>
          <cell r="Q644">
            <v>286975.78000000003</v>
          </cell>
          <cell r="V644">
            <v>0</v>
          </cell>
        </row>
        <row r="648">
          <cell r="M648" t="str">
            <v>PREPARADO POR:</v>
          </cell>
          <cell r="P648" t="str">
            <v>Vera Lucia</v>
          </cell>
          <cell r="S648" t="str">
            <v>FOLHA Nº</v>
          </cell>
          <cell r="T648">
            <v>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sheetName val="REPORT"/>
      <sheetName val="Base Dealer.PDV"/>
      <sheetName val="Plan3"/>
    </sheetNames>
    <sheetDataSet>
      <sheetData sheetId="0" refreshError="1">
        <row r="3">
          <cell r="A3" t="str">
            <v>0185771K01</v>
          </cell>
          <cell r="B3" t="str">
            <v>ASSY REAR HSNG JAWS</v>
          </cell>
          <cell r="C3">
            <v>1</v>
          </cell>
          <cell r="D3" t="str">
            <v>JAWS</v>
          </cell>
          <cell r="F3">
            <v>13700</v>
          </cell>
          <cell r="G3">
            <v>15000</v>
          </cell>
          <cell r="GB3">
            <v>15000</v>
          </cell>
          <cell r="GC3">
            <v>1300</v>
          </cell>
        </row>
        <row r="4">
          <cell r="A4" t="str">
            <v>0187394K04</v>
          </cell>
          <cell r="B4" t="str">
            <v>ASSY LAMP ELECLUM CDM</v>
          </cell>
          <cell r="C4">
            <v>1</v>
          </cell>
          <cell r="D4" t="str">
            <v>JAWS</v>
          </cell>
          <cell r="F4">
            <v>20000</v>
          </cell>
          <cell r="GB4">
            <v>0</v>
          </cell>
          <cell r="GC4">
            <v>-20000</v>
          </cell>
        </row>
        <row r="5">
          <cell r="A5" t="str">
            <v>2113928C04</v>
          </cell>
          <cell r="B5" t="str">
            <v>CAP CER CHIP 4.7UF 6.</v>
          </cell>
          <cell r="C5">
            <v>3</v>
          </cell>
          <cell r="D5" t="str">
            <v>JAWS</v>
          </cell>
          <cell r="F5">
            <v>17300</v>
          </cell>
          <cell r="G5">
            <v>51000</v>
          </cell>
          <cell r="GB5">
            <v>51000</v>
          </cell>
          <cell r="GC5">
            <v>33700</v>
          </cell>
        </row>
        <row r="6">
          <cell r="A6" t="str">
            <v>2609473U02</v>
          </cell>
          <cell r="B6" t="str">
            <v>SHIELD ZIF</v>
          </cell>
          <cell r="C6">
            <v>1</v>
          </cell>
          <cell r="D6" t="str">
            <v>JAWS</v>
          </cell>
          <cell r="F6">
            <v>20000</v>
          </cell>
          <cell r="GB6">
            <v>0</v>
          </cell>
          <cell r="GC6">
            <v>-20000</v>
          </cell>
        </row>
        <row r="7">
          <cell r="A7" t="str">
            <v>4809924D11</v>
          </cell>
          <cell r="B7" t="str">
            <v>DIODE SCHTTKY DUAL RB</v>
          </cell>
          <cell r="C7">
            <v>1</v>
          </cell>
          <cell r="D7" t="str">
            <v>JAWS</v>
          </cell>
          <cell r="F7">
            <v>20000</v>
          </cell>
          <cell r="G7">
            <v>21000</v>
          </cell>
          <cell r="GB7">
            <v>21000</v>
          </cell>
          <cell r="GC7">
            <v>1000</v>
          </cell>
        </row>
        <row r="8">
          <cell r="A8" t="str">
            <v>4813832P70</v>
          </cell>
          <cell r="B8" t="str">
            <v>TRANS SUP 5.6V QUAD</v>
          </cell>
          <cell r="C8">
            <v>1</v>
          </cell>
          <cell r="D8" t="str">
            <v>JAWS</v>
          </cell>
          <cell r="F8">
            <v>1300</v>
          </cell>
          <cell r="G8">
            <v>12000</v>
          </cell>
          <cell r="GB8">
            <v>12000</v>
          </cell>
          <cell r="GC8">
            <v>10700</v>
          </cell>
        </row>
        <row r="9">
          <cell r="A9" t="str">
            <v>5109509A31</v>
          </cell>
          <cell r="B9" t="str">
            <v>IC SRAM 128KX16 HY62V</v>
          </cell>
          <cell r="C9">
            <v>1</v>
          </cell>
          <cell r="D9" t="str">
            <v>JAWS</v>
          </cell>
          <cell r="F9">
            <v>20000</v>
          </cell>
          <cell r="G9">
            <v>25000</v>
          </cell>
          <cell r="GB9">
            <v>25000</v>
          </cell>
          <cell r="GC9">
            <v>5000</v>
          </cell>
        </row>
        <row r="10">
          <cell r="A10" t="str">
            <v>5109773F15</v>
          </cell>
          <cell r="B10" t="str">
            <v>IC CUST CASPER PCZ900</v>
          </cell>
          <cell r="C10">
            <v>1</v>
          </cell>
          <cell r="D10" t="str">
            <v>JAWS</v>
          </cell>
          <cell r="F10">
            <v>19580</v>
          </cell>
          <cell r="G10">
            <v>6000</v>
          </cell>
          <cell r="GB10">
            <v>6000</v>
          </cell>
          <cell r="GC10">
            <v>-13580</v>
          </cell>
        </row>
        <row r="11">
          <cell r="A11" t="str">
            <v>5109923D36</v>
          </cell>
          <cell r="B11" t="str">
            <v>IC CUST CIA SC29100GR</v>
          </cell>
          <cell r="C11">
            <v>1</v>
          </cell>
          <cell r="D11" t="str">
            <v>JAWS</v>
          </cell>
          <cell r="F11">
            <v>19300</v>
          </cell>
          <cell r="G11">
            <v>25000</v>
          </cell>
          <cell r="GB11">
            <v>25000</v>
          </cell>
          <cell r="GC11">
            <v>5700</v>
          </cell>
        </row>
        <row r="12">
          <cell r="A12" t="str">
            <v>8485920J01</v>
          </cell>
          <cell r="B12" t="str">
            <v>PCB MAIN PORTABLE</v>
          </cell>
          <cell r="C12">
            <v>1</v>
          </cell>
          <cell r="D12" t="str">
            <v>JAWS</v>
          </cell>
          <cell r="F12">
            <v>19596</v>
          </cell>
          <cell r="G12">
            <v>10000</v>
          </cell>
          <cell r="GB12">
            <v>10000</v>
          </cell>
          <cell r="GC12">
            <v>-9596</v>
          </cell>
        </row>
      </sheetData>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aixa"/>
      <sheetName val="K117"/>
      <sheetName val="TRdiaria"/>
      <sheetName val="INDICE"/>
      <sheetName val="REFIS0201"/>
      <sheetName val="Resumo0501 "/>
      <sheetName val="Resumo0401"/>
      <sheetName val="Resumo0301"/>
      <sheetName val="Resumo0201SREFIS"/>
      <sheetName val="Resumo0201"/>
      <sheetName val="Resumo0101"/>
      <sheetName val="Resumo1200"/>
      <sheetName val="Resumo1100"/>
      <sheetName val="Resumo1000"/>
      <sheetName val="L100100"/>
      <sheetName val="L100"/>
      <sheetName val="KLSB100"/>
      <sheetName val="KLSB100100"/>
      <sheetName val="JCB"/>
      <sheetName val="Q100100"/>
      <sheetName val="Q100"/>
      <sheetName val="K100"/>
      <sheetName val="K100100"/>
      <sheetName val="K117A"/>
      <sheetName val="K116"/>
      <sheetName val="KLS104"/>
      <sheetName val="kls109"/>
      <sheetName val="Resumo0501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 val="Plan2"/>
      <sheetName val="Plan3"/>
      <sheetName val="#REF"/>
      <sheetName val="Seguros pgto novembro"/>
      <sheetName val="Subsidio"/>
      <sheetName val="RH cap call 2002-11-02"/>
      <sheetName val="usuarios x mes"/>
      <sheetName val="All Variables"/>
      <sheetName val="Assumptions"/>
      <sheetName val="Forecast R$"/>
      <sheetName val="Seguros_pgto_novembro"/>
      <sheetName val="RH_cap_call_2002-11-02"/>
      <sheetName val="usuarios_x_mes"/>
      <sheetName val="All_Variables"/>
      <sheetName val="VALIDAÇÕES"/>
      <sheetName val="Forecast_R$"/>
      <sheetName val="L100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05"/>
      <sheetName val="2905"/>
      <sheetName val="2805"/>
      <sheetName val="2705"/>
      <sheetName val="2405"/>
      <sheetName val="2305"/>
      <sheetName val="2205"/>
      <sheetName val="2105"/>
      <sheetName val="2005"/>
      <sheetName val="1705"/>
      <sheetName val="1605"/>
      <sheetName val="1505"/>
      <sheetName val="1405"/>
      <sheetName val="1305"/>
      <sheetName val="1005"/>
      <sheetName val="0905"/>
      <sheetName val="0805"/>
      <sheetName val="0705"/>
      <sheetName val="0605"/>
      <sheetName val="0305"/>
      <sheetName val="0205"/>
      <sheetName val="Maio"/>
      <sheetName val="Fluxo"/>
      <sheetName val="Matriz"/>
      <sheetName val="Pendências"/>
      <sheetName val="Variaçõ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1">
          <cell r="L1">
            <v>37378</v>
          </cell>
        </row>
        <row r="2">
          <cell r="L2" t="str">
            <v>Prev</v>
          </cell>
        </row>
        <row r="301">
          <cell r="L301" t="str">
            <v>Prev</v>
          </cell>
        </row>
        <row r="317">
          <cell r="L317" t="str">
            <v>CONTA</v>
          </cell>
        </row>
        <row r="319">
          <cell r="L319">
            <v>300</v>
          </cell>
        </row>
        <row r="320">
          <cell r="L320">
            <v>301</v>
          </cell>
        </row>
        <row r="321">
          <cell r="L321">
            <v>303</v>
          </cell>
        </row>
        <row r="322">
          <cell r="L322">
            <v>304</v>
          </cell>
        </row>
        <row r="323">
          <cell r="L323">
            <v>305</v>
          </cell>
        </row>
        <row r="324">
          <cell r="L324">
            <v>306</v>
          </cell>
        </row>
        <row r="325">
          <cell r="L325">
            <v>308</v>
          </cell>
        </row>
        <row r="326">
          <cell r="L326">
            <v>398</v>
          </cell>
        </row>
        <row r="327">
          <cell r="L327">
            <v>399</v>
          </cell>
        </row>
        <row r="328">
          <cell r="L328">
            <v>400</v>
          </cell>
        </row>
        <row r="329">
          <cell r="L329">
            <v>500</v>
          </cell>
        </row>
        <row r="330">
          <cell r="L330">
            <v>599</v>
          </cell>
        </row>
        <row r="331">
          <cell r="L331">
            <v>600</v>
          </cell>
        </row>
        <row r="332">
          <cell r="L332">
            <v>601</v>
          </cell>
        </row>
        <row r="333">
          <cell r="L333">
            <v>603</v>
          </cell>
        </row>
        <row r="334">
          <cell r="L334">
            <v>604</v>
          </cell>
        </row>
        <row r="335">
          <cell r="L335">
            <v>606</v>
          </cell>
        </row>
        <row r="336">
          <cell r="L336">
            <v>699</v>
          </cell>
        </row>
        <row r="337">
          <cell r="L337">
            <v>700</v>
          </cell>
        </row>
        <row r="338">
          <cell r="L338">
            <v>701</v>
          </cell>
        </row>
        <row r="339">
          <cell r="L339">
            <v>702</v>
          </cell>
        </row>
        <row r="340">
          <cell r="L340">
            <v>703</v>
          </cell>
        </row>
        <row r="341">
          <cell r="L341">
            <v>704</v>
          </cell>
        </row>
        <row r="342">
          <cell r="L342">
            <v>705</v>
          </cell>
        </row>
        <row r="343">
          <cell r="L343">
            <v>706</v>
          </cell>
        </row>
        <row r="344">
          <cell r="L344">
            <v>707</v>
          </cell>
        </row>
        <row r="345">
          <cell r="L345">
            <v>708</v>
          </cell>
        </row>
        <row r="346">
          <cell r="L346">
            <v>709</v>
          </cell>
        </row>
        <row r="347">
          <cell r="L347">
            <v>790</v>
          </cell>
        </row>
        <row r="348">
          <cell r="L348">
            <v>800</v>
          </cell>
        </row>
        <row r="349">
          <cell r="L349">
            <v>801</v>
          </cell>
        </row>
        <row r="350">
          <cell r="L350">
            <v>802</v>
          </cell>
        </row>
        <row r="351">
          <cell r="L351">
            <v>803</v>
          </cell>
        </row>
        <row r="352">
          <cell r="L352">
            <v>804</v>
          </cell>
        </row>
        <row r="353">
          <cell r="L353">
            <v>900</v>
          </cell>
        </row>
        <row r="354">
          <cell r="L354">
            <v>901</v>
          </cell>
        </row>
        <row r="355">
          <cell r="L355">
            <v>910</v>
          </cell>
        </row>
        <row r="356">
          <cell r="L356">
            <v>911</v>
          </cell>
        </row>
        <row r="357">
          <cell r="L357">
            <v>912</v>
          </cell>
        </row>
        <row r="358">
          <cell r="L358">
            <v>913</v>
          </cell>
        </row>
        <row r="359">
          <cell r="L359">
            <v>914</v>
          </cell>
        </row>
        <row r="360">
          <cell r="L360">
            <v>915</v>
          </cell>
        </row>
        <row r="361">
          <cell r="L361">
            <v>916</v>
          </cell>
        </row>
        <row r="362">
          <cell r="L362">
            <v>917</v>
          </cell>
        </row>
        <row r="363">
          <cell r="L363">
            <v>918</v>
          </cell>
        </row>
        <row r="364">
          <cell r="L364">
            <v>920</v>
          </cell>
        </row>
        <row r="365">
          <cell r="L365">
            <v>921</v>
          </cell>
        </row>
        <row r="366">
          <cell r="L366">
            <v>922</v>
          </cell>
        </row>
        <row r="367">
          <cell r="L367">
            <v>923</v>
          </cell>
        </row>
        <row r="368">
          <cell r="L368">
            <v>924</v>
          </cell>
        </row>
        <row r="369">
          <cell r="L369">
            <v>925</v>
          </cell>
        </row>
        <row r="370">
          <cell r="L370">
            <v>926</v>
          </cell>
        </row>
        <row r="371">
          <cell r="L371">
            <v>927</v>
          </cell>
        </row>
        <row r="372">
          <cell r="L372">
            <v>928</v>
          </cell>
        </row>
        <row r="373">
          <cell r="L373">
            <v>930</v>
          </cell>
        </row>
        <row r="374">
          <cell r="L374">
            <v>931</v>
          </cell>
        </row>
        <row r="375">
          <cell r="L375">
            <v>932</v>
          </cell>
        </row>
        <row r="376">
          <cell r="L376">
            <v>933</v>
          </cell>
        </row>
        <row r="377">
          <cell r="L377">
            <v>934</v>
          </cell>
        </row>
        <row r="378">
          <cell r="L378">
            <v>935</v>
          </cell>
        </row>
        <row r="379">
          <cell r="L379">
            <v>936</v>
          </cell>
        </row>
        <row r="380">
          <cell r="L380">
            <v>937</v>
          </cell>
        </row>
        <row r="381">
          <cell r="L381">
            <v>938</v>
          </cell>
        </row>
        <row r="382">
          <cell r="L382">
            <v>990</v>
          </cell>
        </row>
        <row r="383">
          <cell r="L383">
            <v>991</v>
          </cell>
        </row>
        <row r="384">
          <cell r="L384">
            <v>992</v>
          </cell>
        </row>
        <row r="385">
          <cell r="L385">
            <v>993</v>
          </cell>
        </row>
      </sheetData>
      <sheetData sheetId="24"/>
      <sheetData sheetId="2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ontabilização"/>
      <sheetName val="CODE"/>
      <sheetName val="B.Trim.Dealer"/>
      <sheetName val="Base-Comissão Trimestral"/>
      <sheetName val="Média-Prov.Trimestral"/>
    </sheetNames>
    <sheetDataSet>
      <sheetData sheetId="0">
        <row r="5">
          <cell r="B5">
            <v>2</v>
          </cell>
        </row>
      </sheetData>
      <sheetData sheetId="1"/>
      <sheetData sheetId="2"/>
      <sheetData sheetId="3" refreshError="1"/>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ODE"/>
      <sheetName val="Lançamento 1"/>
      <sheetName val="Consolidado"/>
      <sheetName val="6193"/>
      <sheetName val="6215"/>
      <sheetName val="6201"/>
      <sheetName val="6235"/>
      <sheetName val="6192"/>
      <sheetName val="6205"/>
      <sheetName val="6202"/>
      <sheetName val="6203"/>
      <sheetName val="6195"/>
      <sheetName val="6204"/>
      <sheetName val=" 6197"/>
      <sheetName val="6212"/>
    </sheetNames>
    <sheetDataSet>
      <sheetData sheetId="0">
        <row r="1">
          <cell r="B1">
            <v>25</v>
          </cell>
          <cell r="D1" t="str">
            <v>LEGAL ENTITY</v>
          </cell>
          <cell r="F1" t="str">
            <v>SEGMENT1</v>
          </cell>
        </row>
        <row r="2">
          <cell r="B2" t="str">
            <v>NEXTEL BRASIL</v>
          </cell>
          <cell r="D2" t="str">
            <v>ENTIDADE DE NEGOCIO</v>
          </cell>
          <cell r="F2" t="str">
            <v>SEGMENT2</v>
          </cell>
        </row>
        <row r="3">
          <cell r="B3">
            <v>50221</v>
          </cell>
          <cell r="D3" t="str">
            <v>CONTA CONTABIL</v>
          </cell>
          <cell r="F3" t="str">
            <v>SEGMENT3</v>
          </cell>
        </row>
        <row r="4">
          <cell r="B4" t="str">
            <v>Nextel</v>
          </cell>
          <cell r="D4" t="str">
            <v>CENTRO DE CUSTO</v>
          </cell>
          <cell r="F4" t="str">
            <v>SEGMENT4</v>
          </cell>
        </row>
        <row r="5">
          <cell r="B5">
            <v>2</v>
          </cell>
          <cell r="D5" t="str">
            <v>PRODUTO</v>
          </cell>
          <cell r="F5" t="str">
            <v>SEGMENT5</v>
          </cell>
        </row>
        <row r="6">
          <cell r="B6" t="str">
            <v>NEX BR GL Analista Contabil 2</v>
          </cell>
          <cell r="D6" t="str">
            <v>PROJETO</v>
          </cell>
          <cell r="F6" t="str">
            <v>SEGMENT6</v>
          </cell>
        </row>
        <row r="7">
          <cell r="B7">
            <v>7004</v>
          </cell>
        </row>
        <row r="8">
          <cell r="B8">
            <v>50487</v>
          </cell>
        </row>
        <row r="9">
          <cell r="B9" t="str">
            <v>APPS</v>
          </cell>
        </row>
        <row r="11">
          <cell r="B11" t="str">
            <v>produção</v>
          </cell>
        </row>
        <row r="14">
          <cell r="B14" t="str">
            <v>clim3</v>
          </cell>
        </row>
        <row r="15">
          <cell r="B15">
            <v>1981</v>
          </cell>
        </row>
        <row r="17">
          <cell r="B17" t="str">
            <v>.</v>
          </cell>
        </row>
        <row r="18">
          <cell r="B18">
            <v>6</v>
          </cell>
        </row>
        <row r="19">
          <cell r="B19" t="str">
            <v>P</v>
          </cell>
        </row>
        <row r="20">
          <cell r="B20" t="str">
            <v>A</v>
          </cell>
        </row>
        <row r="21">
          <cell r="B21" t="str">
            <v>NE</v>
          </cell>
        </row>
        <row r="22">
          <cell r="B22">
            <v>10</v>
          </cell>
        </row>
        <row r="23">
          <cell r="B23">
            <v>15</v>
          </cell>
        </row>
        <row r="24">
          <cell r="B24">
            <v>9</v>
          </cell>
        </row>
        <row r="25">
          <cell r="B25">
            <v>14</v>
          </cell>
        </row>
        <row r="26">
          <cell r="B26">
            <v>2</v>
          </cell>
        </row>
        <row r="27">
          <cell r="B27">
            <v>16</v>
          </cell>
        </row>
        <row r="28">
          <cell r="B28">
            <v>5</v>
          </cell>
        </row>
        <row r="29">
          <cell r="B29">
            <v>9</v>
          </cell>
        </row>
        <row r="30">
          <cell r="B30">
            <v>1</v>
          </cell>
        </row>
        <row r="31">
          <cell r="B31">
            <v>1</v>
          </cell>
        </row>
        <row r="32">
          <cell r="B32">
            <v>1</v>
          </cell>
        </row>
        <row r="33">
          <cell r="B33" t="str">
            <v>BRL</v>
          </cell>
        </row>
        <row r="34">
          <cell r="B34" t="str">
            <v>N</v>
          </cell>
        </row>
        <row r="35">
          <cell r="B35" t="str">
            <v>N</v>
          </cell>
        </row>
        <row r="36">
          <cell r="B36" t="str">
            <v>W</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ODE"/>
      <sheetName val="Contabilização"/>
      <sheetName val="B.Trim.Dealer"/>
      <sheetName val="Base-Comissão Trimestral"/>
      <sheetName val="Média-Prov.Trimestral"/>
    </sheetNames>
    <sheetDataSet>
      <sheetData sheetId="0" refreshError="1"/>
      <sheetData sheetId="1">
        <row r="32">
          <cell r="B32">
            <v>2</v>
          </cell>
        </row>
      </sheetData>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x0000_ÿ"/>
      <sheetName val="Actual"/>
      <sheetName val="Capital Call"/>
      <sheetName val="Analyse A x F"/>
      <sheetName val="Collection"/>
      <sheetName val="Var us$"/>
      <sheetName val="Var r$"/>
      <sheetName val="Analise Geral"/>
      <sheetName val="RH"/>
      <sheetName val="Services"/>
      <sheetName val="Other Handsets"/>
      <sheetName val="Taxes"/>
      <sheetName val="Telefone"/>
      <sheetName val="IT"/>
      <sheetName val="Flash Plan Daily"/>
      <sheetName val="Flash Plan Year"/>
      <sheetName val="Flash Sources Uses Daily"/>
      <sheetName val="Flash Sources Uses Year"/>
    </sheetNames>
    <sheetDataSet>
      <sheetData sheetId="0"/>
      <sheetData sheetId="1"/>
      <sheetData sheetId="2">
        <row r="69">
          <cell r="D69">
            <v>2792139</v>
          </cell>
          <cell r="E69">
            <v>715721.05811623228</v>
          </cell>
          <cell r="F69">
            <v>73961.846965579898</v>
          </cell>
          <cell r="G69">
            <v>-758276.80682155921</v>
          </cell>
          <cell r="H69">
            <v>528254.95569751423</v>
          </cell>
          <cell r="I69">
            <v>2792139</v>
          </cell>
          <cell r="J69">
            <v>125290.68643881381</v>
          </cell>
          <cell r="K69">
            <v>-459388.86459185486</v>
          </cell>
          <cell r="L69">
            <v>1559857.0317826495</v>
          </cell>
          <cell r="M69">
            <v>1778089.4034640654</v>
          </cell>
          <cell r="N69">
            <v>1670339.4034640654</v>
          </cell>
          <cell r="O69">
            <v>125290.68643881381</v>
          </cell>
        </row>
        <row r="71">
          <cell r="I71">
            <v>0</v>
          </cell>
          <cell r="O71">
            <v>0</v>
          </cell>
        </row>
        <row r="72">
          <cell r="I72">
            <v>0</v>
          </cell>
          <cell r="O72">
            <v>0</v>
          </cell>
        </row>
        <row r="73">
          <cell r="B73" t="str">
            <v>Cash Fund Application</v>
          </cell>
          <cell r="F73">
            <v>341544.98535360582</v>
          </cell>
          <cell r="I73">
            <v>341544.98535360582</v>
          </cell>
          <cell r="O73">
            <v>0</v>
          </cell>
        </row>
      </sheetData>
      <sheetData sheetId="3"/>
      <sheetData sheetId="4">
        <row r="4">
          <cell r="J4" t="str">
            <v>Actual</v>
          </cell>
        </row>
        <row r="19">
          <cell r="C19">
            <v>119310</v>
          </cell>
        </row>
        <row r="20">
          <cell r="C20">
            <v>2314420</v>
          </cell>
        </row>
        <row r="25">
          <cell r="R25">
            <v>0</v>
          </cell>
        </row>
        <row r="28">
          <cell r="C28">
            <v>7670760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Income Statement"/>
      <sheetName val="Balance Sheet"/>
      <sheetName val="Subscribers"/>
      <sheetName val="Sub Breakdown"/>
      <sheetName val="Consol. Arpu  MOU"/>
      <sheetName val="PrePaid Arpu  MOU"/>
      <sheetName val="PostPaid ARPU MOU"/>
      <sheetName val="CPP"/>
      <sheetName val="MOU Data"/>
      <sheetName val="MOU Graphs"/>
      <sheetName val="Airtime Cost-Rev"/>
      <sheetName val="ARPU GROSS ADD"/>
      <sheetName val="ARPU Rate Plan"/>
      <sheetName val="Collections"/>
      <sheetName val="Trend"/>
      <sheetName val="Bad Debt"/>
      <sheetName val="Credit Report"/>
      <sheetName val="Suspensions"/>
      <sheetName val="Customer Care"/>
      <sheetName val="CPGA Trend"/>
      <sheetName val="CPGA"/>
      <sheetName val="Post-paid &amp; Pre-paid"/>
      <sheetName val="Promotions"/>
      <sheetName val="Compensation"/>
      <sheetName val="Handset Pricing"/>
      <sheetName val="Handset Sales"/>
      <sheetName val="Handset Inventory"/>
      <sheetName val="Capex"/>
      <sheetName val="Network Stats"/>
      <sheetName val="Av. Subs per Site"/>
      <sheetName val="Capex Trend"/>
      <sheetName val="Sources &amp; Uses"/>
      <sheetName val="Headcount"/>
      <sheetName val="Employee Metrics"/>
      <sheetName val="Digital"/>
      <sheetName val="Analog"/>
      <sheetName val="Expense Summary"/>
      <sheetName val="Expenses by CC"/>
      <sheetName val="Income_Statement"/>
      <sheetName val="Balance_Sheet"/>
      <sheetName val="Sub_Breakdown"/>
      <sheetName val="Consol__Arpu__MOU"/>
      <sheetName val="PrePaid_Arpu__MOU"/>
      <sheetName val="PostPaid_ARPU_MOU"/>
      <sheetName val="MOU_Data"/>
      <sheetName val="MOU_Graphs"/>
      <sheetName val="Airtime_Cost-Rev"/>
      <sheetName val="ARPU_GROSS_ADD"/>
      <sheetName val="ARPU_Rate_Plan"/>
      <sheetName val="Bad_Debt"/>
      <sheetName val="Credit_Report"/>
      <sheetName val="Customer_Care"/>
      <sheetName val="CPGA_Trend"/>
      <sheetName val="Post-paid_&amp;_Pre-paid"/>
      <sheetName val="Handset_Pricing"/>
      <sheetName val="Handset_Sales"/>
      <sheetName val="Handset_Inventory"/>
      <sheetName val="Network_Stats"/>
      <sheetName val="Av__Subs_per_Site"/>
      <sheetName val="Capex_Trend"/>
      <sheetName val="Sources_&amp;_Uses"/>
      <sheetName val="Employee_Metrics"/>
      <sheetName val="Expense_Summary"/>
      <sheetName val="Expenses_by_CC"/>
    </sheetNames>
    <sheetDataSet>
      <sheetData sheetId="0" refreshError="1">
        <row r="6">
          <cell r="D6" t="str">
            <v>Brazil</v>
          </cell>
        </row>
        <row r="8">
          <cell r="D8">
            <v>2000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2">
          <cell r="B12" t="str">
            <v>Digital CPGA by Component</v>
          </cell>
        </row>
        <row r="14">
          <cell r="H14" t="str">
            <v>Jan</v>
          </cell>
          <cell r="I14" t="str">
            <v>Feb</v>
          </cell>
          <cell r="J14" t="str">
            <v>Mar</v>
          </cell>
          <cell r="K14" t="str">
            <v>Apr</v>
          </cell>
          <cell r="L14" t="str">
            <v>May</v>
          </cell>
          <cell r="M14" t="str">
            <v>Jun</v>
          </cell>
          <cell r="N14" t="str">
            <v>Jul</v>
          </cell>
          <cell r="O14" t="str">
            <v>Aug</v>
          </cell>
          <cell r="P14" t="str">
            <v>Sep</v>
          </cell>
          <cell r="Q14" t="str">
            <v>Oct</v>
          </cell>
          <cell r="R14" t="str">
            <v>Nov</v>
          </cell>
          <cell r="S14" t="str">
            <v>Dec</v>
          </cell>
          <cell r="U14" t="str">
            <v>Current Month</v>
          </cell>
          <cell r="Y14" t="str">
            <v>YTD</v>
          </cell>
        </row>
        <row r="15">
          <cell r="U15" t="str">
            <v>Actual</v>
          </cell>
          <cell r="V15" t="str">
            <v>Budget</v>
          </cell>
          <cell r="W15" t="str">
            <v>Variance</v>
          </cell>
          <cell r="Y15" t="str">
            <v>Actual</v>
          </cell>
          <cell r="Z15" t="str">
            <v>Budget</v>
          </cell>
          <cell r="AA15" t="str">
            <v>Variance</v>
          </cell>
        </row>
        <row r="19">
          <cell r="C19" t="str">
            <v>Grosss Adds</v>
          </cell>
          <cell r="H19">
            <v>9500</v>
          </cell>
          <cell r="I19">
            <v>9500</v>
          </cell>
          <cell r="J19">
            <v>9500</v>
          </cell>
          <cell r="K19">
            <v>9500</v>
          </cell>
          <cell r="L19">
            <v>9500</v>
          </cell>
          <cell r="M19">
            <v>9500</v>
          </cell>
          <cell r="N19">
            <v>9500</v>
          </cell>
          <cell r="O19">
            <v>9500</v>
          </cell>
          <cell r="P19">
            <v>9500</v>
          </cell>
          <cell r="Q19">
            <v>9500</v>
          </cell>
          <cell r="R19">
            <v>9500</v>
          </cell>
          <cell r="S19">
            <v>5000</v>
          </cell>
          <cell r="U19">
            <v>9500</v>
          </cell>
          <cell r="V19">
            <v>0</v>
          </cell>
          <cell r="W19">
            <v>9500</v>
          </cell>
          <cell r="Y19">
            <v>76000</v>
          </cell>
          <cell r="Z19">
            <v>0</v>
          </cell>
          <cell r="AA19">
            <v>76000</v>
          </cell>
        </row>
        <row r="21">
          <cell r="D21" t="str">
            <v>Direct Gross Adds</v>
          </cell>
          <cell r="H21">
            <v>4000</v>
          </cell>
          <cell r="I21">
            <v>4000</v>
          </cell>
          <cell r="J21">
            <v>4000</v>
          </cell>
          <cell r="K21">
            <v>4000</v>
          </cell>
          <cell r="L21">
            <v>4000</v>
          </cell>
          <cell r="M21">
            <v>4000</v>
          </cell>
          <cell r="N21">
            <v>4000</v>
          </cell>
          <cell r="O21">
            <v>4000</v>
          </cell>
          <cell r="P21">
            <v>4000</v>
          </cell>
          <cell r="Q21">
            <v>4000</v>
          </cell>
          <cell r="R21">
            <v>4000</v>
          </cell>
          <cell r="S21">
            <v>4000</v>
          </cell>
          <cell r="U21">
            <v>4000</v>
          </cell>
          <cell r="V21">
            <v>0</v>
          </cell>
          <cell r="W21">
            <v>4000</v>
          </cell>
          <cell r="Y21">
            <v>32000</v>
          </cell>
          <cell r="Z21">
            <v>0</v>
          </cell>
          <cell r="AA21">
            <v>32000</v>
          </cell>
        </row>
        <row r="23">
          <cell r="D23" t="str">
            <v>Indirect Gross Adds</v>
          </cell>
          <cell r="H23">
            <v>5500</v>
          </cell>
          <cell r="I23">
            <v>5500</v>
          </cell>
          <cell r="J23">
            <v>5500</v>
          </cell>
          <cell r="K23">
            <v>5500</v>
          </cell>
          <cell r="L23">
            <v>5500</v>
          </cell>
          <cell r="M23">
            <v>5500</v>
          </cell>
          <cell r="N23">
            <v>5500</v>
          </cell>
          <cell r="O23">
            <v>5500</v>
          </cell>
          <cell r="P23">
            <v>5500</v>
          </cell>
          <cell r="Q23">
            <v>5500</v>
          </cell>
          <cell r="R23">
            <v>5500</v>
          </cell>
          <cell r="S23">
            <v>1000</v>
          </cell>
          <cell r="U23">
            <v>5500</v>
          </cell>
          <cell r="V23">
            <v>0</v>
          </cell>
          <cell r="W23">
            <v>5500</v>
          </cell>
          <cell r="Y23">
            <v>44000</v>
          </cell>
          <cell r="Z23">
            <v>0</v>
          </cell>
          <cell r="AA23">
            <v>44000</v>
          </cell>
        </row>
        <row r="27">
          <cell r="C27" t="str">
            <v>Sales Expense (Excl. Eqpmt Subsidy)</v>
          </cell>
          <cell r="H27">
            <v>141.5</v>
          </cell>
          <cell r="I27">
            <v>141.5</v>
          </cell>
          <cell r="J27">
            <v>141.5</v>
          </cell>
          <cell r="K27">
            <v>141.5</v>
          </cell>
          <cell r="L27">
            <v>141.5</v>
          </cell>
          <cell r="M27">
            <v>141.5</v>
          </cell>
          <cell r="N27">
            <v>141.5</v>
          </cell>
          <cell r="O27">
            <v>141.5</v>
          </cell>
          <cell r="P27">
            <v>141.5</v>
          </cell>
          <cell r="Q27">
            <v>141.5</v>
          </cell>
          <cell r="R27">
            <v>141.5</v>
          </cell>
          <cell r="S27">
            <v>141.5</v>
          </cell>
          <cell r="U27">
            <v>141.5</v>
          </cell>
          <cell r="V27">
            <v>0</v>
          </cell>
          <cell r="W27">
            <v>-141.5</v>
          </cell>
          <cell r="Y27">
            <v>141.5</v>
          </cell>
          <cell r="Z27">
            <v>0</v>
          </cell>
          <cell r="AA27">
            <v>-141.5</v>
          </cell>
        </row>
        <row r="30">
          <cell r="C30" t="str">
            <v>Marketing Expense (Excl. Advertising)</v>
          </cell>
          <cell r="H30">
            <v>7.88</v>
          </cell>
          <cell r="I30">
            <v>7.88</v>
          </cell>
          <cell r="J30">
            <v>7.88</v>
          </cell>
          <cell r="K30">
            <v>7.88</v>
          </cell>
          <cell r="L30">
            <v>7.88</v>
          </cell>
          <cell r="M30">
            <v>7.88</v>
          </cell>
          <cell r="N30">
            <v>7.88</v>
          </cell>
          <cell r="O30">
            <v>7.88</v>
          </cell>
          <cell r="P30">
            <v>7.88</v>
          </cell>
          <cell r="Q30">
            <v>7.88</v>
          </cell>
          <cell r="R30">
            <v>7.88</v>
          </cell>
          <cell r="S30">
            <v>7.88</v>
          </cell>
          <cell r="U30">
            <v>7.88</v>
          </cell>
          <cell r="V30">
            <v>0</v>
          </cell>
          <cell r="W30">
            <v>-7.88</v>
          </cell>
          <cell r="Y30">
            <v>7.88</v>
          </cell>
          <cell r="Z30">
            <v>0</v>
          </cell>
          <cell r="AA30">
            <v>-7.88</v>
          </cell>
        </row>
        <row r="33">
          <cell r="C33" t="str">
            <v>Advertising Expense</v>
          </cell>
          <cell r="H33">
            <v>77.13</v>
          </cell>
          <cell r="I33">
            <v>77.13</v>
          </cell>
          <cell r="J33">
            <v>77.13</v>
          </cell>
          <cell r="K33">
            <v>77.13</v>
          </cell>
          <cell r="L33">
            <v>77.13</v>
          </cell>
          <cell r="M33">
            <v>77.13</v>
          </cell>
          <cell r="N33">
            <v>77.13</v>
          </cell>
          <cell r="O33">
            <v>77.13</v>
          </cell>
          <cell r="P33">
            <v>77.13</v>
          </cell>
          <cell r="Q33">
            <v>77.13</v>
          </cell>
          <cell r="R33">
            <v>77.13</v>
          </cell>
          <cell r="S33">
            <v>77.13</v>
          </cell>
          <cell r="U33">
            <v>77.13</v>
          </cell>
          <cell r="V33">
            <v>0</v>
          </cell>
          <cell r="W33">
            <v>-77.13</v>
          </cell>
          <cell r="Y33">
            <v>77.13</v>
          </cell>
          <cell r="Z33">
            <v>0</v>
          </cell>
          <cell r="AA33">
            <v>-77.13</v>
          </cell>
        </row>
        <row r="36">
          <cell r="C36" t="str">
            <v>Fulfillment Expense</v>
          </cell>
          <cell r="H36">
            <v>9.33</v>
          </cell>
          <cell r="I36">
            <v>9.33</v>
          </cell>
          <cell r="J36">
            <v>9.33</v>
          </cell>
          <cell r="K36">
            <v>9.33</v>
          </cell>
          <cell r="L36">
            <v>9.33</v>
          </cell>
          <cell r="M36">
            <v>9.33</v>
          </cell>
          <cell r="N36">
            <v>9.33</v>
          </cell>
          <cell r="O36">
            <v>9.33</v>
          </cell>
          <cell r="P36">
            <v>9.33</v>
          </cell>
          <cell r="Q36">
            <v>9.33</v>
          </cell>
          <cell r="R36">
            <v>9.33</v>
          </cell>
          <cell r="S36">
            <v>9.33</v>
          </cell>
          <cell r="U36">
            <v>9.33</v>
          </cell>
          <cell r="V36">
            <v>0</v>
          </cell>
          <cell r="W36">
            <v>-9.33</v>
          </cell>
          <cell r="Y36">
            <v>9.33</v>
          </cell>
          <cell r="Z36">
            <v>0</v>
          </cell>
          <cell r="AA36">
            <v>-9.33</v>
          </cell>
        </row>
        <row r="39">
          <cell r="C39" t="str">
            <v>Equipment Subsidy</v>
          </cell>
          <cell r="H39">
            <v>159.83000000000001</v>
          </cell>
          <cell r="I39">
            <v>159.83000000000001</v>
          </cell>
          <cell r="J39">
            <v>159.83000000000001</v>
          </cell>
          <cell r="K39">
            <v>159.83000000000001</v>
          </cell>
          <cell r="L39">
            <v>159.83000000000001</v>
          </cell>
          <cell r="M39">
            <v>159.83000000000001</v>
          </cell>
          <cell r="N39">
            <v>159.83000000000001</v>
          </cell>
          <cell r="O39">
            <v>159.83000000000001</v>
          </cell>
          <cell r="P39">
            <v>159.83000000000001</v>
          </cell>
          <cell r="Q39">
            <v>159.83000000000001</v>
          </cell>
          <cell r="R39">
            <v>159.83000000000001</v>
          </cell>
          <cell r="S39">
            <v>159.83000000000001</v>
          </cell>
          <cell r="U39">
            <v>159.83000000000001</v>
          </cell>
          <cell r="V39">
            <v>0</v>
          </cell>
          <cell r="W39">
            <v>-159.83000000000001</v>
          </cell>
          <cell r="Y39">
            <v>159.83000000000001</v>
          </cell>
          <cell r="Z39">
            <v>0</v>
          </cell>
          <cell r="AA39">
            <v>-159.83000000000001</v>
          </cell>
        </row>
        <row r="42">
          <cell r="C42" t="str">
            <v>Motorola Rebate</v>
          </cell>
          <cell r="H42">
            <v>0</v>
          </cell>
          <cell r="I42">
            <v>0</v>
          </cell>
          <cell r="J42">
            <v>0</v>
          </cell>
          <cell r="K42">
            <v>0</v>
          </cell>
          <cell r="L42">
            <v>45</v>
          </cell>
          <cell r="M42">
            <v>0</v>
          </cell>
          <cell r="N42">
            <v>0</v>
          </cell>
          <cell r="O42">
            <v>0</v>
          </cell>
          <cell r="P42">
            <v>0</v>
          </cell>
          <cell r="Q42">
            <v>0</v>
          </cell>
          <cell r="R42">
            <v>0</v>
          </cell>
          <cell r="S42">
            <v>0</v>
          </cell>
          <cell r="U42">
            <v>0</v>
          </cell>
          <cell r="V42">
            <v>0</v>
          </cell>
          <cell r="W42">
            <v>0</v>
          </cell>
          <cell r="Y42">
            <v>5.625</v>
          </cell>
          <cell r="Z42">
            <v>0</v>
          </cell>
          <cell r="AA42">
            <v>-5.625</v>
          </cell>
        </row>
        <row r="45">
          <cell r="C45" t="str">
            <v>Service Subsidy</v>
          </cell>
          <cell r="H45">
            <v>0</v>
          </cell>
          <cell r="I45">
            <v>0</v>
          </cell>
          <cell r="J45">
            <v>0</v>
          </cell>
          <cell r="K45">
            <v>0</v>
          </cell>
          <cell r="L45">
            <v>0</v>
          </cell>
          <cell r="M45">
            <v>0</v>
          </cell>
          <cell r="N45">
            <v>0</v>
          </cell>
          <cell r="O45">
            <v>0</v>
          </cell>
          <cell r="P45">
            <v>0</v>
          </cell>
          <cell r="Q45">
            <v>0</v>
          </cell>
          <cell r="R45">
            <v>0</v>
          </cell>
          <cell r="S45">
            <v>0</v>
          </cell>
          <cell r="U45">
            <v>0</v>
          </cell>
          <cell r="V45">
            <v>0</v>
          </cell>
          <cell r="W45">
            <v>0</v>
          </cell>
          <cell r="Y45">
            <v>0</v>
          </cell>
          <cell r="Z45">
            <v>0</v>
          </cell>
          <cell r="AA45">
            <v>0</v>
          </cell>
        </row>
        <row r="49">
          <cell r="B49" t="str">
            <v>TOTAL DIGITAL CPGA</v>
          </cell>
          <cell r="H49">
            <v>395.67</v>
          </cell>
          <cell r="I49">
            <v>395.67</v>
          </cell>
          <cell r="J49">
            <v>395.67</v>
          </cell>
          <cell r="K49">
            <v>395.67</v>
          </cell>
          <cell r="L49">
            <v>440.67</v>
          </cell>
          <cell r="M49">
            <v>395.67</v>
          </cell>
          <cell r="N49">
            <v>395.67</v>
          </cell>
          <cell r="O49">
            <v>395.67</v>
          </cell>
          <cell r="P49">
            <v>395.67</v>
          </cell>
          <cell r="Q49">
            <v>395.67</v>
          </cell>
          <cell r="R49">
            <v>395.67</v>
          </cell>
          <cell r="S49">
            <v>395.67</v>
          </cell>
          <cell r="U49">
            <v>395.67</v>
          </cell>
          <cell r="V49">
            <v>0</v>
          </cell>
          <cell r="W49">
            <v>-395.67</v>
          </cell>
          <cell r="Y49">
            <v>401.29500000000002</v>
          </cell>
          <cell r="Z49">
            <v>0</v>
          </cell>
          <cell r="AA49">
            <v>-401.29500000000002</v>
          </cell>
        </row>
        <row r="53">
          <cell r="B53" t="str">
            <v>Digital CPGA by Direct Channel</v>
          </cell>
        </row>
        <row r="55">
          <cell r="H55" t="str">
            <v>Jan</v>
          </cell>
          <cell r="I55" t="str">
            <v>Feb</v>
          </cell>
          <cell r="J55" t="str">
            <v>Mar</v>
          </cell>
          <cell r="K55" t="str">
            <v>Apr</v>
          </cell>
          <cell r="L55" t="str">
            <v>May</v>
          </cell>
          <cell r="M55" t="str">
            <v>Jun</v>
          </cell>
          <cell r="N55" t="str">
            <v>Jul</v>
          </cell>
          <cell r="O55" t="str">
            <v>Aug</v>
          </cell>
          <cell r="P55" t="str">
            <v>Sep</v>
          </cell>
          <cell r="Q55" t="str">
            <v>Oct</v>
          </cell>
          <cell r="R55" t="str">
            <v>Nov</v>
          </cell>
          <cell r="S55" t="str">
            <v>Dec</v>
          </cell>
          <cell r="U55" t="str">
            <v>Current Month</v>
          </cell>
          <cell r="Y55" t="str">
            <v>YTD</v>
          </cell>
        </row>
        <row r="56">
          <cell r="U56" t="str">
            <v>Actual</v>
          </cell>
          <cell r="V56" t="str">
            <v>Budget</v>
          </cell>
          <cell r="W56" t="str">
            <v>Variance</v>
          </cell>
          <cell r="Y56" t="str">
            <v>Actual</v>
          </cell>
          <cell r="Z56" t="str">
            <v>Budget</v>
          </cell>
          <cell r="AA56" t="str">
            <v>Variance</v>
          </cell>
        </row>
        <row r="60">
          <cell r="C60" t="str">
            <v>Sales Expense</v>
          </cell>
        </row>
        <row r="62">
          <cell r="D62" t="str">
            <v>Sales Payroll</v>
          </cell>
          <cell r="H62">
            <v>82.63</v>
          </cell>
          <cell r="I62">
            <v>83.63</v>
          </cell>
          <cell r="J62">
            <v>84.63</v>
          </cell>
          <cell r="K62">
            <v>85.63</v>
          </cell>
          <cell r="L62">
            <v>86.63</v>
          </cell>
          <cell r="M62">
            <v>87.63</v>
          </cell>
          <cell r="N62">
            <v>88.63</v>
          </cell>
          <cell r="O62">
            <v>89.63</v>
          </cell>
          <cell r="P62">
            <v>90.63</v>
          </cell>
          <cell r="Q62">
            <v>91.63</v>
          </cell>
          <cell r="R62">
            <v>92.63</v>
          </cell>
          <cell r="S62">
            <v>93.63</v>
          </cell>
          <cell r="U62">
            <v>89.63</v>
          </cell>
          <cell r="V62">
            <v>99</v>
          </cell>
          <cell r="W62">
            <v>9.3700000000000045</v>
          </cell>
          <cell r="Y62">
            <v>86.13</v>
          </cell>
          <cell r="Z62">
            <v>99</v>
          </cell>
          <cell r="AA62">
            <v>12.870000000000005</v>
          </cell>
        </row>
        <row r="63">
          <cell r="D63" t="str">
            <v>Commissions</v>
          </cell>
          <cell r="H63">
            <v>28.41</v>
          </cell>
          <cell r="I63">
            <v>28.41</v>
          </cell>
          <cell r="J63">
            <v>28.41</v>
          </cell>
          <cell r="K63">
            <v>28.41</v>
          </cell>
          <cell r="L63">
            <v>28.41</v>
          </cell>
          <cell r="M63">
            <v>28.41</v>
          </cell>
          <cell r="N63">
            <v>28.41</v>
          </cell>
          <cell r="O63">
            <v>28.41</v>
          </cell>
          <cell r="P63">
            <v>28.41</v>
          </cell>
          <cell r="Q63">
            <v>28.41</v>
          </cell>
          <cell r="R63">
            <v>28.41</v>
          </cell>
          <cell r="S63">
            <v>28.41</v>
          </cell>
          <cell r="U63">
            <v>28.41</v>
          </cell>
          <cell r="V63">
            <v>25</v>
          </cell>
          <cell r="W63">
            <v>-3.41</v>
          </cell>
          <cell r="Y63">
            <v>28.41</v>
          </cell>
          <cell r="Z63">
            <v>25</v>
          </cell>
          <cell r="AA63">
            <v>-3.41</v>
          </cell>
        </row>
        <row r="64">
          <cell r="D64" t="str">
            <v>Other Sales Expense *</v>
          </cell>
          <cell r="H64">
            <v>10.74</v>
          </cell>
          <cell r="I64">
            <v>10.74</v>
          </cell>
          <cell r="J64">
            <v>10.74</v>
          </cell>
          <cell r="K64">
            <v>10.74</v>
          </cell>
          <cell r="L64">
            <v>10.74</v>
          </cell>
          <cell r="M64">
            <v>10.74</v>
          </cell>
          <cell r="N64">
            <v>10.74</v>
          </cell>
          <cell r="O64">
            <v>10.74</v>
          </cell>
          <cell r="P64">
            <v>10.74</v>
          </cell>
          <cell r="Q64">
            <v>10.74</v>
          </cell>
          <cell r="R64">
            <v>10.74</v>
          </cell>
          <cell r="S64">
            <v>10.74</v>
          </cell>
          <cell r="U64">
            <v>10.74</v>
          </cell>
          <cell r="V64">
            <v>15</v>
          </cell>
          <cell r="W64">
            <v>4.26</v>
          </cell>
          <cell r="Y64">
            <v>10.74</v>
          </cell>
          <cell r="Z64">
            <v>15</v>
          </cell>
          <cell r="AA64">
            <v>4.26</v>
          </cell>
        </row>
        <row r="67">
          <cell r="C67" t="str">
            <v>Marketing Expense</v>
          </cell>
        </row>
        <row r="69">
          <cell r="D69" t="str">
            <v>Advertising Expense</v>
          </cell>
          <cell r="H69">
            <v>77.13</v>
          </cell>
          <cell r="I69">
            <v>77.13</v>
          </cell>
          <cell r="J69">
            <v>77.13</v>
          </cell>
          <cell r="K69">
            <v>77.13</v>
          </cell>
          <cell r="L69">
            <v>77.13</v>
          </cell>
          <cell r="M69">
            <v>77.13</v>
          </cell>
          <cell r="N69">
            <v>77.13</v>
          </cell>
          <cell r="O69">
            <v>77.13</v>
          </cell>
          <cell r="P69">
            <v>77.13</v>
          </cell>
          <cell r="Q69">
            <v>77.13</v>
          </cell>
          <cell r="R69">
            <v>77.13</v>
          </cell>
          <cell r="S69">
            <v>77.13</v>
          </cell>
          <cell r="U69">
            <v>77.13</v>
          </cell>
          <cell r="V69">
            <v>80</v>
          </cell>
          <cell r="W69">
            <v>2.8700000000000045</v>
          </cell>
          <cell r="Y69">
            <v>77.13</v>
          </cell>
          <cell r="Z69">
            <v>80</v>
          </cell>
          <cell r="AA69">
            <v>2.8700000000000045</v>
          </cell>
        </row>
        <row r="70">
          <cell r="D70" t="str">
            <v>Other Expense **</v>
          </cell>
          <cell r="H70">
            <v>7.88</v>
          </cell>
          <cell r="I70">
            <v>7.88</v>
          </cell>
          <cell r="J70">
            <v>7.88</v>
          </cell>
          <cell r="K70">
            <v>7.88</v>
          </cell>
          <cell r="L70">
            <v>7.88</v>
          </cell>
          <cell r="M70">
            <v>7.88</v>
          </cell>
          <cell r="N70">
            <v>7.88</v>
          </cell>
          <cell r="O70">
            <v>7.88</v>
          </cell>
          <cell r="P70">
            <v>7.88</v>
          </cell>
          <cell r="Q70">
            <v>7.88</v>
          </cell>
          <cell r="R70">
            <v>7.88</v>
          </cell>
          <cell r="S70">
            <v>7.88</v>
          </cell>
          <cell r="U70">
            <v>7.88</v>
          </cell>
          <cell r="V70">
            <v>8</v>
          </cell>
          <cell r="W70">
            <v>0.12000000000000011</v>
          </cell>
          <cell r="Y70">
            <v>7.88</v>
          </cell>
          <cell r="Z70">
            <v>8</v>
          </cell>
          <cell r="AA70">
            <v>0.12000000000000011</v>
          </cell>
        </row>
        <row r="73">
          <cell r="C73" t="str">
            <v>Fulfillment Expense</v>
          </cell>
          <cell r="H73">
            <v>9.33</v>
          </cell>
          <cell r="I73">
            <v>9.33</v>
          </cell>
          <cell r="J73">
            <v>9.33</v>
          </cell>
          <cell r="K73">
            <v>9.33</v>
          </cell>
          <cell r="L73">
            <v>9.33</v>
          </cell>
          <cell r="M73">
            <v>9.33</v>
          </cell>
          <cell r="N73">
            <v>9.33</v>
          </cell>
          <cell r="O73">
            <v>9.33</v>
          </cell>
          <cell r="P73">
            <v>9.33</v>
          </cell>
          <cell r="Q73">
            <v>9.33</v>
          </cell>
          <cell r="R73">
            <v>9.33</v>
          </cell>
          <cell r="S73">
            <v>9.33</v>
          </cell>
          <cell r="U73">
            <v>9.33</v>
          </cell>
          <cell r="V73">
            <v>10</v>
          </cell>
          <cell r="W73">
            <v>0.66999999999999993</v>
          </cell>
          <cell r="Y73">
            <v>9.33</v>
          </cell>
          <cell r="Z73">
            <v>10</v>
          </cell>
          <cell r="AA73">
            <v>0.66999999999999993</v>
          </cell>
        </row>
        <row r="76">
          <cell r="C76" t="str">
            <v>Equipment Subsidy</v>
          </cell>
          <cell r="H76">
            <v>159.83000000000001</v>
          </cell>
          <cell r="I76">
            <v>159.83000000000001</v>
          </cell>
          <cell r="J76">
            <v>159.83000000000001</v>
          </cell>
          <cell r="K76">
            <v>159.83000000000001</v>
          </cell>
          <cell r="L76">
            <v>159.83000000000001</v>
          </cell>
          <cell r="M76">
            <v>159.83000000000001</v>
          </cell>
          <cell r="N76">
            <v>159.83000000000001</v>
          </cell>
          <cell r="O76">
            <v>159.83000000000001</v>
          </cell>
          <cell r="P76">
            <v>159.83000000000001</v>
          </cell>
          <cell r="Q76">
            <v>159.83000000000001</v>
          </cell>
          <cell r="R76">
            <v>159.83000000000001</v>
          </cell>
          <cell r="S76">
            <v>159.83000000000001</v>
          </cell>
          <cell r="U76">
            <v>159.83000000000001</v>
          </cell>
          <cell r="V76">
            <v>170</v>
          </cell>
          <cell r="W76">
            <v>10.169999999999987</v>
          </cell>
          <cell r="Y76">
            <v>159.83000000000001</v>
          </cell>
          <cell r="Z76">
            <v>170</v>
          </cell>
          <cell r="AA76">
            <v>10.169999999999987</v>
          </cell>
        </row>
        <row r="79">
          <cell r="C79" t="str">
            <v>Motorola Rebate</v>
          </cell>
          <cell r="H79">
            <v>0</v>
          </cell>
          <cell r="I79">
            <v>0</v>
          </cell>
          <cell r="J79">
            <v>0</v>
          </cell>
          <cell r="K79">
            <v>0</v>
          </cell>
          <cell r="L79">
            <v>45</v>
          </cell>
          <cell r="M79">
            <v>0</v>
          </cell>
          <cell r="N79">
            <v>0</v>
          </cell>
          <cell r="O79">
            <v>0</v>
          </cell>
          <cell r="P79">
            <v>0</v>
          </cell>
          <cell r="Q79">
            <v>0</v>
          </cell>
          <cell r="R79">
            <v>0</v>
          </cell>
          <cell r="S79">
            <v>0</v>
          </cell>
          <cell r="U79">
            <v>0</v>
          </cell>
          <cell r="V79">
            <v>0</v>
          </cell>
          <cell r="W79">
            <v>0</v>
          </cell>
          <cell r="Y79">
            <v>5.625</v>
          </cell>
          <cell r="Z79">
            <v>0</v>
          </cell>
          <cell r="AA79">
            <v>-5.625</v>
          </cell>
        </row>
        <row r="82">
          <cell r="C82" t="str">
            <v>Service Subsidy</v>
          </cell>
          <cell r="H82">
            <v>0</v>
          </cell>
          <cell r="I82">
            <v>0</v>
          </cell>
          <cell r="J82">
            <v>0</v>
          </cell>
          <cell r="K82">
            <v>0</v>
          </cell>
          <cell r="L82">
            <v>0</v>
          </cell>
          <cell r="M82">
            <v>0</v>
          </cell>
          <cell r="N82">
            <v>0</v>
          </cell>
          <cell r="O82">
            <v>0</v>
          </cell>
          <cell r="P82">
            <v>0</v>
          </cell>
          <cell r="Q82">
            <v>0</v>
          </cell>
          <cell r="R82">
            <v>0</v>
          </cell>
          <cell r="S82">
            <v>0</v>
          </cell>
          <cell r="U82">
            <v>0</v>
          </cell>
          <cell r="V82">
            <v>0</v>
          </cell>
          <cell r="W82">
            <v>0</v>
          </cell>
          <cell r="Y82">
            <v>0</v>
          </cell>
          <cell r="Z82">
            <v>0</v>
          </cell>
          <cell r="AA82">
            <v>0</v>
          </cell>
        </row>
        <row r="86">
          <cell r="B86" t="str">
            <v>TOTAL DIRECT CPGA</v>
          </cell>
          <cell r="H86">
            <v>375.95</v>
          </cell>
          <cell r="I86">
            <v>376.95</v>
          </cell>
          <cell r="J86">
            <v>377.95</v>
          </cell>
          <cell r="K86">
            <v>378.95</v>
          </cell>
          <cell r="L86">
            <v>424.95</v>
          </cell>
          <cell r="M86">
            <v>380.95</v>
          </cell>
          <cell r="N86">
            <v>381.95</v>
          </cell>
          <cell r="O86">
            <v>382.95000000000005</v>
          </cell>
          <cell r="P86">
            <v>383.95000000000005</v>
          </cell>
          <cell r="Q86">
            <v>384.95000000000005</v>
          </cell>
          <cell r="R86">
            <v>385.95000000000005</v>
          </cell>
          <cell r="S86">
            <v>386.95000000000005</v>
          </cell>
          <cell r="U86">
            <v>382.95000000000005</v>
          </cell>
          <cell r="V86">
            <v>407</v>
          </cell>
          <cell r="W86">
            <v>24.049999999999997</v>
          </cell>
          <cell r="Y86">
            <v>385.07499999999999</v>
          </cell>
          <cell r="Z86">
            <v>407</v>
          </cell>
          <cell r="AA86">
            <v>21.924999999999997</v>
          </cell>
        </row>
        <row r="90">
          <cell r="B90" t="str">
            <v>Digital CPGA by Indirect Channel</v>
          </cell>
        </row>
        <row r="92">
          <cell r="H92" t="str">
            <v>Jan</v>
          </cell>
          <cell r="I92" t="str">
            <v>Feb</v>
          </cell>
          <cell r="J92" t="str">
            <v>Mar</v>
          </cell>
          <cell r="K92" t="str">
            <v>Apr</v>
          </cell>
          <cell r="L92" t="str">
            <v>May</v>
          </cell>
          <cell r="M92" t="str">
            <v>Jun</v>
          </cell>
          <cell r="N92" t="str">
            <v>Jul</v>
          </cell>
          <cell r="O92" t="str">
            <v>Aug</v>
          </cell>
          <cell r="P92" t="str">
            <v>Sep</v>
          </cell>
          <cell r="Q92" t="str">
            <v>Oct</v>
          </cell>
          <cell r="R92" t="str">
            <v>Nov</v>
          </cell>
          <cell r="S92" t="str">
            <v>Dec</v>
          </cell>
          <cell r="U92" t="str">
            <v>Current Month</v>
          </cell>
          <cell r="Y92" t="str">
            <v>YTD</v>
          </cell>
        </row>
        <row r="93">
          <cell r="U93" t="str">
            <v>Actual</v>
          </cell>
          <cell r="V93" t="str">
            <v>Budget</v>
          </cell>
          <cell r="W93" t="str">
            <v>Variance</v>
          </cell>
          <cell r="Y93" t="str">
            <v>Actual</v>
          </cell>
          <cell r="Z93" t="str">
            <v>Budget</v>
          </cell>
          <cell r="AA93" t="str">
            <v>Variance</v>
          </cell>
        </row>
        <row r="97">
          <cell r="C97" t="str">
            <v>Sales Expense</v>
          </cell>
        </row>
        <row r="99">
          <cell r="D99" t="str">
            <v>Sales Payroll</v>
          </cell>
          <cell r="H99">
            <v>13.11</v>
          </cell>
          <cell r="I99">
            <v>13.11</v>
          </cell>
          <cell r="J99">
            <v>12</v>
          </cell>
          <cell r="K99">
            <v>13.11</v>
          </cell>
          <cell r="L99">
            <v>13.11</v>
          </cell>
          <cell r="M99">
            <v>15</v>
          </cell>
          <cell r="N99">
            <v>15</v>
          </cell>
          <cell r="O99">
            <v>15</v>
          </cell>
          <cell r="P99">
            <v>15</v>
          </cell>
          <cell r="Q99">
            <v>13.11</v>
          </cell>
          <cell r="R99">
            <v>13.11</v>
          </cell>
          <cell r="S99">
            <v>13.11</v>
          </cell>
          <cell r="U99">
            <v>15</v>
          </cell>
          <cell r="V99">
            <v>99</v>
          </cell>
          <cell r="W99">
            <v>84</v>
          </cell>
          <cell r="Y99">
            <v>13.68</v>
          </cell>
          <cell r="Z99">
            <v>99</v>
          </cell>
          <cell r="AA99">
            <v>85.32</v>
          </cell>
        </row>
        <row r="100">
          <cell r="D100" t="str">
            <v>Commissions</v>
          </cell>
          <cell r="H100">
            <v>142.66</v>
          </cell>
          <cell r="I100">
            <v>142.66</v>
          </cell>
          <cell r="J100">
            <v>142.66</v>
          </cell>
          <cell r="K100">
            <v>142.66</v>
          </cell>
          <cell r="L100">
            <v>142.66</v>
          </cell>
          <cell r="M100">
            <v>142.66</v>
          </cell>
          <cell r="N100">
            <v>142.66</v>
          </cell>
          <cell r="O100">
            <v>142.66</v>
          </cell>
          <cell r="P100">
            <v>142.66</v>
          </cell>
          <cell r="Q100">
            <v>142.66</v>
          </cell>
          <cell r="R100">
            <v>142.66</v>
          </cell>
          <cell r="S100">
            <v>142.66</v>
          </cell>
          <cell r="U100">
            <v>142.66</v>
          </cell>
          <cell r="V100">
            <v>25</v>
          </cell>
          <cell r="W100">
            <v>-117.66</v>
          </cell>
          <cell r="Y100">
            <v>142.66</v>
          </cell>
          <cell r="Z100">
            <v>25</v>
          </cell>
          <cell r="AA100">
            <v>-117.66</v>
          </cell>
        </row>
        <row r="101">
          <cell r="D101" t="str">
            <v>Other Sales Expense *</v>
          </cell>
          <cell r="H101">
            <v>0.73</v>
          </cell>
          <cell r="I101">
            <v>0.73</v>
          </cell>
          <cell r="J101">
            <v>0.73</v>
          </cell>
          <cell r="K101">
            <v>0.73</v>
          </cell>
          <cell r="L101">
            <v>0.73</v>
          </cell>
          <cell r="M101">
            <v>0.73</v>
          </cell>
          <cell r="N101">
            <v>0.73</v>
          </cell>
          <cell r="O101">
            <v>0.73</v>
          </cell>
          <cell r="P101">
            <v>0.73</v>
          </cell>
          <cell r="Q101">
            <v>0.73</v>
          </cell>
          <cell r="R101">
            <v>0.73</v>
          </cell>
          <cell r="S101">
            <v>0.73</v>
          </cell>
          <cell r="U101">
            <v>0.73</v>
          </cell>
          <cell r="V101">
            <v>15</v>
          </cell>
          <cell r="W101">
            <v>14.27</v>
          </cell>
          <cell r="Y101">
            <v>0.73</v>
          </cell>
          <cell r="Z101">
            <v>15</v>
          </cell>
          <cell r="AA101">
            <v>14.27</v>
          </cell>
        </row>
        <row r="104">
          <cell r="C104" t="str">
            <v>Marketing Expense</v>
          </cell>
        </row>
        <row r="106">
          <cell r="D106" t="str">
            <v>Advertising Expense</v>
          </cell>
          <cell r="H106">
            <v>77.13</v>
          </cell>
          <cell r="I106">
            <v>77.13</v>
          </cell>
          <cell r="J106">
            <v>77.13</v>
          </cell>
          <cell r="K106">
            <v>77.13</v>
          </cell>
          <cell r="L106">
            <v>77.13</v>
          </cell>
          <cell r="M106">
            <v>77.13</v>
          </cell>
          <cell r="N106">
            <v>77.13</v>
          </cell>
          <cell r="O106">
            <v>77.13</v>
          </cell>
          <cell r="P106">
            <v>77.13</v>
          </cell>
          <cell r="Q106">
            <v>77.13</v>
          </cell>
          <cell r="R106">
            <v>77.13</v>
          </cell>
          <cell r="S106">
            <v>77.13</v>
          </cell>
          <cell r="U106">
            <v>77.13</v>
          </cell>
          <cell r="V106">
            <v>80</v>
          </cell>
          <cell r="W106">
            <v>2.8700000000000045</v>
          </cell>
          <cell r="Y106">
            <v>77.13</v>
          </cell>
          <cell r="Z106">
            <v>80</v>
          </cell>
          <cell r="AA106">
            <v>2.8700000000000045</v>
          </cell>
        </row>
        <row r="107">
          <cell r="D107" t="str">
            <v>Other Expense **</v>
          </cell>
          <cell r="H107">
            <v>7.88</v>
          </cell>
          <cell r="I107">
            <v>7.88</v>
          </cell>
          <cell r="J107">
            <v>7.88</v>
          </cell>
          <cell r="K107">
            <v>7.88</v>
          </cell>
          <cell r="L107">
            <v>7.88</v>
          </cell>
          <cell r="M107">
            <v>7.88</v>
          </cell>
          <cell r="N107">
            <v>7.88</v>
          </cell>
          <cell r="O107">
            <v>7.88</v>
          </cell>
          <cell r="P107">
            <v>7.88</v>
          </cell>
          <cell r="Q107">
            <v>7.88</v>
          </cell>
          <cell r="R107">
            <v>7.88</v>
          </cell>
          <cell r="S107">
            <v>7.88</v>
          </cell>
          <cell r="U107">
            <v>7.88</v>
          </cell>
          <cell r="V107">
            <v>8</v>
          </cell>
          <cell r="W107">
            <v>0.12000000000000011</v>
          </cell>
          <cell r="Y107">
            <v>7.88</v>
          </cell>
          <cell r="Z107">
            <v>8</v>
          </cell>
          <cell r="AA107">
            <v>0.12000000000000011</v>
          </cell>
        </row>
        <row r="110">
          <cell r="C110" t="str">
            <v>Fulfillment Expense</v>
          </cell>
          <cell r="H110">
            <v>9.33</v>
          </cell>
          <cell r="I110">
            <v>9.33</v>
          </cell>
          <cell r="J110">
            <v>9.33</v>
          </cell>
          <cell r="K110">
            <v>9.33</v>
          </cell>
          <cell r="L110">
            <v>9.33</v>
          </cell>
          <cell r="M110">
            <v>9.33</v>
          </cell>
          <cell r="N110">
            <v>9.33</v>
          </cell>
          <cell r="O110">
            <v>9.33</v>
          </cell>
          <cell r="P110">
            <v>9.33</v>
          </cell>
          <cell r="Q110">
            <v>9.33</v>
          </cell>
          <cell r="R110">
            <v>9.33</v>
          </cell>
          <cell r="S110">
            <v>9.33</v>
          </cell>
          <cell r="U110">
            <v>9.33</v>
          </cell>
          <cell r="V110">
            <v>10</v>
          </cell>
          <cell r="W110">
            <v>0.66999999999999993</v>
          </cell>
          <cell r="Y110">
            <v>9.33</v>
          </cell>
          <cell r="Z110">
            <v>10</v>
          </cell>
          <cell r="AA110">
            <v>0.66999999999999993</v>
          </cell>
        </row>
        <row r="113">
          <cell r="C113" t="str">
            <v>Equipment Subsidy</v>
          </cell>
          <cell r="H113">
            <v>159.83000000000001</v>
          </cell>
          <cell r="I113">
            <v>159.83000000000001</v>
          </cell>
          <cell r="J113">
            <v>159.83000000000001</v>
          </cell>
          <cell r="K113">
            <v>159.83000000000001</v>
          </cell>
          <cell r="L113">
            <v>159.83000000000001</v>
          </cell>
          <cell r="M113">
            <v>159.83000000000001</v>
          </cell>
          <cell r="N113">
            <v>159.83000000000001</v>
          </cell>
          <cell r="O113">
            <v>159.83000000000001</v>
          </cell>
          <cell r="P113">
            <v>159.83000000000001</v>
          </cell>
          <cell r="Q113">
            <v>159.83000000000001</v>
          </cell>
          <cell r="R113">
            <v>159.83000000000001</v>
          </cell>
          <cell r="S113">
            <v>159.83000000000001</v>
          </cell>
          <cell r="U113">
            <v>159.83000000000001</v>
          </cell>
          <cell r="V113">
            <v>170</v>
          </cell>
          <cell r="W113">
            <v>10.169999999999987</v>
          </cell>
          <cell r="Y113">
            <v>159.83000000000001</v>
          </cell>
          <cell r="Z113">
            <v>170</v>
          </cell>
          <cell r="AA113">
            <v>10.169999999999987</v>
          </cell>
        </row>
        <row r="116">
          <cell r="C116" t="str">
            <v>Motorola Rebate</v>
          </cell>
          <cell r="H116">
            <v>0</v>
          </cell>
          <cell r="I116">
            <v>0</v>
          </cell>
          <cell r="J116">
            <v>0</v>
          </cell>
          <cell r="K116">
            <v>0</v>
          </cell>
          <cell r="L116">
            <v>45</v>
          </cell>
          <cell r="M116">
            <v>0</v>
          </cell>
          <cell r="N116">
            <v>0</v>
          </cell>
          <cell r="O116">
            <v>0</v>
          </cell>
          <cell r="P116">
            <v>0</v>
          </cell>
          <cell r="Q116">
            <v>0</v>
          </cell>
          <cell r="R116">
            <v>0</v>
          </cell>
          <cell r="S116">
            <v>0</v>
          </cell>
          <cell r="U116">
            <v>0</v>
          </cell>
          <cell r="V116">
            <v>0</v>
          </cell>
          <cell r="W116">
            <v>0</v>
          </cell>
          <cell r="Y116">
            <v>5.625</v>
          </cell>
          <cell r="Z116">
            <v>0</v>
          </cell>
          <cell r="AA116">
            <v>-5.625</v>
          </cell>
        </row>
        <row r="119">
          <cell r="C119" t="str">
            <v>Service Subsidy</v>
          </cell>
          <cell r="H119">
            <v>0</v>
          </cell>
          <cell r="I119">
            <v>0</v>
          </cell>
          <cell r="J119">
            <v>0</v>
          </cell>
          <cell r="K119">
            <v>0</v>
          </cell>
          <cell r="L119">
            <v>0</v>
          </cell>
          <cell r="M119">
            <v>0</v>
          </cell>
          <cell r="N119">
            <v>0</v>
          </cell>
          <cell r="O119">
            <v>0</v>
          </cell>
          <cell r="P119">
            <v>0</v>
          </cell>
          <cell r="Q119">
            <v>0</v>
          </cell>
          <cell r="R119">
            <v>0</v>
          </cell>
          <cell r="S119">
            <v>0</v>
          </cell>
          <cell r="U119">
            <v>0</v>
          </cell>
          <cell r="V119">
            <v>0</v>
          </cell>
          <cell r="W119">
            <v>0</v>
          </cell>
          <cell r="Y119">
            <v>0</v>
          </cell>
          <cell r="Z119">
            <v>0</v>
          </cell>
          <cell r="AA119">
            <v>0</v>
          </cell>
        </row>
        <row r="123">
          <cell r="B123" t="str">
            <v>TOTAL INDIRECT CPGA</v>
          </cell>
          <cell r="H123">
            <v>410.66999999999996</v>
          </cell>
          <cell r="I123">
            <v>410.66999999999996</v>
          </cell>
          <cell r="J123">
            <v>409.56</v>
          </cell>
          <cell r="K123">
            <v>410.66999999999996</v>
          </cell>
          <cell r="L123">
            <v>455.66999999999996</v>
          </cell>
          <cell r="M123">
            <v>412.56</v>
          </cell>
          <cell r="N123">
            <v>412.56</v>
          </cell>
          <cell r="O123">
            <v>412.56</v>
          </cell>
          <cell r="P123">
            <v>412.56</v>
          </cell>
          <cell r="Q123">
            <v>410.66999999999996</v>
          </cell>
          <cell r="R123">
            <v>410.66999999999996</v>
          </cell>
          <cell r="S123">
            <v>410.66999999999996</v>
          </cell>
          <cell r="U123">
            <v>412.56</v>
          </cell>
          <cell r="V123">
            <v>407</v>
          </cell>
          <cell r="W123">
            <v>-5.5600000000000041</v>
          </cell>
          <cell r="Y123">
            <v>416.86500000000001</v>
          </cell>
          <cell r="Z123">
            <v>407</v>
          </cell>
          <cell r="AA123">
            <v>-9.8650000000000109</v>
          </cell>
        </row>
        <row r="126">
          <cell r="C126" t="str">
            <v>* Other Sales Expense includes Employee and Related, Outside Services, Facilities and Administrative, etc.</v>
          </cell>
        </row>
        <row r="127">
          <cell r="C127" t="str">
            <v>** Other Marketing Expense includes Payroll and Related, Employee and Related, Outside Services, Facilities and Administrative, etc.</v>
          </cell>
        </row>
        <row r="153">
          <cell r="B153" t="str">
            <v>Analog CPGA by Component</v>
          </cell>
        </row>
        <row r="155">
          <cell r="H155" t="str">
            <v>Jan</v>
          </cell>
          <cell r="I155" t="str">
            <v>Feb</v>
          </cell>
          <cell r="J155" t="str">
            <v>Mar</v>
          </cell>
          <cell r="K155" t="str">
            <v>Apr</v>
          </cell>
          <cell r="L155" t="str">
            <v>May</v>
          </cell>
          <cell r="M155" t="str">
            <v>Jun</v>
          </cell>
          <cell r="N155" t="str">
            <v>Jul</v>
          </cell>
          <cell r="O155" t="str">
            <v>Aug</v>
          </cell>
          <cell r="P155" t="str">
            <v>Sep</v>
          </cell>
          <cell r="Q155" t="str">
            <v>Oct</v>
          </cell>
          <cell r="R155" t="str">
            <v>Nov</v>
          </cell>
          <cell r="S155" t="str">
            <v>Dec</v>
          </cell>
          <cell r="U155" t="str">
            <v>Current Month</v>
          </cell>
          <cell r="Y155" t="str">
            <v>YTD</v>
          </cell>
        </row>
        <row r="156">
          <cell r="U156" t="str">
            <v>Actual</v>
          </cell>
          <cell r="V156" t="str">
            <v>Budget</v>
          </cell>
          <cell r="W156" t="str">
            <v>Variance</v>
          </cell>
          <cell r="Y156" t="str">
            <v>Actual</v>
          </cell>
          <cell r="Z156" t="str">
            <v>Budget</v>
          </cell>
          <cell r="AA156" t="str">
            <v>Variance</v>
          </cell>
        </row>
        <row r="160">
          <cell r="C160" t="str">
            <v>Grosss Adds</v>
          </cell>
          <cell r="H160">
            <v>1500</v>
          </cell>
          <cell r="I160">
            <v>1500</v>
          </cell>
          <cell r="J160">
            <v>1500</v>
          </cell>
          <cell r="K160">
            <v>1500</v>
          </cell>
          <cell r="L160">
            <v>1500</v>
          </cell>
          <cell r="M160">
            <v>1500</v>
          </cell>
          <cell r="N160">
            <v>1500</v>
          </cell>
          <cell r="O160">
            <v>1500</v>
          </cell>
          <cell r="P160">
            <v>1500</v>
          </cell>
          <cell r="Q160">
            <v>1500</v>
          </cell>
          <cell r="R160">
            <v>1500</v>
          </cell>
          <cell r="S160">
            <v>1500</v>
          </cell>
          <cell r="U160">
            <v>1500</v>
          </cell>
          <cell r="V160">
            <v>9500</v>
          </cell>
          <cell r="W160">
            <v>-8000</v>
          </cell>
          <cell r="Y160">
            <v>12000</v>
          </cell>
          <cell r="Z160">
            <v>114000</v>
          </cell>
          <cell r="AA160">
            <v>-102000</v>
          </cell>
        </row>
        <row r="162">
          <cell r="D162" t="str">
            <v>Direct Gross Adds</v>
          </cell>
          <cell r="H162">
            <v>700</v>
          </cell>
          <cell r="I162">
            <v>700</v>
          </cell>
          <cell r="J162">
            <v>700</v>
          </cell>
          <cell r="K162">
            <v>700</v>
          </cell>
          <cell r="L162">
            <v>700</v>
          </cell>
          <cell r="M162">
            <v>700</v>
          </cell>
          <cell r="N162">
            <v>700</v>
          </cell>
          <cell r="O162">
            <v>700</v>
          </cell>
          <cell r="P162">
            <v>700</v>
          </cell>
          <cell r="Q162">
            <v>700</v>
          </cell>
          <cell r="R162">
            <v>700</v>
          </cell>
          <cell r="S162">
            <v>700</v>
          </cell>
          <cell r="U162">
            <v>700</v>
          </cell>
          <cell r="V162">
            <v>4000</v>
          </cell>
          <cell r="W162">
            <v>-3300</v>
          </cell>
          <cell r="Y162">
            <v>5600</v>
          </cell>
          <cell r="Z162">
            <v>48000</v>
          </cell>
          <cell r="AA162">
            <v>-42400</v>
          </cell>
        </row>
        <row r="164">
          <cell r="D164" t="str">
            <v>Indirect Gross Adds</v>
          </cell>
          <cell r="H164">
            <v>800</v>
          </cell>
          <cell r="I164">
            <v>800</v>
          </cell>
          <cell r="J164">
            <v>800</v>
          </cell>
          <cell r="K164">
            <v>800</v>
          </cell>
          <cell r="L164">
            <v>800</v>
          </cell>
          <cell r="M164">
            <v>800</v>
          </cell>
          <cell r="N164">
            <v>800</v>
          </cell>
          <cell r="O164">
            <v>800</v>
          </cell>
          <cell r="P164">
            <v>800</v>
          </cell>
          <cell r="Q164">
            <v>800</v>
          </cell>
          <cell r="R164">
            <v>800</v>
          </cell>
          <cell r="S164">
            <v>800</v>
          </cell>
          <cell r="U164">
            <v>800</v>
          </cell>
          <cell r="V164">
            <v>5500</v>
          </cell>
          <cell r="W164">
            <v>-4700</v>
          </cell>
          <cell r="Y164">
            <v>6400</v>
          </cell>
          <cell r="Z164">
            <v>66000</v>
          </cell>
          <cell r="AA164">
            <v>-59600</v>
          </cell>
        </row>
        <row r="168">
          <cell r="C168" t="str">
            <v>Sales Expense (Excl. Eqpmt Subsidy)</v>
          </cell>
          <cell r="H168">
            <v>36.229999999999997</v>
          </cell>
          <cell r="I168">
            <v>37.229999999999997</v>
          </cell>
          <cell r="J168">
            <v>38.229999999999997</v>
          </cell>
          <cell r="K168">
            <v>39.229999999999997</v>
          </cell>
          <cell r="L168">
            <v>40.229999999999997</v>
          </cell>
          <cell r="M168">
            <v>41.23</v>
          </cell>
          <cell r="N168">
            <v>42.23</v>
          </cell>
          <cell r="O168">
            <v>43.23</v>
          </cell>
          <cell r="P168">
            <v>44.23</v>
          </cell>
          <cell r="Q168">
            <v>45.23</v>
          </cell>
          <cell r="R168">
            <v>46.23</v>
          </cell>
          <cell r="S168">
            <v>47.23</v>
          </cell>
          <cell r="U168">
            <v>43.23</v>
          </cell>
          <cell r="V168">
            <v>150</v>
          </cell>
          <cell r="W168">
            <v>106.77000000000001</v>
          </cell>
          <cell r="Y168">
            <v>39.729999999999997</v>
          </cell>
          <cell r="Z168">
            <v>150</v>
          </cell>
          <cell r="AA168">
            <v>110.27000000000001</v>
          </cell>
        </row>
        <row r="171">
          <cell r="C171" t="str">
            <v>Marketing Expense (Excl. Advertising)</v>
          </cell>
          <cell r="H171">
            <v>2.06</v>
          </cell>
          <cell r="I171">
            <v>2.06</v>
          </cell>
          <cell r="J171">
            <v>2.06</v>
          </cell>
          <cell r="K171">
            <v>2.06</v>
          </cell>
          <cell r="L171">
            <v>2.06</v>
          </cell>
          <cell r="M171">
            <v>2.06</v>
          </cell>
          <cell r="N171">
            <v>2.06</v>
          </cell>
          <cell r="O171">
            <v>2.06</v>
          </cell>
          <cell r="P171">
            <v>2.06</v>
          </cell>
          <cell r="Q171">
            <v>2.06</v>
          </cell>
          <cell r="R171">
            <v>2.06</v>
          </cell>
          <cell r="S171">
            <v>2.06</v>
          </cell>
          <cell r="U171">
            <v>2.06</v>
          </cell>
          <cell r="V171">
            <v>8</v>
          </cell>
          <cell r="W171">
            <v>5.9399999999999995</v>
          </cell>
          <cell r="Y171">
            <v>2.06</v>
          </cell>
          <cell r="Z171">
            <v>8</v>
          </cell>
          <cell r="AA171">
            <v>5.9399999999999995</v>
          </cell>
        </row>
        <row r="174">
          <cell r="C174" t="str">
            <v>Advertising Expense</v>
          </cell>
          <cell r="H174">
            <v>31.21</v>
          </cell>
          <cell r="I174">
            <v>31.21</v>
          </cell>
          <cell r="J174">
            <v>31.21</v>
          </cell>
          <cell r="K174">
            <v>31.21</v>
          </cell>
          <cell r="L174">
            <v>31.21</v>
          </cell>
          <cell r="M174">
            <v>31.21</v>
          </cell>
          <cell r="N174">
            <v>31.21</v>
          </cell>
          <cell r="O174">
            <v>31.21</v>
          </cell>
          <cell r="P174">
            <v>31.21</v>
          </cell>
          <cell r="Q174">
            <v>31.21</v>
          </cell>
          <cell r="R174">
            <v>31.21</v>
          </cell>
          <cell r="S174">
            <v>31.21</v>
          </cell>
          <cell r="U174">
            <v>31.21</v>
          </cell>
          <cell r="V174">
            <v>80</v>
          </cell>
          <cell r="W174">
            <v>48.79</v>
          </cell>
          <cell r="Y174">
            <v>31.21</v>
          </cell>
          <cell r="Z174">
            <v>80</v>
          </cell>
          <cell r="AA174">
            <v>48.79</v>
          </cell>
        </row>
        <row r="177">
          <cell r="C177" t="str">
            <v>Fulfillment Expense</v>
          </cell>
          <cell r="H177">
            <v>5.73</v>
          </cell>
          <cell r="I177">
            <v>5.73</v>
          </cell>
          <cell r="J177">
            <v>5.73</v>
          </cell>
          <cell r="K177">
            <v>5.73</v>
          </cell>
          <cell r="L177">
            <v>5.73</v>
          </cell>
          <cell r="M177">
            <v>5.73</v>
          </cell>
          <cell r="N177">
            <v>5.73</v>
          </cell>
          <cell r="O177">
            <v>5.73</v>
          </cell>
          <cell r="P177">
            <v>5.73</v>
          </cell>
          <cell r="Q177">
            <v>5.73</v>
          </cell>
          <cell r="R177">
            <v>5.73</v>
          </cell>
          <cell r="S177">
            <v>5.73</v>
          </cell>
          <cell r="U177">
            <v>5.73</v>
          </cell>
          <cell r="V177">
            <v>10</v>
          </cell>
          <cell r="W177">
            <v>4.2699999999999996</v>
          </cell>
          <cell r="Y177">
            <v>5.73</v>
          </cell>
          <cell r="Z177">
            <v>10</v>
          </cell>
          <cell r="AA177">
            <v>4.2699999999999996</v>
          </cell>
        </row>
        <row r="180">
          <cell r="C180" t="str">
            <v>Equipment Subsidy</v>
          </cell>
          <cell r="H180">
            <v>35</v>
          </cell>
          <cell r="I180">
            <v>35</v>
          </cell>
          <cell r="J180">
            <v>35</v>
          </cell>
          <cell r="K180">
            <v>35</v>
          </cell>
          <cell r="L180">
            <v>35</v>
          </cell>
          <cell r="M180">
            <v>35</v>
          </cell>
          <cell r="N180">
            <v>35</v>
          </cell>
          <cell r="O180">
            <v>35</v>
          </cell>
          <cell r="P180">
            <v>35</v>
          </cell>
          <cell r="Q180">
            <v>35</v>
          </cell>
          <cell r="R180">
            <v>35</v>
          </cell>
          <cell r="S180">
            <v>35</v>
          </cell>
          <cell r="U180">
            <v>35</v>
          </cell>
          <cell r="V180">
            <v>170</v>
          </cell>
          <cell r="W180">
            <v>135</v>
          </cell>
          <cell r="Y180">
            <v>35</v>
          </cell>
          <cell r="Z180">
            <v>170</v>
          </cell>
          <cell r="AA180">
            <v>135</v>
          </cell>
        </row>
        <row r="183">
          <cell r="C183" t="str">
            <v>Motorola Rebate</v>
          </cell>
          <cell r="H183">
            <v>0</v>
          </cell>
          <cell r="I183">
            <v>0</v>
          </cell>
          <cell r="J183">
            <v>0</v>
          </cell>
          <cell r="K183">
            <v>0</v>
          </cell>
          <cell r="L183">
            <v>0</v>
          </cell>
          <cell r="M183">
            <v>0</v>
          </cell>
          <cell r="N183">
            <v>0</v>
          </cell>
          <cell r="O183">
            <v>0</v>
          </cell>
          <cell r="P183">
            <v>0</v>
          </cell>
          <cell r="Q183">
            <v>0</v>
          </cell>
          <cell r="R183">
            <v>0</v>
          </cell>
          <cell r="S183">
            <v>0</v>
          </cell>
          <cell r="U183">
            <v>0</v>
          </cell>
          <cell r="V183">
            <v>0</v>
          </cell>
          <cell r="W183">
            <v>0</v>
          </cell>
          <cell r="Y183">
            <v>0</v>
          </cell>
          <cell r="Z183">
            <v>0</v>
          </cell>
          <cell r="AA183">
            <v>0</v>
          </cell>
        </row>
        <row r="186">
          <cell r="C186" t="str">
            <v>Service Subsidy</v>
          </cell>
          <cell r="H186">
            <v>0</v>
          </cell>
          <cell r="I186">
            <v>0</v>
          </cell>
          <cell r="J186">
            <v>0</v>
          </cell>
          <cell r="K186">
            <v>0</v>
          </cell>
          <cell r="L186">
            <v>0</v>
          </cell>
          <cell r="M186">
            <v>0</v>
          </cell>
          <cell r="N186">
            <v>0</v>
          </cell>
          <cell r="O186">
            <v>0</v>
          </cell>
          <cell r="P186">
            <v>0</v>
          </cell>
          <cell r="Q186">
            <v>0</v>
          </cell>
          <cell r="R186">
            <v>0</v>
          </cell>
          <cell r="S186">
            <v>0</v>
          </cell>
          <cell r="U186">
            <v>0</v>
          </cell>
          <cell r="V186">
            <v>0</v>
          </cell>
          <cell r="W186">
            <v>0</v>
          </cell>
          <cell r="Y186">
            <v>0</v>
          </cell>
          <cell r="Z186">
            <v>0</v>
          </cell>
          <cell r="AA186">
            <v>0</v>
          </cell>
        </row>
        <row r="190">
          <cell r="B190" t="str">
            <v>TOTAL ANALOG CPGA</v>
          </cell>
          <cell r="H190">
            <v>110.23</v>
          </cell>
          <cell r="I190">
            <v>111.23</v>
          </cell>
          <cell r="J190">
            <v>112.23</v>
          </cell>
          <cell r="K190">
            <v>113.23</v>
          </cell>
          <cell r="L190">
            <v>114.23</v>
          </cell>
          <cell r="M190">
            <v>115.23</v>
          </cell>
          <cell r="N190">
            <v>116.23</v>
          </cell>
          <cell r="O190">
            <v>117.23</v>
          </cell>
          <cell r="P190">
            <v>118.23</v>
          </cell>
          <cell r="Q190">
            <v>119.23</v>
          </cell>
          <cell r="R190">
            <v>120.23</v>
          </cell>
          <cell r="S190">
            <v>121.23</v>
          </cell>
          <cell r="U190">
            <v>117.23</v>
          </cell>
          <cell r="V190">
            <v>418</v>
          </cell>
          <cell r="W190">
            <v>300.77</v>
          </cell>
          <cell r="Y190">
            <v>113.73</v>
          </cell>
          <cell r="Z190">
            <v>418</v>
          </cell>
          <cell r="AA190">
            <v>304.27</v>
          </cell>
        </row>
        <row r="194">
          <cell r="B194" t="str">
            <v>Analog CPGA by Direct Channel</v>
          </cell>
        </row>
        <row r="196">
          <cell r="H196" t="str">
            <v>Jan</v>
          </cell>
          <cell r="I196" t="str">
            <v>Feb</v>
          </cell>
          <cell r="J196" t="str">
            <v>Mar</v>
          </cell>
          <cell r="K196" t="str">
            <v>Apr</v>
          </cell>
          <cell r="L196" t="str">
            <v>May</v>
          </cell>
          <cell r="M196" t="str">
            <v>Jun</v>
          </cell>
          <cell r="N196" t="str">
            <v>Jul</v>
          </cell>
          <cell r="O196" t="str">
            <v>Aug</v>
          </cell>
          <cell r="P196" t="str">
            <v>Sep</v>
          </cell>
          <cell r="Q196" t="str">
            <v>Oct</v>
          </cell>
          <cell r="R196" t="str">
            <v>Nov</v>
          </cell>
          <cell r="S196" t="str">
            <v>Dec</v>
          </cell>
          <cell r="U196" t="str">
            <v>Current Month</v>
          </cell>
          <cell r="Y196" t="str">
            <v>YTD</v>
          </cell>
        </row>
        <row r="197">
          <cell r="U197" t="str">
            <v>Actual</v>
          </cell>
          <cell r="V197" t="str">
            <v>Budget</v>
          </cell>
          <cell r="W197" t="str">
            <v>Variance</v>
          </cell>
          <cell r="Y197" t="str">
            <v>Actual</v>
          </cell>
          <cell r="Z197" t="str">
            <v>Budget</v>
          </cell>
          <cell r="AA197" t="str">
            <v>Variance</v>
          </cell>
        </row>
        <row r="201">
          <cell r="C201" t="str">
            <v>Sales Expense</v>
          </cell>
        </row>
        <row r="203">
          <cell r="D203" t="str">
            <v>Sales Payroll</v>
          </cell>
          <cell r="H203">
            <v>19.989999999999998</v>
          </cell>
          <cell r="I203">
            <v>19.989999999999998</v>
          </cell>
          <cell r="J203">
            <v>19.989999999999998</v>
          </cell>
          <cell r="K203">
            <v>19.989999999999998</v>
          </cell>
          <cell r="L203">
            <v>19.989999999999998</v>
          </cell>
          <cell r="M203">
            <v>19.989999999999998</v>
          </cell>
          <cell r="N203">
            <v>19.989999999999998</v>
          </cell>
          <cell r="O203">
            <v>19.989999999999998</v>
          </cell>
          <cell r="P203">
            <v>19.989999999999998</v>
          </cell>
          <cell r="Q203">
            <v>19.989999999999998</v>
          </cell>
          <cell r="R203">
            <v>19.989999999999998</v>
          </cell>
          <cell r="S203">
            <v>19.989999999999998</v>
          </cell>
          <cell r="U203">
            <v>19.989999999999998</v>
          </cell>
          <cell r="V203">
            <v>99</v>
          </cell>
          <cell r="W203">
            <v>79.010000000000005</v>
          </cell>
          <cell r="Y203">
            <v>19.989999999999998</v>
          </cell>
          <cell r="Z203">
            <v>99</v>
          </cell>
          <cell r="AA203">
            <v>79.010000000000005</v>
          </cell>
        </row>
        <row r="204">
          <cell r="D204" t="str">
            <v>Commissions</v>
          </cell>
          <cell r="H204">
            <v>26.5</v>
          </cell>
          <cell r="I204">
            <v>26.5</v>
          </cell>
          <cell r="J204">
            <v>26.5</v>
          </cell>
          <cell r="K204">
            <v>26.5</v>
          </cell>
          <cell r="L204">
            <v>26.5</v>
          </cell>
          <cell r="M204">
            <v>26.5</v>
          </cell>
          <cell r="N204">
            <v>26.5</v>
          </cell>
          <cell r="O204">
            <v>26.5</v>
          </cell>
          <cell r="P204">
            <v>26.5</v>
          </cell>
          <cell r="Q204">
            <v>26.5</v>
          </cell>
          <cell r="R204">
            <v>26.5</v>
          </cell>
          <cell r="S204">
            <v>26.5</v>
          </cell>
          <cell r="U204">
            <v>26.5</v>
          </cell>
          <cell r="V204">
            <v>25</v>
          </cell>
          <cell r="W204">
            <v>-1.5</v>
          </cell>
          <cell r="Y204">
            <v>26.5</v>
          </cell>
          <cell r="Z204">
            <v>25</v>
          </cell>
          <cell r="AA204">
            <v>-1.5</v>
          </cell>
        </row>
        <row r="205">
          <cell r="D205" t="str">
            <v>Other Sales Expense *</v>
          </cell>
          <cell r="H205">
            <v>1.32</v>
          </cell>
          <cell r="I205">
            <v>1.32</v>
          </cell>
          <cell r="J205">
            <v>1.32</v>
          </cell>
          <cell r="K205">
            <v>1.32</v>
          </cell>
          <cell r="L205">
            <v>1.32</v>
          </cell>
          <cell r="M205">
            <v>1.32</v>
          </cell>
          <cell r="N205">
            <v>1.32</v>
          </cell>
          <cell r="O205">
            <v>1.32</v>
          </cell>
          <cell r="P205">
            <v>1.32</v>
          </cell>
          <cell r="Q205">
            <v>1.32</v>
          </cell>
          <cell r="R205">
            <v>1.32</v>
          </cell>
          <cell r="S205">
            <v>1.32</v>
          </cell>
          <cell r="U205">
            <v>1.32</v>
          </cell>
          <cell r="V205">
            <v>15</v>
          </cell>
          <cell r="W205">
            <v>13.68</v>
          </cell>
          <cell r="Y205">
            <v>1.32</v>
          </cell>
          <cell r="Z205">
            <v>15</v>
          </cell>
          <cell r="AA205">
            <v>13.68</v>
          </cell>
        </row>
        <row r="208">
          <cell r="C208" t="str">
            <v>Marketing Expense</v>
          </cell>
        </row>
        <row r="210">
          <cell r="D210" t="str">
            <v>Advertising Expense</v>
          </cell>
          <cell r="H210">
            <v>31.21</v>
          </cell>
          <cell r="I210">
            <v>31.21</v>
          </cell>
          <cell r="J210">
            <v>31.21</v>
          </cell>
          <cell r="K210">
            <v>31.21</v>
          </cell>
          <cell r="L210">
            <v>31.21</v>
          </cell>
          <cell r="M210">
            <v>31.21</v>
          </cell>
          <cell r="N210">
            <v>31.21</v>
          </cell>
          <cell r="O210">
            <v>31.21</v>
          </cell>
          <cell r="P210">
            <v>31.21</v>
          </cell>
          <cell r="Q210">
            <v>31.21</v>
          </cell>
          <cell r="R210">
            <v>31.21</v>
          </cell>
          <cell r="S210">
            <v>31.21</v>
          </cell>
          <cell r="U210">
            <v>31.21</v>
          </cell>
          <cell r="V210">
            <v>80</v>
          </cell>
          <cell r="W210">
            <v>48.79</v>
          </cell>
          <cell r="Y210">
            <v>31.21</v>
          </cell>
          <cell r="Z210">
            <v>80</v>
          </cell>
          <cell r="AA210">
            <v>48.79</v>
          </cell>
        </row>
        <row r="211">
          <cell r="D211" t="str">
            <v>Other Expense **</v>
          </cell>
          <cell r="H211">
            <v>2.06</v>
          </cell>
          <cell r="I211">
            <v>2.06</v>
          </cell>
          <cell r="J211">
            <v>2.06</v>
          </cell>
          <cell r="K211">
            <v>2.06</v>
          </cell>
          <cell r="L211">
            <v>2.06</v>
          </cell>
          <cell r="M211">
            <v>2.06</v>
          </cell>
          <cell r="N211">
            <v>2.06</v>
          </cell>
          <cell r="O211">
            <v>2.06</v>
          </cell>
          <cell r="P211">
            <v>2.06</v>
          </cell>
          <cell r="Q211">
            <v>2.06</v>
          </cell>
          <cell r="R211">
            <v>2.06</v>
          </cell>
          <cell r="S211">
            <v>2.06</v>
          </cell>
          <cell r="U211">
            <v>2.06</v>
          </cell>
          <cell r="V211">
            <v>8</v>
          </cell>
          <cell r="W211">
            <v>5.9399999999999995</v>
          </cell>
          <cell r="Y211">
            <v>2.06</v>
          </cell>
          <cell r="Z211">
            <v>8</v>
          </cell>
          <cell r="AA211">
            <v>5.9399999999999995</v>
          </cell>
        </row>
        <row r="214">
          <cell r="C214" t="str">
            <v>Fulfillment Expense</v>
          </cell>
          <cell r="H214">
            <v>5.73</v>
          </cell>
          <cell r="I214">
            <v>5.73</v>
          </cell>
          <cell r="J214">
            <v>5.73</v>
          </cell>
          <cell r="K214">
            <v>5.73</v>
          </cell>
          <cell r="L214">
            <v>5.73</v>
          </cell>
          <cell r="M214">
            <v>5.73</v>
          </cell>
          <cell r="N214">
            <v>5.73</v>
          </cell>
          <cell r="O214">
            <v>5.73</v>
          </cell>
          <cell r="P214">
            <v>5.73</v>
          </cell>
          <cell r="Q214">
            <v>5.73</v>
          </cell>
          <cell r="R214">
            <v>5.73</v>
          </cell>
          <cell r="S214">
            <v>5.73</v>
          </cell>
          <cell r="U214">
            <v>5.73</v>
          </cell>
          <cell r="V214">
            <v>10</v>
          </cell>
          <cell r="W214">
            <v>4.2699999999999996</v>
          </cell>
          <cell r="Y214">
            <v>5.73</v>
          </cell>
          <cell r="Z214">
            <v>10</v>
          </cell>
          <cell r="AA214">
            <v>4.2699999999999996</v>
          </cell>
        </row>
        <row r="217">
          <cell r="C217" t="str">
            <v>Equipment Subsidy</v>
          </cell>
          <cell r="H217">
            <v>35</v>
          </cell>
          <cell r="I217">
            <v>35</v>
          </cell>
          <cell r="J217">
            <v>35</v>
          </cell>
          <cell r="K217">
            <v>35</v>
          </cell>
          <cell r="L217">
            <v>35</v>
          </cell>
          <cell r="M217">
            <v>35</v>
          </cell>
          <cell r="N217">
            <v>35</v>
          </cell>
          <cell r="O217">
            <v>35</v>
          </cell>
          <cell r="P217">
            <v>35</v>
          </cell>
          <cell r="Q217">
            <v>35</v>
          </cell>
          <cell r="R217">
            <v>35</v>
          </cell>
          <cell r="S217">
            <v>35</v>
          </cell>
          <cell r="U217">
            <v>35</v>
          </cell>
          <cell r="V217">
            <v>170</v>
          </cell>
          <cell r="W217">
            <v>135</v>
          </cell>
          <cell r="Y217">
            <v>35</v>
          </cell>
          <cell r="Z217">
            <v>170</v>
          </cell>
          <cell r="AA217">
            <v>135</v>
          </cell>
        </row>
        <row r="220">
          <cell r="C220" t="str">
            <v>Motorola Rebate</v>
          </cell>
          <cell r="H220">
            <v>0</v>
          </cell>
          <cell r="I220">
            <v>0</v>
          </cell>
          <cell r="J220">
            <v>0</v>
          </cell>
          <cell r="K220">
            <v>0</v>
          </cell>
          <cell r="L220">
            <v>0</v>
          </cell>
          <cell r="M220">
            <v>0</v>
          </cell>
          <cell r="N220">
            <v>0</v>
          </cell>
          <cell r="O220">
            <v>0</v>
          </cell>
          <cell r="P220">
            <v>0</v>
          </cell>
          <cell r="Q220">
            <v>0</v>
          </cell>
          <cell r="R220">
            <v>0</v>
          </cell>
          <cell r="S220">
            <v>0</v>
          </cell>
          <cell r="U220">
            <v>0</v>
          </cell>
          <cell r="V220">
            <v>0</v>
          </cell>
          <cell r="W220">
            <v>0</v>
          </cell>
          <cell r="Y220">
            <v>0</v>
          </cell>
          <cell r="Z220">
            <v>0</v>
          </cell>
          <cell r="AA220">
            <v>0</v>
          </cell>
        </row>
        <row r="223">
          <cell r="C223" t="str">
            <v>Service Subsidy</v>
          </cell>
          <cell r="H223">
            <v>0</v>
          </cell>
          <cell r="I223">
            <v>0</v>
          </cell>
          <cell r="J223">
            <v>0</v>
          </cell>
          <cell r="K223">
            <v>0</v>
          </cell>
          <cell r="L223">
            <v>0</v>
          </cell>
          <cell r="M223">
            <v>0</v>
          </cell>
          <cell r="N223">
            <v>0</v>
          </cell>
          <cell r="O223">
            <v>0</v>
          </cell>
          <cell r="P223">
            <v>0</v>
          </cell>
          <cell r="Q223">
            <v>0</v>
          </cell>
          <cell r="R223">
            <v>0</v>
          </cell>
          <cell r="S223">
            <v>0</v>
          </cell>
          <cell r="U223">
            <v>0</v>
          </cell>
          <cell r="V223">
            <v>0</v>
          </cell>
          <cell r="W223">
            <v>0</v>
          </cell>
          <cell r="Y223">
            <v>0</v>
          </cell>
          <cell r="Z223">
            <v>0</v>
          </cell>
          <cell r="AA223">
            <v>0</v>
          </cell>
        </row>
        <row r="227">
          <cell r="B227" t="str">
            <v>TOTAL DIRECT CPGA</v>
          </cell>
          <cell r="H227">
            <v>121.81</v>
          </cell>
          <cell r="I227">
            <v>121.81</v>
          </cell>
          <cell r="J227">
            <v>121.81</v>
          </cell>
          <cell r="K227">
            <v>121.81</v>
          </cell>
          <cell r="L227">
            <v>121.81</v>
          </cell>
          <cell r="M227">
            <v>121.81</v>
          </cell>
          <cell r="N227">
            <v>121.81</v>
          </cell>
          <cell r="O227">
            <v>121.81</v>
          </cell>
          <cell r="P227">
            <v>121.81</v>
          </cell>
          <cell r="Q227">
            <v>121.81</v>
          </cell>
          <cell r="R227">
            <v>121.81</v>
          </cell>
          <cell r="S227">
            <v>121.81</v>
          </cell>
          <cell r="U227">
            <v>121.81</v>
          </cell>
          <cell r="V227">
            <v>407</v>
          </cell>
          <cell r="W227">
            <v>285.19</v>
          </cell>
          <cell r="Y227">
            <v>121.81</v>
          </cell>
          <cell r="Z227">
            <v>407</v>
          </cell>
          <cell r="AA227">
            <v>285.19</v>
          </cell>
        </row>
        <row r="231">
          <cell r="B231" t="str">
            <v>Analog CPGA by Indirect Channel</v>
          </cell>
        </row>
        <row r="233">
          <cell r="H233" t="str">
            <v>Jan</v>
          </cell>
          <cell r="I233" t="str">
            <v>Feb</v>
          </cell>
          <cell r="J233" t="str">
            <v>Mar</v>
          </cell>
          <cell r="K233" t="str">
            <v>Apr</v>
          </cell>
          <cell r="L233" t="str">
            <v>May</v>
          </cell>
          <cell r="M233" t="str">
            <v>Jun</v>
          </cell>
          <cell r="N233" t="str">
            <v>Jul</v>
          </cell>
          <cell r="O233" t="str">
            <v>Aug</v>
          </cell>
          <cell r="P233" t="str">
            <v>Sep</v>
          </cell>
          <cell r="Q233" t="str">
            <v>Oct</v>
          </cell>
          <cell r="R233" t="str">
            <v>Nov</v>
          </cell>
          <cell r="S233" t="str">
            <v>Dec</v>
          </cell>
          <cell r="U233" t="str">
            <v>Current Month</v>
          </cell>
          <cell r="Y233" t="str">
            <v>YTD</v>
          </cell>
        </row>
        <row r="234">
          <cell r="U234" t="str">
            <v>Actual</v>
          </cell>
          <cell r="V234" t="str">
            <v>Budget</v>
          </cell>
          <cell r="W234" t="str">
            <v>Variance</v>
          </cell>
          <cell r="Y234" t="str">
            <v>Actual</v>
          </cell>
          <cell r="Z234" t="str">
            <v>Budget</v>
          </cell>
          <cell r="AA234" t="str">
            <v>Variance</v>
          </cell>
        </row>
        <row r="238">
          <cell r="C238" t="str">
            <v>Sales Expense</v>
          </cell>
        </row>
        <row r="240">
          <cell r="D240" t="str">
            <v>Sales Payroll</v>
          </cell>
          <cell r="H240">
            <v>12.09</v>
          </cell>
          <cell r="I240">
            <v>14.09</v>
          </cell>
          <cell r="J240">
            <v>16.09</v>
          </cell>
          <cell r="K240">
            <v>18.09</v>
          </cell>
          <cell r="L240">
            <v>20.09</v>
          </cell>
          <cell r="M240">
            <v>22.09</v>
          </cell>
          <cell r="N240">
            <v>24.09</v>
          </cell>
          <cell r="O240">
            <v>26.09</v>
          </cell>
          <cell r="P240">
            <v>28.09</v>
          </cell>
          <cell r="Q240">
            <v>30.09</v>
          </cell>
          <cell r="R240">
            <v>32.090000000000003</v>
          </cell>
          <cell r="S240">
            <v>34.090000000000003</v>
          </cell>
          <cell r="U240">
            <v>26.09</v>
          </cell>
          <cell r="V240">
            <v>99</v>
          </cell>
          <cell r="W240">
            <v>72.91</v>
          </cell>
          <cell r="Y240">
            <v>19.09</v>
          </cell>
          <cell r="Z240">
            <v>99</v>
          </cell>
          <cell r="AA240">
            <v>79.91</v>
          </cell>
        </row>
        <row r="241">
          <cell r="D241" t="str">
            <v>Commissions</v>
          </cell>
          <cell r="H241">
            <v>27.32</v>
          </cell>
          <cell r="I241">
            <v>27.32</v>
          </cell>
          <cell r="J241">
            <v>27.32</v>
          </cell>
          <cell r="K241">
            <v>27.32</v>
          </cell>
          <cell r="L241">
            <v>27.32</v>
          </cell>
          <cell r="M241">
            <v>27.32</v>
          </cell>
          <cell r="N241">
            <v>27.32</v>
          </cell>
          <cell r="O241">
            <v>27.32</v>
          </cell>
          <cell r="P241">
            <v>27.32</v>
          </cell>
          <cell r="Q241">
            <v>27.32</v>
          </cell>
          <cell r="R241">
            <v>27.32</v>
          </cell>
          <cell r="S241">
            <v>27.32</v>
          </cell>
          <cell r="U241">
            <v>27.32</v>
          </cell>
          <cell r="V241">
            <v>25</v>
          </cell>
          <cell r="W241">
            <v>-2.3200000000000003</v>
          </cell>
          <cell r="Y241">
            <v>27.32</v>
          </cell>
          <cell r="Z241">
            <v>25</v>
          </cell>
          <cell r="AA241">
            <v>-2.3200000000000003</v>
          </cell>
        </row>
        <row r="242">
          <cell r="D242" t="str">
            <v>Other Sales Expense *</v>
          </cell>
          <cell r="H242">
            <v>0.6</v>
          </cell>
          <cell r="I242">
            <v>0.6</v>
          </cell>
          <cell r="J242">
            <v>0.6</v>
          </cell>
          <cell r="K242">
            <v>0.6</v>
          </cell>
          <cell r="L242">
            <v>0.6</v>
          </cell>
          <cell r="M242">
            <v>0.6</v>
          </cell>
          <cell r="N242">
            <v>0.6</v>
          </cell>
          <cell r="O242">
            <v>0.6</v>
          </cell>
          <cell r="P242">
            <v>0.6</v>
          </cell>
          <cell r="Q242">
            <v>0.6</v>
          </cell>
          <cell r="R242">
            <v>0.6</v>
          </cell>
          <cell r="S242">
            <v>0.6</v>
          </cell>
          <cell r="U242">
            <v>0.6</v>
          </cell>
          <cell r="V242">
            <v>15</v>
          </cell>
          <cell r="W242">
            <v>14.4</v>
          </cell>
          <cell r="Y242">
            <v>0.6</v>
          </cell>
          <cell r="Z242">
            <v>15</v>
          </cell>
          <cell r="AA242">
            <v>14.4</v>
          </cell>
        </row>
        <row r="245">
          <cell r="C245" t="str">
            <v>Marketing Expense</v>
          </cell>
        </row>
        <row r="247">
          <cell r="D247" t="str">
            <v>Advertising Expense</v>
          </cell>
          <cell r="H247">
            <v>31.21</v>
          </cell>
          <cell r="I247">
            <v>31.21</v>
          </cell>
          <cell r="J247">
            <v>31.21</v>
          </cell>
          <cell r="K247">
            <v>31.21</v>
          </cell>
          <cell r="L247">
            <v>31.21</v>
          </cell>
          <cell r="M247">
            <v>31.21</v>
          </cell>
          <cell r="N247">
            <v>31.21</v>
          </cell>
          <cell r="O247">
            <v>31.21</v>
          </cell>
          <cell r="P247">
            <v>31.21</v>
          </cell>
          <cell r="Q247">
            <v>31.21</v>
          </cell>
          <cell r="R247">
            <v>31.21</v>
          </cell>
          <cell r="S247">
            <v>31.21</v>
          </cell>
          <cell r="U247">
            <v>31.21</v>
          </cell>
          <cell r="V247">
            <v>80</v>
          </cell>
          <cell r="W247">
            <v>48.79</v>
          </cell>
          <cell r="Y247">
            <v>31.21</v>
          </cell>
          <cell r="Z247">
            <v>80</v>
          </cell>
          <cell r="AA247">
            <v>48.79</v>
          </cell>
        </row>
        <row r="248">
          <cell r="D248" t="str">
            <v>Other Expense **</v>
          </cell>
          <cell r="H248">
            <v>2.06</v>
          </cell>
          <cell r="I248">
            <v>2.06</v>
          </cell>
          <cell r="J248">
            <v>2.06</v>
          </cell>
          <cell r="K248">
            <v>2.06</v>
          </cell>
          <cell r="L248">
            <v>2.06</v>
          </cell>
          <cell r="M248">
            <v>2.06</v>
          </cell>
          <cell r="N248">
            <v>2.06</v>
          </cell>
          <cell r="O248">
            <v>2.06</v>
          </cell>
          <cell r="P248">
            <v>2.06</v>
          </cell>
          <cell r="Q248">
            <v>2.06</v>
          </cell>
          <cell r="R248">
            <v>2.06</v>
          </cell>
          <cell r="S248">
            <v>2.06</v>
          </cell>
          <cell r="U248">
            <v>2.06</v>
          </cell>
          <cell r="V248">
            <v>8</v>
          </cell>
          <cell r="W248">
            <v>5.9399999999999995</v>
          </cell>
          <cell r="Y248">
            <v>2.06</v>
          </cell>
          <cell r="Z248">
            <v>8</v>
          </cell>
          <cell r="AA248">
            <v>5.9399999999999995</v>
          </cell>
        </row>
        <row r="251">
          <cell r="C251" t="str">
            <v>Fulfillment Expense</v>
          </cell>
          <cell r="H251">
            <v>5.73</v>
          </cell>
          <cell r="I251">
            <v>5.73</v>
          </cell>
          <cell r="J251">
            <v>5.73</v>
          </cell>
          <cell r="K251">
            <v>5.73</v>
          </cell>
          <cell r="L251">
            <v>5.73</v>
          </cell>
          <cell r="M251">
            <v>5.73</v>
          </cell>
          <cell r="N251">
            <v>5.73</v>
          </cell>
          <cell r="O251">
            <v>5.73</v>
          </cell>
          <cell r="P251">
            <v>5.73</v>
          </cell>
          <cell r="Q251">
            <v>5.73</v>
          </cell>
          <cell r="R251">
            <v>5.73</v>
          </cell>
          <cell r="S251">
            <v>5.73</v>
          </cell>
          <cell r="U251">
            <v>5.73</v>
          </cell>
          <cell r="V251">
            <v>10</v>
          </cell>
          <cell r="W251">
            <v>4.2699999999999996</v>
          </cell>
          <cell r="Y251">
            <v>5.73</v>
          </cell>
          <cell r="Z251">
            <v>10</v>
          </cell>
          <cell r="AA251">
            <v>4.2699999999999996</v>
          </cell>
        </row>
        <row r="254">
          <cell r="C254" t="str">
            <v>Equipment Subsidy</v>
          </cell>
          <cell r="H254">
            <v>35</v>
          </cell>
          <cell r="I254">
            <v>35</v>
          </cell>
          <cell r="J254">
            <v>35</v>
          </cell>
          <cell r="K254">
            <v>35</v>
          </cell>
          <cell r="L254">
            <v>35</v>
          </cell>
          <cell r="M254">
            <v>35</v>
          </cell>
          <cell r="N254">
            <v>35</v>
          </cell>
          <cell r="O254">
            <v>35</v>
          </cell>
          <cell r="P254">
            <v>35</v>
          </cell>
          <cell r="Q254">
            <v>35</v>
          </cell>
          <cell r="R254">
            <v>35</v>
          </cell>
          <cell r="S254">
            <v>35</v>
          </cell>
          <cell r="U254">
            <v>35</v>
          </cell>
          <cell r="V254">
            <v>170</v>
          </cell>
          <cell r="W254">
            <v>135</v>
          </cell>
          <cell r="Y254">
            <v>35</v>
          </cell>
          <cell r="Z254">
            <v>170</v>
          </cell>
          <cell r="AA254">
            <v>135</v>
          </cell>
        </row>
        <row r="257">
          <cell r="C257" t="str">
            <v>Motorola Rebate</v>
          </cell>
          <cell r="H257">
            <v>0</v>
          </cell>
          <cell r="I257">
            <v>0</v>
          </cell>
          <cell r="J257">
            <v>0</v>
          </cell>
          <cell r="K257">
            <v>0</v>
          </cell>
          <cell r="L257">
            <v>0</v>
          </cell>
          <cell r="M257">
            <v>0</v>
          </cell>
          <cell r="N257">
            <v>0</v>
          </cell>
          <cell r="O257">
            <v>0</v>
          </cell>
          <cell r="P257">
            <v>0</v>
          </cell>
          <cell r="Q257">
            <v>0</v>
          </cell>
          <cell r="R257">
            <v>0</v>
          </cell>
          <cell r="S257">
            <v>0</v>
          </cell>
          <cell r="U257">
            <v>0</v>
          </cell>
          <cell r="V257">
            <v>0</v>
          </cell>
          <cell r="W257">
            <v>0</v>
          </cell>
          <cell r="Y257">
            <v>0</v>
          </cell>
          <cell r="Z257">
            <v>0</v>
          </cell>
          <cell r="AA257">
            <v>0</v>
          </cell>
        </row>
        <row r="260">
          <cell r="C260" t="str">
            <v>Service Subsidy</v>
          </cell>
          <cell r="H260">
            <v>0</v>
          </cell>
          <cell r="I260">
            <v>0</v>
          </cell>
          <cell r="J260">
            <v>0</v>
          </cell>
          <cell r="K260">
            <v>0</v>
          </cell>
          <cell r="L260">
            <v>0</v>
          </cell>
          <cell r="M260">
            <v>0</v>
          </cell>
          <cell r="N260">
            <v>0</v>
          </cell>
          <cell r="O260">
            <v>0</v>
          </cell>
          <cell r="P260">
            <v>0</v>
          </cell>
          <cell r="Q260">
            <v>0</v>
          </cell>
          <cell r="R260">
            <v>0</v>
          </cell>
          <cell r="S260">
            <v>0</v>
          </cell>
          <cell r="U260">
            <v>0</v>
          </cell>
          <cell r="V260">
            <v>0</v>
          </cell>
          <cell r="W260">
            <v>0</v>
          </cell>
          <cell r="Y260">
            <v>0</v>
          </cell>
          <cell r="Z260">
            <v>0</v>
          </cell>
          <cell r="AA260">
            <v>0</v>
          </cell>
        </row>
        <row r="264">
          <cell r="B264" t="str">
            <v>TOTAL INDIRECT CPGA</v>
          </cell>
          <cell r="H264">
            <v>114.01</v>
          </cell>
          <cell r="I264">
            <v>116.01</v>
          </cell>
          <cell r="J264">
            <v>118.01</v>
          </cell>
          <cell r="K264">
            <v>120.01</v>
          </cell>
          <cell r="L264">
            <v>122.01</v>
          </cell>
          <cell r="M264">
            <v>124.01</v>
          </cell>
          <cell r="N264">
            <v>126.01</v>
          </cell>
          <cell r="O264">
            <v>128.01</v>
          </cell>
          <cell r="P264">
            <v>130.01</v>
          </cell>
          <cell r="Q264">
            <v>132.01</v>
          </cell>
          <cell r="R264">
            <v>134.01</v>
          </cell>
          <cell r="S264">
            <v>136.01</v>
          </cell>
          <cell r="U264">
            <v>128.01</v>
          </cell>
          <cell r="V264">
            <v>407</v>
          </cell>
          <cell r="W264">
            <v>278.99</v>
          </cell>
          <cell r="Y264">
            <v>121.01</v>
          </cell>
          <cell r="Z264">
            <v>407</v>
          </cell>
          <cell r="AA264">
            <v>285.99</v>
          </cell>
        </row>
        <row r="267">
          <cell r="C267" t="str">
            <v>* Other Sales Expense includes Employee and Related, Outside Services, Facilities and Administrative, etc.</v>
          </cell>
        </row>
        <row r="268">
          <cell r="C268" t="str">
            <v>** Other Marketing Expense includes Payroll and Related, Employee and Related, Outside Services, Facilities and Administrative, etc.</v>
          </cell>
        </row>
      </sheetData>
      <sheetData sheetId="22" refreshError="1">
        <row r="12">
          <cell r="B12" t="str">
            <v>Digital Post-Paid CPGA</v>
          </cell>
        </row>
        <row r="14">
          <cell r="H14" t="str">
            <v>January</v>
          </cell>
          <cell r="I14" t="str">
            <v>February</v>
          </cell>
          <cell r="J14" t="str">
            <v>March</v>
          </cell>
          <cell r="K14" t="str">
            <v>April</v>
          </cell>
          <cell r="L14" t="str">
            <v>May</v>
          </cell>
          <cell r="M14" t="str">
            <v>June</v>
          </cell>
          <cell r="N14" t="str">
            <v>July</v>
          </cell>
          <cell r="O14" t="str">
            <v>August</v>
          </cell>
          <cell r="P14" t="str">
            <v>September</v>
          </cell>
          <cell r="Q14" t="str">
            <v>October</v>
          </cell>
          <cell r="R14" t="str">
            <v>November</v>
          </cell>
          <cell r="S14" t="str">
            <v>December</v>
          </cell>
          <cell r="U14" t="str">
            <v>Current Month</v>
          </cell>
          <cell r="Y14" t="str">
            <v>YTD</v>
          </cell>
        </row>
        <row r="15">
          <cell r="U15" t="str">
            <v>Actual</v>
          </cell>
          <cell r="V15" t="str">
            <v>Budget</v>
          </cell>
          <cell r="W15" t="str">
            <v>Variance</v>
          </cell>
          <cell r="Y15" t="str">
            <v>Actual</v>
          </cell>
          <cell r="Z15" t="str">
            <v>Budget</v>
          </cell>
          <cell r="AA15" t="str">
            <v>Variance</v>
          </cell>
        </row>
        <row r="19">
          <cell r="C19" t="str">
            <v>Gross Adds</v>
          </cell>
          <cell r="H19">
            <v>9500</v>
          </cell>
          <cell r="I19">
            <v>9500</v>
          </cell>
          <cell r="J19">
            <v>9500</v>
          </cell>
          <cell r="K19">
            <v>9500</v>
          </cell>
          <cell r="L19">
            <v>9500</v>
          </cell>
          <cell r="M19">
            <v>9500</v>
          </cell>
          <cell r="N19">
            <v>9500</v>
          </cell>
          <cell r="O19">
            <v>9500</v>
          </cell>
          <cell r="P19">
            <v>9500</v>
          </cell>
          <cell r="Q19">
            <v>9500</v>
          </cell>
          <cell r="R19">
            <v>9500</v>
          </cell>
          <cell r="S19">
            <v>5000</v>
          </cell>
          <cell r="U19">
            <v>9500</v>
          </cell>
          <cell r="V19">
            <v>8500</v>
          </cell>
          <cell r="W19">
            <v>1000</v>
          </cell>
          <cell r="Y19">
            <v>76000</v>
          </cell>
          <cell r="Z19">
            <v>9500</v>
          </cell>
          <cell r="AA19">
            <v>66500</v>
          </cell>
        </row>
        <row r="21">
          <cell r="D21" t="str">
            <v>Direct Gross Adds</v>
          </cell>
          <cell r="H21">
            <v>4000</v>
          </cell>
          <cell r="I21">
            <v>4000</v>
          </cell>
          <cell r="J21">
            <v>4000</v>
          </cell>
          <cell r="K21">
            <v>4000</v>
          </cell>
          <cell r="L21">
            <v>4000</v>
          </cell>
          <cell r="M21">
            <v>4000</v>
          </cell>
          <cell r="N21">
            <v>4000</v>
          </cell>
          <cell r="O21">
            <v>4000</v>
          </cell>
          <cell r="P21">
            <v>4000</v>
          </cell>
          <cell r="Q21">
            <v>4000</v>
          </cell>
          <cell r="R21">
            <v>4000</v>
          </cell>
          <cell r="S21">
            <v>4000</v>
          </cell>
          <cell r="U21">
            <v>4000</v>
          </cell>
          <cell r="V21">
            <v>3000</v>
          </cell>
          <cell r="W21">
            <v>1000</v>
          </cell>
          <cell r="Y21">
            <v>32000</v>
          </cell>
          <cell r="Z21">
            <v>4000</v>
          </cell>
          <cell r="AA21">
            <v>28000</v>
          </cell>
        </row>
        <row r="23">
          <cell r="D23" t="str">
            <v>Indirect Gross Adds</v>
          </cell>
          <cell r="H23">
            <v>5500</v>
          </cell>
          <cell r="I23">
            <v>5500</v>
          </cell>
          <cell r="J23">
            <v>5500</v>
          </cell>
          <cell r="K23">
            <v>5500</v>
          </cell>
          <cell r="L23">
            <v>5500</v>
          </cell>
          <cell r="M23">
            <v>5500</v>
          </cell>
          <cell r="N23">
            <v>5500</v>
          </cell>
          <cell r="O23">
            <v>5500</v>
          </cell>
          <cell r="P23">
            <v>5500</v>
          </cell>
          <cell r="Q23">
            <v>5500</v>
          </cell>
          <cell r="R23">
            <v>5500</v>
          </cell>
          <cell r="S23">
            <v>1000</v>
          </cell>
          <cell r="U23">
            <v>5500</v>
          </cell>
          <cell r="V23">
            <v>5500</v>
          </cell>
          <cell r="W23">
            <v>0</v>
          </cell>
          <cell r="Y23">
            <v>44000</v>
          </cell>
          <cell r="Z23">
            <v>5500</v>
          </cell>
          <cell r="AA23">
            <v>38500</v>
          </cell>
        </row>
        <row r="27">
          <cell r="C27" t="str">
            <v>Sales Exp. (Excl. Eqpmt Subsidy &amp; Comm.)</v>
          </cell>
          <cell r="H27">
            <v>50.48</v>
          </cell>
          <cell r="I27">
            <v>51.48</v>
          </cell>
          <cell r="J27">
            <v>52.48</v>
          </cell>
          <cell r="K27">
            <v>53.48</v>
          </cell>
          <cell r="L27">
            <v>54.48</v>
          </cell>
          <cell r="M27">
            <v>55.48</v>
          </cell>
          <cell r="N27">
            <v>56.48</v>
          </cell>
          <cell r="O27">
            <v>57.48</v>
          </cell>
          <cell r="P27">
            <v>58.48</v>
          </cell>
          <cell r="Q27">
            <v>59.48</v>
          </cell>
          <cell r="R27">
            <v>60.48</v>
          </cell>
          <cell r="S27">
            <v>61.48</v>
          </cell>
          <cell r="U27">
            <v>57.48</v>
          </cell>
          <cell r="V27">
            <v>50.48</v>
          </cell>
          <cell r="W27">
            <v>-7</v>
          </cell>
          <cell r="Y27">
            <v>53.98</v>
          </cell>
          <cell r="Z27">
            <v>50.48</v>
          </cell>
          <cell r="AA27">
            <v>-3.5</v>
          </cell>
        </row>
        <row r="29">
          <cell r="D29" t="str">
            <v>Direct Commissions</v>
          </cell>
          <cell r="H29">
            <v>11.96</v>
          </cell>
          <cell r="I29">
            <v>12.96</v>
          </cell>
          <cell r="J29">
            <v>13.96</v>
          </cell>
          <cell r="K29">
            <v>14.96</v>
          </cell>
          <cell r="L29">
            <v>15.96</v>
          </cell>
          <cell r="M29">
            <v>16.96</v>
          </cell>
          <cell r="N29">
            <v>17.96</v>
          </cell>
          <cell r="O29">
            <v>18.96</v>
          </cell>
          <cell r="P29">
            <v>19.96</v>
          </cell>
          <cell r="Q29">
            <v>20.96</v>
          </cell>
          <cell r="R29">
            <v>21.96</v>
          </cell>
          <cell r="S29">
            <v>22.96</v>
          </cell>
          <cell r="U29">
            <v>18.96</v>
          </cell>
          <cell r="V29">
            <v>11.96</v>
          </cell>
          <cell r="W29">
            <v>-7</v>
          </cell>
          <cell r="Y29">
            <v>15.46</v>
          </cell>
          <cell r="Z29">
            <v>11.96</v>
          </cell>
          <cell r="AA29">
            <v>-3.5</v>
          </cell>
        </row>
        <row r="31">
          <cell r="D31" t="str">
            <v>Indirect Commissions</v>
          </cell>
          <cell r="H31">
            <v>79.06</v>
          </cell>
          <cell r="I31">
            <v>80.06</v>
          </cell>
          <cell r="J31">
            <v>81.06</v>
          </cell>
          <cell r="K31">
            <v>82.06</v>
          </cell>
          <cell r="L31">
            <v>83.06</v>
          </cell>
          <cell r="M31">
            <v>84.06</v>
          </cell>
          <cell r="N31">
            <v>85.06</v>
          </cell>
          <cell r="O31">
            <v>86.06</v>
          </cell>
          <cell r="P31">
            <v>87.06</v>
          </cell>
          <cell r="Q31">
            <v>88.06</v>
          </cell>
          <cell r="R31">
            <v>89.06</v>
          </cell>
          <cell r="S31">
            <v>90.06</v>
          </cell>
          <cell r="U31">
            <v>86.06</v>
          </cell>
          <cell r="V31">
            <v>79.06</v>
          </cell>
          <cell r="W31">
            <v>-7</v>
          </cell>
          <cell r="Y31">
            <v>82.56</v>
          </cell>
          <cell r="Z31">
            <v>79.06</v>
          </cell>
          <cell r="AA31">
            <v>-3.5</v>
          </cell>
        </row>
        <row r="34">
          <cell r="C34" t="str">
            <v>Marketing Expense (Excl. Advertising)</v>
          </cell>
          <cell r="H34">
            <v>7.88</v>
          </cell>
          <cell r="I34">
            <v>8.879999999999999</v>
          </cell>
          <cell r="J34">
            <v>9.879999999999999</v>
          </cell>
          <cell r="K34">
            <v>10.879999999999999</v>
          </cell>
          <cell r="L34">
            <v>11.879999999999999</v>
          </cell>
          <cell r="M34">
            <v>12.879999999999999</v>
          </cell>
          <cell r="N34">
            <v>13.879999999999999</v>
          </cell>
          <cell r="O34">
            <v>14.879999999999999</v>
          </cell>
          <cell r="P34">
            <v>15.879999999999999</v>
          </cell>
          <cell r="Q34">
            <v>16.88</v>
          </cell>
          <cell r="R34">
            <v>17.88</v>
          </cell>
          <cell r="S34">
            <v>18.88</v>
          </cell>
          <cell r="U34">
            <v>14.879999999999999</v>
          </cell>
          <cell r="V34">
            <v>7.88</v>
          </cell>
          <cell r="W34">
            <v>-6.9999999999999991</v>
          </cell>
          <cell r="Y34">
            <v>11.38</v>
          </cell>
          <cell r="Z34">
            <v>7.88</v>
          </cell>
          <cell r="AA34">
            <v>-3.5000000000000009</v>
          </cell>
        </row>
        <row r="37">
          <cell r="C37" t="str">
            <v>Advertising Expense</v>
          </cell>
          <cell r="H37">
            <v>77.13</v>
          </cell>
          <cell r="I37">
            <v>78.13</v>
          </cell>
          <cell r="J37">
            <v>79.13</v>
          </cell>
          <cell r="K37">
            <v>80.13</v>
          </cell>
          <cell r="L37">
            <v>81.13</v>
          </cell>
          <cell r="M37">
            <v>82.13</v>
          </cell>
          <cell r="N37">
            <v>83.13</v>
          </cell>
          <cell r="O37">
            <v>84.13</v>
          </cell>
          <cell r="P37">
            <v>85.13</v>
          </cell>
          <cell r="Q37">
            <v>86.13</v>
          </cell>
          <cell r="R37">
            <v>87.13</v>
          </cell>
          <cell r="S37">
            <v>88.13</v>
          </cell>
          <cell r="U37">
            <v>84.13</v>
          </cell>
          <cell r="V37">
            <v>77.13</v>
          </cell>
          <cell r="W37">
            <v>-7</v>
          </cell>
          <cell r="Y37">
            <v>80.63</v>
          </cell>
          <cell r="Z37">
            <v>77.13</v>
          </cell>
          <cell r="AA37">
            <v>-3.5</v>
          </cell>
        </row>
        <row r="40">
          <cell r="C40" t="str">
            <v>Fulfillment Expense</v>
          </cell>
          <cell r="H40">
            <v>9.33</v>
          </cell>
          <cell r="I40">
            <v>10.33</v>
          </cell>
          <cell r="J40">
            <v>11.33</v>
          </cell>
          <cell r="K40">
            <v>12.33</v>
          </cell>
          <cell r="L40">
            <v>13.33</v>
          </cell>
          <cell r="M40">
            <v>14.33</v>
          </cell>
          <cell r="N40">
            <v>15.33</v>
          </cell>
          <cell r="O40">
            <v>16.329999999999998</v>
          </cell>
          <cell r="P40">
            <v>17.329999999999998</v>
          </cell>
          <cell r="Q40">
            <v>18.329999999999998</v>
          </cell>
          <cell r="R40">
            <v>19.329999999999998</v>
          </cell>
          <cell r="S40">
            <v>20.329999999999998</v>
          </cell>
          <cell r="U40">
            <v>16.329999999999998</v>
          </cell>
          <cell r="V40">
            <v>9.33</v>
          </cell>
          <cell r="W40">
            <v>-6.9999999999999982</v>
          </cell>
          <cell r="Y40">
            <v>12.83</v>
          </cell>
          <cell r="Z40">
            <v>9.33</v>
          </cell>
          <cell r="AA40">
            <v>-3.5</v>
          </cell>
        </row>
        <row r="43">
          <cell r="C43" t="str">
            <v>Equipment Subsidy</v>
          </cell>
          <cell r="H43">
            <v>159.83000000000001</v>
          </cell>
          <cell r="I43">
            <v>160.83000000000001</v>
          </cell>
          <cell r="J43">
            <v>161.83000000000001</v>
          </cell>
          <cell r="K43">
            <v>162.83000000000001</v>
          </cell>
          <cell r="L43">
            <v>163.83000000000001</v>
          </cell>
          <cell r="M43">
            <v>164.83</v>
          </cell>
          <cell r="N43">
            <v>165.83</v>
          </cell>
          <cell r="O43">
            <v>166.83</v>
          </cell>
          <cell r="P43">
            <v>167.83</v>
          </cell>
          <cell r="Q43">
            <v>168.83</v>
          </cell>
          <cell r="R43">
            <v>169.83</v>
          </cell>
          <cell r="S43">
            <v>170.83</v>
          </cell>
          <cell r="U43">
            <v>166.83</v>
          </cell>
          <cell r="V43">
            <v>159.83000000000001</v>
          </cell>
          <cell r="W43">
            <v>-7</v>
          </cell>
          <cell r="Y43">
            <v>163.33000000000001</v>
          </cell>
          <cell r="Z43">
            <v>159.83000000000001</v>
          </cell>
          <cell r="AA43">
            <v>-3.5</v>
          </cell>
        </row>
        <row r="46">
          <cell r="C46" t="str">
            <v>Motorola Rebate</v>
          </cell>
          <cell r="H46">
            <v>0</v>
          </cell>
          <cell r="I46">
            <v>1</v>
          </cell>
          <cell r="J46">
            <v>2</v>
          </cell>
          <cell r="K46">
            <v>3</v>
          </cell>
          <cell r="L46">
            <v>4</v>
          </cell>
          <cell r="M46">
            <v>5</v>
          </cell>
          <cell r="N46">
            <v>6</v>
          </cell>
          <cell r="O46">
            <v>7</v>
          </cell>
          <cell r="P46">
            <v>8</v>
          </cell>
          <cell r="Q46">
            <v>9</v>
          </cell>
          <cell r="R46">
            <v>10</v>
          </cell>
          <cell r="S46">
            <v>11</v>
          </cell>
          <cell r="U46">
            <v>7</v>
          </cell>
          <cell r="V46">
            <v>0</v>
          </cell>
          <cell r="W46">
            <v>-7</v>
          </cell>
          <cell r="Y46">
            <v>3.5</v>
          </cell>
          <cell r="Z46">
            <v>0</v>
          </cell>
          <cell r="AA46">
            <v>-3.5</v>
          </cell>
        </row>
        <row r="49">
          <cell r="C49" t="str">
            <v>Service Subsidy</v>
          </cell>
          <cell r="H49">
            <v>0</v>
          </cell>
          <cell r="I49">
            <v>1</v>
          </cell>
          <cell r="J49">
            <v>2</v>
          </cell>
          <cell r="K49">
            <v>3</v>
          </cell>
          <cell r="L49">
            <v>4</v>
          </cell>
          <cell r="M49">
            <v>5</v>
          </cell>
          <cell r="N49">
            <v>6</v>
          </cell>
          <cell r="O49">
            <v>7</v>
          </cell>
          <cell r="P49">
            <v>8</v>
          </cell>
          <cell r="Q49">
            <v>9</v>
          </cell>
          <cell r="R49">
            <v>10</v>
          </cell>
          <cell r="S49">
            <v>11</v>
          </cell>
          <cell r="U49">
            <v>7</v>
          </cell>
          <cell r="V49">
            <v>0</v>
          </cell>
          <cell r="W49">
            <v>-7</v>
          </cell>
          <cell r="Y49">
            <v>3.5</v>
          </cell>
          <cell r="Z49">
            <v>0</v>
          </cell>
          <cell r="AA49">
            <v>-3.5</v>
          </cell>
        </row>
        <row r="53">
          <cell r="B53" t="str">
            <v>TOTAL DIGITAL POST-PAID CPGA</v>
          </cell>
          <cell r="H53">
            <v>395.67</v>
          </cell>
          <cell r="I53">
            <v>404.67</v>
          </cell>
          <cell r="J53">
            <v>413.67</v>
          </cell>
          <cell r="K53">
            <v>422.67</v>
          </cell>
          <cell r="L53">
            <v>431.66999999999996</v>
          </cell>
          <cell r="M53">
            <v>440.66999999999996</v>
          </cell>
          <cell r="N53">
            <v>449.66999999999996</v>
          </cell>
          <cell r="O53">
            <v>458.66999999999996</v>
          </cell>
          <cell r="P53">
            <v>467.66999999999996</v>
          </cell>
          <cell r="Q53">
            <v>476.66999999999996</v>
          </cell>
          <cell r="R53">
            <v>485.66999999999996</v>
          </cell>
          <cell r="S53">
            <v>494.66999999999996</v>
          </cell>
          <cell r="U53">
            <v>458.66999999999996</v>
          </cell>
          <cell r="V53">
            <v>395.67</v>
          </cell>
          <cell r="W53">
            <v>-63</v>
          </cell>
          <cell r="Y53">
            <v>427.16999999999996</v>
          </cell>
          <cell r="Z53">
            <v>395.67</v>
          </cell>
          <cell r="AA53">
            <v>-31.5</v>
          </cell>
        </row>
        <row r="60">
          <cell r="B60" t="str">
            <v>Digital Pre-Paid CPGA (This does not apply to Mexico's operations)</v>
          </cell>
        </row>
        <row r="62">
          <cell r="H62" t="str">
            <v>January</v>
          </cell>
          <cell r="I62" t="str">
            <v>February</v>
          </cell>
          <cell r="J62" t="str">
            <v>March</v>
          </cell>
          <cell r="K62" t="str">
            <v>April</v>
          </cell>
          <cell r="L62" t="str">
            <v>May</v>
          </cell>
          <cell r="M62" t="str">
            <v>June</v>
          </cell>
          <cell r="N62" t="str">
            <v>July</v>
          </cell>
          <cell r="O62" t="str">
            <v>August</v>
          </cell>
          <cell r="P62" t="str">
            <v>September</v>
          </cell>
          <cell r="Q62" t="str">
            <v>October</v>
          </cell>
          <cell r="R62" t="str">
            <v>November</v>
          </cell>
          <cell r="S62" t="str">
            <v>December</v>
          </cell>
          <cell r="U62" t="str">
            <v>Current Month</v>
          </cell>
          <cell r="Y62" t="str">
            <v>YTD</v>
          </cell>
        </row>
        <row r="63">
          <cell r="U63" t="str">
            <v>Actual</v>
          </cell>
          <cell r="V63" t="str">
            <v>Budget</v>
          </cell>
          <cell r="W63" t="str">
            <v>Variance</v>
          </cell>
          <cell r="Y63" t="str">
            <v>Actual</v>
          </cell>
          <cell r="Z63" t="str">
            <v>Budget</v>
          </cell>
          <cell r="AA63" t="str">
            <v>Variance</v>
          </cell>
        </row>
        <row r="67">
          <cell r="C67" t="str">
            <v>Gross Adds</v>
          </cell>
          <cell r="H67">
            <v>9500</v>
          </cell>
          <cell r="I67">
            <v>9500</v>
          </cell>
          <cell r="J67">
            <v>9500</v>
          </cell>
          <cell r="K67">
            <v>9500</v>
          </cell>
          <cell r="L67">
            <v>9500</v>
          </cell>
          <cell r="M67">
            <v>9500</v>
          </cell>
          <cell r="N67">
            <v>9500</v>
          </cell>
          <cell r="O67">
            <v>9500</v>
          </cell>
          <cell r="P67">
            <v>9500</v>
          </cell>
          <cell r="Q67">
            <v>9500</v>
          </cell>
          <cell r="R67">
            <v>9500</v>
          </cell>
          <cell r="S67">
            <v>5000</v>
          </cell>
          <cell r="U67">
            <v>9500</v>
          </cell>
          <cell r="V67">
            <v>8500</v>
          </cell>
          <cell r="W67">
            <v>1000</v>
          </cell>
          <cell r="Y67">
            <v>76000</v>
          </cell>
          <cell r="Z67">
            <v>9500</v>
          </cell>
          <cell r="AA67">
            <v>66500</v>
          </cell>
        </row>
        <row r="69">
          <cell r="D69" t="str">
            <v>Direct Gross Adds</v>
          </cell>
          <cell r="H69">
            <v>4000</v>
          </cell>
          <cell r="I69">
            <v>4000</v>
          </cell>
          <cell r="J69">
            <v>4000</v>
          </cell>
          <cell r="K69">
            <v>4000</v>
          </cell>
          <cell r="L69">
            <v>4000</v>
          </cell>
          <cell r="M69">
            <v>4000</v>
          </cell>
          <cell r="N69">
            <v>4000</v>
          </cell>
          <cell r="O69">
            <v>4000</v>
          </cell>
          <cell r="P69">
            <v>4000</v>
          </cell>
          <cell r="Q69">
            <v>4000</v>
          </cell>
          <cell r="R69">
            <v>4000</v>
          </cell>
          <cell r="S69">
            <v>4000</v>
          </cell>
          <cell r="U69">
            <v>4000</v>
          </cell>
          <cell r="V69">
            <v>3000</v>
          </cell>
          <cell r="W69">
            <v>1000</v>
          </cell>
          <cell r="Y69">
            <v>32000</v>
          </cell>
          <cell r="Z69">
            <v>4000</v>
          </cell>
          <cell r="AA69">
            <v>28000</v>
          </cell>
        </row>
        <row r="71">
          <cell r="D71" t="str">
            <v>Indirect Gross Adds</v>
          </cell>
          <cell r="H71">
            <v>5500</v>
          </cell>
          <cell r="I71">
            <v>5500</v>
          </cell>
          <cell r="J71">
            <v>5500</v>
          </cell>
          <cell r="K71">
            <v>5500</v>
          </cell>
          <cell r="L71">
            <v>5500</v>
          </cell>
          <cell r="M71">
            <v>5500</v>
          </cell>
          <cell r="N71">
            <v>5500</v>
          </cell>
          <cell r="O71">
            <v>5500</v>
          </cell>
          <cell r="P71">
            <v>5500</v>
          </cell>
          <cell r="Q71">
            <v>5500</v>
          </cell>
          <cell r="R71">
            <v>5500</v>
          </cell>
          <cell r="S71">
            <v>1000</v>
          </cell>
          <cell r="U71">
            <v>5500</v>
          </cell>
          <cell r="V71">
            <v>5500</v>
          </cell>
          <cell r="W71">
            <v>0</v>
          </cell>
          <cell r="Y71">
            <v>44000</v>
          </cell>
          <cell r="Z71">
            <v>5500</v>
          </cell>
          <cell r="AA71">
            <v>38500</v>
          </cell>
        </row>
        <row r="75">
          <cell r="C75" t="str">
            <v>Sales Exp. (Excl. Eqpmt Subsidy &amp; Comm.)</v>
          </cell>
          <cell r="H75">
            <v>50.48</v>
          </cell>
          <cell r="I75">
            <v>51.48</v>
          </cell>
          <cell r="J75">
            <v>52.48</v>
          </cell>
          <cell r="K75">
            <v>53.48</v>
          </cell>
          <cell r="L75">
            <v>54.48</v>
          </cell>
          <cell r="M75">
            <v>55.48</v>
          </cell>
          <cell r="N75">
            <v>56.48</v>
          </cell>
          <cell r="O75">
            <v>57.48</v>
          </cell>
          <cell r="P75">
            <v>58.48</v>
          </cell>
          <cell r="Q75">
            <v>59.48</v>
          </cell>
          <cell r="R75">
            <v>60.48</v>
          </cell>
          <cell r="S75">
            <v>61.48</v>
          </cell>
          <cell r="U75">
            <v>57.48</v>
          </cell>
          <cell r="V75">
            <v>50.48</v>
          </cell>
          <cell r="W75">
            <v>-7</v>
          </cell>
          <cell r="Y75">
            <v>53.98</v>
          </cell>
          <cell r="Z75">
            <v>50.48</v>
          </cell>
          <cell r="AA75">
            <v>-3.5</v>
          </cell>
        </row>
        <row r="77">
          <cell r="D77" t="str">
            <v>Direct Commissions</v>
          </cell>
          <cell r="H77">
            <v>11.96</v>
          </cell>
          <cell r="I77">
            <v>12.96</v>
          </cell>
          <cell r="J77">
            <v>13.96</v>
          </cell>
          <cell r="K77">
            <v>14.96</v>
          </cell>
          <cell r="L77">
            <v>15.96</v>
          </cell>
          <cell r="M77">
            <v>16.96</v>
          </cell>
          <cell r="N77">
            <v>17.96</v>
          </cell>
          <cell r="O77">
            <v>18.96</v>
          </cell>
          <cell r="P77">
            <v>19.96</v>
          </cell>
          <cell r="Q77">
            <v>20.96</v>
          </cell>
          <cell r="R77">
            <v>21.96</v>
          </cell>
          <cell r="S77">
            <v>22.96</v>
          </cell>
          <cell r="U77">
            <v>18.96</v>
          </cell>
          <cell r="V77">
            <v>11.96</v>
          </cell>
          <cell r="W77">
            <v>-7</v>
          </cell>
          <cell r="Y77">
            <v>15.46</v>
          </cell>
          <cell r="Z77">
            <v>11.96</v>
          </cell>
          <cell r="AA77">
            <v>-3.5</v>
          </cell>
        </row>
        <row r="79">
          <cell r="D79" t="str">
            <v>Indirect Commissions</v>
          </cell>
          <cell r="H79">
            <v>79.06</v>
          </cell>
          <cell r="I79">
            <v>80.06</v>
          </cell>
          <cell r="J79">
            <v>81.06</v>
          </cell>
          <cell r="K79">
            <v>82.06</v>
          </cell>
          <cell r="L79">
            <v>83.06</v>
          </cell>
          <cell r="M79">
            <v>84.06</v>
          </cell>
          <cell r="N79">
            <v>85.06</v>
          </cell>
          <cell r="O79">
            <v>86.06</v>
          </cell>
          <cell r="P79">
            <v>87.06</v>
          </cell>
          <cell r="Q79">
            <v>88.06</v>
          </cell>
          <cell r="R79">
            <v>89.06</v>
          </cell>
          <cell r="S79">
            <v>90.06</v>
          </cell>
          <cell r="U79">
            <v>86.06</v>
          </cell>
          <cell r="V79">
            <v>79.06</v>
          </cell>
          <cell r="W79">
            <v>-7</v>
          </cell>
          <cell r="Y79">
            <v>82.56</v>
          </cell>
          <cell r="Z79">
            <v>79.06</v>
          </cell>
          <cell r="AA79">
            <v>-3.5</v>
          </cell>
        </row>
        <row r="82">
          <cell r="C82" t="str">
            <v>Marketing Expense (Excl. Advertising)</v>
          </cell>
          <cell r="H82">
            <v>7.88</v>
          </cell>
          <cell r="I82">
            <v>8.879999999999999</v>
          </cell>
          <cell r="J82">
            <v>9.879999999999999</v>
          </cell>
          <cell r="K82">
            <v>10.879999999999999</v>
          </cell>
          <cell r="L82">
            <v>11.879999999999999</v>
          </cell>
          <cell r="M82">
            <v>12.879999999999999</v>
          </cell>
          <cell r="N82">
            <v>13.879999999999999</v>
          </cell>
          <cell r="O82">
            <v>14.879999999999999</v>
          </cell>
          <cell r="P82">
            <v>15.879999999999999</v>
          </cell>
          <cell r="Q82">
            <v>16.88</v>
          </cell>
          <cell r="R82">
            <v>17.88</v>
          </cell>
          <cell r="S82">
            <v>18.88</v>
          </cell>
          <cell r="U82">
            <v>14.879999999999999</v>
          </cell>
          <cell r="V82">
            <v>7.88</v>
          </cell>
          <cell r="W82">
            <v>-6.9999999999999991</v>
          </cell>
          <cell r="Y82">
            <v>11.38</v>
          </cell>
          <cell r="Z82">
            <v>7.88</v>
          </cell>
          <cell r="AA82">
            <v>-3.5000000000000009</v>
          </cell>
        </row>
        <row r="85">
          <cell r="C85" t="str">
            <v>Advertising Expense</v>
          </cell>
          <cell r="H85">
            <v>77.13</v>
          </cell>
          <cell r="I85">
            <v>78.13</v>
          </cell>
          <cell r="J85">
            <v>79.13</v>
          </cell>
          <cell r="K85">
            <v>80.13</v>
          </cell>
          <cell r="L85">
            <v>81.13</v>
          </cell>
          <cell r="M85">
            <v>82.13</v>
          </cell>
          <cell r="N85">
            <v>83.13</v>
          </cell>
          <cell r="O85">
            <v>84.13</v>
          </cell>
          <cell r="P85">
            <v>85.13</v>
          </cell>
          <cell r="Q85">
            <v>86.13</v>
          </cell>
          <cell r="R85">
            <v>87.13</v>
          </cell>
          <cell r="S85">
            <v>88.13</v>
          </cell>
          <cell r="U85">
            <v>84.13</v>
          </cell>
          <cell r="V85">
            <v>77.13</v>
          </cell>
          <cell r="W85">
            <v>-7</v>
          </cell>
          <cell r="Y85">
            <v>80.63</v>
          </cell>
          <cell r="Z85">
            <v>77.13</v>
          </cell>
          <cell r="AA85">
            <v>-3.5</v>
          </cell>
        </row>
        <row r="88">
          <cell r="C88" t="str">
            <v>Fulfillment Expense</v>
          </cell>
          <cell r="H88">
            <v>9.33</v>
          </cell>
          <cell r="I88">
            <v>10.33</v>
          </cell>
          <cell r="J88">
            <v>11.33</v>
          </cell>
          <cell r="K88">
            <v>12.33</v>
          </cell>
          <cell r="L88">
            <v>13.33</v>
          </cell>
          <cell r="M88">
            <v>14.33</v>
          </cell>
          <cell r="N88">
            <v>15.33</v>
          </cell>
          <cell r="O88">
            <v>16.329999999999998</v>
          </cell>
          <cell r="P88">
            <v>17.329999999999998</v>
          </cell>
          <cell r="Q88">
            <v>18.329999999999998</v>
          </cell>
          <cell r="R88">
            <v>19.329999999999998</v>
          </cell>
          <cell r="S88">
            <v>20.329999999999998</v>
          </cell>
          <cell r="U88">
            <v>16.329999999999998</v>
          </cell>
          <cell r="V88">
            <v>9.33</v>
          </cell>
          <cell r="W88">
            <v>-6.9999999999999982</v>
          </cell>
          <cell r="Y88">
            <v>12.83</v>
          </cell>
          <cell r="Z88">
            <v>9.33</v>
          </cell>
          <cell r="AA88">
            <v>-3.5</v>
          </cell>
        </row>
        <row r="91">
          <cell r="C91" t="str">
            <v>Equipment Subsidy</v>
          </cell>
          <cell r="H91">
            <v>159.83000000000001</v>
          </cell>
          <cell r="I91">
            <v>160.83000000000001</v>
          </cell>
          <cell r="J91">
            <v>161.83000000000001</v>
          </cell>
          <cell r="K91">
            <v>162.83000000000001</v>
          </cell>
          <cell r="L91">
            <v>163.83000000000001</v>
          </cell>
          <cell r="M91">
            <v>164.83</v>
          </cell>
          <cell r="N91">
            <v>165.83</v>
          </cell>
          <cell r="O91">
            <v>166.83</v>
          </cell>
          <cell r="P91">
            <v>167.83</v>
          </cell>
          <cell r="Q91">
            <v>168.83</v>
          </cell>
          <cell r="R91">
            <v>169.83</v>
          </cell>
          <cell r="S91">
            <v>170.83</v>
          </cell>
          <cell r="U91">
            <v>166.83</v>
          </cell>
          <cell r="V91">
            <v>159.83000000000001</v>
          </cell>
          <cell r="W91">
            <v>-7</v>
          </cell>
          <cell r="Y91">
            <v>163.33000000000001</v>
          </cell>
          <cell r="Z91">
            <v>159.83000000000001</v>
          </cell>
          <cell r="AA91">
            <v>-3.5</v>
          </cell>
        </row>
        <row r="94">
          <cell r="C94" t="str">
            <v>Motorola Rebate</v>
          </cell>
          <cell r="H94">
            <v>0</v>
          </cell>
          <cell r="I94">
            <v>1</v>
          </cell>
          <cell r="J94">
            <v>2</v>
          </cell>
          <cell r="K94">
            <v>3</v>
          </cell>
          <cell r="L94">
            <v>4</v>
          </cell>
          <cell r="M94">
            <v>5</v>
          </cell>
          <cell r="N94">
            <v>6</v>
          </cell>
          <cell r="O94">
            <v>7</v>
          </cell>
          <cell r="P94">
            <v>8</v>
          </cell>
          <cell r="Q94">
            <v>9</v>
          </cell>
          <cell r="R94">
            <v>10</v>
          </cell>
          <cell r="S94">
            <v>11</v>
          </cell>
          <cell r="U94">
            <v>7</v>
          </cell>
          <cell r="V94">
            <v>0</v>
          </cell>
          <cell r="W94">
            <v>-7</v>
          </cell>
          <cell r="Y94">
            <v>3.5</v>
          </cell>
          <cell r="Z94">
            <v>0</v>
          </cell>
          <cell r="AA94">
            <v>-3.5</v>
          </cell>
        </row>
        <row r="97">
          <cell r="C97" t="str">
            <v>Service Subsidy</v>
          </cell>
          <cell r="H97">
            <v>0</v>
          </cell>
          <cell r="I97">
            <v>1</v>
          </cell>
          <cell r="J97">
            <v>2</v>
          </cell>
          <cell r="K97">
            <v>3</v>
          </cell>
          <cell r="L97">
            <v>4</v>
          </cell>
          <cell r="M97">
            <v>5</v>
          </cell>
          <cell r="N97">
            <v>6</v>
          </cell>
          <cell r="O97">
            <v>7</v>
          </cell>
          <cell r="P97">
            <v>8</v>
          </cell>
          <cell r="Q97">
            <v>9</v>
          </cell>
          <cell r="R97">
            <v>10</v>
          </cell>
          <cell r="S97">
            <v>11</v>
          </cell>
          <cell r="U97">
            <v>7</v>
          </cell>
          <cell r="V97">
            <v>0</v>
          </cell>
          <cell r="W97">
            <v>-7</v>
          </cell>
          <cell r="Y97">
            <v>3.5</v>
          </cell>
          <cell r="Z97">
            <v>0</v>
          </cell>
          <cell r="AA97">
            <v>-3.5</v>
          </cell>
        </row>
        <row r="101">
          <cell r="B101" t="str">
            <v>TOTAL DIGITAL PRE-PAID CPGA</v>
          </cell>
          <cell r="H101">
            <v>395.67</v>
          </cell>
          <cell r="I101">
            <v>404.67</v>
          </cell>
          <cell r="J101">
            <v>413.67</v>
          </cell>
          <cell r="K101">
            <v>422.67</v>
          </cell>
          <cell r="L101">
            <v>431.66999999999996</v>
          </cell>
          <cell r="M101">
            <v>440.66999999999996</v>
          </cell>
          <cell r="N101">
            <v>449.66999999999996</v>
          </cell>
          <cell r="O101">
            <v>458.66999999999996</v>
          </cell>
          <cell r="P101">
            <v>467.66999999999996</v>
          </cell>
          <cell r="Q101">
            <v>476.66999999999996</v>
          </cell>
          <cell r="R101">
            <v>485.66999999999996</v>
          </cell>
          <cell r="S101">
            <v>494.66999999999996</v>
          </cell>
          <cell r="U101">
            <v>458.66999999999996</v>
          </cell>
          <cell r="V101">
            <v>395.67</v>
          </cell>
          <cell r="W101">
            <v>-63</v>
          </cell>
          <cell r="Y101">
            <v>427.16999999999996</v>
          </cell>
          <cell r="Z101">
            <v>395.67</v>
          </cell>
          <cell r="AA101">
            <v>-31.5</v>
          </cell>
        </row>
      </sheetData>
      <sheetData sheetId="23" refreshError="1"/>
      <sheetData sheetId="24" refreshError="1"/>
      <sheetData sheetId="25" refreshError="1">
        <row r="12">
          <cell r="B12" t="str">
            <v>Unit Handsets</v>
          </cell>
        </row>
        <row r="15">
          <cell r="B15" t="str">
            <v>Description</v>
          </cell>
          <cell r="H15" t="str">
            <v>Retail Price</v>
          </cell>
          <cell r="J15" t="str">
            <v>COGS</v>
          </cell>
          <cell r="L15" t="str">
            <v>Eq. Subsidy</v>
          </cell>
        </row>
        <row r="19">
          <cell r="C19" t="str">
            <v>i500</v>
          </cell>
          <cell r="H19">
            <v>42.04</v>
          </cell>
          <cell r="J19">
            <v>205.66</v>
          </cell>
          <cell r="L19">
            <v>163.62</v>
          </cell>
        </row>
        <row r="21">
          <cell r="C21" t="str">
            <v>i600</v>
          </cell>
          <cell r="H21">
            <v>149.72</v>
          </cell>
          <cell r="J21">
            <v>349.19</v>
          </cell>
          <cell r="L21">
            <v>199.47</v>
          </cell>
        </row>
        <row r="23">
          <cell r="C23" t="str">
            <v>i700y</v>
          </cell>
          <cell r="H23">
            <v>59.5</v>
          </cell>
          <cell r="J23">
            <v>189.39</v>
          </cell>
          <cell r="L23">
            <v>129.88999999999999</v>
          </cell>
        </row>
        <row r="25">
          <cell r="C25" t="str">
            <v>i700b</v>
          </cell>
          <cell r="H25">
            <v>58.02</v>
          </cell>
          <cell r="J25">
            <v>191.21</v>
          </cell>
          <cell r="L25">
            <v>133.19</v>
          </cell>
        </row>
        <row r="27">
          <cell r="C27" t="str">
            <v>i1000</v>
          </cell>
          <cell r="H27">
            <v>0</v>
          </cell>
          <cell r="J27">
            <v>0</v>
          </cell>
          <cell r="L27">
            <v>0</v>
          </cell>
        </row>
        <row r="29">
          <cell r="C29" t="str">
            <v>i1000+</v>
          </cell>
          <cell r="H29">
            <v>100.13</v>
          </cell>
          <cell r="J29">
            <v>182.04</v>
          </cell>
          <cell r="L29">
            <v>81.91</v>
          </cell>
        </row>
        <row r="31">
          <cell r="L31">
            <v>0</v>
          </cell>
        </row>
        <row r="33">
          <cell r="L33">
            <v>0</v>
          </cell>
        </row>
        <row r="35">
          <cell r="L35">
            <v>0</v>
          </cell>
        </row>
        <row r="37">
          <cell r="L37">
            <v>0</v>
          </cell>
        </row>
        <row r="39">
          <cell r="L39">
            <v>0</v>
          </cell>
        </row>
        <row r="41">
          <cell r="L41">
            <v>0</v>
          </cell>
        </row>
        <row r="43">
          <cell r="L43">
            <v>0</v>
          </cell>
        </row>
        <row r="45">
          <cell r="L45">
            <v>0</v>
          </cell>
        </row>
        <row r="49">
          <cell r="B49" t="str">
            <v>Handset Packages</v>
          </cell>
        </row>
        <row r="52">
          <cell r="B52" t="str">
            <v>Description</v>
          </cell>
          <cell r="H52" t="str">
            <v>Retail Price</v>
          </cell>
          <cell r="J52" t="str">
            <v>COGS</v>
          </cell>
          <cell r="L52" t="str">
            <v>Eq. Subsidy</v>
          </cell>
        </row>
        <row r="56">
          <cell r="C56" t="str">
            <v>1 (i1000) + 3 (i500)</v>
          </cell>
          <cell r="H56">
            <v>363.58</v>
          </cell>
          <cell r="J56">
            <v>799.02</v>
          </cell>
          <cell r="L56">
            <v>435.44</v>
          </cell>
        </row>
        <row r="58">
          <cell r="C58" t="str">
            <v>3 (i1000)</v>
          </cell>
          <cell r="H58">
            <v>505.85</v>
          </cell>
          <cell r="J58">
            <v>546.12</v>
          </cell>
          <cell r="L58">
            <v>40.269999999999982</v>
          </cell>
        </row>
        <row r="60">
          <cell r="C60" t="str">
            <v>4 (i500)</v>
          </cell>
          <cell r="H60">
            <v>252.92</v>
          </cell>
          <cell r="J60">
            <v>822.64</v>
          </cell>
          <cell r="L60">
            <v>569.72</v>
          </cell>
        </row>
        <row r="62">
          <cell r="C62" t="str">
            <v>1 (i1000) + 2 (i500)</v>
          </cell>
          <cell r="H62">
            <v>316.16000000000003</v>
          </cell>
          <cell r="J62">
            <v>593.36</v>
          </cell>
          <cell r="L62">
            <v>277.2</v>
          </cell>
        </row>
        <row r="64">
          <cell r="C64" t="str">
            <v>3 (i500)</v>
          </cell>
          <cell r="H64">
            <v>205.5</v>
          </cell>
          <cell r="J64">
            <v>616.98</v>
          </cell>
          <cell r="L64">
            <v>411.48</v>
          </cell>
        </row>
        <row r="66">
          <cell r="C66" t="str">
            <v>2 (i500)</v>
          </cell>
          <cell r="H66">
            <v>158.08000000000001</v>
          </cell>
          <cell r="J66">
            <v>411.32</v>
          </cell>
          <cell r="L66">
            <v>253.23999999999998</v>
          </cell>
        </row>
        <row r="68">
          <cell r="C68" t="str">
            <v>2 (i1000)</v>
          </cell>
          <cell r="H68">
            <v>379.39</v>
          </cell>
          <cell r="J68">
            <v>364.08</v>
          </cell>
          <cell r="L68">
            <v>-15.310000000000002</v>
          </cell>
        </row>
        <row r="70">
          <cell r="C70" t="str">
            <v>2 (i700)</v>
          </cell>
          <cell r="H70">
            <v>284.54000000000002</v>
          </cell>
          <cell r="J70">
            <v>378.78</v>
          </cell>
          <cell r="L70">
            <v>94.239999999999952</v>
          </cell>
        </row>
        <row r="72">
          <cell r="C72" t="str">
            <v>3 (i700)</v>
          </cell>
          <cell r="H72">
            <v>347.77</v>
          </cell>
          <cell r="J72">
            <v>568.16999999999996</v>
          </cell>
          <cell r="L72">
            <v>220.39999999999998</v>
          </cell>
        </row>
        <row r="74">
          <cell r="C74" t="str">
            <v>4 (i700</v>
          </cell>
          <cell r="H74">
            <v>411</v>
          </cell>
          <cell r="J74">
            <v>757.56</v>
          </cell>
          <cell r="L74">
            <v>346.55999999999995</v>
          </cell>
        </row>
        <row r="76">
          <cell r="L76">
            <v>0</v>
          </cell>
        </row>
        <row r="78">
          <cell r="L78">
            <v>0</v>
          </cell>
        </row>
        <row r="80">
          <cell r="L80">
            <v>0</v>
          </cell>
        </row>
        <row r="82">
          <cell r="L82">
            <v>0</v>
          </cell>
        </row>
        <row r="84">
          <cell r="L84">
            <v>0</v>
          </cell>
        </row>
      </sheetData>
      <sheetData sheetId="26" refreshError="1">
        <row r="12">
          <cell r="B12" t="str">
            <v>Digital Sales Mix by Product Type</v>
          </cell>
        </row>
        <row r="15">
          <cell r="B15" t="str">
            <v>Handset Model</v>
          </cell>
          <cell r="G15" t="str">
            <v>Jan</v>
          </cell>
          <cell r="H15" t="str">
            <v>Feb</v>
          </cell>
          <cell r="I15" t="str">
            <v>Mar</v>
          </cell>
          <cell r="J15" t="str">
            <v>Apr</v>
          </cell>
          <cell r="K15" t="str">
            <v>May</v>
          </cell>
          <cell r="L15" t="str">
            <v>Jun</v>
          </cell>
          <cell r="M15" t="str">
            <v>Jul</v>
          </cell>
          <cell r="N15" t="str">
            <v>Aug</v>
          </cell>
          <cell r="O15" t="str">
            <v>Sep</v>
          </cell>
          <cell r="P15" t="str">
            <v>Oct</v>
          </cell>
          <cell r="Q15" t="str">
            <v>Nov</v>
          </cell>
          <cell r="R15" t="str">
            <v>Dec</v>
          </cell>
          <cell r="T15" t="str">
            <v>Current Month</v>
          </cell>
          <cell r="Z15" t="str">
            <v>YTD</v>
          </cell>
        </row>
        <row r="16">
          <cell r="T16" t="str">
            <v>Actual</v>
          </cell>
          <cell r="V16" t="str">
            <v>Budget</v>
          </cell>
          <cell r="X16" t="str">
            <v>Var</v>
          </cell>
          <cell r="Z16" t="str">
            <v>Actual</v>
          </cell>
          <cell r="AB16" t="str">
            <v>Budget</v>
          </cell>
          <cell r="AD16" t="str">
            <v>Var</v>
          </cell>
        </row>
        <row r="20">
          <cell r="C20" t="str">
            <v>i500</v>
          </cell>
          <cell r="G20">
            <v>5371</v>
          </cell>
          <cell r="H20">
            <v>5371</v>
          </cell>
          <cell r="I20">
            <v>5371</v>
          </cell>
          <cell r="J20">
            <v>5371</v>
          </cell>
          <cell r="K20">
            <v>5371</v>
          </cell>
          <cell r="L20">
            <v>5371</v>
          </cell>
          <cell r="M20">
            <v>5371</v>
          </cell>
          <cell r="N20">
            <v>5371</v>
          </cell>
          <cell r="O20">
            <v>5371</v>
          </cell>
          <cell r="P20">
            <v>5371</v>
          </cell>
          <cell r="Q20">
            <v>5371</v>
          </cell>
          <cell r="R20">
            <v>5371</v>
          </cell>
          <cell r="T20">
            <v>5371</v>
          </cell>
          <cell r="U20">
            <v>0.6016578917889549</v>
          </cell>
          <cell r="V20">
            <v>5371</v>
          </cell>
          <cell r="W20">
            <v>0.51693936477382096</v>
          </cell>
          <cell r="X20">
            <v>0</v>
          </cell>
          <cell r="Z20">
            <v>42968</v>
          </cell>
          <cell r="AA20">
            <v>0.6016578917889549</v>
          </cell>
          <cell r="AB20">
            <v>5371</v>
          </cell>
          <cell r="AC20">
            <v>0.6016578917889549</v>
          </cell>
          <cell r="AD20">
            <v>37597</v>
          </cell>
        </row>
        <row r="22">
          <cell r="C22" t="str">
            <v>i600</v>
          </cell>
          <cell r="G22">
            <v>37</v>
          </cell>
          <cell r="H22">
            <v>37</v>
          </cell>
          <cell r="I22">
            <v>37</v>
          </cell>
          <cell r="J22">
            <v>37</v>
          </cell>
          <cell r="K22">
            <v>37</v>
          </cell>
          <cell r="L22">
            <v>37</v>
          </cell>
          <cell r="M22">
            <v>37</v>
          </cell>
          <cell r="N22">
            <v>37</v>
          </cell>
          <cell r="O22">
            <v>37</v>
          </cell>
          <cell r="P22">
            <v>37</v>
          </cell>
          <cell r="Q22">
            <v>37</v>
          </cell>
          <cell r="R22">
            <v>37</v>
          </cell>
          <cell r="T22">
            <v>37</v>
          </cell>
          <cell r="U22">
            <v>4.1447294723871405E-3</v>
          </cell>
          <cell r="V22">
            <v>1500</v>
          </cell>
          <cell r="W22">
            <v>0.14436958614051973</v>
          </cell>
          <cell r="X22">
            <v>-1463</v>
          </cell>
          <cell r="Z22">
            <v>296</v>
          </cell>
          <cell r="AA22">
            <v>4.1447294723871405E-3</v>
          </cell>
          <cell r="AB22">
            <v>37</v>
          </cell>
          <cell r="AC22">
            <v>4.1447294723871405E-3</v>
          </cell>
          <cell r="AD22">
            <v>259</v>
          </cell>
        </row>
        <row r="24">
          <cell r="C24" t="str">
            <v>i700y</v>
          </cell>
          <cell r="G24">
            <v>371</v>
          </cell>
          <cell r="H24">
            <v>371</v>
          </cell>
          <cell r="I24">
            <v>371</v>
          </cell>
          <cell r="J24">
            <v>371</v>
          </cell>
          <cell r="K24">
            <v>371</v>
          </cell>
          <cell r="L24">
            <v>371</v>
          </cell>
          <cell r="M24">
            <v>371</v>
          </cell>
          <cell r="N24">
            <v>371</v>
          </cell>
          <cell r="O24">
            <v>371</v>
          </cell>
          <cell r="P24">
            <v>371</v>
          </cell>
          <cell r="Q24">
            <v>371</v>
          </cell>
          <cell r="R24">
            <v>371</v>
          </cell>
          <cell r="T24">
            <v>371</v>
          </cell>
          <cell r="U24">
            <v>4.1559314439341327E-2</v>
          </cell>
          <cell r="V24">
            <v>371</v>
          </cell>
          <cell r="W24">
            <v>3.5707410972088544E-2</v>
          </cell>
          <cell r="X24">
            <v>0</v>
          </cell>
          <cell r="Z24">
            <v>2968</v>
          </cell>
          <cell r="AA24">
            <v>4.1559314439341327E-2</v>
          </cell>
          <cell r="AB24">
            <v>371</v>
          </cell>
          <cell r="AC24">
            <v>4.1559314439341327E-2</v>
          </cell>
          <cell r="AD24">
            <v>2597</v>
          </cell>
        </row>
        <row r="26">
          <cell r="C26" t="str">
            <v>i700b</v>
          </cell>
          <cell r="G26">
            <v>596</v>
          </cell>
          <cell r="H26">
            <v>596</v>
          </cell>
          <cell r="I26">
            <v>596</v>
          </cell>
          <cell r="J26">
            <v>596</v>
          </cell>
          <cell r="K26">
            <v>596</v>
          </cell>
          <cell r="L26">
            <v>596</v>
          </cell>
          <cell r="M26">
            <v>596</v>
          </cell>
          <cell r="N26">
            <v>596</v>
          </cell>
          <cell r="O26">
            <v>596</v>
          </cell>
          <cell r="P26">
            <v>596</v>
          </cell>
          <cell r="Q26">
            <v>596</v>
          </cell>
          <cell r="R26">
            <v>596</v>
          </cell>
          <cell r="T26">
            <v>596</v>
          </cell>
          <cell r="U26">
            <v>6.6763750420073931E-2</v>
          </cell>
          <cell r="V26">
            <v>596</v>
          </cell>
          <cell r="W26">
            <v>5.7362848893166507E-2</v>
          </cell>
          <cell r="X26">
            <v>0</v>
          </cell>
          <cell r="Z26">
            <v>4768</v>
          </cell>
          <cell r="AA26">
            <v>6.6763750420073931E-2</v>
          </cell>
          <cell r="AB26">
            <v>596</v>
          </cell>
          <cell r="AC26">
            <v>6.6763750420073931E-2</v>
          </cell>
          <cell r="AD26">
            <v>4172</v>
          </cell>
        </row>
        <row r="28">
          <cell r="C28" t="str">
            <v>i1000</v>
          </cell>
          <cell r="G28">
            <v>0</v>
          </cell>
          <cell r="H28">
            <v>0</v>
          </cell>
          <cell r="I28">
            <v>0</v>
          </cell>
          <cell r="J28">
            <v>0</v>
          </cell>
          <cell r="K28">
            <v>0</v>
          </cell>
          <cell r="L28">
            <v>0</v>
          </cell>
          <cell r="M28">
            <v>0</v>
          </cell>
          <cell r="N28">
            <v>0</v>
          </cell>
          <cell r="O28">
            <v>0</v>
          </cell>
          <cell r="P28">
            <v>0</v>
          </cell>
          <cell r="Q28">
            <v>0</v>
          </cell>
          <cell r="R28">
            <v>0</v>
          </cell>
          <cell r="T28">
            <v>0</v>
          </cell>
          <cell r="U28">
            <v>0</v>
          </cell>
          <cell r="V28">
            <v>0</v>
          </cell>
          <cell r="W28">
            <v>0</v>
          </cell>
          <cell r="X28">
            <v>0</v>
          </cell>
          <cell r="Z28">
            <v>0</v>
          </cell>
          <cell r="AA28">
            <v>0</v>
          </cell>
          <cell r="AB28">
            <v>0</v>
          </cell>
          <cell r="AC28">
            <v>0</v>
          </cell>
          <cell r="AD28">
            <v>0</v>
          </cell>
        </row>
        <row r="30">
          <cell r="C30" t="str">
            <v>i1000+</v>
          </cell>
          <cell r="G30">
            <v>2552</v>
          </cell>
          <cell r="H30">
            <v>2552</v>
          </cell>
          <cell r="I30">
            <v>2552</v>
          </cell>
          <cell r="J30">
            <v>2552</v>
          </cell>
          <cell r="K30">
            <v>2552</v>
          </cell>
          <cell r="L30">
            <v>2552</v>
          </cell>
          <cell r="M30">
            <v>2552</v>
          </cell>
          <cell r="N30">
            <v>2552</v>
          </cell>
          <cell r="O30">
            <v>2552</v>
          </cell>
          <cell r="P30">
            <v>2552</v>
          </cell>
          <cell r="Q30">
            <v>2552</v>
          </cell>
          <cell r="R30">
            <v>2552</v>
          </cell>
          <cell r="T30">
            <v>2552</v>
          </cell>
          <cell r="U30">
            <v>0.28587431387924273</v>
          </cell>
          <cell r="V30">
            <v>2552</v>
          </cell>
          <cell r="W30">
            <v>0.24562078922040423</v>
          </cell>
          <cell r="X30">
            <v>0</v>
          </cell>
          <cell r="Z30">
            <v>20416</v>
          </cell>
          <cell r="AA30">
            <v>0.28587431387924273</v>
          </cell>
          <cell r="AB30">
            <v>2552</v>
          </cell>
          <cell r="AC30">
            <v>0.28587431387924273</v>
          </cell>
          <cell r="AD30">
            <v>17864</v>
          </cell>
        </row>
        <row r="32">
          <cell r="U32">
            <v>0</v>
          </cell>
          <cell r="W32">
            <v>0</v>
          </cell>
          <cell r="X32">
            <v>0</v>
          </cell>
          <cell r="AA32">
            <v>0</v>
          </cell>
          <cell r="AC32">
            <v>0</v>
          </cell>
          <cell r="AD32">
            <v>0</v>
          </cell>
        </row>
        <row r="34">
          <cell r="U34">
            <v>0</v>
          </cell>
          <cell r="W34">
            <v>0</v>
          </cell>
          <cell r="X34">
            <v>0</v>
          </cell>
          <cell r="AA34">
            <v>0</v>
          </cell>
          <cell r="AC34">
            <v>0</v>
          </cell>
          <cell r="AD34">
            <v>0</v>
          </cell>
        </row>
        <row r="36">
          <cell r="U36">
            <v>0</v>
          </cell>
          <cell r="W36">
            <v>0</v>
          </cell>
          <cell r="X36">
            <v>0</v>
          </cell>
          <cell r="AA36">
            <v>0</v>
          </cell>
          <cell r="AC36">
            <v>0</v>
          </cell>
          <cell r="AD36">
            <v>0</v>
          </cell>
        </row>
        <row r="38">
          <cell r="U38">
            <v>0</v>
          </cell>
          <cell r="W38">
            <v>0</v>
          </cell>
          <cell r="X38">
            <v>0</v>
          </cell>
          <cell r="AA38">
            <v>0</v>
          </cell>
          <cell r="AC38">
            <v>0</v>
          </cell>
          <cell r="AD38">
            <v>0</v>
          </cell>
        </row>
        <row r="40">
          <cell r="U40">
            <v>0</v>
          </cell>
          <cell r="W40">
            <v>0</v>
          </cell>
          <cell r="X40">
            <v>0</v>
          </cell>
          <cell r="AA40">
            <v>0</v>
          </cell>
          <cell r="AC40">
            <v>0</v>
          </cell>
          <cell r="AD40">
            <v>0</v>
          </cell>
        </row>
        <row r="42">
          <cell r="U42">
            <v>0</v>
          </cell>
          <cell r="W42">
            <v>0</v>
          </cell>
          <cell r="X42">
            <v>0</v>
          </cell>
          <cell r="AA42">
            <v>0</v>
          </cell>
          <cell r="AC42">
            <v>0</v>
          </cell>
          <cell r="AD42">
            <v>0</v>
          </cell>
        </row>
        <row r="44">
          <cell r="U44">
            <v>0</v>
          </cell>
          <cell r="W44">
            <v>0</v>
          </cell>
          <cell r="X44">
            <v>0</v>
          </cell>
          <cell r="AA44">
            <v>0</v>
          </cell>
          <cell r="AC44">
            <v>0</v>
          </cell>
          <cell r="AD44">
            <v>0</v>
          </cell>
        </row>
        <row r="46">
          <cell r="U46">
            <v>0</v>
          </cell>
          <cell r="W46">
            <v>0</v>
          </cell>
          <cell r="X46">
            <v>0</v>
          </cell>
          <cell r="AA46">
            <v>0</v>
          </cell>
          <cell r="AC46">
            <v>0</v>
          </cell>
          <cell r="AD46">
            <v>0</v>
          </cell>
        </row>
        <row r="48">
          <cell r="U48">
            <v>0</v>
          </cell>
          <cell r="W48">
            <v>0</v>
          </cell>
          <cell r="X48">
            <v>0</v>
          </cell>
          <cell r="AA48">
            <v>0</v>
          </cell>
          <cell r="AC48">
            <v>0</v>
          </cell>
          <cell r="AD48">
            <v>0</v>
          </cell>
        </row>
        <row r="50">
          <cell r="U50">
            <v>0</v>
          </cell>
          <cell r="W50">
            <v>0</v>
          </cell>
          <cell r="X50">
            <v>0</v>
          </cell>
          <cell r="AA50">
            <v>0</v>
          </cell>
          <cell r="AC50">
            <v>0</v>
          </cell>
          <cell r="AD50">
            <v>0</v>
          </cell>
        </row>
        <row r="52">
          <cell r="U52">
            <v>0</v>
          </cell>
          <cell r="W52">
            <v>0</v>
          </cell>
          <cell r="X52">
            <v>0</v>
          </cell>
          <cell r="AA52">
            <v>0</v>
          </cell>
          <cell r="AC52">
            <v>0</v>
          </cell>
          <cell r="AD52">
            <v>0</v>
          </cell>
        </row>
        <row r="54">
          <cell r="U54">
            <v>0</v>
          </cell>
          <cell r="W54">
            <v>0</v>
          </cell>
          <cell r="X54">
            <v>0</v>
          </cell>
          <cell r="AA54">
            <v>0</v>
          </cell>
          <cell r="AC54">
            <v>0</v>
          </cell>
          <cell r="AD54">
            <v>0</v>
          </cell>
        </row>
        <row r="58">
          <cell r="B58" t="str">
            <v>Total</v>
          </cell>
          <cell r="G58">
            <v>8927</v>
          </cell>
          <cell r="H58">
            <v>8927</v>
          </cell>
          <cell r="I58">
            <v>8927</v>
          </cell>
          <cell r="J58">
            <v>8927</v>
          </cell>
          <cell r="K58">
            <v>8927</v>
          </cell>
          <cell r="L58">
            <v>8927</v>
          </cell>
          <cell r="M58">
            <v>8927</v>
          </cell>
          <cell r="N58">
            <v>8927</v>
          </cell>
          <cell r="O58">
            <v>8927</v>
          </cell>
          <cell r="P58">
            <v>8927</v>
          </cell>
          <cell r="Q58">
            <v>8927</v>
          </cell>
          <cell r="R58">
            <v>8927</v>
          </cell>
          <cell r="T58">
            <v>8927</v>
          </cell>
          <cell r="U58">
            <v>1</v>
          </cell>
          <cell r="V58">
            <v>10390</v>
          </cell>
          <cell r="W58">
            <v>0.99999999999999989</v>
          </cell>
          <cell r="X58">
            <v>-1463</v>
          </cell>
          <cell r="Z58">
            <v>71416</v>
          </cell>
          <cell r="AA58">
            <v>1</v>
          </cell>
          <cell r="AB58">
            <v>8927</v>
          </cell>
          <cell r="AC58">
            <v>1</v>
          </cell>
          <cell r="AD58">
            <v>62489</v>
          </cell>
        </row>
        <row r="118">
          <cell r="B118" t="str">
            <v>Analog Sales Mix by Product Type</v>
          </cell>
        </row>
        <row r="121">
          <cell r="B121" t="str">
            <v>Handset Model</v>
          </cell>
          <cell r="G121" t="str">
            <v>Jan</v>
          </cell>
          <cell r="H121" t="str">
            <v>Feb</v>
          </cell>
          <cell r="I121" t="str">
            <v>Mar</v>
          </cell>
          <cell r="J121" t="str">
            <v>Apr</v>
          </cell>
          <cell r="K121" t="str">
            <v>May</v>
          </cell>
          <cell r="L121" t="str">
            <v>Jun</v>
          </cell>
          <cell r="M121" t="str">
            <v>Jul</v>
          </cell>
          <cell r="N121" t="str">
            <v>Aug</v>
          </cell>
          <cell r="O121" t="str">
            <v>Sep</v>
          </cell>
          <cell r="P121" t="str">
            <v>Oct</v>
          </cell>
          <cell r="Q121" t="str">
            <v>Nov</v>
          </cell>
          <cell r="R121" t="str">
            <v>Dec</v>
          </cell>
          <cell r="T121" t="str">
            <v>Current Month</v>
          </cell>
          <cell r="Z121" t="str">
            <v>YTD</v>
          </cell>
        </row>
        <row r="122">
          <cell r="T122" t="str">
            <v>Actual</v>
          </cell>
          <cell r="V122" t="str">
            <v>Budget</v>
          </cell>
          <cell r="X122" t="str">
            <v>Var</v>
          </cell>
          <cell r="Z122" t="str">
            <v>Actual</v>
          </cell>
          <cell r="AB122" t="str">
            <v>Budget</v>
          </cell>
          <cell r="AD122" t="str">
            <v>Var</v>
          </cell>
        </row>
        <row r="126">
          <cell r="C126" t="str">
            <v>Portable GTX/LTR</v>
          </cell>
          <cell r="G126">
            <v>25</v>
          </cell>
          <cell r="H126">
            <v>25</v>
          </cell>
          <cell r="I126">
            <v>25</v>
          </cell>
          <cell r="J126">
            <v>25</v>
          </cell>
          <cell r="K126">
            <v>25</v>
          </cell>
          <cell r="L126">
            <v>25</v>
          </cell>
          <cell r="M126">
            <v>25</v>
          </cell>
          <cell r="N126">
            <v>25</v>
          </cell>
          <cell r="O126">
            <v>25</v>
          </cell>
          <cell r="P126">
            <v>25</v>
          </cell>
          <cell r="Q126">
            <v>25</v>
          </cell>
          <cell r="R126">
            <v>25</v>
          </cell>
          <cell r="T126">
            <v>25</v>
          </cell>
          <cell r="U126">
            <v>2.8004928867480677E-3</v>
          </cell>
          <cell r="V126">
            <v>5371</v>
          </cell>
          <cell r="W126">
            <v>0.51693936477382096</v>
          </cell>
          <cell r="X126">
            <v>-5346</v>
          </cell>
          <cell r="Z126">
            <v>200</v>
          </cell>
          <cell r="AA126">
            <v>8.0906148867313912E-2</v>
          </cell>
          <cell r="AB126">
            <v>25</v>
          </cell>
          <cell r="AC126">
            <v>8.0906148867313912E-2</v>
          </cell>
          <cell r="AD126">
            <v>175</v>
          </cell>
        </row>
        <row r="128">
          <cell r="C128" t="str">
            <v>Portable GTX/LTR with Keyboard</v>
          </cell>
          <cell r="G128">
            <v>43</v>
          </cell>
          <cell r="H128">
            <v>43</v>
          </cell>
          <cell r="I128">
            <v>43</v>
          </cell>
          <cell r="J128">
            <v>43</v>
          </cell>
          <cell r="K128">
            <v>43</v>
          </cell>
          <cell r="L128">
            <v>43</v>
          </cell>
          <cell r="M128">
            <v>43</v>
          </cell>
          <cell r="N128">
            <v>43</v>
          </cell>
          <cell r="O128">
            <v>43</v>
          </cell>
          <cell r="P128">
            <v>43</v>
          </cell>
          <cell r="Q128">
            <v>43</v>
          </cell>
          <cell r="R128">
            <v>43</v>
          </cell>
          <cell r="T128">
            <v>43</v>
          </cell>
          <cell r="U128">
            <v>4.8168477652066766E-3</v>
          </cell>
          <cell r="V128">
            <v>1500</v>
          </cell>
          <cell r="W128">
            <v>0.14436958614051973</v>
          </cell>
          <cell r="X128">
            <v>-1457</v>
          </cell>
          <cell r="Z128">
            <v>344</v>
          </cell>
          <cell r="AA128">
            <v>0.13915857605177995</v>
          </cell>
          <cell r="AB128">
            <v>43</v>
          </cell>
          <cell r="AC128">
            <v>0.13915857605177995</v>
          </cell>
          <cell r="AD128">
            <v>301</v>
          </cell>
        </row>
        <row r="130">
          <cell r="C130" t="str">
            <v>Mobile GTX</v>
          </cell>
          <cell r="G130">
            <v>79</v>
          </cell>
          <cell r="H130">
            <v>79</v>
          </cell>
          <cell r="I130">
            <v>79</v>
          </cell>
          <cell r="J130">
            <v>79</v>
          </cell>
          <cell r="K130">
            <v>79</v>
          </cell>
          <cell r="L130">
            <v>79</v>
          </cell>
          <cell r="M130">
            <v>79</v>
          </cell>
          <cell r="N130">
            <v>79</v>
          </cell>
          <cell r="O130">
            <v>79</v>
          </cell>
          <cell r="P130">
            <v>79</v>
          </cell>
          <cell r="Q130">
            <v>79</v>
          </cell>
          <cell r="R130">
            <v>79</v>
          </cell>
          <cell r="T130">
            <v>79</v>
          </cell>
          <cell r="U130">
            <v>8.8495575221238937E-3</v>
          </cell>
          <cell r="V130">
            <v>371</v>
          </cell>
          <cell r="W130">
            <v>3.5707410972088544E-2</v>
          </cell>
          <cell r="X130">
            <v>-292</v>
          </cell>
          <cell r="Z130">
            <v>632</v>
          </cell>
          <cell r="AA130">
            <v>0.25566343042071199</v>
          </cell>
          <cell r="AB130">
            <v>79</v>
          </cell>
          <cell r="AC130">
            <v>0.25566343042071199</v>
          </cell>
          <cell r="AD130">
            <v>553</v>
          </cell>
        </row>
        <row r="132">
          <cell r="C132" t="str">
            <v>Portable GTX Privacy Plus</v>
          </cell>
          <cell r="G132">
            <v>162</v>
          </cell>
          <cell r="H132">
            <v>162</v>
          </cell>
          <cell r="I132">
            <v>162</v>
          </cell>
          <cell r="J132">
            <v>162</v>
          </cell>
          <cell r="K132">
            <v>162</v>
          </cell>
          <cell r="L132">
            <v>162</v>
          </cell>
          <cell r="M132">
            <v>162</v>
          </cell>
          <cell r="N132">
            <v>162</v>
          </cell>
          <cell r="O132">
            <v>162</v>
          </cell>
          <cell r="P132">
            <v>162</v>
          </cell>
          <cell r="Q132">
            <v>162</v>
          </cell>
          <cell r="R132">
            <v>162</v>
          </cell>
          <cell r="T132">
            <v>162</v>
          </cell>
          <cell r="U132">
            <v>1.8147193906127478E-2</v>
          </cell>
          <cell r="V132">
            <v>596</v>
          </cell>
          <cell r="W132">
            <v>5.7362848893166507E-2</v>
          </cell>
          <cell r="X132">
            <v>-434</v>
          </cell>
          <cell r="Z132">
            <v>1296</v>
          </cell>
          <cell r="AA132">
            <v>0.52427184466019416</v>
          </cell>
          <cell r="AB132">
            <v>162</v>
          </cell>
          <cell r="AC132">
            <v>0.52427184466019416</v>
          </cell>
          <cell r="AD132">
            <v>1134</v>
          </cell>
        </row>
        <row r="134">
          <cell r="T134">
            <v>0</v>
          </cell>
          <cell r="U134">
            <v>0</v>
          </cell>
          <cell r="V134">
            <v>0</v>
          </cell>
          <cell r="W134">
            <v>0</v>
          </cell>
          <cell r="X134">
            <v>0</v>
          </cell>
          <cell r="Z134">
            <v>0</v>
          </cell>
          <cell r="AA134">
            <v>0</v>
          </cell>
          <cell r="AC134">
            <v>0</v>
          </cell>
          <cell r="AD134">
            <v>0</v>
          </cell>
        </row>
        <row r="136">
          <cell r="T136">
            <v>0</v>
          </cell>
          <cell r="U136">
            <v>0</v>
          </cell>
          <cell r="V136">
            <v>2552</v>
          </cell>
          <cell r="W136">
            <v>0.24562078922040423</v>
          </cell>
          <cell r="X136">
            <v>-2552</v>
          </cell>
          <cell r="Z136">
            <v>0</v>
          </cell>
          <cell r="AA136">
            <v>0</v>
          </cell>
          <cell r="AC136">
            <v>0</v>
          </cell>
          <cell r="AD136">
            <v>0</v>
          </cell>
        </row>
        <row r="138">
          <cell r="U138">
            <v>0</v>
          </cell>
          <cell r="W138">
            <v>0</v>
          </cell>
          <cell r="X138">
            <v>0</v>
          </cell>
          <cell r="AA138">
            <v>0</v>
          </cell>
          <cell r="AC138">
            <v>0</v>
          </cell>
          <cell r="AD138">
            <v>0</v>
          </cell>
        </row>
        <row r="140">
          <cell r="U140">
            <v>0</v>
          </cell>
          <cell r="W140">
            <v>0</v>
          </cell>
          <cell r="X140">
            <v>0</v>
          </cell>
          <cell r="AA140">
            <v>0</v>
          </cell>
          <cell r="AC140">
            <v>0</v>
          </cell>
          <cell r="AD140">
            <v>0</v>
          </cell>
        </row>
        <row r="142">
          <cell r="U142">
            <v>0</v>
          </cell>
          <cell r="W142">
            <v>0</v>
          </cell>
          <cell r="X142">
            <v>0</v>
          </cell>
          <cell r="AA142">
            <v>0</v>
          </cell>
          <cell r="AC142">
            <v>0</v>
          </cell>
          <cell r="AD142">
            <v>0</v>
          </cell>
        </row>
        <row r="144">
          <cell r="U144">
            <v>0</v>
          </cell>
          <cell r="W144">
            <v>0</v>
          </cell>
          <cell r="X144">
            <v>0</v>
          </cell>
          <cell r="AA144">
            <v>0</v>
          </cell>
          <cell r="AC144">
            <v>0</v>
          </cell>
          <cell r="AD144">
            <v>0</v>
          </cell>
        </row>
        <row r="146">
          <cell r="U146">
            <v>0</v>
          </cell>
          <cell r="W146">
            <v>0</v>
          </cell>
          <cell r="X146">
            <v>0</v>
          </cell>
          <cell r="AA146">
            <v>0</v>
          </cell>
          <cell r="AC146">
            <v>0</v>
          </cell>
          <cell r="AD146">
            <v>0</v>
          </cell>
        </row>
        <row r="148">
          <cell r="U148">
            <v>0</v>
          </cell>
          <cell r="W148">
            <v>0</v>
          </cell>
          <cell r="X148">
            <v>0</v>
          </cell>
          <cell r="AA148">
            <v>0</v>
          </cell>
          <cell r="AC148">
            <v>0</v>
          </cell>
          <cell r="AD148">
            <v>0</v>
          </cell>
        </row>
        <row r="150">
          <cell r="U150">
            <v>0</v>
          </cell>
          <cell r="W150">
            <v>0</v>
          </cell>
          <cell r="X150">
            <v>0</v>
          </cell>
          <cell r="AA150">
            <v>0</v>
          </cell>
          <cell r="AC150">
            <v>0</v>
          </cell>
          <cell r="AD150">
            <v>0</v>
          </cell>
        </row>
        <row r="152">
          <cell r="U152">
            <v>0</v>
          </cell>
          <cell r="W152">
            <v>0</v>
          </cell>
          <cell r="X152">
            <v>0</v>
          </cell>
          <cell r="AA152">
            <v>0</v>
          </cell>
          <cell r="AC152">
            <v>0</v>
          </cell>
          <cell r="AD152">
            <v>0</v>
          </cell>
        </row>
        <row r="154">
          <cell r="U154">
            <v>0</v>
          </cell>
          <cell r="W154">
            <v>0</v>
          </cell>
          <cell r="X154">
            <v>0</v>
          </cell>
          <cell r="AA154">
            <v>0</v>
          </cell>
          <cell r="AC154">
            <v>0</v>
          </cell>
          <cell r="AD154">
            <v>0</v>
          </cell>
        </row>
        <row r="156">
          <cell r="U156">
            <v>0</v>
          </cell>
          <cell r="W156">
            <v>0</v>
          </cell>
          <cell r="X156">
            <v>0</v>
          </cell>
          <cell r="AA156">
            <v>0</v>
          </cell>
          <cell r="AC156">
            <v>0</v>
          </cell>
          <cell r="AD156">
            <v>0</v>
          </cell>
        </row>
        <row r="158">
          <cell r="U158">
            <v>0</v>
          </cell>
          <cell r="W158">
            <v>0</v>
          </cell>
          <cell r="X158">
            <v>0</v>
          </cell>
          <cell r="AA158">
            <v>0</v>
          </cell>
          <cell r="AC158">
            <v>0</v>
          </cell>
          <cell r="AD158">
            <v>0</v>
          </cell>
        </row>
        <row r="160">
          <cell r="U160">
            <v>0</v>
          </cell>
          <cell r="W160">
            <v>0</v>
          </cell>
          <cell r="X160">
            <v>0</v>
          </cell>
          <cell r="AA160">
            <v>0</v>
          </cell>
          <cell r="AC160">
            <v>0</v>
          </cell>
          <cell r="AD160">
            <v>0</v>
          </cell>
        </row>
        <row r="164">
          <cell r="B164" t="str">
            <v>Total</v>
          </cell>
          <cell r="G164">
            <v>309</v>
          </cell>
          <cell r="H164">
            <v>309</v>
          </cell>
          <cell r="I164">
            <v>309</v>
          </cell>
          <cell r="J164">
            <v>309</v>
          </cell>
          <cell r="K164">
            <v>309</v>
          </cell>
          <cell r="L164">
            <v>309</v>
          </cell>
          <cell r="M164">
            <v>309</v>
          </cell>
          <cell r="N164">
            <v>309</v>
          </cell>
          <cell r="O164">
            <v>309</v>
          </cell>
          <cell r="P164">
            <v>309</v>
          </cell>
          <cell r="Q164">
            <v>309</v>
          </cell>
          <cell r="R164">
            <v>309</v>
          </cell>
          <cell r="T164">
            <v>309</v>
          </cell>
          <cell r="U164">
            <v>3.4614092080206119E-2</v>
          </cell>
          <cell r="V164">
            <v>10390</v>
          </cell>
          <cell r="W164">
            <v>0.99999999999999989</v>
          </cell>
          <cell r="X164">
            <v>-10081</v>
          </cell>
          <cell r="Z164">
            <v>2472</v>
          </cell>
          <cell r="AA164">
            <v>1</v>
          </cell>
          <cell r="AB164">
            <v>309</v>
          </cell>
          <cell r="AC164">
            <v>1</v>
          </cell>
          <cell r="AD164">
            <v>2163</v>
          </cell>
        </row>
      </sheetData>
      <sheetData sheetId="27" refreshError="1">
        <row r="12">
          <cell r="B12" t="str">
            <v>Digital inventory on hand</v>
          </cell>
        </row>
        <row r="14">
          <cell r="E14" t="str">
            <v>Quantity</v>
          </cell>
          <cell r="I14" t="str">
            <v>Cost</v>
          </cell>
          <cell r="M14" t="str">
            <v>Average</v>
          </cell>
        </row>
        <row r="15">
          <cell r="E15" t="str">
            <v>New</v>
          </cell>
          <cell r="F15" t="str">
            <v>Used</v>
          </cell>
          <cell r="G15" t="str">
            <v>Total</v>
          </cell>
          <cell r="I15" t="str">
            <v>New</v>
          </cell>
          <cell r="J15" t="str">
            <v>Used</v>
          </cell>
          <cell r="K15" t="str">
            <v>Total</v>
          </cell>
          <cell r="M15" t="str">
            <v>cost/unit</v>
          </cell>
        </row>
        <row r="19">
          <cell r="C19" t="str">
            <v>i500</v>
          </cell>
          <cell r="E19">
            <v>9940</v>
          </cell>
          <cell r="F19">
            <v>121</v>
          </cell>
          <cell r="G19">
            <v>10061</v>
          </cell>
          <cell r="I19">
            <v>1961959</v>
          </cell>
          <cell r="J19">
            <v>21052</v>
          </cell>
          <cell r="K19">
            <v>1983011</v>
          </cell>
          <cell r="M19">
            <v>197.09879733624888</v>
          </cell>
        </row>
        <row r="20">
          <cell r="C20" t="str">
            <v>i1000+</v>
          </cell>
          <cell r="E20">
            <v>1779</v>
          </cell>
          <cell r="F20">
            <v>66</v>
          </cell>
          <cell r="G20">
            <v>1845</v>
          </cell>
          <cell r="I20">
            <v>475046</v>
          </cell>
          <cell r="J20">
            <v>99079</v>
          </cell>
          <cell r="K20">
            <v>574125</v>
          </cell>
          <cell r="M20">
            <v>311.17886178861789</v>
          </cell>
        </row>
        <row r="21">
          <cell r="C21" t="str">
            <v>i600</v>
          </cell>
          <cell r="E21">
            <v>2433</v>
          </cell>
          <cell r="F21">
            <v>38</v>
          </cell>
          <cell r="G21">
            <v>2471</v>
          </cell>
          <cell r="I21">
            <v>374401</v>
          </cell>
          <cell r="J21">
            <v>25099</v>
          </cell>
          <cell r="K21">
            <v>399500</v>
          </cell>
          <cell r="M21">
            <v>161.67543504653986</v>
          </cell>
        </row>
        <row r="22">
          <cell r="C22" t="str">
            <v>i700</v>
          </cell>
          <cell r="E22">
            <v>4987</v>
          </cell>
          <cell r="F22">
            <v>90</v>
          </cell>
          <cell r="G22">
            <v>5077</v>
          </cell>
          <cell r="I22">
            <v>658170</v>
          </cell>
          <cell r="J22">
            <v>42110</v>
          </cell>
          <cell r="K22">
            <v>700280</v>
          </cell>
          <cell r="M22">
            <v>137.93184951743154</v>
          </cell>
        </row>
        <row r="23">
          <cell r="G23">
            <v>0</v>
          </cell>
          <cell r="K23">
            <v>0</v>
          </cell>
          <cell r="M23">
            <v>0</v>
          </cell>
        </row>
        <row r="24">
          <cell r="G24">
            <v>0</v>
          </cell>
          <cell r="K24">
            <v>0</v>
          </cell>
          <cell r="M24">
            <v>0</v>
          </cell>
        </row>
        <row r="25">
          <cell r="G25">
            <v>0</v>
          </cell>
          <cell r="K25">
            <v>0</v>
          </cell>
          <cell r="M25">
            <v>0</v>
          </cell>
        </row>
        <row r="26">
          <cell r="G26">
            <v>0</v>
          </cell>
          <cell r="K26">
            <v>0</v>
          </cell>
          <cell r="M26">
            <v>0</v>
          </cell>
        </row>
        <row r="27">
          <cell r="C27" t="str">
            <v>Other</v>
          </cell>
          <cell r="E27">
            <v>1002</v>
          </cell>
          <cell r="F27">
            <v>341</v>
          </cell>
          <cell r="G27">
            <v>1343</v>
          </cell>
          <cell r="I27">
            <v>290333</v>
          </cell>
          <cell r="J27">
            <v>16987</v>
          </cell>
          <cell r="K27">
            <v>307320</v>
          </cell>
          <cell r="M27">
            <v>228.83097542814593</v>
          </cell>
        </row>
        <row r="28">
          <cell r="C28" t="str">
            <v>Accessories</v>
          </cell>
          <cell r="E28">
            <v>14913</v>
          </cell>
          <cell r="F28">
            <v>80</v>
          </cell>
          <cell r="G28">
            <v>14993</v>
          </cell>
          <cell r="I28">
            <v>253093</v>
          </cell>
          <cell r="J28">
            <v>1093</v>
          </cell>
          <cell r="K28">
            <v>254186</v>
          </cell>
          <cell r="M28">
            <v>16.953645034349364</v>
          </cell>
        </row>
        <row r="29">
          <cell r="C29" t="str">
            <v>Batteries</v>
          </cell>
          <cell r="E29">
            <v>3371</v>
          </cell>
          <cell r="F29">
            <v>0</v>
          </cell>
          <cell r="G29">
            <v>3371</v>
          </cell>
          <cell r="I29">
            <v>70923</v>
          </cell>
          <cell r="J29">
            <v>0</v>
          </cell>
          <cell r="K29">
            <v>70923</v>
          </cell>
          <cell r="M29">
            <v>21.039157520023732</v>
          </cell>
        </row>
        <row r="33">
          <cell r="B33" t="str">
            <v>Total</v>
          </cell>
          <cell r="E33">
            <v>38425</v>
          </cell>
          <cell r="F33">
            <v>736</v>
          </cell>
          <cell r="G33">
            <v>39161</v>
          </cell>
          <cell r="I33">
            <v>4083925</v>
          </cell>
          <cell r="J33">
            <v>205420</v>
          </cell>
          <cell r="K33">
            <v>4289345</v>
          </cell>
          <cell r="M33">
            <v>109.53103853323459</v>
          </cell>
        </row>
        <row r="37">
          <cell r="I37" t="str">
            <v>Turn Analysis</v>
          </cell>
          <cell r="K37" t="str">
            <v>Reserve of</v>
          </cell>
        </row>
        <row r="38">
          <cell r="I38" t="str">
            <v>Radios</v>
          </cell>
          <cell r="J38" t="str">
            <v>Acc &amp; Bat</v>
          </cell>
          <cell r="K38" t="str">
            <v>Obsolete Inventory</v>
          </cell>
        </row>
        <row r="39">
          <cell r="G39" t="str">
            <v>Month</v>
          </cell>
          <cell r="I39" t="str">
            <v>Days in inventory</v>
          </cell>
          <cell r="J39" t="str">
            <v>Days in inventory</v>
          </cell>
          <cell r="K39" t="str">
            <v>Total Dlls.</v>
          </cell>
        </row>
        <row r="43">
          <cell r="G43" t="str">
            <v>January</v>
          </cell>
          <cell r="I43">
            <v>70</v>
          </cell>
          <cell r="J43">
            <v>2.5</v>
          </cell>
          <cell r="K43">
            <v>1729828</v>
          </cell>
        </row>
        <row r="44">
          <cell r="G44" t="str">
            <v>February</v>
          </cell>
          <cell r="I44">
            <v>58</v>
          </cell>
          <cell r="J44">
            <v>2.23</v>
          </cell>
          <cell r="K44">
            <v>1795990</v>
          </cell>
        </row>
        <row r="45">
          <cell r="G45" t="str">
            <v>March</v>
          </cell>
          <cell r="I45">
            <v>50</v>
          </cell>
          <cell r="J45">
            <v>2.5</v>
          </cell>
          <cell r="K45">
            <v>1841647</v>
          </cell>
        </row>
        <row r="46">
          <cell r="G46" t="str">
            <v>April</v>
          </cell>
          <cell r="I46">
            <v>62</v>
          </cell>
          <cell r="J46">
            <v>1.77</v>
          </cell>
          <cell r="K46">
            <v>1838304</v>
          </cell>
        </row>
        <row r="47">
          <cell r="G47" t="str">
            <v>May</v>
          </cell>
        </row>
        <row r="48">
          <cell r="G48" t="str">
            <v>June</v>
          </cell>
        </row>
        <row r="49">
          <cell r="G49" t="str">
            <v>July</v>
          </cell>
        </row>
        <row r="50">
          <cell r="G50" t="str">
            <v>August</v>
          </cell>
        </row>
        <row r="51">
          <cell r="G51" t="str">
            <v>September</v>
          </cell>
        </row>
        <row r="52">
          <cell r="G52" t="str">
            <v>October</v>
          </cell>
        </row>
        <row r="53">
          <cell r="G53" t="str">
            <v>November</v>
          </cell>
        </row>
        <row r="54">
          <cell r="G54" t="str">
            <v>December</v>
          </cell>
        </row>
        <row r="58">
          <cell r="G58" t="str">
            <v>Average</v>
          </cell>
          <cell r="I58">
            <v>60</v>
          </cell>
          <cell r="J58">
            <v>2.25</v>
          </cell>
          <cell r="K58">
            <v>1801442.25</v>
          </cell>
        </row>
        <row r="62">
          <cell r="B62" t="str">
            <v>Calculated as:</v>
          </cell>
        </row>
        <row r="64">
          <cell r="B64" t="str">
            <v>a) Radios</v>
          </cell>
        </row>
        <row r="65">
          <cell r="B65" t="str">
            <v>(Beginning # of units in inventory+Ending # of units inventory)/2</v>
          </cell>
        </row>
        <row r="66">
          <cell r="B66" t="str">
            <v>(gross adds + migrations)/30</v>
          </cell>
        </row>
        <row r="68">
          <cell r="B68" t="str">
            <v>b) Accesories &amp; Batteries</v>
          </cell>
        </row>
        <row r="69">
          <cell r="B69" t="str">
            <v xml:space="preserve">        (Beginning value of inventory+Ending value of inventory)/2</v>
          </cell>
        </row>
        <row r="70">
          <cell r="B70" t="str">
            <v>Accesories COGS /30</v>
          </cell>
        </row>
        <row r="97">
          <cell r="B97" t="str">
            <v>Analog inventory on hand</v>
          </cell>
        </row>
        <row r="99">
          <cell r="E99" t="str">
            <v>Quantity</v>
          </cell>
          <cell r="I99" t="str">
            <v>Cost</v>
          </cell>
          <cell r="M99" t="str">
            <v>Average</v>
          </cell>
        </row>
        <row r="100">
          <cell r="E100" t="str">
            <v>New</v>
          </cell>
          <cell r="F100" t="str">
            <v>Used</v>
          </cell>
          <cell r="G100" t="str">
            <v>Total</v>
          </cell>
          <cell r="I100" t="str">
            <v>New</v>
          </cell>
          <cell r="J100" t="str">
            <v>Used</v>
          </cell>
          <cell r="K100" t="str">
            <v>Total</v>
          </cell>
          <cell r="M100" t="str">
            <v>cost/unit</v>
          </cell>
        </row>
        <row r="104">
          <cell r="C104" t="str">
            <v>Portables</v>
          </cell>
          <cell r="G104">
            <v>0</v>
          </cell>
          <cell r="K104">
            <v>0</v>
          </cell>
          <cell r="M104">
            <v>0</v>
          </cell>
        </row>
        <row r="105">
          <cell r="C105" t="str">
            <v>Mobiles</v>
          </cell>
          <cell r="G105">
            <v>0</v>
          </cell>
          <cell r="K105">
            <v>0</v>
          </cell>
          <cell r="M105">
            <v>0</v>
          </cell>
        </row>
        <row r="106">
          <cell r="G106">
            <v>0</v>
          </cell>
          <cell r="K106">
            <v>0</v>
          </cell>
          <cell r="M106">
            <v>0</v>
          </cell>
        </row>
        <row r="107">
          <cell r="G107">
            <v>0</v>
          </cell>
          <cell r="K107">
            <v>0</v>
          </cell>
          <cell r="M107">
            <v>0</v>
          </cell>
        </row>
        <row r="108">
          <cell r="G108">
            <v>0</v>
          </cell>
          <cell r="K108">
            <v>0</v>
          </cell>
          <cell r="M108">
            <v>0</v>
          </cell>
        </row>
        <row r="109">
          <cell r="G109">
            <v>0</v>
          </cell>
          <cell r="K109">
            <v>0</v>
          </cell>
          <cell r="M109">
            <v>0</v>
          </cell>
        </row>
        <row r="110">
          <cell r="G110">
            <v>0</v>
          </cell>
          <cell r="K110">
            <v>0</v>
          </cell>
          <cell r="M110">
            <v>0</v>
          </cell>
        </row>
        <row r="111">
          <cell r="G111">
            <v>0</v>
          </cell>
          <cell r="K111">
            <v>0</v>
          </cell>
          <cell r="M111">
            <v>0</v>
          </cell>
        </row>
        <row r="112">
          <cell r="G112">
            <v>0</v>
          </cell>
          <cell r="K112">
            <v>0</v>
          </cell>
          <cell r="M112">
            <v>0</v>
          </cell>
        </row>
        <row r="113">
          <cell r="C113" t="str">
            <v>Accessories</v>
          </cell>
          <cell r="G113">
            <v>0</v>
          </cell>
          <cell r="K113">
            <v>0</v>
          </cell>
          <cell r="M113">
            <v>0</v>
          </cell>
        </row>
        <row r="114">
          <cell r="C114" t="str">
            <v>Batteries</v>
          </cell>
          <cell r="G114">
            <v>0</v>
          </cell>
          <cell r="K114">
            <v>0</v>
          </cell>
          <cell r="M114">
            <v>0</v>
          </cell>
        </row>
        <row r="118">
          <cell r="B118" t="str">
            <v>Total</v>
          </cell>
          <cell r="E118">
            <v>0</v>
          </cell>
          <cell r="F118">
            <v>0</v>
          </cell>
          <cell r="G118">
            <v>0</v>
          </cell>
          <cell r="I118">
            <v>0</v>
          </cell>
          <cell r="J118">
            <v>0</v>
          </cell>
          <cell r="K118">
            <v>0</v>
          </cell>
          <cell r="M118">
            <v>0</v>
          </cell>
        </row>
        <row r="122">
          <cell r="I122" t="str">
            <v>Turn Analysis</v>
          </cell>
          <cell r="K122" t="str">
            <v>Reserve of</v>
          </cell>
        </row>
        <row r="123">
          <cell r="I123" t="str">
            <v>Radios</v>
          </cell>
          <cell r="J123" t="str">
            <v>Acc &amp; Bat</v>
          </cell>
          <cell r="K123" t="str">
            <v>Obsolete Inventory</v>
          </cell>
        </row>
        <row r="124">
          <cell r="G124" t="str">
            <v>Month</v>
          </cell>
          <cell r="I124" t="str">
            <v>Days in inventory</v>
          </cell>
          <cell r="J124" t="str">
            <v>Days in inventory</v>
          </cell>
          <cell r="K124" t="str">
            <v>Total Dlls.</v>
          </cell>
        </row>
        <row r="128">
          <cell r="G128" t="str">
            <v>January</v>
          </cell>
        </row>
        <row r="129">
          <cell r="G129" t="str">
            <v>February</v>
          </cell>
        </row>
        <row r="130">
          <cell r="G130" t="str">
            <v>March</v>
          </cell>
        </row>
        <row r="131">
          <cell r="G131" t="str">
            <v>April</v>
          </cell>
        </row>
        <row r="132">
          <cell r="G132" t="str">
            <v>May</v>
          </cell>
        </row>
        <row r="133">
          <cell r="G133" t="str">
            <v>June</v>
          </cell>
        </row>
        <row r="134">
          <cell r="G134" t="str">
            <v>July</v>
          </cell>
        </row>
        <row r="135">
          <cell r="G135" t="str">
            <v>August</v>
          </cell>
        </row>
        <row r="136">
          <cell r="G136" t="str">
            <v>September</v>
          </cell>
        </row>
        <row r="137">
          <cell r="G137" t="str">
            <v>October</v>
          </cell>
        </row>
        <row r="138">
          <cell r="G138" t="str">
            <v>November</v>
          </cell>
        </row>
        <row r="139">
          <cell r="G139" t="str">
            <v>December</v>
          </cell>
        </row>
        <row r="143">
          <cell r="G143" t="str">
            <v>Average</v>
          </cell>
        </row>
        <row r="147">
          <cell r="B147" t="str">
            <v>Calculated as:</v>
          </cell>
        </row>
        <row r="149">
          <cell r="B149" t="str">
            <v>a) Radios</v>
          </cell>
        </row>
        <row r="150">
          <cell r="B150" t="str">
            <v>(Beginning # of units in inventory+Ending # of units inventory)/2</v>
          </cell>
        </row>
        <row r="151">
          <cell r="B151" t="str">
            <v>(gross adds + migrations)/30</v>
          </cell>
        </row>
        <row r="153">
          <cell r="B153" t="str">
            <v>b) Accesories &amp; Batteries</v>
          </cell>
        </row>
        <row r="154">
          <cell r="B154" t="str">
            <v xml:space="preserve">        (Beginning value of inventory+Ending value of inventory)/2</v>
          </cell>
        </row>
        <row r="155">
          <cell r="B155" t="str">
            <v>Accesories COGS /30</v>
          </cell>
        </row>
      </sheetData>
      <sheetData sheetId="28" refreshError="1"/>
      <sheetData sheetId="29" refreshError="1"/>
      <sheetData sheetId="30" refreshError="1"/>
      <sheetData sheetId="31" refreshError="1"/>
      <sheetData sheetId="32" refreshError="1"/>
      <sheetData sheetId="33" refreshError="1">
        <row r="12">
          <cell r="B12" t="str">
            <v>Headcount by Area</v>
          </cell>
        </row>
        <row r="14">
          <cell r="H14" t="str">
            <v>Jan</v>
          </cell>
          <cell r="I14" t="str">
            <v>Feb</v>
          </cell>
          <cell r="J14" t="str">
            <v>Mar</v>
          </cell>
          <cell r="K14" t="str">
            <v>Apr</v>
          </cell>
          <cell r="L14" t="str">
            <v>May</v>
          </cell>
          <cell r="M14" t="str">
            <v>Jun</v>
          </cell>
          <cell r="N14" t="str">
            <v>Jul</v>
          </cell>
          <cell r="O14" t="str">
            <v>Aug</v>
          </cell>
          <cell r="P14" t="str">
            <v>Sep</v>
          </cell>
          <cell r="Q14" t="str">
            <v>Oct</v>
          </cell>
          <cell r="R14" t="str">
            <v>Nov</v>
          </cell>
          <cell r="S14" t="str">
            <v>Dec</v>
          </cell>
          <cell r="U14" t="str">
            <v>Current Month</v>
          </cell>
        </row>
        <row r="15">
          <cell r="U15" t="str">
            <v>Actual</v>
          </cell>
          <cell r="V15" t="str">
            <v>Budget</v>
          </cell>
          <cell r="W15" t="str">
            <v>Variance</v>
          </cell>
        </row>
        <row r="19">
          <cell r="C19" t="str">
            <v>RF Engineering &amp; Operations</v>
          </cell>
        </row>
        <row r="20">
          <cell r="D20" t="str">
            <v>Digital</v>
          </cell>
          <cell r="H20">
            <v>45</v>
          </cell>
          <cell r="I20">
            <v>45</v>
          </cell>
          <cell r="J20">
            <v>45</v>
          </cell>
          <cell r="K20">
            <v>45</v>
          </cell>
          <cell r="L20">
            <v>45</v>
          </cell>
          <cell r="M20">
            <v>45</v>
          </cell>
          <cell r="N20">
            <v>45</v>
          </cell>
          <cell r="O20">
            <v>45</v>
          </cell>
          <cell r="P20">
            <v>45</v>
          </cell>
          <cell r="Q20">
            <v>45</v>
          </cell>
          <cell r="R20">
            <v>45</v>
          </cell>
          <cell r="S20">
            <v>45</v>
          </cell>
          <cell r="U20">
            <v>45</v>
          </cell>
          <cell r="V20">
            <v>45</v>
          </cell>
          <cell r="W20">
            <v>0</v>
          </cell>
        </row>
        <row r="21">
          <cell r="D21" t="str">
            <v>Analog</v>
          </cell>
          <cell r="H21">
            <v>15</v>
          </cell>
          <cell r="I21">
            <v>15</v>
          </cell>
          <cell r="J21">
            <v>15</v>
          </cell>
          <cell r="K21">
            <v>15</v>
          </cell>
          <cell r="L21">
            <v>15</v>
          </cell>
          <cell r="M21">
            <v>15</v>
          </cell>
          <cell r="N21">
            <v>15</v>
          </cell>
          <cell r="O21">
            <v>15</v>
          </cell>
          <cell r="P21">
            <v>15</v>
          </cell>
          <cell r="Q21">
            <v>15</v>
          </cell>
          <cell r="R21">
            <v>15</v>
          </cell>
          <cell r="S21">
            <v>15</v>
          </cell>
          <cell r="U21">
            <v>15</v>
          </cell>
          <cell r="V21">
            <v>15</v>
          </cell>
          <cell r="W21">
            <v>0</v>
          </cell>
        </row>
        <row r="22">
          <cell r="C22" t="str">
            <v>MSO Engineering &amp; Operations</v>
          </cell>
        </row>
        <row r="23">
          <cell r="D23" t="str">
            <v>Digital</v>
          </cell>
          <cell r="H23">
            <v>33</v>
          </cell>
          <cell r="I23">
            <v>33</v>
          </cell>
          <cell r="J23">
            <v>33</v>
          </cell>
          <cell r="K23">
            <v>33</v>
          </cell>
          <cell r="L23">
            <v>33</v>
          </cell>
          <cell r="M23">
            <v>33</v>
          </cell>
          <cell r="N23">
            <v>33</v>
          </cell>
          <cell r="O23">
            <v>33</v>
          </cell>
          <cell r="P23">
            <v>33</v>
          </cell>
          <cell r="Q23">
            <v>33</v>
          </cell>
          <cell r="R23">
            <v>33</v>
          </cell>
          <cell r="S23">
            <v>33</v>
          </cell>
          <cell r="U23">
            <v>33</v>
          </cell>
          <cell r="V23">
            <v>33</v>
          </cell>
          <cell r="W23">
            <v>0</v>
          </cell>
        </row>
        <row r="24">
          <cell r="D24" t="str">
            <v>Analog</v>
          </cell>
          <cell r="H24">
            <v>4</v>
          </cell>
          <cell r="I24">
            <v>4</v>
          </cell>
          <cell r="J24">
            <v>4</v>
          </cell>
          <cell r="K24">
            <v>4</v>
          </cell>
          <cell r="L24">
            <v>4</v>
          </cell>
          <cell r="M24">
            <v>4</v>
          </cell>
          <cell r="N24">
            <v>4</v>
          </cell>
          <cell r="O24">
            <v>4</v>
          </cell>
          <cell r="P24">
            <v>4</v>
          </cell>
          <cell r="Q24">
            <v>4</v>
          </cell>
          <cell r="R24">
            <v>4</v>
          </cell>
          <cell r="S24">
            <v>4</v>
          </cell>
          <cell r="U24">
            <v>4</v>
          </cell>
          <cell r="V24">
            <v>4</v>
          </cell>
          <cell r="W24">
            <v>0</v>
          </cell>
        </row>
        <row r="25">
          <cell r="C25" t="str">
            <v>Engineering Management</v>
          </cell>
        </row>
        <row r="26">
          <cell r="D26" t="str">
            <v>Digital</v>
          </cell>
          <cell r="H26">
            <v>3</v>
          </cell>
          <cell r="I26">
            <v>3</v>
          </cell>
          <cell r="J26">
            <v>3</v>
          </cell>
          <cell r="K26">
            <v>3</v>
          </cell>
          <cell r="L26">
            <v>3</v>
          </cell>
          <cell r="M26">
            <v>3</v>
          </cell>
          <cell r="N26">
            <v>3</v>
          </cell>
          <cell r="O26">
            <v>3</v>
          </cell>
          <cell r="P26">
            <v>3</v>
          </cell>
          <cell r="Q26">
            <v>3</v>
          </cell>
          <cell r="R26">
            <v>3</v>
          </cell>
          <cell r="S26">
            <v>3</v>
          </cell>
          <cell r="U26">
            <v>3</v>
          </cell>
          <cell r="V26">
            <v>3</v>
          </cell>
          <cell r="W26">
            <v>0</v>
          </cell>
        </row>
        <row r="27">
          <cell r="D27" t="str">
            <v>Analog</v>
          </cell>
          <cell r="H27">
            <v>0</v>
          </cell>
          <cell r="I27">
            <v>0</v>
          </cell>
          <cell r="J27">
            <v>0</v>
          </cell>
          <cell r="K27">
            <v>0</v>
          </cell>
          <cell r="L27">
            <v>0</v>
          </cell>
          <cell r="M27">
            <v>0</v>
          </cell>
          <cell r="N27">
            <v>0</v>
          </cell>
          <cell r="O27">
            <v>0</v>
          </cell>
          <cell r="P27">
            <v>0</v>
          </cell>
          <cell r="Q27">
            <v>0</v>
          </cell>
          <cell r="R27">
            <v>0</v>
          </cell>
          <cell r="S27">
            <v>0</v>
          </cell>
          <cell r="U27">
            <v>0</v>
          </cell>
          <cell r="V27">
            <v>0</v>
          </cell>
          <cell r="W27">
            <v>0</v>
          </cell>
        </row>
        <row r="28">
          <cell r="C28" t="str">
            <v>Service &amp; Repair</v>
          </cell>
        </row>
        <row r="29">
          <cell r="D29" t="str">
            <v>Digital</v>
          </cell>
          <cell r="H29">
            <v>4</v>
          </cell>
          <cell r="I29">
            <v>4</v>
          </cell>
          <cell r="J29">
            <v>4</v>
          </cell>
          <cell r="K29">
            <v>4</v>
          </cell>
          <cell r="L29">
            <v>4</v>
          </cell>
          <cell r="M29">
            <v>4</v>
          </cell>
          <cell r="N29">
            <v>4</v>
          </cell>
          <cell r="O29">
            <v>4</v>
          </cell>
          <cell r="P29">
            <v>4</v>
          </cell>
          <cell r="Q29">
            <v>4</v>
          </cell>
          <cell r="R29">
            <v>4</v>
          </cell>
          <cell r="S29">
            <v>4</v>
          </cell>
          <cell r="U29">
            <v>4</v>
          </cell>
          <cell r="V29">
            <v>4</v>
          </cell>
          <cell r="W29">
            <v>0</v>
          </cell>
        </row>
        <row r="30">
          <cell r="D30" t="str">
            <v>Analog</v>
          </cell>
          <cell r="H30">
            <v>0</v>
          </cell>
          <cell r="I30">
            <v>0</v>
          </cell>
          <cell r="J30">
            <v>0</v>
          </cell>
          <cell r="K30">
            <v>0</v>
          </cell>
          <cell r="L30">
            <v>0</v>
          </cell>
          <cell r="M30">
            <v>0</v>
          </cell>
          <cell r="N30">
            <v>0</v>
          </cell>
          <cell r="O30">
            <v>0</v>
          </cell>
          <cell r="P30">
            <v>0</v>
          </cell>
          <cell r="Q30">
            <v>0</v>
          </cell>
          <cell r="R30">
            <v>0</v>
          </cell>
          <cell r="S30">
            <v>0</v>
          </cell>
          <cell r="U30">
            <v>0</v>
          </cell>
          <cell r="V30">
            <v>0</v>
          </cell>
          <cell r="W30">
            <v>0</v>
          </cell>
        </row>
        <row r="31">
          <cell r="F31" t="str">
            <v>Total Engineering</v>
          </cell>
          <cell r="H31">
            <v>104</v>
          </cell>
          <cell r="I31">
            <v>104</v>
          </cell>
          <cell r="J31">
            <v>104</v>
          </cell>
          <cell r="K31">
            <v>104</v>
          </cell>
          <cell r="L31">
            <v>104</v>
          </cell>
          <cell r="M31">
            <v>104</v>
          </cell>
          <cell r="N31">
            <v>104</v>
          </cell>
          <cell r="O31">
            <v>104</v>
          </cell>
          <cell r="P31">
            <v>104</v>
          </cell>
          <cell r="Q31">
            <v>104</v>
          </cell>
          <cell r="R31">
            <v>104</v>
          </cell>
          <cell r="S31">
            <v>104</v>
          </cell>
          <cell r="U31">
            <v>104</v>
          </cell>
          <cell r="V31">
            <v>104</v>
          </cell>
          <cell r="W31">
            <v>0</v>
          </cell>
        </row>
        <row r="33">
          <cell r="C33" t="str">
            <v>Customer Care</v>
          </cell>
        </row>
        <row r="34">
          <cell r="D34" t="str">
            <v>Digital</v>
          </cell>
          <cell r="H34">
            <v>46</v>
          </cell>
          <cell r="I34">
            <v>46</v>
          </cell>
          <cell r="J34">
            <v>46</v>
          </cell>
          <cell r="K34">
            <v>46</v>
          </cell>
          <cell r="L34">
            <v>46</v>
          </cell>
          <cell r="M34">
            <v>46</v>
          </cell>
          <cell r="N34">
            <v>46</v>
          </cell>
          <cell r="O34">
            <v>46</v>
          </cell>
          <cell r="P34">
            <v>46</v>
          </cell>
          <cell r="Q34">
            <v>46</v>
          </cell>
          <cell r="R34">
            <v>46</v>
          </cell>
          <cell r="S34">
            <v>46</v>
          </cell>
          <cell r="U34">
            <v>46</v>
          </cell>
          <cell r="V34">
            <v>46</v>
          </cell>
          <cell r="W34">
            <v>0</v>
          </cell>
        </row>
        <row r="35">
          <cell r="D35" t="str">
            <v>Analog</v>
          </cell>
          <cell r="H35">
            <v>16</v>
          </cell>
          <cell r="I35">
            <v>16</v>
          </cell>
          <cell r="J35">
            <v>16</v>
          </cell>
          <cell r="K35">
            <v>16</v>
          </cell>
          <cell r="L35">
            <v>16</v>
          </cell>
          <cell r="M35">
            <v>16</v>
          </cell>
          <cell r="N35">
            <v>16</v>
          </cell>
          <cell r="O35">
            <v>16</v>
          </cell>
          <cell r="P35">
            <v>16</v>
          </cell>
          <cell r="Q35">
            <v>16</v>
          </cell>
          <cell r="R35">
            <v>16</v>
          </cell>
          <cell r="S35">
            <v>16</v>
          </cell>
          <cell r="U35">
            <v>16</v>
          </cell>
          <cell r="V35">
            <v>16</v>
          </cell>
          <cell r="W35">
            <v>0</v>
          </cell>
        </row>
        <row r="36">
          <cell r="C36" t="str">
            <v>Credit &amp; Collections</v>
          </cell>
        </row>
        <row r="37">
          <cell r="D37" t="str">
            <v>Digital</v>
          </cell>
          <cell r="H37">
            <v>15</v>
          </cell>
          <cell r="I37">
            <v>15</v>
          </cell>
          <cell r="J37">
            <v>15</v>
          </cell>
          <cell r="K37">
            <v>15</v>
          </cell>
          <cell r="L37">
            <v>15</v>
          </cell>
          <cell r="M37">
            <v>15</v>
          </cell>
          <cell r="N37">
            <v>15</v>
          </cell>
          <cell r="O37">
            <v>15</v>
          </cell>
          <cell r="P37">
            <v>15</v>
          </cell>
          <cell r="Q37">
            <v>15</v>
          </cell>
          <cell r="R37">
            <v>15</v>
          </cell>
          <cell r="S37">
            <v>15</v>
          </cell>
          <cell r="U37">
            <v>15</v>
          </cell>
          <cell r="V37">
            <v>15</v>
          </cell>
          <cell r="W37">
            <v>0</v>
          </cell>
        </row>
        <row r="38">
          <cell r="D38" t="str">
            <v>Analog</v>
          </cell>
          <cell r="H38">
            <v>13</v>
          </cell>
          <cell r="I38">
            <v>13</v>
          </cell>
          <cell r="J38">
            <v>13</v>
          </cell>
          <cell r="K38">
            <v>13</v>
          </cell>
          <cell r="L38">
            <v>13</v>
          </cell>
          <cell r="M38">
            <v>13</v>
          </cell>
          <cell r="N38">
            <v>13</v>
          </cell>
          <cell r="O38">
            <v>13</v>
          </cell>
          <cell r="P38">
            <v>13</v>
          </cell>
          <cell r="Q38">
            <v>13</v>
          </cell>
          <cell r="R38">
            <v>13</v>
          </cell>
          <cell r="S38">
            <v>13</v>
          </cell>
          <cell r="U38">
            <v>13</v>
          </cell>
          <cell r="V38">
            <v>13</v>
          </cell>
          <cell r="W38">
            <v>0</v>
          </cell>
        </row>
        <row r="39">
          <cell r="C39" t="str">
            <v>Total Customer Care &amp; Credit and Collections</v>
          </cell>
          <cell r="H39">
            <v>90</v>
          </cell>
          <cell r="I39">
            <v>90</v>
          </cell>
          <cell r="J39">
            <v>90</v>
          </cell>
          <cell r="K39">
            <v>90</v>
          </cell>
          <cell r="L39">
            <v>90</v>
          </cell>
          <cell r="M39">
            <v>90</v>
          </cell>
          <cell r="N39">
            <v>90</v>
          </cell>
          <cell r="O39">
            <v>90</v>
          </cell>
          <cell r="P39">
            <v>90</v>
          </cell>
          <cell r="Q39">
            <v>90</v>
          </cell>
          <cell r="R39">
            <v>90</v>
          </cell>
          <cell r="S39">
            <v>90</v>
          </cell>
          <cell r="U39">
            <v>90</v>
          </cell>
          <cell r="V39">
            <v>90</v>
          </cell>
          <cell r="W39">
            <v>0</v>
          </cell>
        </row>
        <row r="41">
          <cell r="C41" t="str">
            <v>Informations Technology</v>
          </cell>
        </row>
        <row r="42">
          <cell r="D42" t="str">
            <v>Digital</v>
          </cell>
          <cell r="H42">
            <v>25</v>
          </cell>
          <cell r="I42">
            <v>25</v>
          </cell>
          <cell r="J42">
            <v>25</v>
          </cell>
          <cell r="K42">
            <v>25</v>
          </cell>
          <cell r="L42">
            <v>25</v>
          </cell>
          <cell r="M42">
            <v>25</v>
          </cell>
          <cell r="N42">
            <v>25</v>
          </cell>
          <cell r="O42">
            <v>25</v>
          </cell>
          <cell r="P42">
            <v>25</v>
          </cell>
          <cell r="Q42">
            <v>25</v>
          </cell>
          <cell r="R42">
            <v>25</v>
          </cell>
          <cell r="S42">
            <v>25</v>
          </cell>
          <cell r="U42">
            <v>25</v>
          </cell>
          <cell r="V42">
            <v>25</v>
          </cell>
          <cell r="W42">
            <v>0</v>
          </cell>
        </row>
        <row r="43">
          <cell r="D43" t="str">
            <v>Analog</v>
          </cell>
          <cell r="H43">
            <v>0</v>
          </cell>
          <cell r="I43">
            <v>0</v>
          </cell>
          <cell r="J43">
            <v>0</v>
          </cell>
          <cell r="K43">
            <v>0</v>
          </cell>
          <cell r="L43">
            <v>0</v>
          </cell>
          <cell r="M43">
            <v>0</v>
          </cell>
          <cell r="N43">
            <v>0</v>
          </cell>
          <cell r="O43">
            <v>0</v>
          </cell>
          <cell r="P43">
            <v>0</v>
          </cell>
          <cell r="Q43">
            <v>0</v>
          </cell>
          <cell r="R43">
            <v>0</v>
          </cell>
          <cell r="S43">
            <v>0</v>
          </cell>
          <cell r="U43">
            <v>0</v>
          </cell>
          <cell r="V43">
            <v>0</v>
          </cell>
          <cell r="W43">
            <v>0</v>
          </cell>
        </row>
        <row r="46">
          <cell r="C46" t="str">
            <v>Billing Operations</v>
          </cell>
        </row>
        <row r="47">
          <cell r="D47" t="str">
            <v>Digital</v>
          </cell>
          <cell r="H47">
            <v>0</v>
          </cell>
          <cell r="I47">
            <v>0</v>
          </cell>
          <cell r="J47">
            <v>0</v>
          </cell>
          <cell r="K47">
            <v>0</v>
          </cell>
          <cell r="L47">
            <v>0</v>
          </cell>
          <cell r="M47">
            <v>0</v>
          </cell>
          <cell r="N47">
            <v>0</v>
          </cell>
          <cell r="O47">
            <v>0</v>
          </cell>
          <cell r="P47">
            <v>0</v>
          </cell>
          <cell r="Q47">
            <v>0</v>
          </cell>
          <cell r="R47">
            <v>0</v>
          </cell>
          <cell r="S47">
            <v>0</v>
          </cell>
          <cell r="U47">
            <v>0</v>
          </cell>
          <cell r="V47">
            <v>0</v>
          </cell>
          <cell r="W47">
            <v>0</v>
          </cell>
        </row>
        <row r="48">
          <cell r="D48" t="str">
            <v>Analog</v>
          </cell>
          <cell r="H48">
            <v>4</v>
          </cell>
          <cell r="I48">
            <v>4</v>
          </cell>
          <cell r="J48">
            <v>4</v>
          </cell>
          <cell r="K48">
            <v>4</v>
          </cell>
          <cell r="L48">
            <v>4</v>
          </cell>
          <cell r="M48">
            <v>4</v>
          </cell>
          <cell r="N48">
            <v>4</v>
          </cell>
          <cell r="O48">
            <v>4</v>
          </cell>
          <cell r="P48">
            <v>4</v>
          </cell>
          <cell r="Q48">
            <v>4</v>
          </cell>
          <cell r="R48">
            <v>4</v>
          </cell>
          <cell r="S48">
            <v>4</v>
          </cell>
          <cell r="U48">
            <v>4</v>
          </cell>
          <cell r="V48">
            <v>4</v>
          </cell>
          <cell r="W48">
            <v>0</v>
          </cell>
        </row>
        <row r="51">
          <cell r="C51" t="str">
            <v>Presidents Office</v>
          </cell>
        </row>
        <row r="52">
          <cell r="D52" t="str">
            <v>Digital</v>
          </cell>
          <cell r="H52">
            <v>6</v>
          </cell>
          <cell r="I52">
            <v>6</v>
          </cell>
          <cell r="J52">
            <v>6</v>
          </cell>
          <cell r="K52">
            <v>6</v>
          </cell>
          <cell r="L52">
            <v>6</v>
          </cell>
          <cell r="M52">
            <v>6</v>
          </cell>
          <cell r="N52">
            <v>6</v>
          </cell>
          <cell r="O52">
            <v>6</v>
          </cell>
          <cell r="P52">
            <v>6</v>
          </cell>
          <cell r="Q52">
            <v>6</v>
          </cell>
          <cell r="R52">
            <v>6</v>
          </cell>
          <cell r="S52">
            <v>6</v>
          </cell>
          <cell r="U52">
            <v>6</v>
          </cell>
          <cell r="V52">
            <v>6</v>
          </cell>
          <cell r="W52">
            <v>0</v>
          </cell>
        </row>
        <row r="53">
          <cell r="D53" t="str">
            <v>Analog</v>
          </cell>
          <cell r="H53">
            <v>0</v>
          </cell>
          <cell r="I53">
            <v>0</v>
          </cell>
          <cell r="J53">
            <v>0</v>
          </cell>
          <cell r="K53">
            <v>0</v>
          </cell>
          <cell r="L53">
            <v>0</v>
          </cell>
          <cell r="M53">
            <v>0</v>
          </cell>
          <cell r="N53">
            <v>0</v>
          </cell>
          <cell r="O53">
            <v>0</v>
          </cell>
          <cell r="P53">
            <v>0</v>
          </cell>
          <cell r="Q53">
            <v>0</v>
          </cell>
          <cell r="R53">
            <v>0</v>
          </cell>
          <cell r="S53">
            <v>0</v>
          </cell>
          <cell r="U53">
            <v>0</v>
          </cell>
          <cell r="V53">
            <v>0</v>
          </cell>
          <cell r="W53">
            <v>0</v>
          </cell>
        </row>
        <row r="54">
          <cell r="C54" t="str">
            <v>Legal</v>
          </cell>
        </row>
        <row r="55">
          <cell r="D55" t="str">
            <v>Digital</v>
          </cell>
          <cell r="H55">
            <v>9</v>
          </cell>
          <cell r="I55">
            <v>9</v>
          </cell>
          <cell r="J55">
            <v>9</v>
          </cell>
          <cell r="K55">
            <v>9</v>
          </cell>
          <cell r="L55">
            <v>9</v>
          </cell>
          <cell r="M55">
            <v>9</v>
          </cell>
          <cell r="N55">
            <v>9</v>
          </cell>
          <cell r="O55">
            <v>9</v>
          </cell>
          <cell r="P55">
            <v>9</v>
          </cell>
          <cell r="Q55">
            <v>9</v>
          </cell>
          <cell r="R55">
            <v>9</v>
          </cell>
          <cell r="S55">
            <v>9</v>
          </cell>
          <cell r="U55">
            <v>9</v>
          </cell>
          <cell r="V55">
            <v>9</v>
          </cell>
          <cell r="W55">
            <v>0</v>
          </cell>
        </row>
        <row r="56">
          <cell r="D56" t="str">
            <v>Analog</v>
          </cell>
          <cell r="H56">
            <v>0</v>
          </cell>
          <cell r="I56">
            <v>0</v>
          </cell>
          <cell r="J56">
            <v>0</v>
          </cell>
          <cell r="K56">
            <v>0</v>
          </cell>
          <cell r="L56">
            <v>0</v>
          </cell>
          <cell r="M56">
            <v>0</v>
          </cell>
          <cell r="N56">
            <v>0</v>
          </cell>
          <cell r="O56">
            <v>0</v>
          </cell>
          <cell r="P56">
            <v>0</v>
          </cell>
          <cell r="Q56">
            <v>0</v>
          </cell>
          <cell r="R56">
            <v>0</v>
          </cell>
          <cell r="S56">
            <v>0</v>
          </cell>
          <cell r="U56">
            <v>0</v>
          </cell>
          <cell r="V56">
            <v>0</v>
          </cell>
          <cell r="W56">
            <v>0</v>
          </cell>
        </row>
        <row r="57">
          <cell r="C57" t="str">
            <v>Finance</v>
          </cell>
        </row>
        <row r="58">
          <cell r="D58" t="str">
            <v>Digital</v>
          </cell>
          <cell r="H58">
            <v>34</v>
          </cell>
          <cell r="I58">
            <v>34</v>
          </cell>
          <cell r="J58">
            <v>34</v>
          </cell>
          <cell r="K58">
            <v>34</v>
          </cell>
          <cell r="L58">
            <v>34</v>
          </cell>
          <cell r="M58">
            <v>34</v>
          </cell>
          <cell r="N58">
            <v>34</v>
          </cell>
          <cell r="O58">
            <v>34</v>
          </cell>
          <cell r="P58">
            <v>34</v>
          </cell>
          <cell r="Q58">
            <v>34</v>
          </cell>
          <cell r="R58">
            <v>34</v>
          </cell>
          <cell r="S58">
            <v>34</v>
          </cell>
          <cell r="U58">
            <v>34</v>
          </cell>
          <cell r="V58">
            <v>34</v>
          </cell>
          <cell r="W58">
            <v>0</v>
          </cell>
        </row>
        <row r="59">
          <cell r="D59" t="str">
            <v>Analog</v>
          </cell>
          <cell r="H59">
            <v>0</v>
          </cell>
          <cell r="I59">
            <v>0</v>
          </cell>
          <cell r="J59">
            <v>0</v>
          </cell>
          <cell r="K59">
            <v>0</v>
          </cell>
          <cell r="L59">
            <v>0</v>
          </cell>
          <cell r="M59">
            <v>0</v>
          </cell>
          <cell r="N59">
            <v>0</v>
          </cell>
          <cell r="O59">
            <v>0</v>
          </cell>
          <cell r="P59">
            <v>0</v>
          </cell>
          <cell r="Q59">
            <v>0</v>
          </cell>
          <cell r="R59">
            <v>0</v>
          </cell>
          <cell r="S59">
            <v>0</v>
          </cell>
          <cell r="U59">
            <v>0</v>
          </cell>
          <cell r="V59">
            <v>0</v>
          </cell>
          <cell r="W59">
            <v>0</v>
          </cell>
        </row>
        <row r="60">
          <cell r="C60" t="str">
            <v>Human Resources</v>
          </cell>
        </row>
        <row r="61">
          <cell r="D61" t="str">
            <v>Digital</v>
          </cell>
          <cell r="H61">
            <v>13</v>
          </cell>
          <cell r="I61">
            <v>13</v>
          </cell>
          <cell r="J61">
            <v>13</v>
          </cell>
          <cell r="K61">
            <v>13</v>
          </cell>
          <cell r="L61">
            <v>13</v>
          </cell>
          <cell r="M61">
            <v>13</v>
          </cell>
          <cell r="N61">
            <v>13</v>
          </cell>
          <cell r="O61">
            <v>13</v>
          </cell>
          <cell r="P61">
            <v>13</v>
          </cell>
          <cell r="Q61">
            <v>13</v>
          </cell>
          <cell r="R61">
            <v>13</v>
          </cell>
          <cell r="S61">
            <v>13</v>
          </cell>
          <cell r="U61">
            <v>13</v>
          </cell>
          <cell r="V61">
            <v>13</v>
          </cell>
          <cell r="W61">
            <v>0</v>
          </cell>
        </row>
        <row r="62">
          <cell r="D62" t="str">
            <v>Analog</v>
          </cell>
          <cell r="H62">
            <v>3</v>
          </cell>
          <cell r="I62">
            <v>3</v>
          </cell>
          <cell r="J62">
            <v>3</v>
          </cell>
          <cell r="K62">
            <v>3</v>
          </cell>
          <cell r="L62">
            <v>3</v>
          </cell>
          <cell r="M62">
            <v>3</v>
          </cell>
          <cell r="N62">
            <v>3</v>
          </cell>
          <cell r="O62">
            <v>3</v>
          </cell>
          <cell r="P62">
            <v>3</v>
          </cell>
          <cell r="Q62">
            <v>3</v>
          </cell>
          <cell r="R62">
            <v>3</v>
          </cell>
          <cell r="S62">
            <v>3</v>
          </cell>
          <cell r="U62">
            <v>3</v>
          </cell>
          <cell r="V62">
            <v>3</v>
          </cell>
          <cell r="W62">
            <v>0</v>
          </cell>
        </row>
        <row r="63">
          <cell r="C63" t="str">
            <v>Other</v>
          </cell>
        </row>
        <row r="64">
          <cell r="D64" t="str">
            <v>Digital</v>
          </cell>
          <cell r="H64">
            <v>2</v>
          </cell>
          <cell r="I64">
            <v>2</v>
          </cell>
          <cell r="J64">
            <v>2</v>
          </cell>
          <cell r="K64">
            <v>2</v>
          </cell>
          <cell r="L64">
            <v>2</v>
          </cell>
          <cell r="M64">
            <v>2</v>
          </cell>
          <cell r="N64">
            <v>2</v>
          </cell>
          <cell r="O64">
            <v>2</v>
          </cell>
          <cell r="P64">
            <v>2</v>
          </cell>
          <cell r="Q64">
            <v>2</v>
          </cell>
          <cell r="R64">
            <v>2</v>
          </cell>
          <cell r="S64">
            <v>2</v>
          </cell>
          <cell r="U64">
            <v>2</v>
          </cell>
          <cell r="V64">
            <v>2</v>
          </cell>
          <cell r="W64">
            <v>0</v>
          </cell>
        </row>
        <row r="65">
          <cell r="D65" t="str">
            <v>Analog</v>
          </cell>
          <cell r="H65">
            <v>14</v>
          </cell>
          <cell r="I65">
            <v>14</v>
          </cell>
          <cell r="J65">
            <v>14</v>
          </cell>
          <cell r="K65">
            <v>14</v>
          </cell>
          <cell r="L65">
            <v>14</v>
          </cell>
          <cell r="M65">
            <v>14</v>
          </cell>
          <cell r="N65">
            <v>14</v>
          </cell>
          <cell r="O65">
            <v>14</v>
          </cell>
          <cell r="P65">
            <v>14</v>
          </cell>
          <cell r="Q65">
            <v>14</v>
          </cell>
          <cell r="R65">
            <v>14</v>
          </cell>
          <cell r="S65">
            <v>14</v>
          </cell>
          <cell r="U65">
            <v>14</v>
          </cell>
          <cell r="V65">
            <v>14</v>
          </cell>
          <cell r="W65">
            <v>0</v>
          </cell>
        </row>
        <row r="66">
          <cell r="F66" t="str">
            <v>Total General &amp; Administration</v>
          </cell>
          <cell r="H66">
            <v>81</v>
          </cell>
          <cell r="I66">
            <v>81</v>
          </cell>
          <cell r="J66">
            <v>81</v>
          </cell>
          <cell r="K66">
            <v>81</v>
          </cell>
          <cell r="L66">
            <v>81</v>
          </cell>
          <cell r="M66">
            <v>81</v>
          </cell>
          <cell r="N66">
            <v>81</v>
          </cell>
          <cell r="O66">
            <v>81</v>
          </cell>
          <cell r="P66">
            <v>81</v>
          </cell>
          <cell r="Q66">
            <v>81</v>
          </cell>
          <cell r="R66">
            <v>81</v>
          </cell>
          <cell r="S66">
            <v>81</v>
          </cell>
          <cell r="U66">
            <v>81</v>
          </cell>
          <cell r="V66">
            <v>81</v>
          </cell>
          <cell r="W66">
            <v>0</v>
          </cell>
        </row>
        <row r="68">
          <cell r="C68" t="str">
            <v>Marketing</v>
          </cell>
        </row>
        <row r="69">
          <cell r="D69" t="str">
            <v>Digital</v>
          </cell>
          <cell r="H69">
            <v>12</v>
          </cell>
          <cell r="I69">
            <v>12</v>
          </cell>
          <cell r="J69">
            <v>12</v>
          </cell>
          <cell r="K69">
            <v>12</v>
          </cell>
          <cell r="L69">
            <v>12</v>
          </cell>
          <cell r="M69">
            <v>12</v>
          </cell>
          <cell r="N69">
            <v>12</v>
          </cell>
          <cell r="O69">
            <v>12</v>
          </cell>
          <cell r="P69">
            <v>12</v>
          </cell>
          <cell r="Q69">
            <v>12</v>
          </cell>
          <cell r="R69">
            <v>12</v>
          </cell>
          <cell r="S69">
            <v>12</v>
          </cell>
          <cell r="U69">
            <v>12</v>
          </cell>
          <cell r="V69">
            <v>12</v>
          </cell>
          <cell r="W69">
            <v>0</v>
          </cell>
        </row>
        <row r="70">
          <cell r="D70" t="str">
            <v>Analog</v>
          </cell>
          <cell r="H70">
            <v>1</v>
          </cell>
          <cell r="I70">
            <v>1</v>
          </cell>
          <cell r="J70">
            <v>1</v>
          </cell>
          <cell r="K70">
            <v>1</v>
          </cell>
          <cell r="L70">
            <v>1</v>
          </cell>
          <cell r="M70">
            <v>1</v>
          </cell>
          <cell r="N70">
            <v>1</v>
          </cell>
          <cell r="O70">
            <v>1</v>
          </cell>
          <cell r="P70">
            <v>1</v>
          </cell>
          <cell r="Q70">
            <v>1</v>
          </cell>
          <cell r="R70">
            <v>1</v>
          </cell>
          <cell r="S70">
            <v>1</v>
          </cell>
          <cell r="U70">
            <v>1</v>
          </cell>
          <cell r="V70">
            <v>1</v>
          </cell>
          <cell r="W70">
            <v>0</v>
          </cell>
        </row>
        <row r="73">
          <cell r="C73" t="str">
            <v>Direct Sales</v>
          </cell>
          <cell r="H73">
            <v>178</v>
          </cell>
          <cell r="I73">
            <v>178</v>
          </cell>
          <cell r="J73">
            <v>178</v>
          </cell>
          <cell r="K73">
            <v>178</v>
          </cell>
          <cell r="L73">
            <v>178</v>
          </cell>
          <cell r="M73">
            <v>178</v>
          </cell>
          <cell r="N73">
            <v>178</v>
          </cell>
          <cell r="O73">
            <v>178</v>
          </cell>
          <cell r="P73">
            <v>178</v>
          </cell>
          <cell r="Q73">
            <v>178</v>
          </cell>
          <cell r="R73">
            <v>178</v>
          </cell>
          <cell r="S73">
            <v>178</v>
          </cell>
          <cell r="U73">
            <v>178</v>
          </cell>
          <cell r="V73">
            <v>178</v>
          </cell>
          <cell r="W73">
            <v>0</v>
          </cell>
        </row>
        <row r="74">
          <cell r="D74" t="str">
            <v>Direct Sales Representatives</v>
          </cell>
        </row>
        <row r="75">
          <cell r="E75" t="str">
            <v>Digital</v>
          </cell>
          <cell r="H75">
            <v>125</v>
          </cell>
          <cell r="I75">
            <v>125</v>
          </cell>
          <cell r="J75">
            <v>125</v>
          </cell>
          <cell r="K75">
            <v>125</v>
          </cell>
          <cell r="L75">
            <v>125</v>
          </cell>
          <cell r="M75">
            <v>125</v>
          </cell>
          <cell r="N75">
            <v>125</v>
          </cell>
          <cell r="O75">
            <v>125</v>
          </cell>
          <cell r="P75">
            <v>125</v>
          </cell>
          <cell r="Q75">
            <v>125</v>
          </cell>
          <cell r="R75">
            <v>125</v>
          </cell>
          <cell r="S75">
            <v>125</v>
          </cell>
          <cell r="U75">
            <v>125</v>
          </cell>
          <cell r="V75">
            <v>125</v>
          </cell>
          <cell r="W75">
            <v>0</v>
          </cell>
        </row>
        <row r="76">
          <cell r="E76" t="str">
            <v>Analog</v>
          </cell>
          <cell r="H76">
            <v>30</v>
          </cell>
          <cell r="I76">
            <v>30</v>
          </cell>
          <cell r="J76">
            <v>30</v>
          </cell>
          <cell r="K76">
            <v>30</v>
          </cell>
          <cell r="L76">
            <v>30</v>
          </cell>
          <cell r="M76">
            <v>30</v>
          </cell>
          <cell r="N76">
            <v>30</v>
          </cell>
          <cell r="O76">
            <v>30</v>
          </cell>
          <cell r="P76">
            <v>30</v>
          </cell>
          <cell r="Q76">
            <v>30</v>
          </cell>
          <cell r="R76">
            <v>30</v>
          </cell>
          <cell r="S76">
            <v>30</v>
          </cell>
          <cell r="U76">
            <v>30</v>
          </cell>
          <cell r="V76">
            <v>30</v>
          </cell>
          <cell r="W76">
            <v>0</v>
          </cell>
        </row>
        <row r="77">
          <cell r="D77" t="str">
            <v>Direct Sales Support</v>
          </cell>
        </row>
        <row r="78">
          <cell r="E78" t="str">
            <v>Digital</v>
          </cell>
          <cell r="H78">
            <v>22</v>
          </cell>
          <cell r="I78">
            <v>22</v>
          </cell>
          <cell r="J78">
            <v>22</v>
          </cell>
          <cell r="K78">
            <v>22</v>
          </cell>
          <cell r="L78">
            <v>22</v>
          </cell>
          <cell r="M78">
            <v>22</v>
          </cell>
          <cell r="N78">
            <v>22</v>
          </cell>
          <cell r="O78">
            <v>22</v>
          </cell>
          <cell r="P78">
            <v>22</v>
          </cell>
          <cell r="Q78">
            <v>22</v>
          </cell>
          <cell r="R78">
            <v>22</v>
          </cell>
          <cell r="S78">
            <v>22</v>
          </cell>
          <cell r="U78">
            <v>22</v>
          </cell>
          <cell r="V78">
            <v>22</v>
          </cell>
          <cell r="W78">
            <v>0</v>
          </cell>
        </row>
        <row r="79">
          <cell r="E79" t="str">
            <v>Analog</v>
          </cell>
          <cell r="H79">
            <v>1</v>
          </cell>
          <cell r="I79">
            <v>1</v>
          </cell>
          <cell r="J79">
            <v>1</v>
          </cell>
          <cell r="K79">
            <v>1</v>
          </cell>
          <cell r="L79">
            <v>1</v>
          </cell>
          <cell r="M79">
            <v>1</v>
          </cell>
          <cell r="N79">
            <v>1</v>
          </cell>
          <cell r="O79">
            <v>1</v>
          </cell>
          <cell r="P79">
            <v>1</v>
          </cell>
          <cell r="Q79">
            <v>1</v>
          </cell>
          <cell r="R79">
            <v>1</v>
          </cell>
          <cell r="S79">
            <v>1</v>
          </cell>
          <cell r="U79">
            <v>1</v>
          </cell>
          <cell r="V79">
            <v>1</v>
          </cell>
          <cell r="W79">
            <v>0</v>
          </cell>
        </row>
        <row r="82">
          <cell r="C82" t="str">
            <v>Indirect Sales</v>
          </cell>
          <cell r="H82">
            <v>3</v>
          </cell>
          <cell r="I82">
            <v>3</v>
          </cell>
          <cell r="J82">
            <v>3</v>
          </cell>
          <cell r="K82">
            <v>3</v>
          </cell>
          <cell r="L82">
            <v>3</v>
          </cell>
          <cell r="M82">
            <v>3</v>
          </cell>
          <cell r="N82">
            <v>3</v>
          </cell>
          <cell r="O82">
            <v>3</v>
          </cell>
          <cell r="P82">
            <v>3</v>
          </cell>
          <cell r="Q82">
            <v>3</v>
          </cell>
          <cell r="R82">
            <v>3</v>
          </cell>
          <cell r="S82">
            <v>3</v>
          </cell>
          <cell r="U82">
            <v>3</v>
          </cell>
          <cell r="V82">
            <v>3</v>
          </cell>
          <cell r="W82">
            <v>0</v>
          </cell>
        </row>
        <row r="83">
          <cell r="D83" t="str">
            <v>Indirect Sales Support</v>
          </cell>
        </row>
        <row r="84">
          <cell r="E84" t="str">
            <v>Digital</v>
          </cell>
          <cell r="H84">
            <v>3</v>
          </cell>
          <cell r="I84">
            <v>3</v>
          </cell>
          <cell r="J84">
            <v>3</v>
          </cell>
          <cell r="K84">
            <v>3</v>
          </cell>
          <cell r="L84">
            <v>3</v>
          </cell>
          <cell r="M84">
            <v>3</v>
          </cell>
          <cell r="N84">
            <v>3</v>
          </cell>
          <cell r="O84">
            <v>3</v>
          </cell>
          <cell r="P84">
            <v>3</v>
          </cell>
          <cell r="Q84">
            <v>3</v>
          </cell>
          <cell r="R84">
            <v>3</v>
          </cell>
          <cell r="S84">
            <v>3</v>
          </cell>
          <cell r="U84">
            <v>3</v>
          </cell>
          <cell r="V84">
            <v>3</v>
          </cell>
          <cell r="W84">
            <v>0</v>
          </cell>
        </row>
        <row r="85">
          <cell r="E85" t="str">
            <v>Analog</v>
          </cell>
          <cell r="H85">
            <v>0</v>
          </cell>
          <cell r="I85">
            <v>0</v>
          </cell>
          <cell r="J85">
            <v>0</v>
          </cell>
          <cell r="K85">
            <v>0</v>
          </cell>
          <cell r="L85">
            <v>0</v>
          </cell>
          <cell r="M85">
            <v>0</v>
          </cell>
          <cell r="N85">
            <v>0</v>
          </cell>
          <cell r="O85">
            <v>0</v>
          </cell>
          <cell r="P85">
            <v>0</v>
          </cell>
          <cell r="Q85">
            <v>0</v>
          </cell>
          <cell r="R85">
            <v>0</v>
          </cell>
          <cell r="S85">
            <v>0</v>
          </cell>
          <cell r="U85">
            <v>0</v>
          </cell>
          <cell r="V85">
            <v>0</v>
          </cell>
          <cell r="W85">
            <v>0</v>
          </cell>
        </row>
        <row r="87">
          <cell r="F87" t="str">
            <v>Total Sales</v>
          </cell>
          <cell r="H87">
            <v>181</v>
          </cell>
          <cell r="I87">
            <v>196</v>
          </cell>
          <cell r="J87">
            <v>196</v>
          </cell>
          <cell r="K87">
            <v>196</v>
          </cell>
          <cell r="L87">
            <v>196</v>
          </cell>
          <cell r="M87">
            <v>196</v>
          </cell>
          <cell r="N87">
            <v>196</v>
          </cell>
          <cell r="O87">
            <v>196</v>
          </cell>
          <cell r="P87">
            <v>196</v>
          </cell>
          <cell r="Q87">
            <v>196</v>
          </cell>
          <cell r="R87">
            <v>196</v>
          </cell>
          <cell r="S87">
            <v>196</v>
          </cell>
          <cell r="U87">
            <v>196</v>
          </cell>
          <cell r="V87">
            <v>196</v>
          </cell>
          <cell r="W87">
            <v>196</v>
          </cell>
        </row>
        <row r="89">
          <cell r="C89" t="str">
            <v>Fulfillment</v>
          </cell>
        </row>
        <row r="90">
          <cell r="D90" t="str">
            <v>Digital</v>
          </cell>
          <cell r="H90">
            <v>34</v>
          </cell>
          <cell r="I90">
            <v>34</v>
          </cell>
          <cell r="J90">
            <v>34</v>
          </cell>
          <cell r="K90">
            <v>34</v>
          </cell>
          <cell r="L90">
            <v>34</v>
          </cell>
          <cell r="M90">
            <v>34</v>
          </cell>
          <cell r="N90">
            <v>34</v>
          </cell>
          <cell r="O90">
            <v>34</v>
          </cell>
          <cell r="P90">
            <v>34</v>
          </cell>
          <cell r="Q90">
            <v>34</v>
          </cell>
          <cell r="R90">
            <v>34</v>
          </cell>
          <cell r="S90">
            <v>34</v>
          </cell>
          <cell r="U90">
            <v>34</v>
          </cell>
          <cell r="V90">
            <v>34</v>
          </cell>
          <cell r="W90">
            <v>0</v>
          </cell>
        </row>
        <row r="91">
          <cell r="D91" t="str">
            <v>Analog</v>
          </cell>
          <cell r="H91">
            <v>6</v>
          </cell>
          <cell r="I91">
            <v>6</v>
          </cell>
          <cell r="J91">
            <v>6</v>
          </cell>
          <cell r="K91">
            <v>6</v>
          </cell>
          <cell r="L91">
            <v>6</v>
          </cell>
          <cell r="M91">
            <v>6</v>
          </cell>
          <cell r="N91">
            <v>6</v>
          </cell>
          <cell r="O91">
            <v>6</v>
          </cell>
          <cell r="P91">
            <v>6</v>
          </cell>
          <cell r="Q91">
            <v>6</v>
          </cell>
          <cell r="R91">
            <v>6</v>
          </cell>
          <cell r="S91">
            <v>6</v>
          </cell>
          <cell r="U91">
            <v>6</v>
          </cell>
          <cell r="V91">
            <v>6</v>
          </cell>
          <cell r="W91">
            <v>0</v>
          </cell>
        </row>
        <row r="95">
          <cell r="C95" t="str">
            <v>TOTAL HEADCOUNT</v>
          </cell>
          <cell r="H95">
            <v>538</v>
          </cell>
          <cell r="I95">
            <v>538</v>
          </cell>
          <cell r="J95">
            <v>538</v>
          </cell>
          <cell r="K95">
            <v>538</v>
          </cell>
          <cell r="L95">
            <v>538</v>
          </cell>
          <cell r="M95">
            <v>538</v>
          </cell>
          <cell r="N95">
            <v>538</v>
          </cell>
          <cell r="O95">
            <v>538</v>
          </cell>
          <cell r="P95">
            <v>538</v>
          </cell>
          <cell r="Q95">
            <v>538</v>
          </cell>
          <cell r="R95">
            <v>538</v>
          </cell>
          <cell r="S95">
            <v>538</v>
          </cell>
          <cell r="U95">
            <v>538</v>
          </cell>
          <cell r="V95">
            <v>538</v>
          </cell>
          <cell r="W95">
            <v>0</v>
          </cell>
        </row>
        <row r="99">
          <cell r="F99" t="str">
            <v>Total HC Digital</v>
          </cell>
          <cell r="H99">
            <v>431</v>
          </cell>
          <cell r="I99">
            <v>431</v>
          </cell>
          <cell r="J99">
            <v>431</v>
          </cell>
          <cell r="K99">
            <v>431</v>
          </cell>
          <cell r="L99">
            <v>431</v>
          </cell>
          <cell r="M99">
            <v>431</v>
          </cell>
          <cell r="N99">
            <v>431</v>
          </cell>
          <cell r="O99">
            <v>431</v>
          </cell>
          <cell r="P99">
            <v>431</v>
          </cell>
          <cell r="Q99">
            <v>431</v>
          </cell>
          <cell r="R99">
            <v>431</v>
          </cell>
          <cell r="S99">
            <v>431</v>
          </cell>
          <cell r="U99">
            <v>431</v>
          </cell>
          <cell r="V99">
            <v>431</v>
          </cell>
          <cell r="W99">
            <v>0</v>
          </cell>
        </row>
        <row r="100">
          <cell r="F100" t="str">
            <v>Total HC Analog</v>
          </cell>
          <cell r="H100">
            <v>107</v>
          </cell>
          <cell r="I100">
            <v>107</v>
          </cell>
          <cell r="J100">
            <v>107</v>
          </cell>
          <cell r="K100">
            <v>107</v>
          </cell>
          <cell r="L100">
            <v>107</v>
          </cell>
          <cell r="M100">
            <v>107</v>
          </cell>
          <cell r="N100">
            <v>107</v>
          </cell>
          <cell r="O100">
            <v>107</v>
          </cell>
          <cell r="P100">
            <v>107</v>
          </cell>
          <cell r="Q100">
            <v>107</v>
          </cell>
          <cell r="R100">
            <v>107</v>
          </cell>
          <cell r="S100">
            <v>107</v>
          </cell>
          <cell r="U100">
            <v>107</v>
          </cell>
          <cell r="V100">
            <v>107</v>
          </cell>
          <cell r="W100">
            <v>0</v>
          </cell>
        </row>
        <row r="104">
          <cell r="C104" t="str">
            <v>Other Headcount Information</v>
          </cell>
        </row>
        <row r="105">
          <cell r="D105" t="str">
            <v>Expats</v>
          </cell>
          <cell r="H105">
            <v>1</v>
          </cell>
          <cell r="I105">
            <v>1</v>
          </cell>
          <cell r="J105">
            <v>1</v>
          </cell>
          <cell r="K105">
            <v>1</v>
          </cell>
          <cell r="L105">
            <v>1</v>
          </cell>
          <cell r="M105">
            <v>1</v>
          </cell>
          <cell r="N105">
            <v>1</v>
          </cell>
          <cell r="O105">
            <v>1</v>
          </cell>
          <cell r="P105">
            <v>1</v>
          </cell>
          <cell r="Q105">
            <v>1</v>
          </cell>
          <cell r="R105">
            <v>1</v>
          </cell>
          <cell r="S105">
            <v>1</v>
          </cell>
          <cell r="U105">
            <v>1</v>
          </cell>
          <cell r="V105">
            <v>1</v>
          </cell>
          <cell r="W105">
            <v>0</v>
          </cell>
        </row>
        <row r="106">
          <cell r="D106" t="str">
            <v>Temporaries</v>
          </cell>
          <cell r="H106">
            <v>62</v>
          </cell>
          <cell r="I106">
            <v>62</v>
          </cell>
          <cell r="J106">
            <v>62</v>
          </cell>
          <cell r="K106">
            <v>62</v>
          </cell>
          <cell r="L106">
            <v>62</v>
          </cell>
          <cell r="M106">
            <v>62</v>
          </cell>
          <cell r="N106">
            <v>62</v>
          </cell>
          <cell r="O106">
            <v>62</v>
          </cell>
          <cell r="P106">
            <v>62</v>
          </cell>
          <cell r="Q106">
            <v>62</v>
          </cell>
          <cell r="R106">
            <v>62</v>
          </cell>
          <cell r="S106">
            <v>62</v>
          </cell>
          <cell r="U106">
            <v>62</v>
          </cell>
          <cell r="V106">
            <v>62</v>
          </cell>
          <cell r="W106">
            <v>0</v>
          </cell>
        </row>
        <row r="107">
          <cell r="D107" t="str">
            <v>Teletech</v>
          </cell>
          <cell r="H107">
            <v>39</v>
          </cell>
          <cell r="I107">
            <v>39</v>
          </cell>
          <cell r="J107">
            <v>39</v>
          </cell>
          <cell r="K107">
            <v>39</v>
          </cell>
          <cell r="L107">
            <v>39</v>
          </cell>
          <cell r="M107">
            <v>39</v>
          </cell>
          <cell r="N107">
            <v>39</v>
          </cell>
          <cell r="O107">
            <v>39</v>
          </cell>
          <cell r="P107">
            <v>39</v>
          </cell>
          <cell r="Q107">
            <v>39</v>
          </cell>
          <cell r="R107">
            <v>39</v>
          </cell>
          <cell r="S107">
            <v>39</v>
          </cell>
          <cell r="U107">
            <v>39</v>
          </cell>
          <cell r="V107">
            <v>39</v>
          </cell>
          <cell r="W107">
            <v>0</v>
          </cell>
        </row>
        <row r="108">
          <cell r="D108" t="str">
            <v>Students</v>
          </cell>
          <cell r="H108">
            <v>0</v>
          </cell>
          <cell r="I108">
            <v>0</v>
          </cell>
          <cell r="J108">
            <v>0</v>
          </cell>
          <cell r="K108">
            <v>0</v>
          </cell>
          <cell r="L108">
            <v>0</v>
          </cell>
          <cell r="M108">
            <v>0</v>
          </cell>
          <cell r="N108">
            <v>0</v>
          </cell>
          <cell r="O108">
            <v>0</v>
          </cell>
          <cell r="P108">
            <v>0</v>
          </cell>
          <cell r="Q108">
            <v>0</v>
          </cell>
          <cell r="R108">
            <v>0</v>
          </cell>
          <cell r="S108">
            <v>0</v>
          </cell>
          <cell r="U108">
            <v>0</v>
          </cell>
          <cell r="V108">
            <v>0</v>
          </cell>
          <cell r="W108">
            <v>0</v>
          </cell>
        </row>
        <row r="109">
          <cell r="D109" t="str">
            <v>Indirect Sales Dealers</v>
          </cell>
          <cell r="H109">
            <v>23</v>
          </cell>
          <cell r="I109">
            <v>23</v>
          </cell>
          <cell r="J109">
            <v>23</v>
          </cell>
          <cell r="K109">
            <v>23</v>
          </cell>
          <cell r="L109">
            <v>23</v>
          </cell>
          <cell r="M109">
            <v>25</v>
          </cell>
          <cell r="N109">
            <v>25</v>
          </cell>
          <cell r="O109">
            <v>30</v>
          </cell>
          <cell r="P109">
            <v>30</v>
          </cell>
          <cell r="Q109">
            <v>30</v>
          </cell>
          <cell r="R109">
            <v>30</v>
          </cell>
          <cell r="S109">
            <v>30</v>
          </cell>
          <cell r="U109">
            <v>30</v>
          </cell>
          <cell r="V109">
            <v>30</v>
          </cell>
          <cell r="W109">
            <v>0</v>
          </cell>
        </row>
      </sheetData>
      <sheetData sheetId="34" refreshError="1">
        <row r="12">
          <cell r="B12" t="str">
            <v>Digital Employee Metrics Trend</v>
          </cell>
        </row>
        <row r="14">
          <cell r="H14" t="str">
            <v>Jan</v>
          </cell>
          <cell r="I14" t="str">
            <v>Feb</v>
          </cell>
          <cell r="J14" t="str">
            <v>Mar</v>
          </cell>
          <cell r="K14" t="str">
            <v>Apr</v>
          </cell>
          <cell r="L14" t="str">
            <v>May</v>
          </cell>
          <cell r="M14" t="str">
            <v>Jun</v>
          </cell>
          <cell r="N14" t="str">
            <v>Jul</v>
          </cell>
          <cell r="O14" t="str">
            <v>Aug</v>
          </cell>
          <cell r="P14" t="str">
            <v>Sep</v>
          </cell>
          <cell r="Q14" t="str">
            <v>Oct</v>
          </cell>
          <cell r="R14" t="str">
            <v>Nov</v>
          </cell>
          <cell r="S14" t="str">
            <v>Dec</v>
          </cell>
          <cell r="U14" t="str">
            <v>Current Month</v>
          </cell>
          <cell r="Y14" t="str">
            <v>YTD</v>
          </cell>
        </row>
        <row r="15">
          <cell r="U15" t="str">
            <v>Actual</v>
          </cell>
          <cell r="V15" t="str">
            <v>Budget</v>
          </cell>
          <cell r="W15" t="str">
            <v>Var.</v>
          </cell>
          <cell r="Y15" t="str">
            <v>Actual</v>
          </cell>
          <cell r="Z15" t="str">
            <v>Budget</v>
          </cell>
          <cell r="AA15" t="str">
            <v>Var.</v>
          </cell>
        </row>
        <row r="18">
          <cell r="C18" t="str">
            <v>Revenues per Employee</v>
          </cell>
        </row>
        <row r="21">
          <cell r="D21" t="str">
            <v>Service Revenue per Employee</v>
          </cell>
          <cell r="H21">
            <v>9277.6523702031609</v>
          </cell>
          <cell r="I21">
            <v>9277.6523702031609</v>
          </cell>
          <cell r="J21">
            <v>9277.6523702031609</v>
          </cell>
          <cell r="K21">
            <v>9277.6523702031609</v>
          </cell>
          <cell r="L21">
            <v>9277.6523702031609</v>
          </cell>
          <cell r="M21">
            <v>9277.6523702031609</v>
          </cell>
          <cell r="N21">
            <v>9277.6523702031609</v>
          </cell>
          <cell r="O21">
            <v>9277.6523702031609</v>
          </cell>
          <cell r="P21">
            <v>9277.6523702031609</v>
          </cell>
          <cell r="Q21">
            <v>9277.6523702031609</v>
          </cell>
          <cell r="R21">
            <v>9277.6523702031609</v>
          </cell>
          <cell r="S21">
            <v>9277.6523702031609</v>
          </cell>
          <cell r="U21">
            <v>9277.6523702031609</v>
          </cell>
          <cell r="V21">
            <v>8000</v>
          </cell>
          <cell r="W21">
            <v>1277.6523702031609</v>
          </cell>
          <cell r="Y21">
            <v>9277.6523702031609</v>
          </cell>
          <cell r="Z21">
            <v>9277.6523702031609</v>
          </cell>
          <cell r="AA21">
            <v>0</v>
          </cell>
        </row>
        <row r="22">
          <cell r="D22" t="str">
            <v>Equipment Revenue per Employee</v>
          </cell>
          <cell r="H22">
            <v>1557.5620767494356</v>
          </cell>
          <cell r="I22">
            <v>1557.5620767494356</v>
          </cell>
          <cell r="J22">
            <v>1557.5620767494356</v>
          </cell>
          <cell r="K22">
            <v>1557.5620767494356</v>
          </cell>
          <cell r="L22">
            <v>1557.5620767494356</v>
          </cell>
          <cell r="M22">
            <v>1557.5620767494356</v>
          </cell>
          <cell r="N22">
            <v>1557.5620767494356</v>
          </cell>
          <cell r="O22">
            <v>1557.5620767494356</v>
          </cell>
          <cell r="P22">
            <v>1557.5620767494356</v>
          </cell>
          <cell r="Q22">
            <v>1557.5620767494356</v>
          </cell>
          <cell r="R22">
            <v>1557.5620767494356</v>
          </cell>
          <cell r="S22">
            <v>1557.5620767494356</v>
          </cell>
          <cell r="U22">
            <v>1557.5620767494356</v>
          </cell>
          <cell r="V22">
            <v>2000</v>
          </cell>
          <cell r="W22">
            <v>-442.43792325056438</v>
          </cell>
          <cell r="Y22">
            <v>1557.5620767494356</v>
          </cell>
          <cell r="Z22">
            <v>1557.5620767494356</v>
          </cell>
          <cell r="AA22">
            <v>0</v>
          </cell>
        </row>
        <row r="25">
          <cell r="E25" t="str">
            <v xml:space="preserve">Total Revenue per Employee </v>
          </cell>
          <cell r="H25">
            <v>10835.214446952596</v>
          </cell>
          <cell r="I25">
            <v>10835.214446952596</v>
          </cell>
          <cell r="J25">
            <v>10835.214446952596</v>
          </cell>
          <cell r="K25">
            <v>10835.214446952596</v>
          </cell>
          <cell r="L25">
            <v>10835.214446952596</v>
          </cell>
          <cell r="M25">
            <v>10835.214446952596</v>
          </cell>
          <cell r="N25">
            <v>10835.214446952596</v>
          </cell>
          <cell r="O25">
            <v>10835.214446952596</v>
          </cell>
          <cell r="P25">
            <v>10835.214446952596</v>
          </cell>
          <cell r="Q25">
            <v>10835.214446952596</v>
          </cell>
          <cell r="R25">
            <v>10835.214446952596</v>
          </cell>
          <cell r="S25">
            <v>10835.214446952596</v>
          </cell>
          <cell r="U25">
            <v>10835.214446952596</v>
          </cell>
          <cell r="V25">
            <v>10000</v>
          </cell>
          <cell r="W25">
            <v>835.21444695259561</v>
          </cell>
          <cell r="Y25">
            <v>10835.214446952596</v>
          </cell>
          <cell r="Z25">
            <v>10835.214446952596</v>
          </cell>
          <cell r="AA25">
            <v>0</v>
          </cell>
        </row>
        <row r="28">
          <cell r="C28" t="str">
            <v>Engineering Expense per Employee</v>
          </cell>
        </row>
        <row r="31">
          <cell r="D31" t="str">
            <v>RF Engineering Expense per RF Head</v>
          </cell>
          <cell r="H31">
            <v>10311.111111111111</v>
          </cell>
          <cell r="I31">
            <v>10311.111111111111</v>
          </cell>
          <cell r="J31">
            <v>10311.111111111111</v>
          </cell>
          <cell r="K31">
            <v>10311.111111111111</v>
          </cell>
          <cell r="L31">
            <v>10311.111111111111</v>
          </cell>
          <cell r="M31">
            <v>10311.111111111111</v>
          </cell>
          <cell r="N31">
            <v>10311.111111111111</v>
          </cell>
          <cell r="O31">
            <v>10311.111111111111</v>
          </cell>
          <cell r="P31">
            <v>10311.111111111111</v>
          </cell>
          <cell r="Q31">
            <v>10311.111111111111</v>
          </cell>
          <cell r="R31">
            <v>10311.111111111111</v>
          </cell>
          <cell r="S31">
            <v>10311.111111111111</v>
          </cell>
          <cell r="U31">
            <v>10311.111111111111</v>
          </cell>
          <cell r="V31">
            <v>10311.111111111111</v>
          </cell>
          <cell r="W31">
            <v>0</v>
          </cell>
          <cell r="Y31">
            <v>10311.111111111111</v>
          </cell>
          <cell r="Z31">
            <v>10311.111111111111</v>
          </cell>
          <cell r="AA31">
            <v>0</v>
          </cell>
        </row>
        <row r="34">
          <cell r="D34" t="str">
            <v>MSO Engineering Expense per MSO Head</v>
          </cell>
          <cell r="H34">
            <v>29363.636363636364</v>
          </cell>
          <cell r="I34">
            <v>29363.636363636364</v>
          </cell>
          <cell r="J34">
            <v>29363.636363636364</v>
          </cell>
          <cell r="K34">
            <v>29363.636363636364</v>
          </cell>
          <cell r="L34">
            <v>29363.636363636364</v>
          </cell>
          <cell r="M34">
            <v>29363.636363636364</v>
          </cell>
          <cell r="N34">
            <v>29363.636363636364</v>
          </cell>
          <cell r="O34">
            <v>29363.636363636364</v>
          </cell>
          <cell r="P34">
            <v>29363.636363636364</v>
          </cell>
          <cell r="Q34">
            <v>29363.636363636364</v>
          </cell>
          <cell r="R34">
            <v>29363.636363636364</v>
          </cell>
          <cell r="S34">
            <v>29363.636363636364</v>
          </cell>
          <cell r="U34">
            <v>29363.636363636364</v>
          </cell>
          <cell r="V34">
            <v>29363.636363636364</v>
          </cell>
          <cell r="W34">
            <v>0</v>
          </cell>
          <cell r="Y34">
            <v>29363.636363636364</v>
          </cell>
          <cell r="Z34">
            <v>29363.636363636364</v>
          </cell>
          <cell r="AA34">
            <v>0</v>
          </cell>
        </row>
        <row r="35">
          <cell r="E35" t="str">
            <v>MSO Heads per Switch</v>
          </cell>
          <cell r="H35">
            <v>33</v>
          </cell>
          <cell r="I35">
            <v>33</v>
          </cell>
          <cell r="J35">
            <v>33</v>
          </cell>
          <cell r="K35">
            <v>33</v>
          </cell>
          <cell r="L35">
            <v>33</v>
          </cell>
          <cell r="M35">
            <v>33</v>
          </cell>
          <cell r="N35">
            <v>16.5</v>
          </cell>
          <cell r="O35">
            <v>16.5</v>
          </cell>
          <cell r="P35">
            <v>16.5</v>
          </cell>
          <cell r="Q35">
            <v>16.5</v>
          </cell>
          <cell r="R35">
            <v>16.5</v>
          </cell>
          <cell r="S35">
            <v>16.5</v>
          </cell>
          <cell r="U35">
            <v>16.5</v>
          </cell>
          <cell r="V35">
            <v>16.5</v>
          </cell>
          <cell r="W35">
            <v>0</v>
          </cell>
          <cell r="Y35">
            <v>16.5</v>
          </cell>
          <cell r="Z35">
            <v>16.5</v>
          </cell>
          <cell r="AA35">
            <v>0</v>
          </cell>
        </row>
        <row r="37">
          <cell r="D37" t="str">
            <v>Engineering Management Exp. per Eng. Mngmt. Head</v>
          </cell>
          <cell r="H37">
            <v>10666.666666666666</v>
          </cell>
          <cell r="I37">
            <v>10666.666666666666</v>
          </cell>
          <cell r="J37">
            <v>10666.666666666666</v>
          </cell>
          <cell r="K37">
            <v>10666.666666666666</v>
          </cell>
          <cell r="L37">
            <v>10666.666666666666</v>
          </cell>
          <cell r="M37">
            <v>10666.666666666666</v>
          </cell>
          <cell r="N37">
            <v>10666.666666666666</v>
          </cell>
          <cell r="O37">
            <v>10666.666666666666</v>
          </cell>
          <cell r="P37">
            <v>10666.666666666666</v>
          </cell>
          <cell r="Q37">
            <v>10666.666666666666</v>
          </cell>
          <cell r="R37">
            <v>10666.666666666666</v>
          </cell>
          <cell r="S37">
            <v>10666.666666666666</v>
          </cell>
          <cell r="U37">
            <v>10666.666666666666</v>
          </cell>
          <cell r="V37">
            <v>10666.666666666666</v>
          </cell>
          <cell r="W37">
            <v>0</v>
          </cell>
          <cell r="Y37">
            <v>10666.666666666666</v>
          </cell>
          <cell r="Z37">
            <v>10666.666666666666</v>
          </cell>
          <cell r="AA37">
            <v>0</v>
          </cell>
        </row>
        <row r="39">
          <cell r="D39" t="str">
            <v>Service &amp; Repair Expense per Service Head</v>
          </cell>
          <cell r="H39">
            <v>1500</v>
          </cell>
          <cell r="I39">
            <v>1500</v>
          </cell>
          <cell r="J39">
            <v>1500</v>
          </cell>
          <cell r="K39">
            <v>1500</v>
          </cell>
          <cell r="L39">
            <v>1500</v>
          </cell>
          <cell r="M39">
            <v>1500</v>
          </cell>
          <cell r="N39">
            <v>1500</v>
          </cell>
          <cell r="O39">
            <v>1500</v>
          </cell>
          <cell r="P39">
            <v>1500</v>
          </cell>
          <cell r="Q39">
            <v>1500</v>
          </cell>
          <cell r="R39">
            <v>1500</v>
          </cell>
          <cell r="S39">
            <v>1500</v>
          </cell>
          <cell r="U39">
            <v>1500</v>
          </cell>
          <cell r="V39">
            <v>1500</v>
          </cell>
          <cell r="W39">
            <v>0</v>
          </cell>
          <cell r="Y39">
            <v>1500</v>
          </cell>
          <cell r="Z39">
            <v>1500</v>
          </cell>
          <cell r="AA39">
            <v>0</v>
          </cell>
        </row>
        <row r="40">
          <cell r="E40" t="str">
            <v>Ending Units per Service &amp; Repair Head</v>
          </cell>
          <cell r="H40">
            <v>18701</v>
          </cell>
          <cell r="I40">
            <v>18701</v>
          </cell>
          <cell r="J40">
            <v>18701</v>
          </cell>
          <cell r="K40">
            <v>18701</v>
          </cell>
          <cell r="L40">
            <v>18701</v>
          </cell>
          <cell r="M40">
            <v>18701</v>
          </cell>
          <cell r="N40">
            <v>18701</v>
          </cell>
          <cell r="O40">
            <v>18701</v>
          </cell>
          <cell r="P40">
            <v>18701</v>
          </cell>
          <cell r="Q40">
            <v>18701</v>
          </cell>
          <cell r="R40">
            <v>18701</v>
          </cell>
          <cell r="S40">
            <v>18701</v>
          </cell>
          <cell r="U40">
            <v>18701</v>
          </cell>
          <cell r="V40">
            <v>18701</v>
          </cell>
          <cell r="W40">
            <v>0</v>
          </cell>
          <cell r="Y40">
            <v>18701</v>
          </cell>
          <cell r="Z40">
            <v>18701</v>
          </cell>
          <cell r="AA40">
            <v>0</v>
          </cell>
        </row>
        <row r="43">
          <cell r="D43" t="str">
            <v>Total Engineering Expense per Engineering Head</v>
          </cell>
          <cell r="H43">
            <v>17305.882352941175</v>
          </cell>
          <cell r="I43">
            <v>17305.882352941175</v>
          </cell>
          <cell r="J43">
            <v>17305.882352941175</v>
          </cell>
          <cell r="K43">
            <v>17305.882352941175</v>
          </cell>
          <cell r="L43">
            <v>17305.882352941175</v>
          </cell>
          <cell r="M43">
            <v>17305.882352941175</v>
          </cell>
          <cell r="N43">
            <v>17305.882352941175</v>
          </cell>
          <cell r="O43">
            <v>17305.882352941175</v>
          </cell>
          <cell r="P43">
            <v>17305.882352941175</v>
          </cell>
          <cell r="Q43">
            <v>17305.882352941175</v>
          </cell>
          <cell r="R43">
            <v>17305.882352941175</v>
          </cell>
          <cell r="S43">
            <v>17305.882352941175</v>
          </cell>
          <cell r="U43">
            <v>17305.882352941175</v>
          </cell>
          <cell r="V43">
            <v>17305.882352941175</v>
          </cell>
          <cell r="W43">
            <v>0</v>
          </cell>
          <cell r="Y43">
            <v>17305.882352941175</v>
          </cell>
          <cell r="Z43">
            <v>17305.882352941175</v>
          </cell>
          <cell r="AA43">
            <v>0</v>
          </cell>
        </row>
        <row r="44">
          <cell r="E44" t="str">
            <v>Total Sites on Air per Engineering Head</v>
          </cell>
          <cell r="H44">
            <v>1.9176470588235295</v>
          </cell>
          <cell r="I44">
            <v>1.9176470588235295</v>
          </cell>
          <cell r="J44">
            <v>1.9176470588235295</v>
          </cell>
          <cell r="K44">
            <v>1.9176470588235295</v>
          </cell>
          <cell r="L44">
            <v>1.9176470588235295</v>
          </cell>
          <cell r="M44">
            <v>1.9176470588235295</v>
          </cell>
          <cell r="N44">
            <v>1.9176470588235295</v>
          </cell>
          <cell r="O44">
            <v>1.9176470588235295</v>
          </cell>
          <cell r="P44">
            <v>1.9176470588235295</v>
          </cell>
          <cell r="Q44">
            <v>1.9176470588235295</v>
          </cell>
          <cell r="R44">
            <v>1.9176470588235295</v>
          </cell>
          <cell r="S44">
            <v>1.9176470588235295</v>
          </cell>
          <cell r="U44">
            <v>1.9176470588235295</v>
          </cell>
          <cell r="V44">
            <v>1.9176470588235295</v>
          </cell>
          <cell r="W44">
            <v>0</v>
          </cell>
          <cell r="Y44">
            <v>1.9176470588235295</v>
          </cell>
          <cell r="Z44">
            <v>1.9176470588235295</v>
          </cell>
          <cell r="AA44">
            <v>0</v>
          </cell>
        </row>
        <row r="47">
          <cell r="C47" t="str">
            <v>Customer Care &amp; Credit and Collections Expense per Employee</v>
          </cell>
        </row>
        <row r="50">
          <cell r="D50" t="str">
            <v>Customer Care Expense per Care Head</v>
          </cell>
          <cell r="H50">
            <v>5891.304347826087</v>
          </cell>
          <cell r="I50">
            <v>5891.304347826087</v>
          </cell>
          <cell r="J50">
            <v>5891.304347826087</v>
          </cell>
          <cell r="K50">
            <v>5891.304347826087</v>
          </cell>
          <cell r="L50">
            <v>5891.304347826087</v>
          </cell>
          <cell r="M50">
            <v>5891.304347826087</v>
          </cell>
          <cell r="N50">
            <v>5891.304347826087</v>
          </cell>
          <cell r="O50">
            <v>5891.304347826087</v>
          </cell>
          <cell r="P50">
            <v>5891.304347826087</v>
          </cell>
          <cell r="Q50">
            <v>5891.304347826087</v>
          </cell>
          <cell r="R50">
            <v>5891.304347826087</v>
          </cell>
          <cell r="S50">
            <v>5891.304347826087</v>
          </cell>
          <cell r="U50">
            <v>5891.304347826087</v>
          </cell>
          <cell r="V50">
            <v>5891.304347826087</v>
          </cell>
          <cell r="W50">
            <v>0</v>
          </cell>
          <cell r="Y50">
            <v>5891.304347826087</v>
          </cell>
          <cell r="Z50">
            <v>5891.304347826087</v>
          </cell>
          <cell r="AA50">
            <v>0</v>
          </cell>
        </row>
        <row r="51">
          <cell r="E51" t="str">
            <v>Ending Units per Care Head</v>
          </cell>
          <cell r="H51">
            <v>1626.1739130434783</v>
          </cell>
          <cell r="I51">
            <v>1626.1739130434783</v>
          </cell>
          <cell r="J51">
            <v>1626.1739130434783</v>
          </cell>
          <cell r="K51">
            <v>1626.1739130434783</v>
          </cell>
          <cell r="L51">
            <v>1626.1739130434783</v>
          </cell>
          <cell r="M51">
            <v>1626.1739130434783</v>
          </cell>
          <cell r="N51">
            <v>1626.1739130434783</v>
          </cell>
          <cell r="O51">
            <v>1626.1739130434783</v>
          </cell>
          <cell r="P51">
            <v>1626.1739130434783</v>
          </cell>
          <cell r="Q51">
            <v>1626.1739130434783</v>
          </cell>
          <cell r="R51">
            <v>1626.1739130434783</v>
          </cell>
          <cell r="S51">
            <v>1626.1739130434783</v>
          </cell>
          <cell r="U51">
            <v>1626.1739130434783</v>
          </cell>
          <cell r="V51">
            <v>1626.1739130434783</v>
          </cell>
          <cell r="W51">
            <v>0</v>
          </cell>
          <cell r="Y51">
            <v>1626.1739130434783</v>
          </cell>
          <cell r="Z51">
            <v>1626.1739130434783</v>
          </cell>
          <cell r="AA51">
            <v>0</v>
          </cell>
        </row>
        <row r="52">
          <cell r="E52" t="str">
            <v>Daily Calls Handled per Representative</v>
          </cell>
          <cell r="H52">
            <v>38.46153846153846</v>
          </cell>
          <cell r="I52">
            <v>38.46153846153846</v>
          </cell>
          <cell r="J52">
            <v>38.46153846153846</v>
          </cell>
          <cell r="K52">
            <v>38.46153846153846</v>
          </cell>
          <cell r="L52">
            <v>38.46153846153846</v>
          </cell>
          <cell r="M52">
            <v>38.46153846153846</v>
          </cell>
          <cell r="N52">
            <v>38.46153846153846</v>
          </cell>
          <cell r="O52">
            <v>38.46153846153846</v>
          </cell>
          <cell r="P52">
            <v>38.46153846153846</v>
          </cell>
          <cell r="Q52">
            <v>38.46153846153846</v>
          </cell>
          <cell r="R52">
            <v>38.46153846153846</v>
          </cell>
          <cell r="S52">
            <v>38.46153846153846</v>
          </cell>
          <cell r="U52">
            <v>38.46153846153846</v>
          </cell>
          <cell r="V52">
            <v>38.46153846153846</v>
          </cell>
          <cell r="W52">
            <v>0</v>
          </cell>
          <cell r="Y52">
            <v>38.46153846153846</v>
          </cell>
          <cell r="Z52">
            <v>38.46153846153846</v>
          </cell>
          <cell r="AA52">
            <v>0</v>
          </cell>
        </row>
        <row r="54">
          <cell r="D54" t="str">
            <v>Collections Expense (Excl. Bad Debt) per Collections Head</v>
          </cell>
          <cell r="H54">
            <v>15200</v>
          </cell>
          <cell r="I54">
            <v>15200</v>
          </cell>
          <cell r="J54">
            <v>15200</v>
          </cell>
          <cell r="K54">
            <v>15200</v>
          </cell>
          <cell r="L54">
            <v>15200</v>
          </cell>
          <cell r="M54">
            <v>15200</v>
          </cell>
          <cell r="N54">
            <v>15200</v>
          </cell>
          <cell r="O54">
            <v>15200</v>
          </cell>
          <cell r="P54">
            <v>15200</v>
          </cell>
          <cell r="Q54">
            <v>15200</v>
          </cell>
          <cell r="R54">
            <v>15200</v>
          </cell>
          <cell r="S54">
            <v>15200</v>
          </cell>
          <cell r="U54">
            <v>15200</v>
          </cell>
          <cell r="V54">
            <v>15200</v>
          </cell>
          <cell r="W54">
            <v>0</v>
          </cell>
          <cell r="Y54">
            <v>15200</v>
          </cell>
          <cell r="Z54">
            <v>15200</v>
          </cell>
          <cell r="AA54">
            <v>0</v>
          </cell>
        </row>
        <row r="55">
          <cell r="E55" t="str">
            <v>Ending Subscribers per Collections Head</v>
          </cell>
          <cell r="H55">
            <v>4986.9333333333334</v>
          </cell>
          <cell r="I55">
            <v>4986.9333333333334</v>
          </cell>
          <cell r="J55">
            <v>4986.9333333333334</v>
          </cell>
          <cell r="K55">
            <v>4986.9333333333334</v>
          </cell>
          <cell r="L55">
            <v>4986.9333333333334</v>
          </cell>
          <cell r="M55">
            <v>4986.9333333333334</v>
          </cell>
          <cell r="N55">
            <v>4986.9333333333334</v>
          </cell>
          <cell r="O55">
            <v>4986.9333333333334</v>
          </cell>
          <cell r="P55">
            <v>4986.9333333333334</v>
          </cell>
          <cell r="Q55">
            <v>4986.9333333333334</v>
          </cell>
          <cell r="R55">
            <v>4986.9333333333334</v>
          </cell>
          <cell r="S55">
            <v>4986.9333333333334</v>
          </cell>
          <cell r="U55">
            <v>4986.9333333333334</v>
          </cell>
          <cell r="V55">
            <v>4986.9333333333334</v>
          </cell>
          <cell r="W55">
            <v>0</v>
          </cell>
          <cell r="Y55">
            <v>4986.9333333333334</v>
          </cell>
          <cell r="Z55">
            <v>4986.9333333333334</v>
          </cell>
          <cell r="AA55">
            <v>0</v>
          </cell>
        </row>
        <row r="56">
          <cell r="E56" t="str">
            <v>Customers per Collections Head</v>
          </cell>
          <cell r="H56">
            <v>2666.6666666666665</v>
          </cell>
          <cell r="I56">
            <v>2666.6666666666665</v>
          </cell>
          <cell r="J56">
            <v>2666.6666666666665</v>
          </cell>
          <cell r="K56">
            <v>2666.6666666666665</v>
          </cell>
          <cell r="L56">
            <v>2666.6666666666665</v>
          </cell>
          <cell r="M56">
            <v>2666.6666666666665</v>
          </cell>
          <cell r="N56">
            <v>2666.6666666666665</v>
          </cell>
          <cell r="O56">
            <v>2666.6666666666665</v>
          </cell>
          <cell r="P56">
            <v>2666.6666666666665</v>
          </cell>
          <cell r="Q56">
            <v>2666.6666666666665</v>
          </cell>
          <cell r="R56">
            <v>2666.6666666666665</v>
          </cell>
          <cell r="S56">
            <v>2666.6666666666665</v>
          </cell>
          <cell r="U56">
            <v>2666.6666666666665</v>
          </cell>
          <cell r="V56">
            <v>2666.6666666666665</v>
          </cell>
          <cell r="W56">
            <v>0</v>
          </cell>
          <cell r="Y56">
            <v>2666.6666666666665</v>
          </cell>
          <cell r="Z56">
            <v>2666.6666666666665</v>
          </cell>
          <cell r="AA56">
            <v>0</v>
          </cell>
        </row>
        <row r="58">
          <cell r="D58" t="str">
            <v>Credit Expense (Excl. Bad Debt) per Credit Head</v>
          </cell>
          <cell r="H58">
            <v>15200</v>
          </cell>
          <cell r="I58">
            <v>15200</v>
          </cell>
          <cell r="J58">
            <v>15200</v>
          </cell>
          <cell r="K58">
            <v>15200</v>
          </cell>
          <cell r="L58">
            <v>15200</v>
          </cell>
          <cell r="M58">
            <v>15200</v>
          </cell>
          <cell r="N58">
            <v>15200</v>
          </cell>
          <cell r="O58">
            <v>15200</v>
          </cell>
          <cell r="P58">
            <v>15200</v>
          </cell>
          <cell r="Q58">
            <v>15200</v>
          </cell>
          <cell r="R58">
            <v>15200</v>
          </cell>
          <cell r="S58">
            <v>15200</v>
          </cell>
          <cell r="U58">
            <v>15200</v>
          </cell>
          <cell r="V58">
            <v>15200</v>
          </cell>
          <cell r="W58">
            <v>0</v>
          </cell>
          <cell r="Y58">
            <v>15200</v>
          </cell>
          <cell r="Z58">
            <v>15200</v>
          </cell>
          <cell r="AA58">
            <v>0</v>
          </cell>
        </row>
        <row r="59">
          <cell r="E59" t="str">
            <v>Customers per Credit Head</v>
          </cell>
          <cell r="H59">
            <v>2666.6666666666665</v>
          </cell>
          <cell r="I59">
            <v>2666.6666666666665</v>
          </cell>
          <cell r="J59">
            <v>2666.6666666666665</v>
          </cell>
          <cell r="K59">
            <v>2666.6666666666665</v>
          </cell>
          <cell r="L59">
            <v>2666.6666666666665</v>
          </cell>
          <cell r="M59">
            <v>2666.6666666666665</v>
          </cell>
          <cell r="N59">
            <v>2666.6666666666665</v>
          </cell>
          <cell r="O59">
            <v>2666.6666666666665</v>
          </cell>
          <cell r="P59">
            <v>2666.6666666666665</v>
          </cell>
          <cell r="Q59">
            <v>2666.6666666666665</v>
          </cell>
          <cell r="R59">
            <v>2666.6666666666665</v>
          </cell>
          <cell r="S59">
            <v>2666.6666666666665</v>
          </cell>
          <cell r="U59">
            <v>2666.6666666666665</v>
          </cell>
          <cell r="V59">
            <v>2666.6666666666665</v>
          </cell>
          <cell r="W59">
            <v>0</v>
          </cell>
          <cell r="Y59">
            <v>2666.6666666666665</v>
          </cell>
          <cell r="Z59">
            <v>2666.6666666666665</v>
          </cell>
          <cell r="AA59">
            <v>0</v>
          </cell>
        </row>
        <row r="62">
          <cell r="D62" t="str">
            <v>Total Customer Care &amp; Credit and Collections Exp. per Head</v>
          </cell>
          <cell r="H62">
            <v>8180.3278688524588</v>
          </cell>
          <cell r="I62">
            <v>8180.3278688524588</v>
          </cell>
          <cell r="J62">
            <v>8180.3278688524588</v>
          </cell>
          <cell r="K62">
            <v>8180.3278688524588</v>
          </cell>
          <cell r="L62">
            <v>8180.3278688524588</v>
          </cell>
          <cell r="M62">
            <v>8180.3278688524588</v>
          </cell>
          <cell r="N62">
            <v>8180.3278688524588</v>
          </cell>
          <cell r="O62">
            <v>8180.3278688524588</v>
          </cell>
          <cell r="P62">
            <v>8180.3278688524588</v>
          </cell>
          <cell r="Q62">
            <v>8180.3278688524588</v>
          </cell>
          <cell r="R62">
            <v>8180.3278688524588</v>
          </cell>
          <cell r="S62">
            <v>8180.3278688524588</v>
          </cell>
          <cell r="U62">
            <v>8180.3278688524588</v>
          </cell>
          <cell r="V62">
            <v>8180.3278688524588</v>
          </cell>
          <cell r="W62">
            <v>0</v>
          </cell>
          <cell r="Y62">
            <v>8180.3278688524588</v>
          </cell>
          <cell r="Z62">
            <v>8180.3278688524588</v>
          </cell>
          <cell r="AA62">
            <v>0</v>
          </cell>
        </row>
        <row r="65">
          <cell r="C65" t="str">
            <v>Information Technology Expense per Employee</v>
          </cell>
        </row>
        <row r="68">
          <cell r="D68" t="str">
            <v>IT Expense per IT Head</v>
          </cell>
          <cell r="H68">
            <v>8800</v>
          </cell>
          <cell r="I68">
            <v>8800</v>
          </cell>
          <cell r="J68">
            <v>8800</v>
          </cell>
          <cell r="K68">
            <v>8800</v>
          </cell>
          <cell r="L68">
            <v>8800</v>
          </cell>
          <cell r="M68">
            <v>8800</v>
          </cell>
          <cell r="N68">
            <v>8800</v>
          </cell>
          <cell r="O68">
            <v>8800</v>
          </cell>
          <cell r="P68">
            <v>8800</v>
          </cell>
          <cell r="Q68">
            <v>8800</v>
          </cell>
          <cell r="R68">
            <v>8800</v>
          </cell>
          <cell r="S68">
            <v>8800</v>
          </cell>
          <cell r="U68">
            <v>8800</v>
          </cell>
          <cell r="V68">
            <v>8800</v>
          </cell>
          <cell r="W68">
            <v>0</v>
          </cell>
          <cell r="Y68">
            <v>8800</v>
          </cell>
          <cell r="Z68">
            <v>8800</v>
          </cell>
          <cell r="AA68">
            <v>0</v>
          </cell>
        </row>
        <row r="69">
          <cell r="E69" t="str">
            <v>Total Headcount per IT Head</v>
          </cell>
          <cell r="H69">
            <v>17.72</v>
          </cell>
          <cell r="I69">
            <v>17.72</v>
          </cell>
          <cell r="J69">
            <v>17.72</v>
          </cell>
          <cell r="K69">
            <v>17.72</v>
          </cell>
          <cell r="L69">
            <v>17.72</v>
          </cell>
          <cell r="M69">
            <v>17.72</v>
          </cell>
          <cell r="N69">
            <v>17.72</v>
          </cell>
          <cell r="O69">
            <v>17.72</v>
          </cell>
          <cell r="P69">
            <v>17.72</v>
          </cell>
          <cell r="Q69">
            <v>17.72</v>
          </cell>
          <cell r="R69">
            <v>17.72</v>
          </cell>
          <cell r="S69">
            <v>17.72</v>
          </cell>
          <cell r="U69">
            <v>17.72</v>
          </cell>
          <cell r="V69">
            <v>17.72</v>
          </cell>
          <cell r="W69">
            <v>0</v>
          </cell>
          <cell r="Y69">
            <v>17.72</v>
          </cell>
          <cell r="Z69">
            <v>17.72</v>
          </cell>
          <cell r="AA69">
            <v>0</v>
          </cell>
        </row>
        <row r="72">
          <cell r="C72" t="str">
            <v>Billing Operations Expense per Employee</v>
          </cell>
        </row>
        <row r="75">
          <cell r="D75" t="str">
            <v>Billing Expense per Billing Head</v>
          </cell>
          <cell r="H75">
            <v>15000</v>
          </cell>
          <cell r="I75">
            <v>15000</v>
          </cell>
          <cell r="J75">
            <v>15000</v>
          </cell>
          <cell r="K75">
            <v>15000</v>
          </cell>
          <cell r="L75">
            <v>15000</v>
          </cell>
          <cell r="M75">
            <v>15000</v>
          </cell>
          <cell r="N75">
            <v>15000</v>
          </cell>
          <cell r="O75">
            <v>15000</v>
          </cell>
          <cell r="P75">
            <v>15000</v>
          </cell>
          <cell r="Q75">
            <v>15000</v>
          </cell>
          <cell r="R75">
            <v>15000</v>
          </cell>
          <cell r="S75">
            <v>15000</v>
          </cell>
          <cell r="U75">
            <v>15000</v>
          </cell>
          <cell r="V75">
            <v>15000</v>
          </cell>
          <cell r="W75">
            <v>0</v>
          </cell>
          <cell r="Y75">
            <v>15000</v>
          </cell>
          <cell r="Z75">
            <v>15000</v>
          </cell>
          <cell r="AA75">
            <v>0</v>
          </cell>
        </row>
        <row r="78">
          <cell r="C78" t="str">
            <v>G&amp;A Expense per Employee</v>
          </cell>
        </row>
        <row r="81">
          <cell r="D81" t="str">
            <v>General and Administrative Expense per G&amp;A Head</v>
          </cell>
          <cell r="H81">
            <v>13203.125</v>
          </cell>
          <cell r="I81">
            <v>13203.125</v>
          </cell>
          <cell r="J81">
            <v>13203.125</v>
          </cell>
          <cell r="K81">
            <v>13203.125</v>
          </cell>
          <cell r="L81">
            <v>13203.125</v>
          </cell>
          <cell r="M81">
            <v>13203.125</v>
          </cell>
          <cell r="N81">
            <v>13203.125</v>
          </cell>
          <cell r="O81">
            <v>13203.125</v>
          </cell>
          <cell r="P81">
            <v>13203.125</v>
          </cell>
          <cell r="Q81">
            <v>13203.125</v>
          </cell>
          <cell r="R81">
            <v>13203.125</v>
          </cell>
          <cell r="S81">
            <v>13203.125</v>
          </cell>
          <cell r="U81">
            <v>13203.125</v>
          </cell>
          <cell r="V81">
            <v>13203.125</v>
          </cell>
          <cell r="W81">
            <v>0</v>
          </cell>
          <cell r="Y81">
            <v>13203.125</v>
          </cell>
          <cell r="Z81">
            <v>13203.125</v>
          </cell>
          <cell r="AA81">
            <v>0</v>
          </cell>
        </row>
        <row r="82">
          <cell r="E82" t="str">
            <v>Total Headcount per G&amp;A Head</v>
          </cell>
          <cell r="H82">
            <v>6.921875</v>
          </cell>
          <cell r="I82">
            <v>6.921875</v>
          </cell>
          <cell r="J82">
            <v>6.921875</v>
          </cell>
          <cell r="K82">
            <v>6.921875</v>
          </cell>
          <cell r="L82">
            <v>6.921875</v>
          </cell>
          <cell r="M82">
            <v>6.921875</v>
          </cell>
          <cell r="N82">
            <v>6.921875</v>
          </cell>
          <cell r="O82">
            <v>6.921875</v>
          </cell>
          <cell r="P82">
            <v>6.921875</v>
          </cell>
          <cell r="Q82">
            <v>6.921875</v>
          </cell>
          <cell r="R82">
            <v>6.921875</v>
          </cell>
          <cell r="S82">
            <v>6.921875</v>
          </cell>
          <cell r="U82">
            <v>6.921875</v>
          </cell>
          <cell r="V82">
            <v>6.921875</v>
          </cell>
          <cell r="W82">
            <v>0</v>
          </cell>
          <cell r="Y82">
            <v>6.921875</v>
          </cell>
          <cell r="Z82">
            <v>6.921875</v>
          </cell>
          <cell r="AA82">
            <v>0</v>
          </cell>
        </row>
        <row r="85">
          <cell r="C85" t="str">
            <v>Mktg., Sales &amp; Fulfillment Expense per Employee</v>
          </cell>
        </row>
        <row r="88">
          <cell r="D88" t="str">
            <v>Marketing Expense per Mktg. Head</v>
          </cell>
          <cell r="H88">
            <v>65666.666666666672</v>
          </cell>
          <cell r="I88">
            <v>65666.666666666672</v>
          </cell>
          <cell r="J88">
            <v>65666.666666666672</v>
          </cell>
          <cell r="K88">
            <v>65666.666666666672</v>
          </cell>
          <cell r="L88">
            <v>65666.666666666672</v>
          </cell>
          <cell r="M88">
            <v>65666.666666666672</v>
          </cell>
          <cell r="N88">
            <v>65666.666666666672</v>
          </cell>
          <cell r="O88">
            <v>65666.666666666672</v>
          </cell>
          <cell r="P88">
            <v>65666.666666666672</v>
          </cell>
          <cell r="Q88">
            <v>65666.666666666672</v>
          </cell>
          <cell r="R88">
            <v>65666.666666666672</v>
          </cell>
          <cell r="S88">
            <v>65666.666666666672</v>
          </cell>
          <cell r="U88">
            <v>65666.666666666672</v>
          </cell>
          <cell r="V88">
            <v>65666.666666666672</v>
          </cell>
          <cell r="W88">
            <v>0</v>
          </cell>
          <cell r="Y88">
            <v>65666.666666666672</v>
          </cell>
          <cell r="Z88">
            <v>65666.666666666672</v>
          </cell>
          <cell r="AA88">
            <v>0</v>
          </cell>
        </row>
        <row r="90">
          <cell r="D90" t="str">
            <v>Sales Expense per Sales Head</v>
          </cell>
          <cell r="H90">
            <v>17234.567901234564</v>
          </cell>
          <cell r="I90">
            <v>17234.567901234564</v>
          </cell>
          <cell r="J90">
            <v>17234.567901234564</v>
          </cell>
          <cell r="K90">
            <v>17234.567901234564</v>
          </cell>
          <cell r="L90">
            <v>17234.567901234564</v>
          </cell>
          <cell r="M90">
            <v>17234.567901234564</v>
          </cell>
          <cell r="N90">
            <v>17234.567901234564</v>
          </cell>
          <cell r="O90">
            <v>17234.567901234564</v>
          </cell>
          <cell r="P90">
            <v>17234.567901234564</v>
          </cell>
          <cell r="Q90">
            <v>17234.567901234564</v>
          </cell>
          <cell r="R90">
            <v>17234.567901234564</v>
          </cell>
          <cell r="S90">
            <v>17234.567901234564</v>
          </cell>
          <cell r="U90">
            <v>17234.567901234564</v>
          </cell>
          <cell r="V90">
            <v>17234.567901234564</v>
          </cell>
          <cell r="W90">
            <v>0</v>
          </cell>
          <cell r="Y90">
            <v>17234.567901234564</v>
          </cell>
          <cell r="Z90">
            <v>17234.567901234564</v>
          </cell>
          <cell r="AA90">
            <v>0</v>
          </cell>
        </row>
        <row r="91">
          <cell r="E91" t="str">
            <v>Direct Sales Representatives per Support Head</v>
          </cell>
          <cell r="H91">
            <v>5.6818181818181817</v>
          </cell>
          <cell r="I91">
            <v>5.6818181818181817</v>
          </cell>
          <cell r="J91">
            <v>5.6818181818181817</v>
          </cell>
          <cell r="K91">
            <v>5.6818181818181817</v>
          </cell>
          <cell r="L91">
            <v>5.6818181818181817</v>
          </cell>
          <cell r="M91">
            <v>5.6818181818181817</v>
          </cell>
          <cell r="N91">
            <v>5.6818181818181817</v>
          </cell>
          <cell r="O91">
            <v>5.6818181818181817</v>
          </cell>
          <cell r="P91">
            <v>5.6818181818181817</v>
          </cell>
          <cell r="Q91">
            <v>5.6818181818181817</v>
          </cell>
          <cell r="R91">
            <v>5.6818181818181817</v>
          </cell>
          <cell r="S91">
            <v>5.6818181818181817</v>
          </cell>
          <cell r="U91">
            <v>5.6818181818181817</v>
          </cell>
          <cell r="V91">
            <v>5.6818181818181817</v>
          </cell>
          <cell r="W91">
            <v>0</v>
          </cell>
          <cell r="Y91">
            <v>5.6818181818181817</v>
          </cell>
          <cell r="Z91">
            <v>5.6818181818181817</v>
          </cell>
          <cell r="AA91">
            <v>0</v>
          </cell>
        </row>
        <row r="92">
          <cell r="E92" t="str">
            <v>Indirect Sales Representatives per Support Head</v>
          </cell>
          <cell r="H92">
            <v>4</v>
          </cell>
          <cell r="I92">
            <v>4</v>
          </cell>
          <cell r="J92">
            <v>4</v>
          </cell>
          <cell r="K92">
            <v>4</v>
          </cell>
          <cell r="L92">
            <v>4</v>
          </cell>
          <cell r="M92">
            <v>4</v>
          </cell>
          <cell r="N92">
            <v>4</v>
          </cell>
          <cell r="O92">
            <v>4</v>
          </cell>
          <cell r="P92">
            <v>4</v>
          </cell>
          <cell r="Q92">
            <v>4</v>
          </cell>
          <cell r="R92">
            <v>4</v>
          </cell>
          <cell r="S92">
            <v>4</v>
          </cell>
          <cell r="U92">
            <v>4</v>
          </cell>
          <cell r="V92">
            <v>4</v>
          </cell>
          <cell r="W92">
            <v>0</v>
          </cell>
          <cell r="Y92">
            <v>4</v>
          </cell>
          <cell r="Z92">
            <v>4</v>
          </cell>
          <cell r="AA92">
            <v>0</v>
          </cell>
        </row>
        <row r="93">
          <cell r="E93" t="str">
            <v>Sales Productivity per Representative</v>
          </cell>
        </row>
        <row r="94">
          <cell r="E94" t="str">
            <v>Direct</v>
          </cell>
          <cell r="H94">
            <v>32</v>
          </cell>
          <cell r="I94">
            <v>32</v>
          </cell>
          <cell r="J94">
            <v>32</v>
          </cell>
          <cell r="K94">
            <v>32</v>
          </cell>
          <cell r="L94">
            <v>32</v>
          </cell>
          <cell r="M94">
            <v>32</v>
          </cell>
          <cell r="N94">
            <v>32</v>
          </cell>
          <cell r="O94">
            <v>32</v>
          </cell>
          <cell r="P94">
            <v>32</v>
          </cell>
          <cell r="Q94">
            <v>32</v>
          </cell>
          <cell r="R94">
            <v>32</v>
          </cell>
          <cell r="S94">
            <v>32</v>
          </cell>
          <cell r="U94">
            <v>32</v>
          </cell>
          <cell r="V94">
            <v>32</v>
          </cell>
          <cell r="W94">
            <v>0</v>
          </cell>
          <cell r="Y94">
            <v>32</v>
          </cell>
          <cell r="Z94">
            <v>32</v>
          </cell>
          <cell r="AA94">
            <v>0</v>
          </cell>
        </row>
        <row r="95">
          <cell r="E95" t="str">
            <v>Indirect</v>
          </cell>
          <cell r="H95">
            <v>110</v>
          </cell>
          <cell r="I95">
            <v>110</v>
          </cell>
          <cell r="J95">
            <v>110</v>
          </cell>
          <cell r="K95">
            <v>110</v>
          </cell>
          <cell r="L95">
            <v>110</v>
          </cell>
          <cell r="M95">
            <v>110</v>
          </cell>
          <cell r="N95">
            <v>110</v>
          </cell>
          <cell r="O95">
            <v>110</v>
          </cell>
          <cell r="P95">
            <v>110</v>
          </cell>
          <cell r="Q95">
            <v>110</v>
          </cell>
          <cell r="R95">
            <v>110</v>
          </cell>
          <cell r="S95">
            <v>110</v>
          </cell>
          <cell r="U95">
            <v>110</v>
          </cell>
          <cell r="V95">
            <v>110</v>
          </cell>
          <cell r="W95">
            <v>0</v>
          </cell>
          <cell r="Y95">
            <v>110</v>
          </cell>
          <cell r="Z95">
            <v>110</v>
          </cell>
          <cell r="AA95">
            <v>0</v>
          </cell>
        </row>
        <row r="97">
          <cell r="E97" t="str">
            <v>Direct Commissions per Direct Rep.</v>
          </cell>
          <cell r="H97">
            <v>2000</v>
          </cell>
          <cell r="I97">
            <v>2000</v>
          </cell>
          <cell r="J97">
            <v>2000</v>
          </cell>
          <cell r="K97">
            <v>2000</v>
          </cell>
          <cell r="L97">
            <v>2000</v>
          </cell>
          <cell r="M97">
            <v>2000</v>
          </cell>
          <cell r="N97">
            <v>2000</v>
          </cell>
          <cell r="O97">
            <v>2000</v>
          </cell>
          <cell r="P97">
            <v>2000</v>
          </cell>
          <cell r="Q97">
            <v>2000</v>
          </cell>
          <cell r="R97">
            <v>2000</v>
          </cell>
          <cell r="S97">
            <v>2000</v>
          </cell>
          <cell r="U97">
            <v>2000</v>
          </cell>
          <cell r="V97">
            <v>2000</v>
          </cell>
          <cell r="W97">
            <v>0</v>
          </cell>
          <cell r="Y97">
            <v>2000</v>
          </cell>
          <cell r="Z97">
            <v>2000</v>
          </cell>
          <cell r="AA97">
            <v>0</v>
          </cell>
        </row>
        <row r="98">
          <cell r="E98" t="str">
            <v>Indirect Commissions per Indirect Rep.</v>
          </cell>
          <cell r="H98">
            <v>25000</v>
          </cell>
          <cell r="I98">
            <v>25000</v>
          </cell>
          <cell r="J98">
            <v>25000</v>
          </cell>
          <cell r="K98">
            <v>25000</v>
          </cell>
          <cell r="L98">
            <v>25000</v>
          </cell>
          <cell r="M98">
            <v>25000</v>
          </cell>
          <cell r="N98">
            <v>25000</v>
          </cell>
          <cell r="O98">
            <v>25000</v>
          </cell>
          <cell r="P98">
            <v>25000</v>
          </cell>
          <cell r="Q98">
            <v>25000</v>
          </cell>
          <cell r="R98">
            <v>25000</v>
          </cell>
          <cell r="S98">
            <v>25000</v>
          </cell>
          <cell r="U98">
            <v>25000</v>
          </cell>
          <cell r="V98">
            <v>25000</v>
          </cell>
          <cell r="W98">
            <v>0</v>
          </cell>
          <cell r="Y98">
            <v>25000</v>
          </cell>
          <cell r="Z98">
            <v>25000</v>
          </cell>
          <cell r="AA98">
            <v>0</v>
          </cell>
        </row>
        <row r="100">
          <cell r="D100" t="str">
            <v>Fulfillment Expense per Fulfillment Head</v>
          </cell>
          <cell r="H100">
            <v>2529.4117647058824</v>
          </cell>
          <cell r="I100">
            <v>2529.4117647058824</v>
          </cell>
          <cell r="J100">
            <v>2529.4117647058824</v>
          </cell>
          <cell r="K100">
            <v>2529.4117647058824</v>
          </cell>
          <cell r="L100">
            <v>2529.4117647058824</v>
          </cell>
          <cell r="M100">
            <v>2529.4117647058824</v>
          </cell>
          <cell r="N100">
            <v>2529.4117647058824</v>
          </cell>
          <cell r="O100">
            <v>2529.4117647058824</v>
          </cell>
          <cell r="P100">
            <v>2529.4117647058824</v>
          </cell>
          <cell r="Q100">
            <v>2529.4117647058824</v>
          </cell>
          <cell r="R100">
            <v>2529.4117647058824</v>
          </cell>
          <cell r="S100">
            <v>2529.4117647058824</v>
          </cell>
          <cell r="U100">
            <v>2529.4117647058824</v>
          </cell>
          <cell r="V100">
            <v>2529.4117647058824</v>
          </cell>
          <cell r="W100">
            <v>0</v>
          </cell>
          <cell r="Y100">
            <v>2529.4117647058824</v>
          </cell>
          <cell r="Z100">
            <v>2529.4117647058824</v>
          </cell>
          <cell r="AA100">
            <v>0</v>
          </cell>
        </row>
        <row r="101">
          <cell r="E101" t="str">
            <v>Gross Adds per Fulfillment Head</v>
          </cell>
          <cell r="H101">
            <v>352.94117647058823</v>
          </cell>
          <cell r="I101">
            <v>352.94117647058823</v>
          </cell>
          <cell r="J101">
            <v>352.94117647058823</v>
          </cell>
          <cell r="K101">
            <v>352.94117647058823</v>
          </cell>
          <cell r="L101">
            <v>352.94117647058823</v>
          </cell>
          <cell r="M101">
            <v>352.94117647058823</v>
          </cell>
          <cell r="N101">
            <v>352.94117647058823</v>
          </cell>
          <cell r="O101">
            <v>352.94117647058823</v>
          </cell>
          <cell r="P101">
            <v>352.94117647058823</v>
          </cell>
          <cell r="Q101">
            <v>352.94117647058823</v>
          </cell>
          <cell r="R101">
            <v>352.94117647058823</v>
          </cell>
          <cell r="S101">
            <v>352.94117647058823</v>
          </cell>
          <cell r="U101">
            <v>352.94117647058823</v>
          </cell>
          <cell r="V101">
            <v>352.94117647058823</v>
          </cell>
          <cell r="W101">
            <v>0</v>
          </cell>
          <cell r="Y101">
            <v>352.94117647058823</v>
          </cell>
          <cell r="Z101">
            <v>352.94117647058823</v>
          </cell>
          <cell r="AA101">
            <v>0</v>
          </cell>
        </row>
        <row r="104">
          <cell r="D104" t="str">
            <v>Total Mktg., Sales &amp; Fulfillment Exp. per Head</v>
          </cell>
          <cell r="H104">
            <v>22629</v>
          </cell>
          <cell r="I104">
            <v>22629</v>
          </cell>
          <cell r="J104">
            <v>22629</v>
          </cell>
          <cell r="K104">
            <v>22629</v>
          </cell>
          <cell r="L104">
            <v>22629</v>
          </cell>
          <cell r="M104">
            <v>22629</v>
          </cell>
          <cell r="N104">
            <v>22629</v>
          </cell>
          <cell r="O104">
            <v>22629</v>
          </cell>
          <cell r="P104">
            <v>22629</v>
          </cell>
          <cell r="Q104">
            <v>22629</v>
          </cell>
          <cell r="R104">
            <v>22629</v>
          </cell>
          <cell r="S104">
            <v>22629</v>
          </cell>
          <cell r="U104">
            <v>22629</v>
          </cell>
          <cell r="V104">
            <v>22629</v>
          </cell>
          <cell r="W104">
            <v>0</v>
          </cell>
          <cell r="Y104">
            <v>22629</v>
          </cell>
          <cell r="Z104">
            <v>22629</v>
          </cell>
          <cell r="AA104">
            <v>0</v>
          </cell>
        </row>
        <row r="107">
          <cell r="C107" t="str">
            <v>Total Payroll Expense per Employee</v>
          </cell>
        </row>
        <row r="110">
          <cell r="D110" t="str">
            <v>Total Payroll Exp. (Excl. Comm.) per Employee</v>
          </cell>
          <cell r="H110">
            <v>45889</v>
          </cell>
          <cell r="I110">
            <v>45889</v>
          </cell>
          <cell r="J110">
            <v>45889</v>
          </cell>
          <cell r="K110">
            <v>45889</v>
          </cell>
          <cell r="L110">
            <v>45889</v>
          </cell>
          <cell r="M110">
            <v>45889</v>
          </cell>
          <cell r="N110">
            <v>45889</v>
          </cell>
          <cell r="O110">
            <v>45889</v>
          </cell>
          <cell r="P110">
            <v>45889</v>
          </cell>
          <cell r="Q110">
            <v>45889</v>
          </cell>
          <cell r="R110">
            <v>45889</v>
          </cell>
          <cell r="S110">
            <v>45889</v>
          </cell>
          <cell r="U110">
            <v>45889</v>
          </cell>
          <cell r="V110">
            <v>45889</v>
          </cell>
          <cell r="W110">
            <v>0</v>
          </cell>
          <cell r="Y110">
            <v>45889</v>
          </cell>
          <cell r="Z110">
            <v>45889</v>
          </cell>
          <cell r="AA110">
            <v>0</v>
          </cell>
        </row>
        <row r="113">
          <cell r="C113" t="str">
            <v>Headcount Turnover</v>
          </cell>
        </row>
        <row r="116">
          <cell r="D116" t="str">
            <v>Voluntary Headcount Turnover</v>
          </cell>
          <cell r="H116">
            <v>0.03</v>
          </cell>
          <cell r="I116">
            <v>0.03</v>
          </cell>
          <cell r="J116">
            <v>0.03</v>
          </cell>
          <cell r="K116">
            <v>0.03</v>
          </cell>
          <cell r="L116">
            <v>0.03</v>
          </cell>
          <cell r="M116">
            <v>0.03</v>
          </cell>
          <cell r="N116">
            <v>0.03</v>
          </cell>
          <cell r="O116">
            <v>0.03</v>
          </cell>
          <cell r="P116">
            <v>0.03</v>
          </cell>
          <cell r="Q116">
            <v>0.03</v>
          </cell>
          <cell r="R116">
            <v>0.03</v>
          </cell>
          <cell r="S116">
            <v>0.03</v>
          </cell>
          <cell r="U116">
            <v>0.03</v>
          </cell>
          <cell r="V116">
            <v>0.03</v>
          </cell>
          <cell r="W116">
            <v>0</v>
          </cell>
          <cell r="Y116">
            <v>0.03</v>
          </cell>
          <cell r="Z116">
            <v>0.03</v>
          </cell>
          <cell r="AA116">
            <v>0</v>
          </cell>
        </row>
        <row r="118">
          <cell r="D118" t="str">
            <v>Involuntary Headcount Turnover</v>
          </cell>
          <cell r="H118">
            <v>1.4999999999999999E-2</v>
          </cell>
          <cell r="I118">
            <v>1.4999999999999999E-2</v>
          </cell>
          <cell r="J118">
            <v>1.4999999999999999E-2</v>
          </cell>
          <cell r="K118">
            <v>1.4999999999999999E-2</v>
          </cell>
          <cell r="L118">
            <v>1.4999999999999999E-2</v>
          </cell>
          <cell r="M118">
            <v>1.4999999999999999E-2</v>
          </cell>
          <cell r="N118">
            <v>1.4999999999999999E-2</v>
          </cell>
          <cell r="O118">
            <v>1.4999999999999999E-2</v>
          </cell>
          <cell r="P118">
            <v>1.4999999999999999E-2</v>
          </cell>
          <cell r="Q118">
            <v>1.4999999999999999E-2</v>
          </cell>
          <cell r="R118">
            <v>1.4999999999999999E-2</v>
          </cell>
          <cell r="S118">
            <v>1.4999999999999999E-2</v>
          </cell>
          <cell r="U118">
            <v>1.4999999999999999E-2</v>
          </cell>
          <cell r="V118">
            <v>1.4999999999999999E-2</v>
          </cell>
          <cell r="W118">
            <v>0</v>
          </cell>
          <cell r="Y118">
            <v>1.4999999999999999E-2</v>
          </cell>
          <cell r="Z118">
            <v>1.4999999999999999E-2</v>
          </cell>
          <cell r="AA118">
            <v>0</v>
          </cell>
        </row>
        <row r="122">
          <cell r="D122" t="str">
            <v>Total Headcount Tunover</v>
          </cell>
          <cell r="H122">
            <v>4.4999999999999998E-2</v>
          </cell>
          <cell r="I122">
            <v>4.4999999999999998E-2</v>
          </cell>
          <cell r="J122">
            <v>4.4999999999999998E-2</v>
          </cell>
          <cell r="K122">
            <v>4.4999999999999998E-2</v>
          </cell>
          <cell r="L122">
            <v>4.4999999999999998E-2</v>
          </cell>
          <cell r="M122">
            <v>4.4999999999999998E-2</v>
          </cell>
          <cell r="N122">
            <v>4.4999999999999998E-2</v>
          </cell>
          <cell r="O122">
            <v>4.4999999999999998E-2</v>
          </cell>
          <cell r="P122">
            <v>4.4999999999999998E-2</v>
          </cell>
          <cell r="Q122">
            <v>4.4999999999999998E-2</v>
          </cell>
          <cell r="R122">
            <v>4.4999999999999998E-2</v>
          </cell>
          <cell r="S122">
            <v>4.4999999999999998E-2</v>
          </cell>
          <cell r="U122">
            <v>4.4999999999999998E-2</v>
          </cell>
          <cell r="V122">
            <v>4.4999999999999998E-2</v>
          </cell>
          <cell r="W122">
            <v>0</v>
          </cell>
          <cell r="Y122">
            <v>4.4999999999999998E-2</v>
          </cell>
          <cell r="Z122">
            <v>4.4999999999999998E-2</v>
          </cell>
          <cell r="AA122">
            <v>0</v>
          </cell>
        </row>
        <row r="126">
          <cell r="B126" t="str">
            <v>Headcount Turnover Formulas:</v>
          </cell>
        </row>
        <row r="127">
          <cell r="C127" t="str">
            <v>a)</v>
          </cell>
          <cell r="D127" t="str">
            <v>Voluntary Headcount Turnover:</v>
          </cell>
          <cell r="H127" t="str">
            <v>b)</v>
          </cell>
          <cell r="I127" t="str">
            <v>Involuntary Headcount Turnover:</v>
          </cell>
          <cell r="N127" t="str">
            <v>c)</v>
          </cell>
          <cell r="O127" t="str">
            <v>Total Headcount Turnover:</v>
          </cell>
        </row>
        <row r="129">
          <cell r="E129" t="str">
            <v>( # of Lay Offs on the Period )</v>
          </cell>
          <cell r="J129" t="str">
            <v>( # of Terminations on the Period )</v>
          </cell>
          <cell r="P129" t="str">
            <v>( # of Lay Offs + Terminations on the Period )</v>
          </cell>
        </row>
        <row r="130">
          <cell r="E130" t="str">
            <v>( Total Headcount on the Period )</v>
          </cell>
          <cell r="J130" t="str">
            <v>( Total Headcount on the Period )</v>
          </cell>
          <cell r="P130" t="str">
            <v>( Total Headcount on the Period )</v>
          </cell>
        </row>
        <row r="166">
          <cell r="B166" t="str">
            <v>Analog Employee Metrics Trend</v>
          </cell>
        </row>
        <row r="168">
          <cell r="H168" t="str">
            <v>Jan</v>
          </cell>
          <cell r="I168" t="str">
            <v>Feb</v>
          </cell>
          <cell r="J168" t="str">
            <v>Mar</v>
          </cell>
          <cell r="K168" t="str">
            <v>Apr</v>
          </cell>
          <cell r="L168" t="str">
            <v>May</v>
          </cell>
          <cell r="M168" t="str">
            <v>Jun</v>
          </cell>
          <cell r="N168" t="str">
            <v>Jul</v>
          </cell>
          <cell r="O168" t="str">
            <v>Aug</v>
          </cell>
          <cell r="P168" t="str">
            <v>Sep</v>
          </cell>
          <cell r="Q168" t="str">
            <v>Oct</v>
          </cell>
          <cell r="R168" t="str">
            <v>Nov</v>
          </cell>
          <cell r="S168" t="str">
            <v>Dec</v>
          </cell>
          <cell r="U168" t="str">
            <v>Current Month</v>
          </cell>
          <cell r="Y168" t="str">
            <v>Current Month</v>
          </cell>
        </row>
        <row r="169">
          <cell r="U169" t="str">
            <v>Actual</v>
          </cell>
          <cell r="V169" t="str">
            <v>Budget</v>
          </cell>
          <cell r="W169" t="str">
            <v>Var.</v>
          </cell>
          <cell r="Y169" t="str">
            <v>Actual</v>
          </cell>
          <cell r="Z169" t="str">
            <v>Budget</v>
          </cell>
          <cell r="AA169" t="str">
            <v>Var.</v>
          </cell>
        </row>
        <row r="172">
          <cell r="C172" t="str">
            <v>Revenues per Employee</v>
          </cell>
        </row>
        <row r="175">
          <cell r="D175" t="str">
            <v>Service Revenue per Employee</v>
          </cell>
          <cell r="H175">
            <v>9277.6523702031609</v>
          </cell>
          <cell r="I175">
            <v>9277.6523702031609</v>
          </cell>
          <cell r="J175">
            <v>9277.6523702031609</v>
          </cell>
          <cell r="K175">
            <v>9277.6523702031609</v>
          </cell>
          <cell r="L175">
            <v>9277.6523702031609</v>
          </cell>
          <cell r="M175">
            <v>9277.6523702031609</v>
          </cell>
          <cell r="N175">
            <v>9277.6523702031609</v>
          </cell>
          <cell r="O175">
            <v>9277.6523702031609</v>
          </cell>
          <cell r="P175">
            <v>9277.6523702031609</v>
          </cell>
          <cell r="Q175">
            <v>9277.6523702031609</v>
          </cell>
          <cell r="R175">
            <v>9277.6523702031609</v>
          </cell>
          <cell r="S175">
            <v>9277.6523702031609</v>
          </cell>
          <cell r="U175">
            <v>9277.6523702031609</v>
          </cell>
          <cell r="V175">
            <v>9277.6523702031609</v>
          </cell>
          <cell r="W175">
            <v>0</v>
          </cell>
          <cell r="Y175">
            <v>9277.6523702031609</v>
          </cell>
          <cell r="Z175">
            <v>9277.6523702031609</v>
          </cell>
          <cell r="AA175">
            <v>0</v>
          </cell>
        </row>
        <row r="176">
          <cell r="D176" t="str">
            <v>Equipment Revenue per Employee</v>
          </cell>
          <cell r="H176">
            <v>1557.5620767494356</v>
          </cell>
          <cell r="I176">
            <v>1557.5620767494356</v>
          </cell>
          <cell r="J176">
            <v>1557.5620767494356</v>
          </cell>
          <cell r="K176">
            <v>1557.5620767494356</v>
          </cell>
          <cell r="L176">
            <v>1557.5620767494356</v>
          </cell>
          <cell r="M176">
            <v>1557.5620767494356</v>
          </cell>
          <cell r="N176">
            <v>1557.5620767494356</v>
          </cell>
          <cell r="O176">
            <v>1557.5620767494356</v>
          </cell>
          <cell r="P176">
            <v>1557.5620767494356</v>
          </cell>
          <cell r="Q176">
            <v>1557.5620767494356</v>
          </cell>
          <cell r="R176">
            <v>1557.5620767494356</v>
          </cell>
          <cell r="S176">
            <v>1557.5620767494356</v>
          </cell>
          <cell r="U176">
            <v>1557.5620767494356</v>
          </cell>
          <cell r="V176">
            <v>1557.5620767494356</v>
          </cell>
          <cell r="W176">
            <v>0</v>
          </cell>
          <cell r="Y176">
            <v>1557.5620767494356</v>
          </cell>
          <cell r="Z176">
            <v>1557.5620767494356</v>
          </cell>
          <cell r="AA176">
            <v>0</v>
          </cell>
        </row>
        <row r="179">
          <cell r="E179" t="str">
            <v xml:space="preserve">Total Revenue per Employee </v>
          </cell>
          <cell r="H179">
            <v>10835.214446952596</v>
          </cell>
          <cell r="I179">
            <v>10835.214446952596</v>
          </cell>
          <cell r="J179">
            <v>10835.214446952596</v>
          </cell>
          <cell r="K179">
            <v>10835.214446952596</v>
          </cell>
          <cell r="L179">
            <v>10835.214446952596</v>
          </cell>
          <cell r="M179">
            <v>10835.214446952596</v>
          </cell>
          <cell r="N179">
            <v>10835.214446952596</v>
          </cell>
          <cell r="O179">
            <v>10835.214446952596</v>
          </cell>
          <cell r="P179">
            <v>10835.214446952596</v>
          </cell>
          <cell r="Q179">
            <v>10835.214446952596</v>
          </cell>
          <cell r="R179">
            <v>10835.214446952596</v>
          </cell>
          <cell r="S179">
            <v>10835.214446952596</v>
          </cell>
          <cell r="U179">
            <v>10835.214446952596</v>
          </cell>
          <cell r="V179">
            <v>10835.214446952596</v>
          </cell>
          <cell r="W179">
            <v>0</v>
          </cell>
          <cell r="Y179">
            <v>10835.214446952596</v>
          </cell>
          <cell r="Z179">
            <v>10835.214446952596</v>
          </cell>
          <cell r="AA179">
            <v>0</v>
          </cell>
        </row>
        <row r="182">
          <cell r="C182" t="str">
            <v>Engineering Expense per Employee</v>
          </cell>
        </row>
        <row r="185">
          <cell r="D185" t="str">
            <v>RF Engineering Expense per RF Head</v>
          </cell>
          <cell r="H185">
            <v>10311.111111111111</v>
          </cell>
          <cell r="I185">
            <v>10311.111111111111</v>
          </cell>
          <cell r="J185">
            <v>10311.111111111111</v>
          </cell>
          <cell r="K185">
            <v>10311.111111111111</v>
          </cell>
          <cell r="L185">
            <v>10311.111111111111</v>
          </cell>
          <cell r="M185">
            <v>10311.111111111111</v>
          </cell>
          <cell r="N185">
            <v>10311.111111111111</v>
          </cell>
          <cell r="O185">
            <v>10311.111111111111</v>
          </cell>
          <cell r="P185">
            <v>10311.111111111111</v>
          </cell>
          <cell r="Q185">
            <v>10311.111111111111</v>
          </cell>
          <cell r="R185">
            <v>10311.111111111111</v>
          </cell>
          <cell r="S185">
            <v>10311.111111111111</v>
          </cell>
          <cell r="U185">
            <v>10311.111111111111</v>
          </cell>
          <cell r="V185">
            <v>10311.111111111111</v>
          </cell>
          <cell r="W185">
            <v>0</v>
          </cell>
          <cell r="Y185">
            <v>10311.111111111111</v>
          </cell>
          <cell r="Z185">
            <v>10311.111111111111</v>
          </cell>
          <cell r="AA185">
            <v>0</v>
          </cell>
        </row>
        <row r="188">
          <cell r="D188" t="str">
            <v>MSO Engineering Expense per MSO Head</v>
          </cell>
          <cell r="H188">
            <v>29363.636363636364</v>
          </cell>
          <cell r="I188">
            <v>29363.636363636364</v>
          </cell>
          <cell r="J188">
            <v>29363.636363636364</v>
          </cell>
          <cell r="K188">
            <v>29363.636363636364</v>
          </cell>
          <cell r="L188">
            <v>29363.636363636364</v>
          </cell>
          <cell r="M188">
            <v>29363.636363636364</v>
          </cell>
          <cell r="N188">
            <v>29363.636363636364</v>
          </cell>
          <cell r="O188">
            <v>29363.636363636364</v>
          </cell>
          <cell r="P188">
            <v>29363.636363636364</v>
          </cell>
          <cell r="Q188">
            <v>29363.636363636364</v>
          </cell>
          <cell r="R188">
            <v>29363.636363636364</v>
          </cell>
          <cell r="S188">
            <v>29363.636363636364</v>
          </cell>
          <cell r="U188">
            <v>29363.636363636364</v>
          </cell>
          <cell r="V188">
            <v>29363.636363636364</v>
          </cell>
          <cell r="W188">
            <v>0</v>
          </cell>
          <cell r="Y188">
            <v>29363.636363636364</v>
          </cell>
          <cell r="Z188">
            <v>29363.636363636364</v>
          </cell>
          <cell r="AA188">
            <v>0</v>
          </cell>
        </row>
        <row r="189">
          <cell r="E189" t="str">
            <v>MSO Heads per Switch</v>
          </cell>
          <cell r="H189">
            <v>33</v>
          </cell>
          <cell r="I189">
            <v>33</v>
          </cell>
          <cell r="J189">
            <v>33</v>
          </cell>
          <cell r="K189">
            <v>33</v>
          </cell>
          <cell r="L189">
            <v>33</v>
          </cell>
          <cell r="M189">
            <v>33</v>
          </cell>
          <cell r="N189">
            <v>16.5</v>
          </cell>
          <cell r="O189">
            <v>16.5</v>
          </cell>
          <cell r="P189">
            <v>16.5</v>
          </cell>
          <cell r="Q189">
            <v>16.5</v>
          </cell>
          <cell r="R189">
            <v>16.5</v>
          </cell>
          <cell r="S189">
            <v>16.5</v>
          </cell>
          <cell r="U189">
            <v>16.5</v>
          </cell>
          <cell r="V189">
            <v>16.5</v>
          </cell>
          <cell r="W189">
            <v>0</v>
          </cell>
          <cell r="Y189">
            <v>16.5</v>
          </cell>
          <cell r="Z189">
            <v>16.5</v>
          </cell>
          <cell r="AA189">
            <v>0</v>
          </cell>
        </row>
        <row r="191">
          <cell r="D191" t="str">
            <v>Engineering Management Exp. per Eng. Mngmt. Head</v>
          </cell>
          <cell r="H191">
            <v>10666.666666666666</v>
          </cell>
          <cell r="I191">
            <v>10666.666666666666</v>
          </cell>
          <cell r="J191">
            <v>10666.666666666666</v>
          </cell>
          <cell r="K191">
            <v>10666.666666666666</v>
          </cell>
          <cell r="L191">
            <v>10666.666666666666</v>
          </cell>
          <cell r="M191">
            <v>10666.666666666666</v>
          </cell>
          <cell r="N191">
            <v>10666.666666666666</v>
          </cell>
          <cell r="O191">
            <v>10666.666666666666</v>
          </cell>
          <cell r="P191">
            <v>10666.666666666666</v>
          </cell>
          <cell r="Q191">
            <v>10666.666666666666</v>
          </cell>
          <cell r="R191">
            <v>10666.666666666666</v>
          </cell>
          <cell r="S191">
            <v>10666.666666666666</v>
          </cell>
          <cell r="U191">
            <v>10666.666666666666</v>
          </cell>
          <cell r="V191">
            <v>10666.666666666666</v>
          </cell>
          <cell r="W191">
            <v>0</v>
          </cell>
          <cell r="Y191">
            <v>10666.666666666666</v>
          </cell>
          <cell r="Z191">
            <v>10666.666666666666</v>
          </cell>
          <cell r="AA191">
            <v>0</v>
          </cell>
        </row>
        <row r="193">
          <cell r="D193" t="str">
            <v>Service &amp; Repair Expense per Service Head</v>
          </cell>
          <cell r="H193">
            <v>1500</v>
          </cell>
          <cell r="I193">
            <v>1500</v>
          </cell>
          <cell r="J193">
            <v>1500</v>
          </cell>
          <cell r="K193">
            <v>1500</v>
          </cell>
          <cell r="L193">
            <v>1500</v>
          </cell>
          <cell r="M193">
            <v>1500</v>
          </cell>
          <cell r="N193">
            <v>1500</v>
          </cell>
          <cell r="O193">
            <v>1500</v>
          </cell>
          <cell r="P193">
            <v>1500</v>
          </cell>
          <cell r="Q193">
            <v>1500</v>
          </cell>
          <cell r="R193">
            <v>1500</v>
          </cell>
          <cell r="S193">
            <v>1500</v>
          </cell>
          <cell r="U193">
            <v>1500</v>
          </cell>
          <cell r="V193">
            <v>1500</v>
          </cell>
          <cell r="W193">
            <v>0</v>
          </cell>
          <cell r="Y193">
            <v>1500</v>
          </cell>
          <cell r="Z193">
            <v>1500</v>
          </cell>
          <cell r="AA193">
            <v>0</v>
          </cell>
        </row>
        <row r="194">
          <cell r="E194" t="str">
            <v>Ending Units per Service &amp; Repair Head</v>
          </cell>
          <cell r="H194">
            <v>18701</v>
          </cell>
          <cell r="I194">
            <v>18701</v>
          </cell>
          <cell r="J194">
            <v>18701</v>
          </cell>
          <cell r="K194">
            <v>18701</v>
          </cell>
          <cell r="L194">
            <v>18701</v>
          </cell>
          <cell r="M194">
            <v>18701</v>
          </cell>
          <cell r="N194">
            <v>18701</v>
          </cell>
          <cell r="O194">
            <v>18701</v>
          </cell>
          <cell r="P194">
            <v>18701</v>
          </cell>
          <cell r="Q194">
            <v>18701</v>
          </cell>
          <cell r="R194">
            <v>18701</v>
          </cell>
          <cell r="S194">
            <v>18701</v>
          </cell>
          <cell r="U194">
            <v>18701</v>
          </cell>
          <cell r="V194">
            <v>18701</v>
          </cell>
          <cell r="W194">
            <v>0</v>
          </cell>
          <cell r="Y194">
            <v>18701</v>
          </cell>
          <cell r="Z194">
            <v>18701</v>
          </cell>
          <cell r="AA194">
            <v>0</v>
          </cell>
        </row>
        <row r="197">
          <cell r="D197" t="str">
            <v>Total Engineering Expense per Engineering Head</v>
          </cell>
          <cell r="H197">
            <v>17305.882352941175</v>
          </cell>
          <cell r="I197">
            <v>17305.882352941175</v>
          </cell>
          <cell r="J197">
            <v>17305.882352941175</v>
          </cell>
          <cell r="K197">
            <v>17305.882352941175</v>
          </cell>
          <cell r="L197">
            <v>17305.882352941175</v>
          </cell>
          <cell r="M197">
            <v>17305.882352941175</v>
          </cell>
          <cell r="N197">
            <v>17305.882352941175</v>
          </cell>
          <cell r="O197">
            <v>17305.882352941175</v>
          </cell>
          <cell r="P197">
            <v>17305.882352941175</v>
          </cell>
          <cell r="Q197">
            <v>17305.882352941175</v>
          </cell>
          <cell r="R197">
            <v>17305.882352941175</v>
          </cell>
          <cell r="S197">
            <v>17305.882352941175</v>
          </cell>
          <cell r="U197">
            <v>17305.882352941175</v>
          </cell>
          <cell r="V197">
            <v>17305.882352941175</v>
          </cell>
          <cell r="W197">
            <v>0</v>
          </cell>
          <cell r="Y197">
            <v>17305.882352941175</v>
          </cell>
          <cell r="Z197">
            <v>17305.882352941175</v>
          </cell>
          <cell r="AA197">
            <v>0</v>
          </cell>
        </row>
        <row r="198">
          <cell r="E198" t="str">
            <v>Total Sites on Air per Engineering Head</v>
          </cell>
          <cell r="H198">
            <v>1.9176470588235295</v>
          </cell>
          <cell r="I198">
            <v>1.9176470588235295</v>
          </cell>
          <cell r="J198">
            <v>1.9176470588235295</v>
          </cell>
          <cell r="K198">
            <v>1.9176470588235295</v>
          </cell>
          <cell r="L198">
            <v>1.9176470588235295</v>
          </cell>
          <cell r="M198">
            <v>1.9176470588235295</v>
          </cell>
          <cell r="N198">
            <v>1.9176470588235295</v>
          </cell>
          <cell r="O198">
            <v>1.9176470588235295</v>
          </cell>
          <cell r="P198">
            <v>1.9176470588235295</v>
          </cell>
          <cell r="Q198">
            <v>1.9176470588235295</v>
          </cell>
          <cell r="R198">
            <v>1.9176470588235295</v>
          </cell>
          <cell r="S198">
            <v>1.9176470588235295</v>
          </cell>
          <cell r="U198">
            <v>1.9176470588235295</v>
          </cell>
          <cell r="V198">
            <v>1.9176470588235295</v>
          </cell>
          <cell r="W198">
            <v>0</v>
          </cell>
          <cell r="Y198">
            <v>1.9176470588235295</v>
          </cell>
          <cell r="Z198">
            <v>1.9176470588235295</v>
          </cell>
          <cell r="AA198">
            <v>0</v>
          </cell>
        </row>
        <row r="201">
          <cell r="C201" t="str">
            <v>Customer Care &amp; Credit and Collections Expense per Employee</v>
          </cell>
        </row>
        <row r="204">
          <cell r="D204" t="str">
            <v>Customer Care Expense per Care Head</v>
          </cell>
          <cell r="H204">
            <v>5891.304347826087</v>
          </cell>
          <cell r="I204">
            <v>5891.304347826087</v>
          </cell>
          <cell r="J204">
            <v>5891.304347826087</v>
          </cell>
          <cell r="K204">
            <v>5891.304347826087</v>
          </cell>
          <cell r="L204">
            <v>5891.304347826087</v>
          </cell>
          <cell r="M204">
            <v>5891.304347826087</v>
          </cell>
          <cell r="N204">
            <v>5891.304347826087</v>
          </cell>
          <cell r="O204">
            <v>5891.304347826087</v>
          </cell>
          <cell r="P204">
            <v>5891.304347826087</v>
          </cell>
          <cell r="Q204">
            <v>5891.304347826087</v>
          </cell>
          <cell r="R204">
            <v>5891.304347826087</v>
          </cell>
          <cell r="S204">
            <v>5891.304347826087</v>
          </cell>
          <cell r="U204">
            <v>5891.304347826087</v>
          </cell>
          <cell r="V204">
            <v>5891.304347826087</v>
          </cell>
          <cell r="W204">
            <v>0</v>
          </cell>
          <cell r="Y204">
            <v>5891.304347826087</v>
          </cell>
          <cell r="Z204">
            <v>5891.304347826087</v>
          </cell>
          <cell r="AA204">
            <v>0</v>
          </cell>
        </row>
        <row r="205">
          <cell r="E205" t="str">
            <v>Ending Units per Care Head</v>
          </cell>
          <cell r="H205">
            <v>1626.1739130434783</v>
          </cell>
          <cell r="I205">
            <v>1626.1739130434783</v>
          </cell>
          <cell r="J205">
            <v>1626.1739130434783</v>
          </cell>
          <cell r="K205">
            <v>1626.1739130434783</v>
          </cell>
          <cell r="L205">
            <v>1626.1739130434783</v>
          </cell>
          <cell r="M205">
            <v>1626.1739130434783</v>
          </cell>
          <cell r="N205">
            <v>1626.1739130434783</v>
          </cell>
          <cell r="O205">
            <v>1626.1739130434783</v>
          </cell>
          <cell r="P205">
            <v>1626.1739130434783</v>
          </cell>
          <cell r="Q205">
            <v>1626.1739130434783</v>
          </cell>
          <cell r="R205">
            <v>1626.1739130434783</v>
          </cell>
          <cell r="S205">
            <v>1626.1739130434783</v>
          </cell>
          <cell r="U205">
            <v>1626.1739130434783</v>
          </cell>
          <cell r="V205">
            <v>1626.1739130434783</v>
          </cell>
          <cell r="W205">
            <v>0</v>
          </cell>
          <cell r="Y205">
            <v>1626.1739130434783</v>
          </cell>
          <cell r="Z205">
            <v>1626.1739130434783</v>
          </cell>
          <cell r="AA205">
            <v>0</v>
          </cell>
        </row>
        <row r="206">
          <cell r="E206" t="str">
            <v>Daily Calls Handled per Representative</v>
          </cell>
          <cell r="H206">
            <v>38.46153846153846</v>
          </cell>
          <cell r="I206">
            <v>38.46153846153846</v>
          </cell>
          <cell r="J206">
            <v>38.46153846153846</v>
          </cell>
          <cell r="K206">
            <v>38.46153846153846</v>
          </cell>
          <cell r="L206">
            <v>38.46153846153846</v>
          </cell>
          <cell r="M206">
            <v>38.46153846153846</v>
          </cell>
          <cell r="N206">
            <v>38.46153846153846</v>
          </cell>
          <cell r="O206">
            <v>38.46153846153846</v>
          </cell>
          <cell r="P206">
            <v>38.46153846153846</v>
          </cell>
          <cell r="Q206">
            <v>38.46153846153846</v>
          </cell>
          <cell r="R206">
            <v>38.46153846153846</v>
          </cell>
          <cell r="S206">
            <v>38.46153846153846</v>
          </cell>
          <cell r="U206">
            <v>38.46153846153846</v>
          </cell>
          <cell r="V206">
            <v>38.46153846153846</v>
          </cell>
          <cell r="W206">
            <v>0</v>
          </cell>
          <cell r="Y206">
            <v>38.46153846153846</v>
          </cell>
          <cell r="Z206">
            <v>38.46153846153846</v>
          </cell>
          <cell r="AA206">
            <v>0</v>
          </cell>
        </row>
        <row r="208">
          <cell r="D208" t="str">
            <v>Collections Expense (Excl. Bad Debt) per Collections Head</v>
          </cell>
          <cell r="H208">
            <v>15200</v>
          </cell>
          <cell r="I208">
            <v>15200</v>
          </cell>
          <cell r="J208">
            <v>15200</v>
          </cell>
          <cell r="K208">
            <v>15200</v>
          </cell>
          <cell r="L208">
            <v>15200</v>
          </cell>
          <cell r="M208">
            <v>15200</v>
          </cell>
          <cell r="N208">
            <v>15200</v>
          </cell>
          <cell r="O208">
            <v>15200</v>
          </cell>
          <cell r="P208">
            <v>15200</v>
          </cell>
          <cell r="Q208">
            <v>15200</v>
          </cell>
          <cell r="R208">
            <v>15200</v>
          </cell>
          <cell r="S208">
            <v>15200</v>
          </cell>
          <cell r="U208">
            <v>15200</v>
          </cell>
          <cell r="V208">
            <v>15200</v>
          </cell>
          <cell r="W208">
            <v>0</v>
          </cell>
          <cell r="Y208">
            <v>15200</v>
          </cell>
          <cell r="Z208">
            <v>15200</v>
          </cell>
          <cell r="AA208">
            <v>0</v>
          </cell>
        </row>
        <row r="209">
          <cell r="E209" t="str">
            <v>Ending Subscribers per Collections Head</v>
          </cell>
          <cell r="H209">
            <v>4986.9333333333334</v>
          </cell>
          <cell r="I209">
            <v>4986.9333333333334</v>
          </cell>
          <cell r="J209">
            <v>4986.9333333333334</v>
          </cell>
          <cell r="K209">
            <v>4986.9333333333334</v>
          </cell>
          <cell r="L209">
            <v>4986.9333333333334</v>
          </cell>
          <cell r="M209">
            <v>4986.9333333333334</v>
          </cell>
          <cell r="N209">
            <v>4986.9333333333334</v>
          </cell>
          <cell r="O209">
            <v>4986.9333333333334</v>
          </cell>
          <cell r="P209">
            <v>4986.9333333333334</v>
          </cell>
          <cell r="Q209">
            <v>4986.9333333333334</v>
          </cell>
          <cell r="R209">
            <v>4986.9333333333334</v>
          </cell>
          <cell r="S209">
            <v>4986.9333333333334</v>
          </cell>
          <cell r="U209">
            <v>4986.9333333333334</v>
          </cell>
          <cell r="V209">
            <v>4986.9333333333334</v>
          </cell>
          <cell r="W209">
            <v>0</v>
          </cell>
          <cell r="Y209">
            <v>4986.9333333333334</v>
          </cell>
          <cell r="Z209">
            <v>4986.9333333333334</v>
          </cell>
          <cell r="AA209">
            <v>0</v>
          </cell>
        </row>
        <row r="210">
          <cell r="E210" t="str">
            <v>Customers per Collections Head</v>
          </cell>
          <cell r="H210">
            <v>2666.6666666666665</v>
          </cell>
          <cell r="I210">
            <v>2666.6666666666665</v>
          </cell>
          <cell r="J210">
            <v>2666.6666666666665</v>
          </cell>
          <cell r="K210">
            <v>2666.6666666666665</v>
          </cell>
          <cell r="L210">
            <v>2666.6666666666665</v>
          </cell>
          <cell r="M210">
            <v>2666.6666666666665</v>
          </cell>
          <cell r="N210">
            <v>2666.6666666666665</v>
          </cell>
          <cell r="O210">
            <v>2666.6666666666665</v>
          </cell>
          <cell r="P210">
            <v>2666.6666666666665</v>
          </cell>
          <cell r="Q210">
            <v>2666.6666666666665</v>
          </cell>
          <cell r="R210">
            <v>2666.6666666666665</v>
          </cell>
          <cell r="S210">
            <v>2666.6666666666665</v>
          </cell>
          <cell r="U210">
            <v>2666.6666666666665</v>
          </cell>
          <cell r="V210">
            <v>2666.6666666666665</v>
          </cell>
          <cell r="W210">
            <v>0</v>
          </cell>
          <cell r="Y210">
            <v>2666.6666666666665</v>
          </cell>
          <cell r="Z210">
            <v>2666.6666666666665</v>
          </cell>
          <cell r="AA210">
            <v>0</v>
          </cell>
        </row>
        <row r="212">
          <cell r="D212" t="str">
            <v>Credit Expense (Excl. Bad Debt) per Credit Head</v>
          </cell>
          <cell r="H212">
            <v>15200</v>
          </cell>
          <cell r="I212">
            <v>15200</v>
          </cell>
          <cell r="J212">
            <v>15200</v>
          </cell>
          <cell r="K212">
            <v>15200</v>
          </cell>
          <cell r="L212">
            <v>15200</v>
          </cell>
          <cell r="M212">
            <v>15200</v>
          </cell>
          <cell r="N212">
            <v>15200</v>
          </cell>
          <cell r="O212">
            <v>15200</v>
          </cell>
          <cell r="P212">
            <v>15200</v>
          </cell>
          <cell r="Q212">
            <v>15200</v>
          </cell>
          <cell r="R212">
            <v>15200</v>
          </cell>
          <cell r="S212">
            <v>15200</v>
          </cell>
          <cell r="U212">
            <v>15200</v>
          </cell>
          <cell r="V212">
            <v>15200</v>
          </cell>
          <cell r="W212">
            <v>0</v>
          </cell>
          <cell r="Y212">
            <v>15200</v>
          </cell>
          <cell r="Z212">
            <v>15200</v>
          </cell>
          <cell r="AA212">
            <v>0</v>
          </cell>
        </row>
        <row r="213">
          <cell r="E213" t="str">
            <v>Customers per Credit Head</v>
          </cell>
          <cell r="H213">
            <v>2666.6666666666665</v>
          </cell>
          <cell r="I213">
            <v>2666.6666666666665</v>
          </cell>
          <cell r="J213">
            <v>2666.6666666666665</v>
          </cell>
          <cell r="K213">
            <v>2666.6666666666665</v>
          </cell>
          <cell r="L213">
            <v>2666.6666666666665</v>
          </cell>
          <cell r="M213">
            <v>2666.6666666666665</v>
          </cell>
          <cell r="N213">
            <v>2666.6666666666665</v>
          </cell>
          <cell r="O213">
            <v>2666.6666666666665</v>
          </cell>
          <cell r="P213">
            <v>2666.6666666666665</v>
          </cell>
          <cell r="Q213">
            <v>2666.6666666666665</v>
          </cell>
          <cell r="R213">
            <v>2666.6666666666665</v>
          </cell>
          <cell r="S213">
            <v>2666.6666666666665</v>
          </cell>
          <cell r="U213">
            <v>2666.6666666666665</v>
          </cell>
          <cell r="V213">
            <v>2666.6666666666665</v>
          </cell>
          <cell r="W213">
            <v>0</v>
          </cell>
          <cell r="Y213">
            <v>2666.6666666666665</v>
          </cell>
          <cell r="Z213">
            <v>2666.6666666666665</v>
          </cell>
          <cell r="AA213">
            <v>0</v>
          </cell>
        </row>
        <row r="216">
          <cell r="D216" t="str">
            <v>Total Customer Care &amp; Credit and Collections Exp. per Head</v>
          </cell>
          <cell r="H216">
            <v>8180.3278688524588</v>
          </cell>
          <cell r="I216">
            <v>8180.3278688524588</v>
          </cell>
          <cell r="J216">
            <v>8180.3278688524588</v>
          </cell>
          <cell r="K216">
            <v>8180.3278688524588</v>
          </cell>
          <cell r="L216">
            <v>8180.3278688524588</v>
          </cell>
          <cell r="M216">
            <v>8180.3278688524588</v>
          </cell>
          <cell r="N216">
            <v>8180.3278688524588</v>
          </cell>
          <cell r="O216">
            <v>8180.3278688524588</v>
          </cell>
          <cell r="P216">
            <v>8180.3278688524588</v>
          </cell>
          <cell r="Q216">
            <v>8180.3278688524588</v>
          </cell>
          <cell r="R216">
            <v>8180.3278688524588</v>
          </cell>
          <cell r="S216">
            <v>8180.3278688524588</v>
          </cell>
          <cell r="U216">
            <v>8180.3278688524588</v>
          </cell>
          <cell r="V216">
            <v>8180.3278688524588</v>
          </cell>
          <cell r="W216">
            <v>0</v>
          </cell>
          <cell r="Y216">
            <v>8180.3278688524588</v>
          </cell>
          <cell r="Z216">
            <v>8180.3278688524588</v>
          </cell>
          <cell r="AA216">
            <v>0</v>
          </cell>
        </row>
        <row r="219">
          <cell r="C219" t="str">
            <v>Information Technology Expense per Employee</v>
          </cell>
        </row>
        <row r="222">
          <cell r="D222" t="str">
            <v>IT Expense per IT Head</v>
          </cell>
          <cell r="H222">
            <v>8800</v>
          </cell>
          <cell r="I222">
            <v>8800</v>
          </cell>
          <cell r="J222">
            <v>8800</v>
          </cell>
          <cell r="K222">
            <v>8800</v>
          </cell>
          <cell r="L222">
            <v>8800</v>
          </cell>
          <cell r="M222">
            <v>8800</v>
          </cell>
          <cell r="N222">
            <v>8800</v>
          </cell>
          <cell r="O222">
            <v>8800</v>
          </cell>
          <cell r="P222">
            <v>8800</v>
          </cell>
          <cell r="Q222">
            <v>8800</v>
          </cell>
          <cell r="R222">
            <v>8800</v>
          </cell>
          <cell r="S222">
            <v>8800</v>
          </cell>
          <cell r="U222">
            <v>8800</v>
          </cell>
          <cell r="V222">
            <v>8800</v>
          </cell>
          <cell r="W222">
            <v>0</v>
          </cell>
          <cell r="Y222">
            <v>8800</v>
          </cell>
          <cell r="Z222">
            <v>8800</v>
          </cell>
          <cell r="AA222">
            <v>0</v>
          </cell>
        </row>
        <row r="223">
          <cell r="E223" t="str">
            <v>Total Headcount per IT Head</v>
          </cell>
          <cell r="H223">
            <v>17.72</v>
          </cell>
          <cell r="I223">
            <v>17.72</v>
          </cell>
          <cell r="J223">
            <v>17.72</v>
          </cell>
          <cell r="K223">
            <v>17.72</v>
          </cell>
          <cell r="L223">
            <v>17.72</v>
          </cell>
          <cell r="M223">
            <v>17.72</v>
          </cell>
          <cell r="N223">
            <v>17.72</v>
          </cell>
          <cell r="O223">
            <v>17.72</v>
          </cell>
          <cell r="P223">
            <v>17.72</v>
          </cell>
          <cell r="Q223">
            <v>17.72</v>
          </cell>
          <cell r="R223">
            <v>17.72</v>
          </cell>
          <cell r="S223">
            <v>17.72</v>
          </cell>
          <cell r="U223">
            <v>17.72</v>
          </cell>
          <cell r="V223">
            <v>17.72</v>
          </cell>
          <cell r="W223">
            <v>0</v>
          </cell>
          <cell r="Y223">
            <v>17.72</v>
          </cell>
          <cell r="Z223">
            <v>17.72</v>
          </cell>
          <cell r="AA223">
            <v>0</v>
          </cell>
        </row>
        <row r="226">
          <cell r="C226" t="str">
            <v>Billing Operations Expense per Employee</v>
          </cell>
        </row>
        <row r="229">
          <cell r="D229" t="str">
            <v>Billing Expense per Billing Head</v>
          </cell>
          <cell r="H229">
            <v>15000</v>
          </cell>
          <cell r="I229">
            <v>15000</v>
          </cell>
          <cell r="J229">
            <v>15000</v>
          </cell>
          <cell r="K229">
            <v>15000</v>
          </cell>
          <cell r="L229">
            <v>15000</v>
          </cell>
          <cell r="M229">
            <v>15000</v>
          </cell>
          <cell r="N229">
            <v>15000</v>
          </cell>
          <cell r="O229">
            <v>15000</v>
          </cell>
          <cell r="P229">
            <v>15000</v>
          </cell>
          <cell r="Q229">
            <v>15000</v>
          </cell>
          <cell r="R229">
            <v>15000</v>
          </cell>
          <cell r="S229">
            <v>15000</v>
          </cell>
          <cell r="U229">
            <v>15000</v>
          </cell>
          <cell r="V229">
            <v>15000</v>
          </cell>
          <cell r="W229">
            <v>0</v>
          </cell>
          <cell r="Y229">
            <v>15000</v>
          </cell>
          <cell r="Z229">
            <v>15000</v>
          </cell>
          <cell r="AA229">
            <v>0</v>
          </cell>
        </row>
        <row r="232">
          <cell r="C232" t="str">
            <v>G&amp;A Expense per Employee</v>
          </cell>
        </row>
        <row r="235">
          <cell r="D235" t="str">
            <v>General and Administrative Expense per G&amp;A Head</v>
          </cell>
          <cell r="H235">
            <v>13203.125</v>
          </cell>
          <cell r="I235">
            <v>13203.125</v>
          </cell>
          <cell r="J235">
            <v>13203.125</v>
          </cell>
          <cell r="K235">
            <v>13203.125</v>
          </cell>
          <cell r="L235">
            <v>13203.125</v>
          </cell>
          <cell r="M235">
            <v>13203.125</v>
          </cell>
          <cell r="N235">
            <v>13203.125</v>
          </cell>
          <cell r="O235">
            <v>13203.125</v>
          </cell>
          <cell r="P235">
            <v>13203.125</v>
          </cell>
          <cell r="Q235">
            <v>13203.125</v>
          </cell>
          <cell r="R235">
            <v>13203.125</v>
          </cell>
          <cell r="S235">
            <v>13203.125</v>
          </cell>
          <cell r="U235">
            <v>13203.125</v>
          </cell>
          <cell r="V235">
            <v>13203.125</v>
          </cell>
          <cell r="W235">
            <v>0</v>
          </cell>
          <cell r="Y235">
            <v>13203.125</v>
          </cell>
          <cell r="Z235">
            <v>13203.125</v>
          </cell>
          <cell r="AA235">
            <v>0</v>
          </cell>
        </row>
        <row r="236">
          <cell r="E236" t="str">
            <v>Total Headcount per G&amp;A Head</v>
          </cell>
          <cell r="H236">
            <v>6.921875</v>
          </cell>
          <cell r="I236">
            <v>6.921875</v>
          </cell>
          <cell r="J236">
            <v>6.921875</v>
          </cell>
          <cell r="K236">
            <v>6.921875</v>
          </cell>
          <cell r="L236">
            <v>6.921875</v>
          </cell>
          <cell r="M236">
            <v>6.921875</v>
          </cell>
          <cell r="N236">
            <v>6.921875</v>
          </cell>
          <cell r="O236">
            <v>6.921875</v>
          </cell>
          <cell r="P236">
            <v>6.921875</v>
          </cell>
          <cell r="Q236">
            <v>6.921875</v>
          </cell>
          <cell r="R236">
            <v>6.921875</v>
          </cell>
          <cell r="S236">
            <v>6.921875</v>
          </cell>
          <cell r="U236">
            <v>6.921875</v>
          </cell>
          <cell r="V236">
            <v>6.921875</v>
          </cell>
          <cell r="W236">
            <v>0</v>
          </cell>
          <cell r="Y236">
            <v>6.921875</v>
          </cell>
          <cell r="Z236">
            <v>6.921875</v>
          </cell>
          <cell r="AA236">
            <v>0</v>
          </cell>
        </row>
        <row r="239">
          <cell r="C239" t="str">
            <v>Mktg., Sales &amp; Fulfillment Expense per Employee</v>
          </cell>
        </row>
        <row r="242">
          <cell r="D242" t="str">
            <v>Marketing Expense per Mktg. Head</v>
          </cell>
          <cell r="H242">
            <v>65666.666666666672</v>
          </cell>
          <cell r="I242">
            <v>65666.666666666672</v>
          </cell>
          <cell r="J242">
            <v>65666.666666666672</v>
          </cell>
          <cell r="K242">
            <v>65666.666666666672</v>
          </cell>
          <cell r="L242">
            <v>65666.666666666672</v>
          </cell>
          <cell r="M242">
            <v>65666.666666666672</v>
          </cell>
          <cell r="N242">
            <v>65666.666666666672</v>
          </cell>
          <cell r="O242">
            <v>65666.666666666672</v>
          </cell>
          <cell r="P242">
            <v>65666.666666666672</v>
          </cell>
          <cell r="Q242">
            <v>65666.666666666672</v>
          </cell>
          <cell r="R242">
            <v>65666.666666666672</v>
          </cell>
          <cell r="S242">
            <v>65666.666666666672</v>
          </cell>
          <cell r="U242">
            <v>65666.666666666672</v>
          </cell>
          <cell r="V242">
            <v>65666.666666666672</v>
          </cell>
          <cell r="W242">
            <v>0</v>
          </cell>
          <cell r="Y242">
            <v>65666.666666666672</v>
          </cell>
          <cell r="Z242">
            <v>65666.666666666672</v>
          </cell>
          <cell r="AA242">
            <v>0</v>
          </cell>
        </row>
        <row r="244">
          <cell r="D244" t="str">
            <v>Sales Expense per Sales Head</v>
          </cell>
          <cell r="H244">
            <v>17234.567901234564</v>
          </cell>
          <cell r="I244">
            <v>17234.567901234564</v>
          </cell>
          <cell r="J244">
            <v>17234.567901234564</v>
          </cell>
          <cell r="K244">
            <v>17234.567901234564</v>
          </cell>
          <cell r="L244">
            <v>17234.567901234564</v>
          </cell>
          <cell r="M244">
            <v>17234.567901234564</v>
          </cell>
          <cell r="N244">
            <v>17234.567901234564</v>
          </cell>
          <cell r="O244">
            <v>17234.567901234564</v>
          </cell>
          <cell r="P244">
            <v>17234.567901234564</v>
          </cell>
          <cell r="Q244">
            <v>17234.567901234564</v>
          </cell>
          <cell r="R244">
            <v>17234.567901234564</v>
          </cell>
          <cell r="S244">
            <v>17234.567901234564</v>
          </cell>
          <cell r="U244">
            <v>17234.567901234564</v>
          </cell>
          <cell r="V244">
            <v>17234.567901234564</v>
          </cell>
          <cell r="W244">
            <v>0</v>
          </cell>
          <cell r="Y244">
            <v>17234.567901234564</v>
          </cell>
          <cell r="Z244">
            <v>17234.567901234564</v>
          </cell>
          <cell r="AA244">
            <v>0</v>
          </cell>
        </row>
        <row r="245">
          <cell r="E245" t="str">
            <v>Direct Sales Representatives per Support Head</v>
          </cell>
          <cell r="H245">
            <v>5.6818181818181817</v>
          </cell>
          <cell r="I245">
            <v>5.6818181818181817</v>
          </cell>
          <cell r="J245">
            <v>5.6818181818181817</v>
          </cell>
          <cell r="K245">
            <v>5.6818181818181817</v>
          </cell>
          <cell r="L245">
            <v>5.6818181818181817</v>
          </cell>
          <cell r="M245">
            <v>5.6818181818181817</v>
          </cell>
          <cell r="N245">
            <v>5.6818181818181817</v>
          </cell>
          <cell r="O245">
            <v>5.6818181818181817</v>
          </cell>
          <cell r="P245">
            <v>5.6818181818181817</v>
          </cell>
          <cell r="Q245">
            <v>5.6818181818181817</v>
          </cell>
          <cell r="R245">
            <v>5.6818181818181817</v>
          </cell>
          <cell r="S245">
            <v>5.6818181818181817</v>
          </cell>
          <cell r="U245">
            <v>5.6818181818181817</v>
          </cell>
          <cell r="V245">
            <v>5.6818181818181817</v>
          </cell>
          <cell r="W245">
            <v>0</v>
          </cell>
          <cell r="Y245">
            <v>5.6818181818181817</v>
          </cell>
          <cell r="Z245">
            <v>5.6818181818181817</v>
          </cell>
          <cell r="AA245">
            <v>0</v>
          </cell>
        </row>
        <row r="246">
          <cell r="E246" t="str">
            <v>Indirect Sales Representatives per Support Head</v>
          </cell>
          <cell r="H246">
            <v>4</v>
          </cell>
          <cell r="I246">
            <v>4</v>
          </cell>
          <cell r="J246">
            <v>4</v>
          </cell>
          <cell r="K246">
            <v>4</v>
          </cell>
          <cell r="L246">
            <v>4</v>
          </cell>
          <cell r="M246">
            <v>4</v>
          </cell>
          <cell r="N246">
            <v>4</v>
          </cell>
          <cell r="O246">
            <v>4</v>
          </cell>
          <cell r="P246">
            <v>4</v>
          </cell>
          <cell r="Q246">
            <v>4</v>
          </cell>
          <cell r="R246">
            <v>4</v>
          </cell>
          <cell r="S246">
            <v>4</v>
          </cell>
          <cell r="U246">
            <v>4</v>
          </cell>
          <cell r="V246">
            <v>4</v>
          </cell>
          <cell r="W246">
            <v>0</v>
          </cell>
          <cell r="Y246">
            <v>4</v>
          </cell>
          <cell r="Z246">
            <v>4</v>
          </cell>
          <cell r="AA246">
            <v>0</v>
          </cell>
        </row>
        <row r="247">
          <cell r="E247" t="str">
            <v>Sales Productivity per Representative</v>
          </cell>
        </row>
        <row r="248">
          <cell r="E248" t="str">
            <v>Direct</v>
          </cell>
          <cell r="H248">
            <v>32</v>
          </cell>
          <cell r="I248">
            <v>32</v>
          </cell>
          <cell r="J248">
            <v>32</v>
          </cell>
          <cell r="K248">
            <v>32</v>
          </cell>
          <cell r="L248">
            <v>32</v>
          </cell>
          <cell r="M248">
            <v>32</v>
          </cell>
          <cell r="N248">
            <v>32</v>
          </cell>
          <cell r="O248">
            <v>32</v>
          </cell>
          <cell r="P248">
            <v>32</v>
          </cell>
          <cell r="Q248">
            <v>32</v>
          </cell>
          <cell r="R248">
            <v>32</v>
          </cell>
          <cell r="S248">
            <v>32</v>
          </cell>
          <cell r="U248">
            <v>32</v>
          </cell>
          <cell r="V248">
            <v>32</v>
          </cell>
          <cell r="W248">
            <v>0</v>
          </cell>
          <cell r="Y248">
            <v>32</v>
          </cell>
          <cell r="Z248">
            <v>32</v>
          </cell>
          <cell r="AA248">
            <v>0</v>
          </cell>
        </row>
        <row r="249">
          <cell r="E249" t="str">
            <v>Indirect</v>
          </cell>
          <cell r="H249">
            <v>110</v>
          </cell>
          <cell r="I249">
            <v>110</v>
          </cell>
          <cell r="J249">
            <v>110</v>
          </cell>
          <cell r="K249">
            <v>110</v>
          </cell>
          <cell r="L249">
            <v>110</v>
          </cell>
          <cell r="M249">
            <v>110</v>
          </cell>
          <cell r="N249">
            <v>110</v>
          </cell>
          <cell r="O249">
            <v>110</v>
          </cell>
          <cell r="P249">
            <v>110</v>
          </cell>
          <cell r="Q249">
            <v>110</v>
          </cell>
          <cell r="R249">
            <v>110</v>
          </cell>
          <cell r="S249">
            <v>110</v>
          </cell>
          <cell r="U249">
            <v>110</v>
          </cell>
          <cell r="V249">
            <v>110</v>
          </cell>
          <cell r="W249">
            <v>0</v>
          </cell>
          <cell r="Y249">
            <v>110</v>
          </cell>
          <cell r="Z249">
            <v>110</v>
          </cell>
          <cell r="AA249">
            <v>0</v>
          </cell>
        </row>
        <row r="251">
          <cell r="E251" t="str">
            <v>Direct Commissions per Direct Rep.</v>
          </cell>
          <cell r="H251">
            <v>2000</v>
          </cell>
          <cell r="I251">
            <v>2000</v>
          </cell>
          <cell r="J251">
            <v>2000</v>
          </cell>
          <cell r="K251">
            <v>2000</v>
          </cell>
          <cell r="L251">
            <v>2000</v>
          </cell>
          <cell r="M251">
            <v>2000</v>
          </cell>
          <cell r="N251">
            <v>2000</v>
          </cell>
          <cell r="O251">
            <v>2000</v>
          </cell>
          <cell r="P251">
            <v>2000</v>
          </cell>
          <cell r="Q251">
            <v>2000</v>
          </cell>
          <cell r="R251">
            <v>2000</v>
          </cell>
          <cell r="S251">
            <v>2000</v>
          </cell>
          <cell r="U251">
            <v>2000</v>
          </cell>
          <cell r="V251">
            <v>2000</v>
          </cell>
          <cell r="W251">
            <v>0</v>
          </cell>
          <cell r="Y251">
            <v>2000</v>
          </cell>
          <cell r="Z251">
            <v>2000</v>
          </cell>
          <cell r="AA251">
            <v>0</v>
          </cell>
        </row>
        <row r="252">
          <cell r="E252" t="str">
            <v>Indirect Commissions per Indirect Rep.</v>
          </cell>
          <cell r="H252">
            <v>25000</v>
          </cell>
          <cell r="I252">
            <v>25000</v>
          </cell>
          <cell r="J252">
            <v>25000</v>
          </cell>
          <cell r="K252">
            <v>25000</v>
          </cell>
          <cell r="L252">
            <v>25000</v>
          </cell>
          <cell r="M252">
            <v>25000</v>
          </cell>
          <cell r="N252">
            <v>25000</v>
          </cell>
          <cell r="O252">
            <v>25000</v>
          </cell>
          <cell r="P252">
            <v>25000</v>
          </cell>
          <cell r="Q252">
            <v>25000</v>
          </cell>
          <cell r="R252">
            <v>25000</v>
          </cell>
          <cell r="S252">
            <v>25000</v>
          </cell>
          <cell r="U252">
            <v>25000</v>
          </cell>
          <cell r="V252">
            <v>25000</v>
          </cell>
          <cell r="W252">
            <v>0</v>
          </cell>
          <cell r="Y252">
            <v>25000</v>
          </cell>
          <cell r="Z252">
            <v>25000</v>
          </cell>
          <cell r="AA252">
            <v>0</v>
          </cell>
        </row>
        <row r="254">
          <cell r="D254" t="str">
            <v>Fulfillment Expense per Fulfillment Head</v>
          </cell>
          <cell r="H254">
            <v>2529.4117647058824</v>
          </cell>
          <cell r="I254">
            <v>2529.4117647058824</v>
          </cell>
          <cell r="J254">
            <v>2529.4117647058824</v>
          </cell>
          <cell r="K254">
            <v>2529.4117647058824</v>
          </cell>
          <cell r="L254">
            <v>2529.4117647058824</v>
          </cell>
          <cell r="M254">
            <v>2529.4117647058824</v>
          </cell>
          <cell r="N254">
            <v>2529.4117647058824</v>
          </cell>
          <cell r="O254">
            <v>2529.4117647058824</v>
          </cell>
          <cell r="P254">
            <v>2529.4117647058824</v>
          </cell>
          <cell r="Q254">
            <v>2529.4117647058824</v>
          </cell>
          <cell r="R254">
            <v>2529.4117647058824</v>
          </cell>
          <cell r="S254">
            <v>2529.4117647058824</v>
          </cell>
          <cell r="U254">
            <v>2529.4117647058824</v>
          </cell>
          <cell r="V254">
            <v>2529.4117647058824</v>
          </cell>
          <cell r="W254">
            <v>0</v>
          </cell>
          <cell r="Y254">
            <v>2529.4117647058824</v>
          </cell>
          <cell r="Z254">
            <v>2529.4117647058824</v>
          </cell>
          <cell r="AA254">
            <v>0</v>
          </cell>
        </row>
        <row r="255">
          <cell r="E255" t="str">
            <v>Gross Adds per Fulfillment Head</v>
          </cell>
          <cell r="H255">
            <v>352.94117647058823</v>
          </cell>
          <cell r="I255">
            <v>352.94117647058823</v>
          </cell>
          <cell r="J255">
            <v>352.94117647058823</v>
          </cell>
          <cell r="K255">
            <v>352.94117647058823</v>
          </cell>
          <cell r="L255">
            <v>352.94117647058823</v>
          </cell>
          <cell r="M255">
            <v>352.94117647058823</v>
          </cell>
          <cell r="N255">
            <v>352.94117647058823</v>
          </cell>
          <cell r="O255">
            <v>352.94117647058823</v>
          </cell>
          <cell r="P255">
            <v>352.94117647058823</v>
          </cell>
          <cell r="Q255">
            <v>352.94117647058823</v>
          </cell>
          <cell r="R255">
            <v>352.94117647058823</v>
          </cell>
          <cell r="S255">
            <v>352.94117647058823</v>
          </cell>
          <cell r="U255">
            <v>352.94117647058823</v>
          </cell>
          <cell r="V255">
            <v>352.94117647058823</v>
          </cell>
          <cell r="W255">
            <v>0</v>
          </cell>
          <cell r="Y255">
            <v>352.94117647058823</v>
          </cell>
          <cell r="Z255">
            <v>352.94117647058823</v>
          </cell>
          <cell r="AA255">
            <v>0</v>
          </cell>
        </row>
        <row r="258">
          <cell r="D258" t="str">
            <v>Total Mktg., Sales &amp; Fulfillment Exp. per Head</v>
          </cell>
          <cell r="H258">
            <v>22629</v>
          </cell>
          <cell r="I258">
            <v>22629</v>
          </cell>
          <cell r="J258">
            <v>22629</v>
          </cell>
          <cell r="K258">
            <v>22629</v>
          </cell>
          <cell r="L258">
            <v>22629</v>
          </cell>
          <cell r="M258">
            <v>22629</v>
          </cell>
          <cell r="N258">
            <v>22629</v>
          </cell>
          <cell r="O258">
            <v>22629</v>
          </cell>
          <cell r="P258">
            <v>22629</v>
          </cell>
          <cell r="Q258">
            <v>22629</v>
          </cell>
          <cell r="R258">
            <v>22629</v>
          </cell>
          <cell r="S258">
            <v>22629</v>
          </cell>
          <cell r="U258">
            <v>22629</v>
          </cell>
          <cell r="V258">
            <v>22629</v>
          </cell>
          <cell r="W258">
            <v>0</v>
          </cell>
          <cell r="Y258">
            <v>22629</v>
          </cell>
          <cell r="Z258">
            <v>22629</v>
          </cell>
          <cell r="AA258">
            <v>0</v>
          </cell>
        </row>
        <row r="261">
          <cell r="C261" t="str">
            <v>Total Payroll Expense per Employee</v>
          </cell>
        </row>
        <row r="264">
          <cell r="D264" t="str">
            <v>Total Payroll Exp. (Excl. Comm.) per Employee</v>
          </cell>
          <cell r="H264">
            <v>45889</v>
          </cell>
          <cell r="I264">
            <v>45889</v>
          </cell>
          <cell r="J264">
            <v>45889</v>
          </cell>
          <cell r="K264">
            <v>45889</v>
          </cell>
          <cell r="L264">
            <v>45889</v>
          </cell>
          <cell r="M264">
            <v>45889</v>
          </cell>
          <cell r="N264">
            <v>45889</v>
          </cell>
          <cell r="O264">
            <v>45889</v>
          </cell>
          <cell r="P264">
            <v>45889</v>
          </cell>
          <cell r="Q264">
            <v>45889</v>
          </cell>
          <cell r="R264">
            <v>45889</v>
          </cell>
          <cell r="S264">
            <v>45889</v>
          </cell>
          <cell r="U264">
            <v>45889</v>
          </cell>
          <cell r="V264">
            <v>45889</v>
          </cell>
          <cell r="W264">
            <v>0</v>
          </cell>
          <cell r="Y264">
            <v>45889</v>
          </cell>
          <cell r="Z264">
            <v>45889</v>
          </cell>
          <cell r="AA264">
            <v>0</v>
          </cell>
        </row>
        <row r="267">
          <cell r="C267" t="str">
            <v>Headcount Turnover</v>
          </cell>
        </row>
        <row r="270">
          <cell r="D270" t="str">
            <v>Voluntary Headcount Turnover</v>
          </cell>
          <cell r="H270">
            <v>0.03</v>
          </cell>
          <cell r="I270">
            <v>0.03</v>
          </cell>
          <cell r="J270">
            <v>0.03</v>
          </cell>
          <cell r="K270">
            <v>0.03</v>
          </cell>
          <cell r="L270">
            <v>0.03</v>
          </cell>
          <cell r="M270">
            <v>0.03</v>
          </cell>
          <cell r="N270">
            <v>0.03</v>
          </cell>
          <cell r="O270">
            <v>0.03</v>
          </cell>
          <cell r="P270">
            <v>0.03</v>
          </cell>
          <cell r="Q270">
            <v>0.03</v>
          </cell>
          <cell r="R270">
            <v>0.03</v>
          </cell>
          <cell r="S270">
            <v>0.03</v>
          </cell>
          <cell r="U270">
            <v>0.03</v>
          </cell>
          <cell r="V270">
            <v>0.03</v>
          </cell>
          <cell r="W270">
            <v>0</v>
          </cell>
          <cell r="Y270">
            <v>0.03</v>
          </cell>
          <cell r="Z270">
            <v>0.03</v>
          </cell>
          <cell r="AA270">
            <v>0</v>
          </cell>
        </row>
        <row r="272">
          <cell r="D272" t="str">
            <v>Involuntary Headcount Turnover</v>
          </cell>
          <cell r="H272">
            <v>1.4999999999999999E-2</v>
          </cell>
          <cell r="I272">
            <v>1.4999999999999999E-2</v>
          </cell>
          <cell r="J272">
            <v>1.4999999999999999E-2</v>
          </cell>
          <cell r="K272">
            <v>1.4999999999999999E-2</v>
          </cell>
          <cell r="L272">
            <v>1.4999999999999999E-2</v>
          </cell>
          <cell r="M272">
            <v>1.4999999999999999E-2</v>
          </cell>
          <cell r="N272">
            <v>1.4999999999999999E-2</v>
          </cell>
          <cell r="O272">
            <v>1.4999999999999999E-2</v>
          </cell>
          <cell r="P272">
            <v>1.4999999999999999E-2</v>
          </cell>
          <cell r="Q272">
            <v>1.4999999999999999E-2</v>
          </cell>
          <cell r="R272">
            <v>1.4999999999999999E-2</v>
          </cell>
          <cell r="S272">
            <v>1.4999999999999999E-2</v>
          </cell>
          <cell r="U272">
            <v>1.4999999999999999E-2</v>
          </cell>
          <cell r="V272">
            <v>1.4999999999999999E-2</v>
          </cell>
          <cell r="W272">
            <v>0</v>
          </cell>
          <cell r="Y272">
            <v>1.4999999999999999E-2</v>
          </cell>
          <cell r="Z272">
            <v>1.4999999999999999E-2</v>
          </cell>
          <cell r="AA272">
            <v>0</v>
          </cell>
        </row>
        <row r="276">
          <cell r="D276" t="str">
            <v>Total Headcount Tunover</v>
          </cell>
          <cell r="H276">
            <v>4.4999999999999998E-2</v>
          </cell>
          <cell r="I276">
            <v>4.4999999999999998E-2</v>
          </cell>
          <cell r="J276">
            <v>4.4999999999999998E-2</v>
          </cell>
          <cell r="K276">
            <v>4.4999999999999998E-2</v>
          </cell>
          <cell r="L276">
            <v>4.4999999999999998E-2</v>
          </cell>
          <cell r="M276">
            <v>4.4999999999999998E-2</v>
          </cell>
          <cell r="N276">
            <v>4.4999999999999998E-2</v>
          </cell>
          <cell r="O276">
            <v>4.4999999999999998E-2</v>
          </cell>
          <cell r="P276">
            <v>4.4999999999999998E-2</v>
          </cell>
          <cell r="Q276">
            <v>4.4999999999999998E-2</v>
          </cell>
          <cell r="R276">
            <v>4.4999999999999998E-2</v>
          </cell>
          <cell r="S276">
            <v>4.4999999999999998E-2</v>
          </cell>
          <cell r="U276">
            <v>4.4999999999999998E-2</v>
          </cell>
          <cell r="V276">
            <v>4.4999999999999998E-2</v>
          </cell>
          <cell r="W276">
            <v>0</v>
          </cell>
          <cell r="Y276">
            <v>4.4999999999999998E-2</v>
          </cell>
          <cell r="Z276">
            <v>4.4999999999999998E-2</v>
          </cell>
          <cell r="AA276">
            <v>0</v>
          </cell>
        </row>
        <row r="280">
          <cell r="B280" t="str">
            <v>Headcount Turnover Formulas:</v>
          </cell>
        </row>
        <row r="281">
          <cell r="C281" t="str">
            <v>a)</v>
          </cell>
          <cell r="D281" t="str">
            <v>Voluntary Headcount Turnover:</v>
          </cell>
          <cell r="H281" t="str">
            <v>b)</v>
          </cell>
          <cell r="I281" t="str">
            <v>Involuntary Headcount Turnover:</v>
          </cell>
          <cell r="N281" t="str">
            <v>c)</v>
          </cell>
          <cell r="O281" t="str">
            <v>Total Headcount Turnover:</v>
          </cell>
        </row>
        <row r="283">
          <cell r="E283" t="str">
            <v>( # of Lay Offs on the Period )</v>
          </cell>
          <cell r="J283" t="str">
            <v>( # of Terminations on the Period )</v>
          </cell>
          <cell r="P283" t="str">
            <v>( # of Lay Offs + Terminations on the Period )</v>
          </cell>
        </row>
        <row r="284">
          <cell r="E284" t="str">
            <v>( Total Headcount on the Period )</v>
          </cell>
          <cell r="J284" t="str">
            <v>( Total Headcount on the Period )</v>
          </cell>
          <cell r="P284" t="str">
            <v>( Total Headcount on the Period )</v>
          </cell>
        </row>
      </sheetData>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12">
          <cell r="B12" t="str">
            <v>Digital Post-Paid CPGA</v>
          </cell>
        </row>
      </sheetData>
      <sheetData sheetId="55">
        <row r="12">
          <cell r="B12" t="str">
            <v>Unit Handsets</v>
          </cell>
        </row>
      </sheetData>
      <sheetData sheetId="56">
        <row r="12">
          <cell r="B12" t="str">
            <v>Digital Sales Mix by Product Type</v>
          </cell>
        </row>
      </sheetData>
      <sheetData sheetId="57">
        <row r="12">
          <cell r="B12" t="str">
            <v>Digital inventory on hand</v>
          </cell>
        </row>
      </sheetData>
      <sheetData sheetId="58"/>
      <sheetData sheetId="59"/>
      <sheetData sheetId="60"/>
      <sheetData sheetId="61"/>
      <sheetData sheetId="62">
        <row r="12">
          <cell r="B12" t="str">
            <v>Digital Employee Metrics Trend</v>
          </cell>
        </row>
      </sheetData>
      <sheetData sheetId="63"/>
      <sheetData sheetId="6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s"/>
      <sheetName val="Pendentes"/>
      <sheetName val="Resultado da consulta de solici"/>
      <sheetName val="Entrega de fechamento"/>
      <sheetName val="Centro de custo"/>
      <sheetName val="Time Faturamento"/>
      <sheetName val="Gerentes"/>
      <sheetName val="Relacionamento"/>
      <sheetName val="Base graficos"/>
      <sheetName val="Farol de fechamento de caixa - "/>
      <sheetName val="Resultado da consulta de so (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010101 - SCABMQ00.XML"/>
      <sheetName val="Planilha1"/>
    </sheetNames>
    <sheetDataSet>
      <sheetData sheetId="0"/>
      <sheetData sheetId="1">
        <row r="1">
          <cell r="A1" t="str">
            <v>CENTRO DE CUSTO</v>
          </cell>
          <cell r="B1" t="str">
            <v>DESCRIÇÃO</v>
          </cell>
        </row>
        <row r="2">
          <cell r="A2" t="str">
            <v>1</v>
          </cell>
          <cell r="B2" t="str">
            <v>CENTRO CORPORATIVO</v>
          </cell>
        </row>
        <row r="3">
          <cell r="A3" t="str">
            <v>11</v>
          </cell>
          <cell r="B3" t="str">
            <v>VENDAS</v>
          </cell>
        </row>
        <row r="4">
          <cell r="A4" t="str">
            <v>1100</v>
          </cell>
          <cell r="B4" t="str">
            <v>NAO APLICAVEL</v>
          </cell>
        </row>
        <row r="5">
          <cell r="A5" t="str">
            <v>11000</v>
          </cell>
          <cell r="B5" t="str">
            <v>NAO APLICAVEL</v>
          </cell>
        </row>
        <row r="6">
          <cell r="A6" t="str">
            <v>1100090</v>
          </cell>
          <cell r="B6" t="str">
            <v>COMERCIAL</v>
          </cell>
        </row>
        <row r="7">
          <cell r="A7" t="str">
            <v>1100090001</v>
          </cell>
          <cell r="B7" t="str">
            <v>COMERCIAL</v>
          </cell>
        </row>
        <row r="8">
          <cell r="A8" t="str">
            <v>1100091</v>
          </cell>
          <cell r="B8" t="str">
            <v>NOVOS NEGOCIOS</v>
          </cell>
        </row>
        <row r="9">
          <cell r="A9" t="str">
            <v>1100091002</v>
          </cell>
          <cell r="B9" t="str">
            <v>NOVOS NEGOCIOS</v>
          </cell>
        </row>
        <row r="10">
          <cell r="A10" t="str">
            <v>1100092</v>
          </cell>
          <cell r="B10" t="str">
            <v>MARKETING</v>
          </cell>
        </row>
        <row r="11">
          <cell r="A11" t="str">
            <v>1100092003</v>
          </cell>
          <cell r="B11" t="str">
            <v>MARKETING</v>
          </cell>
        </row>
        <row r="12">
          <cell r="A12" t="str">
            <v>12</v>
          </cell>
          <cell r="B12" t="str">
            <v>GERAIS E ADMINISTRATIVAS</v>
          </cell>
        </row>
        <row r="13">
          <cell r="A13" t="str">
            <v>1200</v>
          </cell>
          <cell r="B13" t="str">
            <v>NAO APLICAVEL</v>
          </cell>
        </row>
        <row r="14">
          <cell r="A14" t="str">
            <v>12000</v>
          </cell>
          <cell r="B14" t="str">
            <v>NAO APLICAVEL</v>
          </cell>
        </row>
        <row r="15">
          <cell r="A15" t="str">
            <v>1200093</v>
          </cell>
          <cell r="B15" t="str">
            <v>FINANCAS &amp; DESEMPENHO</v>
          </cell>
        </row>
        <row r="16">
          <cell r="A16" t="str">
            <v>1200093004</v>
          </cell>
          <cell r="B16" t="str">
            <v>FP&amp;A</v>
          </cell>
        </row>
        <row r="17">
          <cell r="A17" t="str">
            <v>1200094</v>
          </cell>
          <cell r="B17" t="str">
            <v>M&amp;A</v>
          </cell>
        </row>
        <row r="18">
          <cell r="A18" t="str">
            <v>1200094005</v>
          </cell>
          <cell r="B18" t="str">
            <v>M&amp;A</v>
          </cell>
        </row>
        <row r="19">
          <cell r="A19" t="str">
            <v>1200095</v>
          </cell>
          <cell r="B19" t="str">
            <v>OPERACOES</v>
          </cell>
        </row>
        <row r="20">
          <cell r="A20" t="str">
            <v>1200095006</v>
          </cell>
          <cell r="B20" t="str">
            <v>OPERACOES</v>
          </cell>
        </row>
        <row r="21">
          <cell r="A21" t="str">
            <v>1200097</v>
          </cell>
          <cell r="B21" t="str">
            <v>GESTÃO DE GENTE</v>
          </cell>
        </row>
        <row r="22">
          <cell r="A22" t="str">
            <v>1200097007</v>
          </cell>
          <cell r="B22" t="str">
            <v>GESTÃO DE GENTE</v>
          </cell>
        </row>
        <row r="23">
          <cell r="A23" t="str">
            <v>1200098</v>
          </cell>
          <cell r="B23" t="str">
            <v>OVERHEAD</v>
          </cell>
        </row>
        <row r="24">
          <cell r="A24" t="str">
            <v>1200098001</v>
          </cell>
          <cell r="B24" t="str">
            <v>OVERHEAD</v>
          </cell>
        </row>
        <row r="25">
          <cell r="A25" t="str">
            <v>2</v>
          </cell>
          <cell r="B25" t="str">
            <v>CENTRO DE SERVICOS COMPARTILHADOS</v>
          </cell>
        </row>
        <row r="26">
          <cell r="A26" t="str">
            <v>2000101000</v>
          </cell>
          <cell r="B26" t="str">
            <v>CAESB - EXP</v>
          </cell>
        </row>
        <row r="27">
          <cell r="A27" t="str">
            <v>2000201000</v>
          </cell>
          <cell r="B27" t="str">
            <v>CEB - EXP</v>
          </cell>
        </row>
        <row r="28">
          <cell r="A28" t="str">
            <v>2000301000</v>
          </cell>
          <cell r="B28" t="str">
            <v>SOCICAM - EXP</v>
          </cell>
        </row>
        <row r="29">
          <cell r="A29" t="str">
            <v>2000311000</v>
          </cell>
          <cell r="B29" t="str">
            <v>NOVO TERMINAL - EXP</v>
          </cell>
        </row>
        <row r="30">
          <cell r="A30" t="str">
            <v>2000401000</v>
          </cell>
          <cell r="B30" t="str">
            <v>MATRIZ - ADM - EXP</v>
          </cell>
        </row>
        <row r="31">
          <cell r="A31" t="str">
            <v>22</v>
          </cell>
          <cell r="B31" t="str">
            <v>GERAIS E ADMINISTRATIVAS</v>
          </cell>
        </row>
        <row r="32">
          <cell r="A32" t="str">
            <v>2200</v>
          </cell>
          <cell r="B32" t="str">
            <v>NAO APLICAVEL</v>
          </cell>
        </row>
        <row r="33">
          <cell r="A33" t="str">
            <v>22000</v>
          </cell>
          <cell r="B33" t="str">
            <v>NAO APLICAVEL</v>
          </cell>
        </row>
        <row r="34">
          <cell r="A34" t="str">
            <v>2200093</v>
          </cell>
          <cell r="B34" t="str">
            <v>FP&amp;A</v>
          </cell>
        </row>
        <row r="35">
          <cell r="A35" t="str">
            <v>2200093009</v>
          </cell>
          <cell r="B35" t="str">
            <v>CONTABILIDADE</v>
          </cell>
        </row>
        <row r="36">
          <cell r="A36" t="str">
            <v>2200093010</v>
          </cell>
          <cell r="B36" t="str">
            <v>FINANCEIRO</v>
          </cell>
        </row>
        <row r="37">
          <cell r="A37" t="str">
            <v>2200093011</v>
          </cell>
          <cell r="B37" t="str">
            <v>ADMINISTRACAO DE PESSOAL</v>
          </cell>
        </row>
        <row r="38">
          <cell r="A38" t="str">
            <v>2200093012</v>
          </cell>
          <cell r="B38" t="str">
            <v>FISCAL</v>
          </cell>
        </row>
        <row r="39">
          <cell r="A39" t="str">
            <v>2200093013</v>
          </cell>
          <cell r="B39" t="str">
            <v>TI</v>
          </cell>
        </row>
        <row r="40">
          <cell r="A40" t="str">
            <v>2200093014</v>
          </cell>
          <cell r="B40" t="str">
            <v>FATURAMENTO</v>
          </cell>
        </row>
        <row r="41">
          <cell r="A41" t="str">
            <v>2200093015</v>
          </cell>
          <cell r="B41" t="str">
            <v>GESTAO DE CONTRATOS</v>
          </cell>
        </row>
        <row r="42">
          <cell r="A42" t="str">
            <v>2200093016</v>
          </cell>
          <cell r="B42" t="str">
            <v>SAC</v>
          </cell>
        </row>
        <row r="43">
          <cell r="A43" t="str">
            <v>2200093017</v>
          </cell>
          <cell r="B43" t="str">
            <v>COMPRAS</v>
          </cell>
        </row>
        <row r="44">
          <cell r="A44" t="str">
            <v>2200093018</v>
          </cell>
          <cell r="B44" t="str">
            <v>ADMINISTRATIVO</v>
          </cell>
        </row>
        <row r="45">
          <cell r="A45" t="str">
            <v>2200093019</v>
          </cell>
          <cell r="B45" t="str">
            <v>INTEGRACAO EMPRESAS</v>
          </cell>
        </row>
        <row r="46">
          <cell r="A46" t="str">
            <v>2200093020</v>
          </cell>
          <cell r="B46" t="str">
            <v>LIDERANCA CSC</v>
          </cell>
        </row>
        <row r="47">
          <cell r="A47" t="str">
            <v>2200095</v>
          </cell>
          <cell r="B47" t="str">
            <v>OPERACOES</v>
          </cell>
        </row>
        <row r="48">
          <cell r="A48" t="str">
            <v>2200095008</v>
          </cell>
          <cell r="B48" t="str">
            <v>AUDITORIA OPERACIONAL</v>
          </cell>
        </row>
        <row r="49">
          <cell r="A49" t="str">
            <v>2200095014</v>
          </cell>
          <cell r="B49" t="str">
            <v>ENGENHARIA</v>
          </cell>
        </row>
        <row r="50">
          <cell r="A50" t="str">
            <v>2200095018</v>
          </cell>
          <cell r="B50" t="str">
            <v>MANUTENCAO</v>
          </cell>
        </row>
        <row r="51">
          <cell r="A51" t="str">
            <v>2200095019</v>
          </cell>
          <cell r="B51" t="str">
            <v>FUNCIONARIO VOLANTE</v>
          </cell>
        </row>
        <row r="52">
          <cell r="A52" t="str">
            <v>2200096</v>
          </cell>
          <cell r="B52" t="str">
            <v>JURIDICO</v>
          </cell>
        </row>
        <row r="53">
          <cell r="A53" t="str">
            <v>2200096012</v>
          </cell>
          <cell r="B53" t="str">
            <v>JURIDICO</v>
          </cell>
        </row>
        <row r="54">
          <cell r="A54" t="str">
            <v>2200097</v>
          </cell>
          <cell r="B54" t="str">
            <v>GESTÃO DE GENTE</v>
          </cell>
        </row>
        <row r="55">
          <cell r="A55" t="str">
            <v>2200097019</v>
          </cell>
          <cell r="B55" t="str">
            <v>SERVICOS GERAIS</v>
          </cell>
        </row>
        <row r="56">
          <cell r="A56" t="str">
            <v>2200098</v>
          </cell>
          <cell r="B56" t="str">
            <v>EXPLORA</v>
          </cell>
        </row>
        <row r="57">
          <cell r="A57" t="str">
            <v>3</v>
          </cell>
          <cell r="B57" t="str">
            <v>OPERACAO</v>
          </cell>
        </row>
        <row r="58">
          <cell r="A58" t="str">
            <v>33</v>
          </cell>
          <cell r="B58" t="str">
            <v>OPERACIONAL</v>
          </cell>
        </row>
        <row r="59">
          <cell r="A59" t="str">
            <v>3300</v>
          </cell>
          <cell r="B59" t="str">
            <v>NAO APLICAVEL</v>
          </cell>
        </row>
        <row r="60">
          <cell r="A60" t="str">
            <v>33000</v>
          </cell>
          <cell r="B60" t="str">
            <v>NAO APLICAVEL</v>
          </cell>
        </row>
        <row r="61">
          <cell r="A61" t="str">
            <v>3300001</v>
          </cell>
          <cell r="B61" t="str">
            <v>PARE BEM</v>
          </cell>
        </row>
        <row r="62">
          <cell r="A62" t="str">
            <v>3300001001</v>
          </cell>
          <cell r="B62" t="str">
            <v>CUPECE - PB</v>
          </cell>
        </row>
        <row r="63">
          <cell r="A63" t="str">
            <v>3300002</v>
          </cell>
          <cell r="B63" t="str">
            <v>PARE CAR</v>
          </cell>
        </row>
        <row r="64">
          <cell r="A64" t="str">
            <v>3300002001</v>
          </cell>
          <cell r="B64" t="str">
            <v>MATRIZ PARE CAR</v>
          </cell>
        </row>
        <row r="65">
          <cell r="A65" t="str">
            <v>3300003</v>
          </cell>
          <cell r="B65" t="str">
            <v>OBJECTIVE</v>
          </cell>
        </row>
        <row r="66">
          <cell r="A66" t="str">
            <v>3300004</v>
          </cell>
          <cell r="B66" t="str">
            <v>INFINITY</v>
          </cell>
        </row>
        <row r="67">
          <cell r="A67" t="str">
            <v>3300004001</v>
          </cell>
          <cell r="B67" t="str">
            <v>MATRIZ INFINITY</v>
          </cell>
        </row>
        <row r="68">
          <cell r="A68" t="str">
            <v>3300005</v>
          </cell>
          <cell r="B68" t="str">
            <v>PARE SEMPRE</v>
          </cell>
        </row>
        <row r="69">
          <cell r="A69" t="str">
            <v>3300005001</v>
          </cell>
          <cell r="B69" t="str">
            <v>MATRIZ PARE SEMPRE</v>
          </cell>
        </row>
        <row r="70">
          <cell r="A70" t="str">
            <v>3300006</v>
          </cell>
          <cell r="B70" t="str">
            <v>RS BRAND</v>
          </cell>
        </row>
        <row r="71">
          <cell r="A71" t="str">
            <v>3300007</v>
          </cell>
          <cell r="B71" t="str">
            <v>MASTER PARK</v>
          </cell>
        </row>
        <row r="72">
          <cell r="A72" t="str">
            <v>3300008</v>
          </cell>
          <cell r="B72" t="str">
            <v>EXPLORA</v>
          </cell>
        </row>
        <row r="73">
          <cell r="A73" t="str">
            <v>3300101000</v>
          </cell>
          <cell r="B73" t="str">
            <v>ANDRADINA -EXP</v>
          </cell>
        </row>
        <row r="74">
          <cell r="A74" t="str">
            <v>3300201000</v>
          </cell>
          <cell r="B74" t="str">
            <v>TUBARAO - EXP</v>
          </cell>
        </row>
        <row r="75">
          <cell r="A75" t="str">
            <v>3300301000</v>
          </cell>
          <cell r="B75" t="str">
            <v>APUCARANA - EXP</v>
          </cell>
        </row>
        <row r="76">
          <cell r="A76" t="str">
            <v>3300401000</v>
          </cell>
          <cell r="B76" t="str">
            <v>CATALAO - EXP</v>
          </cell>
        </row>
        <row r="77">
          <cell r="A77" t="str">
            <v>33005</v>
          </cell>
          <cell r="B77" t="str">
            <v>CURTO PRAZO - ALUGUEL FIXO</v>
          </cell>
        </row>
        <row r="78">
          <cell r="A78" t="str">
            <v>3300501</v>
          </cell>
          <cell r="B78" t="str">
            <v>PARE BEM</v>
          </cell>
        </row>
        <row r="79">
          <cell r="A79" t="str">
            <v>3300501000</v>
          </cell>
          <cell r="B79" t="str">
            <v>RIO VERDE - EXP</v>
          </cell>
        </row>
        <row r="80">
          <cell r="A80" t="str">
            <v>3300501001</v>
          </cell>
          <cell r="B80" t="str">
            <v>CONSELHEIRO RAMALHO - PB</v>
          </cell>
        </row>
        <row r="81">
          <cell r="A81" t="str">
            <v>3300502001</v>
          </cell>
          <cell r="B81" t="str">
            <v>CAMBUCI - PC</v>
          </cell>
        </row>
        <row r="82">
          <cell r="A82" t="str">
            <v>33006</v>
          </cell>
          <cell r="B82" t="str">
            <v>CURTO PRAZO - RECEITA</v>
          </cell>
        </row>
        <row r="83">
          <cell r="A83" t="str">
            <v>3300601</v>
          </cell>
          <cell r="B83" t="str">
            <v>PARE BEM</v>
          </cell>
        </row>
        <row r="84">
          <cell r="A84" t="str">
            <v>3300601000</v>
          </cell>
          <cell r="B84" t="str">
            <v>ATIBAIA -EXP</v>
          </cell>
        </row>
        <row r="85">
          <cell r="A85" t="str">
            <v>3300601001</v>
          </cell>
          <cell r="B85" t="str">
            <v>INDICO - PB</v>
          </cell>
        </row>
        <row r="86">
          <cell r="A86" t="str">
            <v>3300601002</v>
          </cell>
          <cell r="B86" t="str">
            <v>MARECHAL - PB</v>
          </cell>
        </row>
        <row r="87">
          <cell r="A87" t="str">
            <v>3300601003</v>
          </cell>
          <cell r="B87" t="str">
            <v>GOIABEIRAS - PB</v>
          </cell>
        </row>
        <row r="88">
          <cell r="A88" t="str">
            <v>3300601004</v>
          </cell>
          <cell r="B88" t="str">
            <v>GRUMIXAMAS - PB</v>
          </cell>
        </row>
        <row r="89">
          <cell r="A89" t="str">
            <v>3300601005</v>
          </cell>
          <cell r="B89" t="str">
            <v>QUINTANILHA - PB</v>
          </cell>
        </row>
        <row r="90">
          <cell r="A90" t="str">
            <v>3300602</v>
          </cell>
          <cell r="B90" t="str">
            <v>PARE CAR</v>
          </cell>
        </row>
        <row r="91">
          <cell r="A91" t="str">
            <v>3300602001</v>
          </cell>
          <cell r="B91" t="str">
            <v>GRUMIXAMAS - PC</v>
          </cell>
        </row>
        <row r="92">
          <cell r="A92" t="str">
            <v>33007</v>
          </cell>
          <cell r="B92" t="str">
            <v>CURTO PRAZO - ROL</v>
          </cell>
        </row>
        <row r="93">
          <cell r="A93" t="str">
            <v>3300701</v>
          </cell>
          <cell r="B93" t="str">
            <v>PARE BEM</v>
          </cell>
        </row>
        <row r="94">
          <cell r="A94" t="str">
            <v>3300701000</v>
          </cell>
          <cell r="B94" t="str">
            <v>MANAUS - EXP</v>
          </cell>
        </row>
        <row r="95">
          <cell r="A95" t="str">
            <v>3300701001</v>
          </cell>
          <cell r="B95" t="str">
            <v>PEDROSO ALVARENGA - PB</v>
          </cell>
        </row>
        <row r="96">
          <cell r="A96" t="str">
            <v>33008</v>
          </cell>
          <cell r="B96" t="str">
            <v>CURTO PRAZO - MO</v>
          </cell>
        </row>
        <row r="97">
          <cell r="A97" t="str">
            <v>3300801</v>
          </cell>
          <cell r="B97" t="str">
            <v>PARE BEM</v>
          </cell>
        </row>
        <row r="98">
          <cell r="A98" t="str">
            <v>3300801000</v>
          </cell>
          <cell r="B98" t="str">
            <v>SAO VICENTE - EXP</v>
          </cell>
        </row>
        <row r="99">
          <cell r="A99" t="str">
            <v>3300801001</v>
          </cell>
          <cell r="B99" t="str">
            <v>RI HAPPY - DOMINGOS DE MORAES - PB</v>
          </cell>
        </row>
        <row r="100">
          <cell r="A100" t="str">
            <v>3300801002</v>
          </cell>
          <cell r="B100" t="str">
            <v>RI HAPPY - MIRUNA - PB</v>
          </cell>
        </row>
        <row r="101">
          <cell r="A101" t="str">
            <v>3300901000</v>
          </cell>
          <cell r="B101" t="str">
            <v>DOURADOS - EXP</v>
          </cell>
        </row>
        <row r="102">
          <cell r="A102" t="str">
            <v>3301</v>
          </cell>
          <cell r="B102" t="str">
            <v>AEROPORTOS</v>
          </cell>
        </row>
        <row r="103">
          <cell r="A103" t="str">
            <v>3301001000</v>
          </cell>
          <cell r="B103" t="str">
            <v>POCOS DE CALDAS - EXP</v>
          </cell>
        </row>
        <row r="104">
          <cell r="A104" t="str">
            <v>3301011000</v>
          </cell>
          <cell r="B104" t="str">
            <v>ARAGUARI - EXP</v>
          </cell>
        </row>
        <row r="105">
          <cell r="A105" t="str">
            <v>3301011001</v>
          </cell>
          <cell r="B105" t="str">
            <v>P&amp;D + IMPLANTAÇÃO - EXP</v>
          </cell>
        </row>
        <row r="106">
          <cell r="A106" t="str">
            <v>3301011002</v>
          </cell>
          <cell r="B106" t="str">
            <v>MONITORAMENTO CAESB</v>
          </cell>
        </row>
        <row r="107">
          <cell r="A107" t="str">
            <v>3301011003</v>
          </cell>
          <cell r="B107" t="str">
            <v>MONITORAMENTO CEB</v>
          </cell>
        </row>
        <row r="108">
          <cell r="A108" t="str">
            <v>3301011004</v>
          </cell>
          <cell r="B108" t="str">
            <v>MONITORAMENTO SOCICAM</v>
          </cell>
        </row>
        <row r="109">
          <cell r="A109" t="str">
            <v>3301011005</v>
          </cell>
          <cell r="B109" t="str">
            <v>MONITORAMENTO NOVO TERMINAL</v>
          </cell>
        </row>
        <row r="110">
          <cell r="A110" t="str">
            <v>33011</v>
          </cell>
          <cell r="B110" t="str">
            <v>CONCESSAO PUBLICA - OFFSTREET</v>
          </cell>
        </row>
        <row r="111">
          <cell r="A111" t="str">
            <v>3301101</v>
          </cell>
          <cell r="B111" t="str">
            <v>PAREBEM</v>
          </cell>
        </row>
        <row r="112">
          <cell r="A112" t="str">
            <v>3301107</v>
          </cell>
          <cell r="B112" t="str">
            <v>MASTER PARK</v>
          </cell>
        </row>
        <row r="113">
          <cell r="A113" t="str">
            <v>3301107016</v>
          </cell>
          <cell r="B113" t="str">
            <v>AEROPORTO FORTALEZA</v>
          </cell>
        </row>
        <row r="114">
          <cell r="A114" t="str">
            <v>3301107601</v>
          </cell>
          <cell r="B114" t="str">
            <v>AEROPORTO GOIANIA - MP</v>
          </cell>
        </row>
        <row r="115">
          <cell r="A115" t="str">
            <v>3301107602</v>
          </cell>
          <cell r="B115" t="str">
            <v>AEROPORTO DE FORTALEZA - MP</v>
          </cell>
        </row>
        <row r="116">
          <cell r="A116" t="str">
            <v>3301107801</v>
          </cell>
          <cell r="B116" t="str">
            <v>AEROPORTO DE BELEM - MP</v>
          </cell>
        </row>
        <row r="117">
          <cell r="A117" t="str">
            <v>3301107802</v>
          </cell>
          <cell r="B117" t="str">
            <v>AEROPORTO SAO LUIZ - MP</v>
          </cell>
        </row>
        <row r="118">
          <cell r="A118" t="str">
            <v>33015</v>
          </cell>
          <cell r="B118" t="str">
            <v>CURTO PRAZO - ALUGUEL FIXO</v>
          </cell>
        </row>
        <row r="119">
          <cell r="A119" t="str">
            <v>3301501</v>
          </cell>
          <cell r="B119" t="str">
            <v>PARE BEM</v>
          </cell>
        </row>
        <row r="120">
          <cell r="A120" t="str">
            <v>3301501501</v>
          </cell>
          <cell r="B120" t="str">
            <v>LAGOA SANTA - CONFINS - PB</v>
          </cell>
        </row>
        <row r="121">
          <cell r="A121" t="str">
            <v>3301501901</v>
          </cell>
          <cell r="B121" t="str">
            <v>AEROP. CURITIBA - PB</v>
          </cell>
        </row>
        <row r="122">
          <cell r="A122" t="str">
            <v>3302</v>
          </cell>
          <cell r="B122" t="str">
            <v>EDIFICIO COMERCIAL</v>
          </cell>
        </row>
        <row r="123">
          <cell r="A123" t="str">
            <v>33021</v>
          </cell>
          <cell r="B123" t="str">
            <v>CONCESSAO PUBLICA - OFFSTREET</v>
          </cell>
        </row>
        <row r="124">
          <cell r="A124" t="str">
            <v>330210</v>
          </cell>
          <cell r="B124" t="str">
            <v>OUTROS</v>
          </cell>
        </row>
        <row r="125">
          <cell r="A125" t="str">
            <v>33021008</v>
          </cell>
          <cell r="B125" t="str">
            <v>CENTER PARK</v>
          </cell>
        </row>
        <row r="126">
          <cell r="A126" t="str">
            <v>3302101</v>
          </cell>
          <cell r="B126" t="str">
            <v>PARE BEM</v>
          </cell>
        </row>
        <row r="127">
          <cell r="A127" t="str">
            <v>3302102</v>
          </cell>
          <cell r="B127" t="str">
            <v>PARE CAR</v>
          </cell>
        </row>
        <row r="128">
          <cell r="A128" t="str">
            <v>33022</v>
          </cell>
          <cell r="B128" t="str">
            <v>CONCESSAO PUBLICA - ONSTREET</v>
          </cell>
        </row>
        <row r="129">
          <cell r="A129" t="str">
            <v>3302201</v>
          </cell>
          <cell r="B129" t="str">
            <v>PAREBEM</v>
          </cell>
        </row>
        <row r="130">
          <cell r="A130" t="str">
            <v>33024</v>
          </cell>
          <cell r="B130" t="str">
            <v>ATIVO PROPRIO</v>
          </cell>
        </row>
        <row r="131">
          <cell r="A131" t="str">
            <v>3302401</v>
          </cell>
          <cell r="B131" t="str">
            <v>PARE BEM</v>
          </cell>
        </row>
        <row r="132">
          <cell r="A132" t="str">
            <v>3302401001</v>
          </cell>
          <cell r="B132" t="str">
            <v>ALPHAVILLE - PB</v>
          </cell>
        </row>
        <row r="133">
          <cell r="A133" t="str">
            <v>33025</v>
          </cell>
          <cell r="B133" t="str">
            <v>CURTO PRAZO - ALUGUEL FIXO</v>
          </cell>
        </row>
        <row r="134">
          <cell r="A134" t="str">
            <v>3302501</v>
          </cell>
          <cell r="B134" t="str">
            <v>PARE BEM</v>
          </cell>
        </row>
        <row r="135">
          <cell r="A135" t="str">
            <v>3302501001</v>
          </cell>
          <cell r="B135" t="str">
            <v>FARIA LIMA - PB</v>
          </cell>
        </row>
        <row r="136">
          <cell r="A136" t="str">
            <v>3302501002</v>
          </cell>
          <cell r="B136" t="str">
            <v>APENINOS - PB</v>
          </cell>
        </row>
        <row r="137">
          <cell r="A137" t="str">
            <v>3302501003</v>
          </cell>
          <cell r="B137" t="str">
            <v>SILVA BUENO - PB</v>
          </cell>
        </row>
        <row r="138">
          <cell r="A138" t="str">
            <v>3302501004</v>
          </cell>
          <cell r="B138" t="str">
            <v>REBOUCAS - PB</v>
          </cell>
        </row>
        <row r="139">
          <cell r="A139" t="str">
            <v>3302502</v>
          </cell>
          <cell r="B139" t="str">
            <v>PARE CAR</v>
          </cell>
        </row>
        <row r="140">
          <cell r="A140" t="str">
            <v>3302502001</v>
          </cell>
          <cell r="B140" t="str">
            <v>REBOUCAS - PC</v>
          </cell>
        </row>
        <row r="141">
          <cell r="A141" t="str">
            <v>3302509</v>
          </cell>
          <cell r="B141" t="str">
            <v>DIAS PARK</v>
          </cell>
        </row>
        <row r="142">
          <cell r="A142" t="str">
            <v>3302509301</v>
          </cell>
          <cell r="B142" t="str">
            <v>CARDOSO DE MORAES - G27 - GE</v>
          </cell>
        </row>
        <row r="143">
          <cell r="A143" t="str">
            <v>3302510</v>
          </cell>
          <cell r="B143" t="str">
            <v>GE PARK</v>
          </cell>
        </row>
        <row r="144">
          <cell r="A144" t="str">
            <v>3302510301</v>
          </cell>
          <cell r="B144" t="str">
            <v>PRINCESS  COPACABANA - G17 - GP</v>
          </cell>
        </row>
        <row r="145">
          <cell r="A145" t="str">
            <v>3302510302</v>
          </cell>
          <cell r="B145" t="str">
            <v>SAO FRANCISCO XAVIER - G-05 - GP</v>
          </cell>
        </row>
        <row r="146">
          <cell r="A146" t="str">
            <v>33026</v>
          </cell>
          <cell r="B146" t="str">
            <v>CURTO PRAZO RECEITA</v>
          </cell>
        </row>
        <row r="147">
          <cell r="A147" t="str">
            <v>3302607</v>
          </cell>
          <cell r="B147" t="str">
            <v>MASTER PARK</v>
          </cell>
        </row>
        <row r="148">
          <cell r="A148" t="str">
            <v>3302607601</v>
          </cell>
          <cell r="B148" t="str">
            <v>MILLENIUM - MP</v>
          </cell>
        </row>
        <row r="149">
          <cell r="A149" t="str">
            <v>3302607602</v>
          </cell>
          <cell r="B149" t="str">
            <v>SALVADOR BUSINESS - MP</v>
          </cell>
        </row>
        <row r="150">
          <cell r="A150" t="str">
            <v>3302608</v>
          </cell>
          <cell r="B150" t="str">
            <v>CENTER PARK</v>
          </cell>
        </row>
        <row r="151">
          <cell r="A151" t="str">
            <v>3302608301</v>
          </cell>
          <cell r="B151" t="str">
            <v>FREEWAY - CP</v>
          </cell>
        </row>
        <row r="152">
          <cell r="A152" t="str">
            <v>3302608303</v>
          </cell>
          <cell r="B152" t="str">
            <v>LINK OFFICE - CP</v>
          </cell>
        </row>
        <row r="153">
          <cell r="A153" t="str">
            <v>3302608304</v>
          </cell>
          <cell r="B153" t="str">
            <v>FLEX CENTER - G - 06 - CP</v>
          </cell>
        </row>
        <row r="154">
          <cell r="A154" t="str">
            <v>3302608306</v>
          </cell>
          <cell r="B154" t="str">
            <v>TRADE CENTER (D´ARAUJO) - CP</v>
          </cell>
        </row>
        <row r="155">
          <cell r="A155" t="str">
            <v>3302608307</v>
          </cell>
          <cell r="B155" t="str">
            <v>MIDTOWN -G31- CP</v>
          </cell>
        </row>
        <row r="156">
          <cell r="A156" t="str">
            <v>3302608308</v>
          </cell>
          <cell r="B156" t="str">
            <v>TIJUCA OFFICE CENTER - G-43 - CP</v>
          </cell>
        </row>
        <row r="157">
          <cell r="A157" t="str">
            <v>3302608309</v>
          </cell>
          <cell r="B157" t="str">
            <v>PRAIA DO FLAMENGO 200 - CP</v>
          </cell>
        </row>
        <row r="158">
          <cell r="A158" t="str">
            <v>3302608310</v>
          </cell>
          <cell r="B158" t="str">
            <v>SEDE EMPRESAS - CP</v>
          </cell>
        </row>
        <row r="159">
          <cell r="A159" t="str">
            <v>3302608311</v>
          </cell>
          <cell r="B159" t="str">
            <v>LEBLON CORPORATE - CP</v>
          </cell>
        </row>
        <row r="160">
          <cell r="A160" t="str">
            <v>3302610</v>
          </cell>
          <cell r="B160" t="str">
            <v>GE PARK</v>
          </cell>
        </row>
        <row r="161">
          <cell r="A161" t="str">
            <v>3302610301</v>
          </cell>
          <cell r="B161" t="str">
            <v>MOURISCO - GP</v>
          </cell>
        </row>
        <row r="162">
          <cell r="A162" t="str">
            <v>3302610302</v>
          </cell>
          <cell r="B162" t="str">
            <v>RIO METROPOLITAN - RM CENTRO - GP</v>
          </cell>
        </row>
        <row r="163">
          <cell r="A163" t="str">
            <v>3302610303</v>
          </cell>
          <cell r="B163" t="str">
            <v>BARATA  RIBEIRO - GP</v>
          </cell>
        </row>
        <row r="164">
          <cell r="A164" t="str">
            <v>3302610304</v>
          </cell>
          <cell r="B164" t="str">
            <v>PIT STOP - G01 - GP</v>
          </cell>
        </row>
        <row r="165">
          <cell r="A165" t="str">
            <v>3302610305</v>
          </cell>
          <cell r="B165" t="str">
            <v>RINK PLAZA - GP</v>
          </cell>
        </row>
        <row r="166">
          <cell r="A166" t="str">
            <v>3302610306</v>
          </cell>
          <cell r="B166" t="str">
            <v>IPANEMA 2000 - G19 - GP</v>
          </cell>
        </row>
        <row r="167">
          <cell r="A167" t="str">
            <v>3302610307</v>
          </cell>
          <cell r="B167" t="str">
            <v>NITEROI TERMINAL - G-28 - GP</v>
          </cell>
        </row>
        <row r="168">
          <cell r="A168" t="str">
            <v>33027</v>
          </cell>
          <cell r="B168" t="str">
            <v>CURTO PRAZO - ROL</v>
          </cell>
        </row>
        <row r="169">
          <cell r="A169" t="str">
            <v>3302701</v>
          </cell>
          <cell r="B169" t="str">
            <v>PARE BEM</v>
          </cell>
        </row>
        <row r="170">
          <cell r="A170" t="str">
            <v>3302701201</v>
          </cell>
          <cell r="B170" t="str">
            <v>MOGI DAS CRUZES - PB</v>
          </cell>
        </row>
        <row r="171">
          <cell r="A171" t="str">
            <v>3302707</v>
          </cell>
          <cell r="B171" t="str">
            <v>MASTER PARK</v>
          </cell>
        </row>
        <row r="172">
          <cell r="A172" t="str">
            <v>3302707601</v>
          </cell>
          <cell r="B172" t="str">
            <v>PARQUE CIDADE SCP - MP</v>
          </cell>
        </row>
        <row r="173">
          <cell r="A173" t="str">
            <v>3302708</v>
          </cell>
          <cell r="B173" t="str">
            <v>CENTER PARK</v>
          </cell>
        </row>
        <row r="174">
          <cell r="A174" t="str">
            <v>3302708301</v>
          </cell>
          <cell r="B174" t="str">
            <v>PARADISO - CP</v>
          </cell>
        </row>
        <row r="175">
          <cell r="A175" t="str">
            <v>3302710</v>
          </cell>
          <cell r="B175" t="str">
            <v>GE PARK</v>
          </cell>
        </row>
        <row r="176">
          <cell r="A176" t="str">
            <v>3302710301</v>
          </cell>
          <cell r="B176" t="str">
            <v>PETRO OFFICE - GP</v>
          </cell>
        </row>
        <row r="177">
          <cell r="A177" t="str">
            <v>3302710302</v>
          </cell>
          <cell r="B177" t="str">
            <v>HOTEL IBIS - COPACABANA - GP</v>
          </cell>
        </row>
        <row r="178">
          <cell r="A178" t="str">
            <v>3302710303</v>
          </cell>
          <cell r="B178" t="str">
            <v>MACAE PALACE - GP</v>
          </cell>
        </row>
        <row r="179">
          <cell r="A179" t="str">
            <v>3302710304</v>
          </cell>
          <cell r="B179" t="str">
            <v>AMSTERDAM SAUER - GP</v>
          </cell>
        </row>
        <row r="180">
          <cell r="A180" t="str">
            <v>3302710305</v>
          </cell>
          <cell r="B180" t="str">
            <v>VIANENSE - NOVA IGUACU - GP</v>
          </cell>
        </row>
        <row r="181">
          <cell r="A181" t="str">
            <v>3302710306</v>
          </cell>
          <cell r="B181" t="str">
            <v>HUMAITA CORPORATE IBAM - GP</v>
          </cell>
        </row>
        <row r="182">
          <cell r="A182" t="str">
            <v>3302710307</v>
          </cell>
          <cell r="B182" t="str">
            <v>HELIUX - GP</v>
          </cell>
        </row>
        <row r="183">
          <cell r="A183" t="str">
            <v>3302710308</v>
          </cell>
          <cell r="B183" t="str">
            <v>THE GREEN OFFICES - GP</v>
          </cell>
        </row>
        <row r="184">
          <cell r="A184" t="str">
            <v>3302710309</v>
          </cell>
          <cell r="B184" t="str">
            <v>IBOL - PRAIA DE BOTAFOGO - GP</v>
          </cell>
        </row>
        <row r="185">
          <cell r="A185" t="str">
            <v>3302710310</v>
          </cell>
          <cell r="B185" t="str">
            <v>LE MONDE OFFICE LIFE - GP</v>
          </cell>
        </row>
        <row r="186">
          <cell r="A186" t="str">
            <v>3302710311</v>
          </cell>
          <cell r="B186" t="str">
            <v>RIO OFFICE PARK - G-33 - GP</v>
          </cell>
        </row>
        <row r="187">
          <cell r="A187" t="str">
            <v>3302710312</v>
          </cell>
          <cell r="B187" t="str">
            <v>GAIA VC - GP</v>
          </cell>
        </row>
        <row r="188">
          <cell r="A188" t="str">
            <v>3302710313</v>
          </cell>
          <cell r="B188" t="str">
            <v>BOULEVARD 28 - GP</v>
          </cell>
        </row>
        <row r="189">
          <cell r="A189" t="str">
            <v>33028</v>
          </cell>
          <cell r="B189" t="str">
            <v>CURTO PRAZO MO</v>
          </cell>
        </row>
        <row r="190">
          <cell r="A190" t="str">
            <v>3302807</v>
          </cell>
          <cell r="B190" t="str">
            <v>MASTER PARK</v>
          </cell>
        </row>
        <row r="191">
          <cell r="A191" t="str">
            <v>3302807601</v>
          </cell>
          <cell r="B191" t="str">
            <v>PARQUE CIDADE MOB - MP</v>
          </cell>
        </row>
        <row r="192">
          <cell r="A192" t="str">
            <v>3302808</v>
          </cell>
          <cell r="B192" t="str">
            <v>CENTER PARK</v>
          </cell>
        </row>
        <row r="193">
          <cell r="A193" t="str">
            <v>3302808301</v>
          </cell>
          <cell r="B193" t="str">
            <v>MANCHETE - CP</v>
          </cell>
        </row>
        <row r="194">
          <cell r="A194" t="str">
            <v>3302808302</v>
          </cell>
          <cell r="B194" t="str">
            <v>VISCONDE DE INHAUMA - CP</v>
          </cell>
        </row>
        <row r="195">
          <cell r="A195" t="str">
            <v>3302808303</v>
          </cell>
          <cell r="B195" t="str">
            <v>ATAULFO CORPORATE - CP</v>
          </cell>
        </row>
        <row r="196">
          <cell r="A196" t="str">
            <v>3302808304</v>
          </cell>
          <cell r="B196" t="str">
            <v>PRESIDENTE WILSON - CP</v>
          </cell>
        </row>
        <row r="197">
          <cell r="A197" t="str">
            <v>3302808305</v>
          </cell>
          <cell r="B197" t="str">
            <v>BRASIF - CP</v>
          </cell>
        </row>
        <row r="198">
          <cell r="A198" t="str">
            <v>3302810</v>
          </cell>
          <cell r="B198" t="str">
            <v>GE PARK</v>
          </cell>
        </row>
        <row r="199">
          <cell r="A199" t="str">
            <v>3302810301</v>
          </cell>
          <cell r="B199" t="str">
            <v>VINCI PARTNES - EDIFICIO SEDE - GP</v>
          </cell>
        </row>
        <row r="200">
          <cell r="A200" t="str">
            <v>3302810302</v>
          </cell>
          <cell r="B200" t="str">
            <v>VALET LOUIS VUITTON - IPA 2000 - GP</v>
          </cell>
        </row>
        <row r="201">
          <cell r="A201" t="str">
            <v>3302810303</v>
          </cell>
          <cell r="B201" t="str">
            <v>INFRABARRA - GP</v>
          </cell>
        </row>
        <row r="202">
          <cell r="A202" t="str">
            <v>33029</v>
          </cell>
          <cell r="B202" t="str">
            <v>OUTROS</v>
          </cell>
        </row>
        <row r="203">
          <cell r="A203" t="str">
            <v>3302901001</v>
          </cell>
          <cell r="B203" t="str">
            <v>EDIFICIO FARIA LIMA BUSINESS CENTER - PB</v>
          </cell>
        </row>
        <row r="204">
          <cell r="A204" t="str">
            <v>3302901002</v>
          </cell>
          <cell r="B204" t="str">
            <v>KASA 99 - PB</v>
          </cell>
        </row>
        <row r="205">
          <cell r="A205" t="str">
            <v>3302901201</v>
          </cell>
          <cell r="B205" t="str">
            <v>GREEN HOUSE INDAIATUBA - PB</v>
          </cell>
        </row>
        <row r="206">
          <cell r="A206" t="str">
            <v>3302901202</v>
          </cell>
          <cell r="B206" t="str">
            <v>ROYAL PALM PLAZA</v>
          </cell>
        </row>
        <row r="207">
          <cell r="A207" t="str">
            <v>3302901301</v>
          </cell>
          <cell r="B207" t="str">
            <v>BOTAFOGO TRADE CENTER -PB</v>
          </cell>
        </row>
        <row r="208">
          <cell r="A208" t="str">
            <v>3302908</v>
          </cell>
          <cell r="B208" t="str">
            <v>CENTER PARK</v>
          </cell>
        </row>
        <row r="209">
          <cell r="A209" t="str">
            <v>3302908301</v>
          </cell>
          <cell r="B209" t="str">
            <v>MAP BARRA - CP</v>
          </cell>
        </row>
        <row r="210">
          <cell r="A210" t="str">
            <v>3302908302</v>
          </cell>
          <cell r="B210" t="str">
            <v>VERANO - CP</v>
          </cell>
        </row>
        <row r="211">
          <cell r="A211" t="str">
            <v>3302908303</v>
          </cell>
          <cell r="B211" t="str">
            <v>CENTRAL PARKING - G-02 - CP</v>
          </cell>
        </row>
        <row r="212">
          <cell r="A212" t="str">
            <v>3302908304</v>
          </cell>
          <cell r="B212" t="str">
            <v>CONDOMINIO ATLANTICO PALACE - CP</v>
          </cell>
        </row>
        <row r="213">
          <cell r="A213" t="str">
            <v>3303</v>
          </cell>
          <cell r="B213" t="str">
            <v>ESTADIO</v>
          </cell>
        </row>
        <row r="214">
          <cell r="A214" t="str">
            <v>33031</v>
          </cell>
          <cell r="B214" t="str">
            <v>CONCESSAO PUBLICA - OFFSTREET</v>
          </cell>
        </row>
        <row r="215">
          <cell r="A215" t="str">
            <v>3303101</v>
          </cell>
          <cell r="B215" t="str">
            <v>PAREBEM</v>
          </cell>
        </row>
        <row r="216">
          <cell r="A216" t="str">
            <v>33036</v>
          </cell>
          <cell r="B216" t="str">
            <v>CURTO PRAZO - RECEITA</v>
          </cell>
        </row>
        <row r="217">
          <cell r="A217" t="str">
            <v>3303601</v>
          </cell>
          <cell r="B217" t="str">
            <v>PARE BEM</v>
          </cell>
        </row>
        <row r="218">
          <cell r="A218" t="str">
            <v>3303601001</v>
          </cell>
          <cell r="B218" t="str">
            <v>ITAQUERA - PB</v>
          </cell>
        </row>
        <row r="219">
          <cell r="A219" t="str">
            <v>3304</v>
          </cell>
          <cell r="B219" t="str">
            <v>HOSPITAL</v>
          </cell>
        </row>
        <row r="220">
          <cell r="A220" t="str">
            <v>33041</v>
          </cell>
          <cell r="B220" t="str">
            <v>CONCESSAO PUBLICA - OFFSTREET</v>
          </cell>
        </row>
        <row r="221">
          <cell r="A221" t="str">
            <v>3304101</v>
          </cell>
          <cell r="B221" t="str">
            <v>PAREBEM</v>
          </cell>
        </row>
        <row r="222">
          <cell r="A222" t="str">
            <v>33042</v>
          </cell>
          <cell r="B222" t="str">
            <v>CONCESSAO PUBLICA - ONSTREET</v>
          </cell>
        </row>
        <row r="223">
          <cell r="A223" t="str">
            <v>3304201</v>
          </cell>
          <cell r="B223" t="str">
            <v>PAREBEM</v>
          </cell>
        </row>
        <row r="224">
          <cell r="A224" t="str">
            <v>3304204</v>
          </cell>
          <cell r="B224" t="str">
            <v>INFINITY</v>
          </cell>
        </row>
        <row r="225">
          <cell r="A225" t="str">
            <v>33045</v>
          </cell>
          <cell r="B225" t="str">
            <v>CURTO PRAZO - ALUGUEL FIXO</v>
          </cell>
        </row>
        <row r="226">
          <cell r="A226" t="str">
            <v>3304501</v>
          </cell>
          <cell r="B226" t="str">
            <v>PARE BEM</v>
          </cell>
        </row>
        <row r="227">
          <cell r="A227" t="str">
            <v>3304501001</v>
          </cell>
          <cell r="B227" t="str">
            <v>SANTA PAULA - PB</v>
          </cell>
        </row>
        <row r="228">
          <cell r="A228" t="str">
            <v>33046</v>
          </cell>
          <cell r="B228" t="str">
            <v>CURTO PRAZO - RECEITA</v>
          </cell>
        </row>
        <row r="229">
          <cell r="A229" t="str">
            <v>3304601</v>
          </cell>
          <cell r="B229" t="str">
            <v>PARE BEM</v>
          </cell>
        </row>
        <row r="230">
          <cell r="A230" t="str">
            <v>3304601001</v>
          </cell>
          <cell r="B230" t="str">
            <v>RICARDO JAFET - PB</v>
          </cell>
        </row>
        <row r="231">
          <cell r="A231" t="str">
            <v>3304601201</v>
          </cell>
          <cell r="B231" t="str">
            <v>REDE DOR  SAO CAETANO - PB</v>
          </cell>
        </row>
        <row r="232">
          <cell r="A232" t="str">
            <v>3304601202</v>
          </cell>
          <cell r="B232" t="str">
            <v>PARCERIA BRADESCO - CENTER</v>
          </cell>
        </row>
        <row r="233">
          <cell r="A233" t="str">
            <v>3304601501</v>
          </cell>
          <cell r="B233" t="str">
            <v>LIFE CENTER - BH SCP - PB</v>
          </cell>
        </row>
        <row r="234">
          <cell r="A234" t="str">
            <v>3304604</v>
          </cell>
          <cell r="B234" t="str">
            <v>INFINITY</v>
          </cell>
        </row>
        <row r="235">
          <cell r="A235" t="str">
            <v>3304604001</v>
          </cell>
          <cell r="B235" t="str">
            <v>RICARDO JAFET - IP</v>
          </cell>
        </row>
        <row r="236">
          <cell r="A236" t="str">
            <v>3304608</v>
          </cell>
          <cell r="B236" t="str">
            <v>CENTER PARK</v>
          </cell>
        </row>
        <row r="237">
          <cell r="A237" t="str">
            <v>3304608301</v>
          </cell>
          <cell r="B237" t="str">
            <v>MDX HOSPITAL - CP</v>
          </cell>
        </row>
        <row r="238">
          <cell r="A238" t="str">
            <v>3304608302</v>
          </cell>
          <cell r="B238" t="str">
            <v>BOTAFOGO M. CENTER - CP</v>
          </cell>
        </row>
        <row r="239">
          <cell r="A239" t="str">
            <v>3304608303</v>
          </cell>
          <cell r="B239" t="str">
            <v>MELO FRANCO M CENTER - CP</v>
          </cell>
        </row>
        <row r="240">
          <cell r="A240" t="str">
            <v>3304609</v>
          </cell>
          <cell r="B240" t="str">
            <v>DIAS PARK</v>
          </cell>
        </row>
        <row r="241">
          <cell r="A241" t="str">
            <v>3304609301</v>
          </cell>
          <cell r="B241" t="str">
            <v>PRO CARDIACO TERRENO - GE</v>
          </cell>
        </row>
        <row r="242">
          <cell r="A242" t="str">
            <v>3304609302</v>
          </cell>
          <cell r="B242" t="str">
            <v>PRO CARDIACO VALET - GE</v>
          </cell>
        </row>
        <row r="243">
          <cell r="A243" t="str">
            <v>3304609303</v>
          </cell>
          <cell r="B243" t="str">
            <v>PRO CARDIACO - PREDIO - G45 - GE</v>
          </cell>
        </row>
        <row r="244">
          <cell r="A244" t="str">
            <v>3304610</v>
          </cell>
          <cell r="B244" t="str">
            <v>GE PARK</v>
          </cell>
        </row>
        <row r="245">
          <cell r="A245" t="str">
            <v>3304610301</v>
          </cell>
          <cell r="B245" t="str">
            <v>HOSP. SAMARITANO - GP</v>
          </cell>
        </row>
        <row r="246">
          <cell r="A246" t="str">
            <v>33047</v>
          </cell>
          <cell r="B246" t="str">
            <v>CURTO PRAZO - ROL</v>
          </cell>
        </row>
        <row r="247">
          <cell r="A247" t="str">
            <v>3304701</v>
          </cell>
          <cell r="B247" t="str">
            <v>PARE BEM</v>
          </cell>
        </row>
        <row r="248">
          <cell r="A248" t="str">
            <v>3304701001</v>
          </cell>
          <cell r="B248" t="str">
            <v>CELSO GARCIA - PB</v>
          </cell>
        </row>
        <row r="249">
          <cell r="A249" t="str">
            <v>3304701002</v>
          </cell>
          <cell r="B249" t="str">
            <v>SAMARITANO - PB</v>
          </cell>
        </row>
        <row r="250">
          <cell r="A250" t="str">
            <v>3304701003</v>
          </cell>
          <cell r="B250" t="str">
            <v>RADIAL LESTE - PB</v>
          </cell>
        </row>
        <row r="251">
          <cell r="A251" t="str">
            <v>3304701601</v>
          </cell>
          <cell r="B251" t="str">
            <v>JOAO PESSOA - PB</v>
          </cell>
        </row>
        <row r="252">
          <cell r="A252" t="str">
            <v>3304708</v>
          </cell>
          <cell r="B252" t="str">
            <v>CENTER PARK</v>
          </cell>
        </row>
        <row r="253">
          <cell r="A253" t="str">
            <v>3304708301</v>
          </cell>
          <cell r="B253" t="str">
            <v>SAO VICENTE DE PAULO - G8 - CP</v>
          </cell>
        </row>
        <row r="254">
          <cell r="A254" t="str">
            <v>33048</v>
          </cell>
          <cell r="B254" t="str">
            <v>CURTO PRAZO - MO</v>
          </cell>
        </row>
        <row r="255">
          <cell r="A255" t="str">
            <v>3304801</v>
          </cell>
          <cell r="B255" t="str">
            <v>PAREBEM</v>
          </cell>
        </row>
        <row r="256">
          <cell r="A256" t="str">
            <v>3304801501</v>
          </cell>
          <cell r="B256" t="str">
            <v>AXIAL MEDICINA DIAGNOSTICA (ALLIAR) - PB</v>
          </cell>
        </row>
        <row r="257">
          <cell r="A257" t="str">
            <v>3304901301</v>
          </cell>
          <cell r="B257" t="str">
            <v>RIOS DOR -  PB</v>
          </cell>
        </row>
        <row r="258">
          <cell r="A258" t="str">
            <v>3304901302</v>
          </cell>
          <cell r="B258" t="str">
            <v>COMPLEXO HOSPITALAR NITEROI - PB</v>
          </cell>
        </row>
        <row r="259">
          <cell r="A259" t="str">
            <v>3304901901</v>
          </cell>
          <cell r="B259" t="str">
            <v>HOSPITAL SANTA ROSA CUIABA - PB</v>
          </cell>
        </row>
        <row r="260">
          <cell r="A260" t="str">
            <v>3304901902</v>
          </cell>
          <cell r="B260" t="str">
            <v>HOSPITAL SAO VICENTE CURITIBA-PB</v>
          </cell>
        </row>
        <row r="261">
          <cell r="A261" t="str">
            <v>3305</v>
          </cell>
          <cell r="B261" t="str">
            <v>SHOPPING</v>
          </cell>
        </row>
        <row r="262">
          <cell r="A262" t="str">
            <v>33050</v>
          </cell>
          <cell r="B262" t="str">
            <v>NAO APLICAVEL</v>
          </cell>
        </row>
        <row r="263">
          <cell r="A263" t="str">
            <v>3305005</v>
          </cell>
          <cell r="B263" t="str">
            <v>PARE SEMPRE</v>
          </cell>
        </row>
        <row r="264">
          <cell r="A264" t="str">
            <v>3305005501</v>
          </cell>
          <cell r="B264" t="str">
            <v>SHOPPING BH - PS</v>
          </cell>
        </row>
        <row r="265">
          <cell r="A265" t="str">
            <v>33051</v>
          </cell>
          <cell r="B265" t="str">
            <v>CONCESSAO PUBLICA - OFFSTREET</v>
          </cell>
        </row>
        <row r="266">
          <cell r="A266" t="str">
            <v>3305101</v>
          </cell>
          <cell r="B266" t="str">
            <v>PAREBEM</v>
          </cell>
        </row>
        <row r="267">
          <cell r="A267" t="str">
            <v>3305104</v>
          </cell>
          <cell r="B267" t="str">
            <v>INFINITY</v>
          </cell>
        </row>
        <row r="268">
          <cell r="A268" t="str">
            <v>3305105</v>
          </cell>
          <cell r="B268" t="str">
            <v>PARE SEMPRE</v>
          </cell>
        </row>
        <row r="269">
          <cell r="A269" t="str">
            <v>3305107</v>
          </cell>
          <cell r="B269" t="str">
            <v>MASTER PARK</v>
          </cell>
        </row>
        <row r="270">
          <cell r="A270" t="str">
            <v>33052</v>
          </cell>
          <cell r="B270" t="str">
            <v>CONCESSAO PUBLICA - ONSTREET</v>
          </cell>
        </row>
        <row r="271">
          <cell r="A271" t="str">
            <v>3305201</v>
          </cell>
          <cell r="B271" t="str">
            <v>PAREBEM</v>
          </cell>
        </row>
        <row r="272">
          <cell r="A272" t="str">
            <v>33053</v>
          </cell>
          <cell r="B272" t="str">
            <v>CONCESSAO PRIVADA</v>
          </cell>
        </row>
        <row r="273">
          <cell r="A273" t="str">
            <v>3305301</v>
          </cell>
          <cell r="B273" t="str">
            <v>PARE BEM</v>
          </cell>
        </row>
        <row r="274">
          <cell r="A274" t="str">
            <v>3305301301</v>
          </cell>
          <cell r="B274" t="str">
            <v>CENTER SHOPPING RIO - ECIA - PB</v>
          </cell>
        </row>
        <row r="275">
          <cell r="A275" t="str">
            <v>3305301302</v>
          </cell>
          <cell r="B275" t="str">
            <v>AMERICAS SHOPPING - ECIA - SCP</v>
          </cell>
        </row>
        <row r="276">
          <cell r="A276" t="str">
            <v>3305301303</v>
          </cell>
          <cell r="B276" t="str">
            <v>WEST SHOPPING RIO - ECIA - PB</v>
          </cell>
        </row>
        <row r="277">
          <cell r="A277" t="str">
            <v>3305301304</v>
          </cell>
          <cell r="B277" t="str">
            <v>RESULTADO ECIA PB</v>
          </cell>
        </row>
        <row r="278">
          <cell r="A278" t="str">
            <v>3305312301</v>
          </cell>
          <cell r="B278" t="str">
            <v>CONSORCIO CENTER SHOPPING  RIO - CONS/PB</v>
          </cell>
        </row>
        <row r="279">
          <cell r="A279" t="str">
            <v>3305313302</v>
          </cell>
          <cell r="B279" t="str">
            <v>CONSORCIO WEST SHOPPING RIO -CONS / PB</v>
          </cell>
        </row>
        <row r="280">
          <cell r="A280" t="str">
            <v>3305318601</v>
          </cell>
          <cell r="B280" t="str">
            <v>CONSORCIO SHOPPING PARALELA - BA</v>
          </cell>
        </row>
        <row r="281">
          <cell r="A281" t="str">
            <v>33056</v>
          </cell>
          <cell r="B281" t="str">
            <v>CURTO PRAZO - RECEITA</v>
          </cell>
        </row>
        <row r="282">
          <cell r="A282" t="str">
            <v>3305601</v>
          </cell>
          <cell r="B282" t="str">
            <v>PARE BEM</v>
          </cell>
        </row>
        <row r="283">
          <cell r="A283" t="str">
            <v>3305601201</v>
          </cell>
          <cell r="B283" t="str">
            <v>MARILIA - PB</v>
          </cell>
        </row>
        <row r="284">
          <cell r="A284" t="str">
            <v>3305604</v>
          </cell>
          <cell r="B284" t="str">
            <v>INFINITY</v>
          </cell>
        </row>
        <row r="285">
          <cell r="A285" t="str">
            <v>3305604201</v>
          </cell>
          <cell r="B285" t="str">
            <v>MARILIA - IP</v>
          </cell>
        </row>
        <row r="286">
          <cell r="A286" t="str">
            <v>3305610</v>
          </cell>
          <cell r="B286" t="str">
            <v>GE PARK</v>
          </cell>
        </row>
        <row r="287">
          <cell r="A287" t="str">
            <v>3305610301</v>
          </cell>
          <cell r="B287" t="str">
            <v>BARRA POINT</v>
          </cell>
        </row>
        <row r="288">
          <cell r="A288" t="str">
            <v>33057</v>
          </cell>
          <cell r="B288" t="str">
            <v>CURTO PRAZO - ROL</v>
          </cell>
        </row>
        <row r="289">
          <cell r="A289" t="str">
            <v>3305701</v>
          </cell>
          <cell r="B289" t="str">
            <v>PARE BEM</v>
          </cell>
        </row>
        <row r="290">
          <cell r="A290" t="str">
            <v>3305701001</v>
          </cell>
          <cell r="B290" t="str">
            <v>CENTRAL PLAZA - PB</v>
          </cell>
        </row>
        <row r="291">
          <cell r="A291" t="str">
            <v>3305701201</v>
          </cell>
          <cell r="B291" t="str">
            <v>BAURU I - PB</v>
          </cell>
        </row>
        <row r="292">
          <cell r="A292" t="str">
            <v>3305701202</v>
          </cell>
          <cell r="B292" t="str">
            <v>RIO CLARO - PB</v>
          </cell>
        </row>
        <row r="293">
          <cell r="A293" t="str">
            <v>3305701203</v>
          </cell>
          <cell r="B293" t="str">
            <v>PINDA - PB</v>
          </cell>
        </row>
        <row r="294">
          <cell r="A294" t="str">
            <v>3305701901</v>
          </cell>
          <cell r="B294" t="str">
            <v>CHAPECO - PB</v>
          </cell>
        </row>
        <row r="295">
          <cell r="A295" t="str">
            <v>3305708</v>
          </cell>
          <cell r="B295" t="str">
            <v>CENTER PARK</v>
          </cell>
        </row>
        <row r="296">
          <cell r="A296" t="str">
            <v>3305708301</v>
          </cell>
          <cell r="B296" t="str">
            <v>DOWNTOWN - CP</v>
          </cell>
        </row>
        <row r="297">
          <cell r="A297" t="str">
            <v>33058</v>
          </cell>
          <cell r="B297" t="str">
            <v>CURTO PRAZO - MO</v>
          </cell>
        </row>
        <row r="298">
          <cell r="A298" t="str">
            <v>3305801</v>
          </cell>
          <cell r="B298" t="str">
            <v>PARE BEM</v>
          </cell>
        </row>
        <row r="299">
          <cell r="A299" t="str">
            <v>3305801001</v>
          </cell>
          <cell r="B299" t="str">
            <v>SHOPPING D - PB</v>
          </cell>
        </row>
        <row r="300">
          <cell r="A300" t="str">
            <v>3305801002</v>
          </cell>
          <cell r="B300" t="str">
            <v>TATUAPE - PB</v>
          </cell>
        </row>
        <row r="301">
          <cell r="A301" t="str">
            <v>3305801003</v>
          </cell>
          <cell r="B301" t="str">
            <v>POWER CENTER REGENTE FEIJO - PB</v>
          </cell>
        </row>
        <row r="302">
          <cell r="A302" t="str">
            <v>3305801201</v>
          </cell>
          <cell r="B302" t="str">
            <v>OSASCO - PB</v>
          </cell>
        </row>
        <row r="303">
          <cell r="A303" t="str">
            <v>3305801202</v>
          </cell>
          <cell r="B303" t="str">
            <v>SHOPPING CARAPICUIBA - PB</v>
          </cell>
        </row>
        <row r="304">
          <cell r="A304" t="str">
            <v>3305805</v>
          </cell>
          <cell r="B304" t="str">
            <v>PARE SEMPRE</v>
          </cell>
        </row>
        <row r="305">
          <cell r="A305" t="str">
            <v>3305805002</v>
          </cell>
          <cell r="B305" t="str">
            <v>TATUAPE - PS</v>
          </cell>
        </row>
        <row r="306">
          <cell r="A306" t="str">
            <v>33059</v>
          </cell>
          <cell r="B306" t="str">
            <v>OUTROS</v>
          </cell>
        </row>
        <row r="307">
          <cell r="A307" t="str">
            <v>3305901</v>
          </cell>
          <cell r="B307" t="str">
            <v>PARE BEM</v>
          </cell>
        </row>
        <row r="308">
          <cell r="A308" t="str">
            <v>3305901001</v>
          </cell>
          <cell r="B308" t="str">
            <v>TOP CENTER - PB</v>
          </cell>
        </row>
        <row r="309">
          <cell r="A309" t="str">
            <v>3305901002</v>
          </cell>
          <cell r="B309" t="str">
            <v>FUNCIONARIO VOLANTE</v>
          </cell>
        </row>
        <row r="310">
          <cell r="A310" t="str">
            <v>3305901003</v>
          </cell>
          <cell r="B310" t="str">
            <v>C.C.O SP</v>
          </cell>
        </row>
        <row r="311">
          <cell r="A311" t="str">
            <v>3305901201</v>
          </cell>
          <cell r="B311" t="str">
            <v>SHOP. CARAPICUIBA PB (NAO USAR)</v>
          </cell>
        </row>
        <row r="312">
          <cell r="A312" t="str">
            <v>3305901301</v>
          </cell>
          <cell r="B312" t="str">
            <v>SHOPPING PARK LAGOS - PB</v>
          </cell>
        </row>
        <row r="313">
          <cell r="A313" t="str">
            <v>3305901304</v>
          </cell>
          <cell r="B313" t="str">
            <v>SHOPPING  LEBLON- PB</v>
          </cell>
        </row>
        <row r="314">
          <cell r="A314" t="str">
            <v>3305901500</v>
          </cell>
          <cell r="B314" t="str">
            <v>MINAS SHOPPING BH - PB</v>
          </cell>
        </row>
        <row r="315">
          <cell r="A315" t="str">
            <v>3305901601</v>
          </cell>
          <cell r="B315" t="str">
            <v>GOIANIA SCP - PB</v>
          </cell>
        </row>
        <row r="316">
          <cell r="A316" t="str">
            <v>3305901602</v>
          </cell>
          <cell r="B316" t="str">
            <v>SHOPPING PARALELA - BA</v>
          </cell>
        </row>
        <row r="317">
          <cell r="A317" t="str">
            <v>3305901701</v>
          </cell>
          <cell r="B317" t="str">
            <v>VENANCIO SHOPPING - SCP</v>
          </cell>
        </row>
        <row r="318">
          <cell r="A318" t="str">
            <v>3305901901</v>
          </cell>
          <cell r="B318" t="str">
            <v>SHOPPING CIDADE DOS LAGOS - PB</v>
          </cell>
        </row>
        <row r="319">
          <cell r="A319" t="str">
            <v>3305901902</v>
          </cell>
          <cell r="B319" t="str">
            <v>CRYSTAL PLAZA SHOPPING - PB</v>
          </cell>
        </row>
        <row r="320">
          <cell r="A320" t="str">
            <v>3306</v>
          </cell>
          <cell r="B320" t="str">
            <v>BANCO</v>
          </cell>
        </row>
        <row r="321">
          <cell r="A321" t="str">
            <v>33061</v>
          </cell>
          <cell r="B321" t="str">
            <v>CONCESSAO PUBLICA - OFFSTREET</v>
          </cell>
        </row>
        <row r="322">
          <cell r="A322" t="str">
            <v>33062</v>
          </cell>
          <cell r="B322" t="str">
            <v>CONCESSAO PUBLICA - ONSTREET</v>
          </cell>
        </row>
        <row r="323">
          <cell r="A323" t="str">
            <v>33063</v>
          </cell>
          <cell r="B323" t="str">
            <v>CONCESSAO PRIVADA</v>
          </cell>
        </row>
        <row r="324">
          <cell r="A324" t="str">
            <v>33065</v>
          </cell>
          <cell r="B324" t="str">
            <v>CURTO PRAZO - ALUGUEL FIXO</v>
          </cell>
        </row>
        <row r="325">
          <cell r="A325" t="str">
            <v>3306501</v>
          </cell>
          <cell r="B325" t="str">
            <v>PAREBEM</v>
          </cell>
        </row>
        <row r="326">
          <cell r="A326" t="str">
            <v>3306501001</v>
          </cell>
          <cell r="B326" t="str">
            <v>CURSINO - PB</v>
          </cell>
        </row>
        <row r="327">
          <cell r="A327" t="str">
            <v>3306501002</v>
          </cell>
          <cell r="B327" t="str">
            <v>CARDOSO DE ALMEIDA - PB</v>
          </cell>
        </row>
        <row r="328">
          <cell r="A328" t="str">
            <v>3306501003</v>
          </cell>
          <cell r="B328" t="str">
            <v>VITAL BRASIL - PB</v>
          </cell>
        </row>
        <row r="329">
          <cell r="A329" t="str">
            <v>3306501004</v>
          </cell>
          <cell r="B329" t="str">
            <v>BERNARDINO - PB</v>
          </cell>
        </row>
        <row r="330">
          <cell r="A330" t="str">
            <v>3306501005</v>
          </cell>
          <cell r="B330" t="str">
            <v>BERLIM - PB</v>
          </cell>
        </row>
        <row r="331">
          <cell r="A331" t="str">
            <v>3306501006</v>
          </cell>
          <cell r="B331" t="str">
            <v>HENRIQUE SCHAUMANN - PB</v>
          </cell>
        </row>
        <row r="332">
          <cell r="A332" t="str">
            <v>3306501007</v>
          </cell>
          <cell r="B332" t="str">
            <v>ADOLFO PINHEIRO - PB</v>
          </cell>
        </row>
        <row r="333">
          <cell r="A333" t="str">
            <v>3306501008</v>
          </cell>
          <cell r="B333" t="str">
            <v>CITY LAPA - PB</v>
          </cell>
        </row>
        <row r="334">
          <cell r="A334" t="str">
            <v>3306501009</v>
          </cell>
          <cell r="B334" t="str">
            <v>PEIXOTO GOMIDE  - PB</v>
          </cell>
        </row>
        <row r="335">
          <cell r="A335" t="str">
            <v>3307</v>
          </cell>
          <cell r="B335" t="str">
            <v>UNIVERSIDADE</v>
          </cell>
        </row>
        <row r="336">
          <cell r="A336" t="str">
            <v>33071</v>
          </cell>
          <cell r="B336" t="str">
            <v>CONCESSAO PUBLICA - OFFSTREET</v>
          </cell>
        </row>
        <row r="337">
          <cell r="A337" t="str">
            <v>33072</v>
          </cell>
          <cell r="B337" t="str">
            <v>CONCESSAO PUBLICA - ONSTREET</v>
          </cell>
        </row>
        <row r="338">
          <cell r="A338" t="str">
            <v>33075</v>
          </cell>
          <cell r="B338" t="str">
            <v>CURTO PRAZO ALUGUEL FIXO</v>
          </cell>
        </row>
        <row r="339">
          <cell r="A339" t="str">
            <v>3307507601</v>
          </cell>
          <cell r="B339" t="str">
            <v>UNIFACS - MP</v>
          </cell>
        </row>
        <row r="340">
          <cell r="A340" t="str">
            <v>3307509</v>
          </cell>
          <cell r="B340" t="str">
            <v>DIAS PARK</v>
          </cell>
        </row>
        <row r="341">
          <cell r="A341" t="str">
            <v>3307509301</v>
          </cell>
          <cell r="B341" t="str">
            <v>TOM JOBIM - GE</v>
          </cell>
        </row>
        <row r="342">
          <cell r="A342" t="str">
            <v>33076</v>
          </cell>
          <cell r="B342" t="str">
            <v>CURTO PRAZO - RECEITA</v>
          </cell>
        </row>
        <row r="343">
          <cell r="A343" t="str">
            <v>3307601</v>
          </cell>
          <cell r="B343" t="str">
            <v>PARE BEM</v>
          </cell>
        </row>
        <row r="344">
          <cell r="A344" t="str">
            <v>3307601001</v>
          </cell>
          <cell r="B344" t="str">
            <v>ALMEIDA LIMA - PB</v>
          </cell>
        </row>
        <row r="345">
          <cell r="A345" t="str">
            <v>3307601002</v>
          </cell>
          <cell r="B345" t="str">
            <v>SANTO AMARO - 1386/1408 - PB</v>
          </cell>
        </row>
        <row r="346">
          <cell r="A346" t="str">
            <v>3307602</v>
          </cell>
          <cell r="B346" t="str">
            <v>PARE CAR</v>
          </cell>
        </row>
        <row r="347">
          <cell r="A347" t="str">
            <v>3307602001</v>
          </cell>
          <cell r="B347" t="str">
            <v>ALMEIDA LIMA - PC</v>
          </cell>
        </row>
        <row r="348">
          <cell r="A348" t="str">
            <v>3307602002</v>
          </cell>
          <cell r="B348" t="str">
            <v>SANTO AMARO - 1386 - PC</v>
          </cell>
        </row>
        <row r="349">
          <cell r="A349" t="str">
            <v>33077</v>
          </cell>
          <cell r="B349" t="str">
            <v>CURTO PRAZO - ROL</v>
          </cell>
        </row>
        <row r="350">
          <cell r="A350" t="str">
            <v>3307701</v>
          </cell>
          <cell r="B350" t="str">
            <v>PARE BEM</v>
          </cell>
        </row>
        <row r="351">
          <cell r="A351" t="str">
            <v>3307701001</v>
          </cell>
          <cell r="B351" t="str">
            <v>AMADOR BUENO - PB</v>
          </cell>
        </row>
        <row r="352">
          <cell r="A352" t="str">
            <v>3307701002</v>
          </cell>
          <cell r="B352" t="str">
            <v>SANTO AMARO - 1342 - PB</v>
          </cell>
        </row>
        <row r="353">
          <cell r="A353" t="str">
            <v>3307704</v>
          </cell>
          <cell r="B353" t="str">
            <v>INFINITY</v>
          </cell>
        </row>
        <row r="354">
          <cell r="A354" t="str">
            <v>3307704002</v>
          </cell>
          <cell r="B354" t="str">
            <v>SANTO AMARO - 1342 - IP</v>
          </cell>
        </row>
        <row r="355">
          <cell r="A355" t="str">
            <v>3308507</v>
          </cell>
          <cell r="B355" t="str">
            <v>CENTER PARK</v>
          </cell>
        </row>
        <row r="356">
          <cell r="A356" t="str">
            <v>3308508</v>
          </cell>
          <cell r="B356" t="str">
            <v>CENTER PARK</v>
          </cell>
        </row>
        <row r="357">
          <cell r="A357" t="str">
            <v>3308508301</v>
          </cell>
          <cell r="B357" t="str">
            <v>SENADOR POMPEU - CP</v>
          </cell>
        </row>
        <row r="358">
          <cell r="A358" t="str">
            <v>3308508302</v>
          </cell>
          <cell r="B358" t="str">
            <v>MUNIZ BARRETO - CP</v>
          </cell>
        </row>
        <row r="359">
          <cell r="A359" t="str">
            <v>3308509</v>
          </cell>
          <cell r="B359" t="str">
            <v>DIAS PARK</v>
          </cell>
        </row>
        <row r="360">
          <cell r="A360" t="str">
            <v>3308509301</v>
          </cell>
          <cell r="B360" t="str">
            <v>IPANEMA 142 - G15 - GE</v>
          </cell>
        </row>
        <row r="361">
          <cell r="A361" t="str">
            <v>3308509302</v>
          </cell>
          <cell r="B361" t="str">
            <v>IPANEMA 152 - G04 - GE</v>
          </cell>
        </row>
        <row r="362">
          <cell r="A362" t="str">
            <v>3308510</v>
          </cell>
          <cell r="B362" t="str">
            <v>GE PARK</v>
          </cell>
        </row>
        <row r="363">
          <cell r="A363" t="str">
            <v>3308510301</v>
          </cell>
          <cell r="B363" t="str">
            <v>RUA DO ACRE  - GP</v>
          </cell>
        </row>
        <row r="364">
          <cell r="A364" t="str">
            <v>3308710</v>
          </cell>
          <cell r="B364" t="str">
            <v>GE PARK</v>
          </cell>
        </row>
        <row r="365">
          <cell r="A365" t="str">
            <v>3308710301</v>
          </cell>
          <cell r="B365" t="str">
            <v>RUA DO BISPO - 104 - GP</v>
          </cell>
        </row>
        <row r="366">
          <cell r="A366" t="str">
            <v>3309</v>
          </cell>
          <cell r="B366" t="str">
            <v>EXPOSICOES E EVENTOS</v>
          </cell>
        </row>
        <row r="367">
          <cell r="A367" t="str">
            <v>33091</v>
          </cell>
          <cell r="B367" t="str">
            <v>CONCESSAO PUBLICA - OFFSTREET</v>
          </cell>
        </row>
        <row r="368">
          <cell r="A368" t="str">
            <v>33092</v>
          </cell>
          <cell r="B368" t="str">
            <v>CONCESSAO PUBLICA - ONSTREET</v>
          </cell>
        </row>
        <row r="369">
          <cell r="A369" t="str">
            <v>3309207</v>
          </cell>
          <cell r="B369" t="str">
            <v>MASTER PARK</v>
          </cell>
        </row>
        <row r="370">
          <cell r="A370" t="str">
            <v>3309207501</v>
          </cell>
          <cell r="B370" t="str">
            <v>EXPOMINAS - MP</v>
          </cell>
        </row>
        <row r="371">
          <cell r="A371" t="str">
            <v>33096</v>
          </cell>
          <cell r="B371" t="str">
            <v>CURTO PRAZO - RECEITA</v>
          </cell>
        </row>
        <row r="372">
          <cell r="A372" t="str">
            <v>3309601</v>
          </cell>
          <cell r="B372" t="str">
            <v>PARE BEM</v>
          </cell>
        </row>
        <row r="373">
          <cell r="A373" t="str">
            <v>3309601001</v>
          </cell>
          <cell r="B373" t="str">
            <v>ITM - ROBERTO ZUCCOLO - PB</v>
          </cell>
        </row>
        <row r="374">
          <cell r="A374" t="str">
            <v>33097</v>
          </cell>
          <cell r="B374" t="str">
            <v>CURTO PRAZO - ROL</v>
          </cell>
        </row>
        <row r="375">
          <cell r="A375" t="str">
            <v>3309701</v>
          </cell>
          <cell r="B375" t="str">
            <v>PARE BEM</v>
          </cell>
        </row>
        <row r="376">
          <cell r="A376" t="str">
            <v>3309701001</v>
          </cell>
          <cell r="B376" t="str">
            <v>CHIBARAS - PB</v>
          </cell>
        </row>
        <row r="377">
          <cell r="A377" t="str">
            <v>3309810</v>
          </cell>
          <cell r="B377" t="str">
            <v>GE PARK</v>
          </cell>
        </row>
        <row r="378">
          <cell r="A378" t="str">
            <v>3309810301</v>
          </cell>
          <cell r="B378" t="str">
            <v>VALET COUNTRY CLUB - IPA 2000 - GP</v>
          </cell>
        </row>
        <row r="379">
          <cell r="A379" t="str">
            <v>3310</v>
          </cell>
          <cell r="B379" t="str">
            <v>CENTRO URBANO</v>
          </cell>
        </row>
        <row r="380">
          <cell r="A380" t="str">
            <v>33102</v>
          </cell>
          <cell r="B380" t="str">
            <v>CONCESSAO PUBLICA - ONSTREET</v>
          </cell>
        </row>
        <row r="381">
          <cell r="A381" t="str">
            <v>3310201</v>
          </cell>
          <cell r="B381" t="str">
            <v>PAREBEM</v>
          </cell>
        </row>
        <row r="382">
          <cell r="A382" t="str">
            <v>3310202</v>
          </cell>
          <cell r="B382" t="str">
            <v>PARE CAR</v>
          </cell>
        </row>
        <row r="383">
          <cell r="A383" t="str">
            <v>33104</v>
          </cell>
          <cell r="B383" t="str">
            <v>ATIVO PROPRIO</v>
          </cell>
        </row>
        <row r="384">
          <cell r="A384" t="str">
            <v>3310401</v>
          </cell>
          <cell r="B384" t="str">
            <v>PAREBEM</v>
          </cell>
        </row>
        <row r="385">
          <cell r="A385" t="str">
            <v>33105</v>
          </cell>
          <cell r="B385" t="str">
            <v>CURTO PRAZO - ALUGUEL FIXO</v>
          </cell>
        </row>
        <row r="386">
          <cell r="A386" t="str">
            <v>3310502</v>
          </cell>
          <cell r="B386" t="str">
            <v>PARE CAR</v>
          </cell>
        </row>
        <row r="387">
          <cell r="A387" t="str">
            <v>3310504</v>
          </cell>
          <cell r="B387" t="str">
            <v>INFINITY</v>
          </cell>
        </row>
        <row r="388">
          <cell r="A388" t="str">
            <v>3310505</v>
          </cell>
          <cell r="B388" t="str">
            <v>PARE SEMPRE</v>
          </cell>
        </row>
        <row r="389">
          <cell r="A389" t="str">
            <v>33106</v>
          </cell>
          <cell r="B389" t="str">
            <v>CURTO PRAZO RECEITA</v>
          </cell>
        </row>
        <row r="390">
          <cell r="A390" t="str">
            <v>3310607</v>
          </cell>
          <cell r="B390" t="str">
            <v>MASTER PARK</v>
          </cell>
        </row>
        <row r="391">
          <cell r="A391" t="str">
            <v>3310607601</v>
          </cell>
          <cell r="B391" t="str">
            <v>14 M - MP</v>
          </cell>
        </row>
        <row r="392">
          <cell r="A392" t="str">
            <v>3311091401</v>
          </cell>
          <cell r="B392" t="str">
            <v>THE MALL- FLA</v>
          </cell>
        </row>
        <row r="393">
          <cell r="A393" t="str">
            <v>3311091402</v>
          </cell>
          <cell r="B393" t="str">
            <v>EDIFICIO HABITAT CAMBUI - FLA</v>
          </cell>
        </row>
        <row r="394">
          <cell r="A394" t="str">
            <v>3311091403</v>
          </cell>
          <cell r="B394" t="str">
            <v>SEO ROSA CAMBUI - FLA</v>
          </cell>
        </row>
        <row r="395">
          <cell r="A395" t="str">
            <v>3311091404</v>
          </cell>
          <cell r="B395" t="str">
            <v>SEO ROSA GRAMADO - FLA</v>
          </cell>
        </row>
        <row r="396">
          <cell r="A396" t="str">
            <v>3311091405</v>
          </cell>
          <cell r="B396" t="str">
            <v>OAB CAMPINAS - FLA</v>
          </cell>
        </row>
        <row r="397">
          <cell r="A397" t="str">
            <v>3311091406</v>
          </cell>
          <cell r="B397" t="str">
            <v>GALLERIA OFFICE PARK - FLA</v>
          </cell>
        </row>
        <row r="398">
          <cell r="A398" t="str">
            <v>3311091407</v>
          </cell>
          <cell r="B398" t="str">
            <v>GALLERIA CORPORATE - FLA</v>
          </cell>
        </row>
        <row r="399">
          <cell r="A399" t="str">
            <v>3311091408</v>
          </cell>
          <cell r="B399" t="str">
            <v>GALLERIA PLAZA - FLA</v>
          </cell>
        </row>
        <row r="400">
          <cell r="A400" t="str">
            <v>3311091409</v>
          </cell>
          <cell r="B400" t="str">
            <v>TILLI CENTER - FLA</v>
          </cell>
        </row>
        <row r="401">
          <cell r="A401" t="str">
            <v>3311091410</v>
          </cell>
          <cell r="B401" t="str">
            <v>WALL STREET - FLA</v>
          </cell>
        </row>
        <row r="402">
          <cell r="A402" t="str">
            <v>3311091411</v>
          </cell>
          <cell r="B402" t="str">
            <v>PABREU MALL - FLA</v>
          </cell>
        </row>
        <row r="403">
          <cell r="A403" t="str">
            <v>3311091412</v>
          </cell>
          <cell r="B403" t="str">
            <v>CPFL - FLA</v>
          </cell>
        </row>
        <row r="404">
          <cell r="A404" t="str">
            <v>3311091413</v>
          </cell>
          <cell r="B404" t="str">
            <v>IAF - FLA</v>
          </cell>
        </row>
        <row r="405">
          <cell r="A405" t="str">
            <v>3311091414</v>
          </cell>
          <cell r="B405" t="str">
            <v>JB MALL - FLA</v>
          </cell>
        </row>
        <row r="406">
          <cell r="A406" t="str">
            <v>3311091501</v>
          </cell>
          <cell r="B406" t="str">
            <v>REAL CAMPOS SALES - FICUS</v>
          </cell>
        </row>
        <row r="407">
          <cell r="A407" t="str">
            <v>3311091502</v>
          </cell>
          <cell r="B407" t="str">
            <v>REAL BRASIL - FICUS</v>
          </cell>
        </row>
        <row r="408">
          <cell r="A408" t="str">
            <v>3311091503</v>
          </cell>
          <cell r="B408" t="str">
            <v>REAL BARÃO - FICUS</v>
          </cell>
        </row>
        <row r="409">
          <cell r="A409" t="str">
            <v>3311091504</v>
          </cell>
          <cell r="B409" t="str">
            <v>REAL GLICÉRIO - FICUS</v>
          </cell>
        </row>
        <row r="410">
          <cell r="A410" t="str">
            <v>3311091505</v>
          </cell>
          <cell r="B410" t="str">
            <v>REAL TAQUARAL - FICUS</v>
          </cell>
        </row>
        <row r="411">
          <cell r="A411" t="str">
            <v>3311091506</v>
          </cell>
          <cell r="B411" t="str">
            <v>RBS  - FICUS</v>
          </cell>
        </row>
        <row r="412">
          <cell r="A412" t="str">
            <v>3311091507</v>
          </cell>
          <cell r="B412" t="str">
            <v>M M I - FICUS</v>
          </cell>
        </row>
        <row r="413">
          <cell r="A413" t="str">
            <v>3311091508</v>
          </cell>
          <cell r="B413" t="str">
            <v>GENERAL OSORIO - FICUS</v>
          </cell>
        </row>
        <row r="414">
          <cell r="A414" t="str">
            <v>3311091509</v>
          </cell>
          <cell r="B414" t="str">
            <v>CENTRAL PARK - FICUS</v>
          </cell>
        </row>
        <row r="415">
          <cell r="A415" t="str">
            <v>3311091510</v>
          </cell>
          <cell r="B415" t="str">
            <v>MATRIZ - FICUS</v>
          </cell>
        </row>
        <row r="416">
          <cell r="A416" t="str">
            <v>3311091601</v>
          </cell>
          <cell r="B416" t="str">
            <v>COMFORT SUITES- VPM</v>
          </cell>
        </row>
        <row r="417">
          <cell r="A417" t="str">
            <v>3311091602</v>
          </cell>
          <cell r="B417" t="str">
            <v>HOTEL IBIS CAMPINAS - VPM</v>
          </cell>
        </row>
        <row r="418">
          <cell r="A418" t="str">
            <v>3311091603</v>
          </cell>
          <cell r="B418" t="str">
            <v>HOTEL MERCURE CAMPINAS - VPM</v>
          </cell>
        </row>
        <row r="419">
          <cell r="A419" t="str">
            <v>3311091604</v>
          </cell>
          <cell r="B419" t="str">
            <v>HOTEL VITORIA CAMPINAS - VPM</v>
          </cell>
        </row>
        <row r="420">
          <cell r="A420" t="str">
            <v>3311091605</v>
          </cell>
          <cell r="B420" t="str">
            <v>TRADE TOWER - VPM</v>
          </cell>
        </row>
        <row r="421">
          <cell r="A421" t="str">
            <v>3311091606</v>
          </cell>
          <cell r="B421" t="str">
            <v>HOTEL TRYP CAMPINAS - VPM</v>
          </cell>
        </row>
        <row r="422">
          <cell r="A422" t="str">
            <v>3311091607</v>
          </cell>
          <cell r="B422" t="str">
            <v>HOTEL MONREALE CLASSIC CAMPINAS -VPM</v>
          </cell>
        </row>
        <row r="423">
          <cell r="A423" t="str">
            <v>3311091608</v>
          </cell>
          <cell r="B423" t="str">
            <v>EDIFICIO AMERICA CAMBUI - VPM</v>
          </cell>
        </row>
        <row r="424">
          <cell r="A424" t="str">
            <v>3311091609</v>
          </cell>
          <cell r="B424" t="str">
            <v>FIRST OFFICES - VPM</v>
          </cell>
        </row>
        <row r="425">
          <cell r="A425" t="str">
            <v>3311091610</v>
          </cell>
          <cell r="B425" t="str">
            <v>IBIS BUDGET CAMPINAS - VPM</v>
          </cell>
        </row>
        <row r="426">
          <cell r="A426" t="str">
            <v>3311091701</v>
          </cell>
          <cell r="B426" t="str">
            <v>CENTRO MEDICO CAMPINAS - FIBRA</v>
          </cell>
        </row>
        <row r="427">
          <cell r="A427" t="str">
            <v>3311091702</v>
          </cell>
          <cell r="B427" t="str">
            <v>GRAMADO MALL - FIBRA</v>
          </cell>
        </row>
        <row r="428">
          <cell r="A428" t="str">
            <v>3311091703</v>
          </cell>
          <cell r="B428" t="str">
            <v>VITORIA HOTEL PAULINIA - FIBRA</v>
          </cell>
        </row>
        <row r="429">
          <cell r="A429" t="str">
            <v>3311091704</v>
          </cell>
          <cell r="B429" t="str">
            <v>HOSPITAL SAO FRANCISCO FIBRA</v>
          </cell>
        </row>
        <row r="430">
          <cell r="A430" t="str">
            <v>9</v>
          </cell>
          <cell r="B430" t="str">
            <v>MASTERPARK - GENERICOS</v>
          </cell>
        </row>
        <row r="431">
          <cell r="A431" t="str">
            <v>9001</v>
          </cell>
          <cell r="B431" t="str">
            <v>MASTERPARK - ADMITIDOS</v>
          </cell>
        </row>
        <row r="432">
          <cell r="A432" t="str">
            <v>9002</v>
          </cell>
          <cell r="B432" t="str">
            <v>MASTERPARK - DEMITIDOS</v>
          </cell>
        </row>
        <row r="433">
          <cell r="A433" t="str">
            <v>9003</v>
          </cell>
          <cell r="B433" t="str">
            <v>MASTERPARK - AUTONOMOS</v>
          </cell>
        </row>
        <row r="434">
          <cell r="A434" t="str">
            <v>001</v>
          </cell>
          <cell r="B434" t="str">
            <v>FOLHA DE PAGAMENTO</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JAN"/>
      <sheetName val="2004 (Actual)"/>
      <sheetName val="2004 (Budget)"/>
      <sheetName val="RF"/>
      <sheetName val="Temp Det"/>
      <sheetName val="Stores"/>
      <sheetName val="CC 201"/>
      <sheetName val="CC 202"/>
      <sheetName val="CC 203"/>
      <sheetName val="CC 204"/>
      <sheetName val="CC 205"/>
      <sheetName val="CC 206"/>
      <sheetName val="CC 207"/>
      <sheetName val="CC 208"/>
      <sheetName val="CC 209"/>
      <sheetName val="CC 210"/>
      <sheetName val="CC 211"/>
      <sheetName val="CC 212"/>
      <sheetName val="CC 213"/>
      <sheetName val="CC 214"/>
      <sheetName val="CC 215"/>
      <sheetName val="CC 216"/>
      <sheetName val="CC 217"/>
      <sheetName val="CC 218"/>
      <sheetName val="CC 219"/>
      <sheetName val="CC 220"/>
      <sheetName val="CC 221"/>
      <sheetName val="CC 222"/>
      <sheetName val="CC 223"/>
      <sheetName val="CC 224"/>
      <sheetName val="CC 225"/>
      <sheetName val="CC 226"/>
      <sheetName val="CC 227"/>
      <sheetName val="CC 228"/>
      <sheetName val="CC 229"/>
      <sheetName val="CC 230"/>
      <sheetName val="CC 231"/>
      <sheetName val="CC 232"/>
      <sheetName val="CC 233"/>
      <sheetName val="CC 234"/>
      <sheetName val="CC 235"/>
      <sheetName val="CC 236"/>
      <sheetName val="CC 237"/>
      <sheetName val="CC 238"/>
      <sheetName val="CC 240"/>
      <sheetName val="CC 252"/>
      <sheetName val="2004_(Actual)"/>
      <sheetName val="2004_(Budget)"/>
      <sheetName val="Temp_Det"/>
      <sheetName val="CC_201"/>
      <sheetName val="CC_202"/>
      <sheetName val="CC_203"/>
      <sheetName val="CC_204"/>
      <sheetName val="CC_205"/>
      <sheetName val="CC_206"/>
      <sheetName val="CC_207"/>
      <sheetName val="CC_208"/>
      <sheetName val="CC_209"/>
      <sheetName val="CC_210"/>
      <sheetName val="CC_211"/>
      <sheetName val="CC_212"/>
      <sheetName val="CC_213"/>
      <sheetName val="CC_214"/>
      <sheetName val="CC_215"/>
      <sheetName val="CC_216"/>
      <sheetName val="CC_217"/>
      <sheetName val="CC_218"/>
      <sheetName val="CC_219"/>
      <sheetName val="CC_220"/>
      <sheetName val="CC_221"/>
      <sheetName val="CC_222"/>
      <sheetName val="CC_223"/>
      <sheetName val="CC_224"/>
      <sheetName val="CC_225"/>
      <sheetName val="CC_226"/>
      <sheetName val="CC_227"/>
      <sheetName val="CC_228"/>
      <sheetName val="CC_229"/>
      <sheetName val="CC_230"/>
      <sheetName val="CC_231"/>
      <sheetName val="CC_232"/>
      <sheetName val="CC_233"/>
      <sheetName val="CC_234"/>
      <sheetName val="CC_235"/>
      <sheetName val="CC_236"/>
      <sheetName val="CC_237"/>
      <sheetName val="CC_238"/>
      <sheetName val="CC_240"/>
      <sheetName val="CC_252"/>
    </sheetNames>
    <sheetDataSet>
      <sheetData sheetId="0" refreshError="1">
        <row r="5">
          <cell r="B5" t="str">
            <v>IS:RFEO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ics"/>
      <sheetName val="DetailedAss 2002"/>
      <sheetName val="HC 01-02"/>
      <sheetName val="Gráf1"/>
      <sheetName val="Forecast R$"/>
      <sheetName val="Forecast US$"/>
      <sheetName val="Forecast US$BER"/>
      <sheetName val="Forecast NII"/>
      <sheetName val="ADJUSTMENTS"/>
      <sheetName val="Summary R$"/>
      <sheetName val="Summary US$"/>
      <sheetName val="Comp Detalhado"/>
      <sheetName val="Comp Detalhado 4Q"/>
      <sheetName val="Summary Comp R$"/>
      <sheetName val="Summary Comp US$"/>
      <sheetName val="Comissões"/>
      <sheetName val="Overtime Expenses"/>
      <sheetName val="Sum Rev"/>
      <sheetName val="Access"/>
      <sheetName val="Subs"/>
      <sheetName val="MOU rev"/>
      <sheetName val="MOU cost"/>
      <sheetName val="Toll"/>
      <sheetName val="Usage"/>
      <sheetName val="CPP"/>
      <sheetName val="Tower Sale"/>
      <sheetName val="Lojas Nextel"/>
      <sheetName val="Interconnect"/>
      <sheetName val="Subsidio"/>
      <sheetName val="Budget R$"/>
      <sheetName val="Budget US$"/>
      <sheetName val="Versão A R$"/>
      <sheetName val="Versão A US$"/>
    </sheetNames>
    <sheetDataSet>
      <sheetData sheetId="0" refreshError="1"/>
      <sheetData sheetId="1" refreshError="1"/>
      <sheetData sheetId="2" refreshError="1"/>
      <sheetData sheetId="3" refreshError="1"/>
      <sheetData sheetId="4" refreshError="1"/>
      <sheetData sheetId="5">
        <row r="774">
          <cell r="K774">
            <v>1.95</v>
          </cell>
          <cell r="L774">
            <v>2.0099999999999998</v>
          </cell>
          <cell r="M774">
            <v>2.11</v>
          </cell>
          <cell r="N774">
            <v>2.1800000000000002</v>
          </cell>
          <cell r="O774">
            <v>2.29</v>
          </cell>
          <cell r="P774">
            <v>2.37</v>
          </cell>
          <cell r="Q774">
            <v>2.46</v>
          </cell>
          <cell r="R774">
            <v>2.5099999999999998</v>
          </cell>
          <cell r="S774">
            <v>2.66</v>
          </cell>
          <cell r="T774">
            <v>2.74</v>
          </cell>
          <cell r="U774">
            <v>2.5499999999999998</v>
          </cell>
          <cell r="V774">
            <v>2.8</v>
          </cell>
          <cell r="W774">
            <v>2.8</v>
          </cell>
          <cell r="X774">
            <v>2.8</v>
          </cell>
          <cell r="Y774">
            <v>2.8</v>
          </cell>
          <cell r="Z774">
            <v>2.8</v>
          </cell>
          <cell r="AA774">
            <v>2.8</v>
          </cell>
          <cell r="AB774">
            <v>2.8</v>
          </cell>
          <cell r="AC774">
            <v>2.8</v>
          </cell>
          <cell r="AD774">
            <v>2.8</v>
          </cell>
          <cell r="AE774">
            <v>2.8</v>
          </cell>
          <cell r="AF774">
            <v>2.8</v>
          </cell>
          <cell r="AG774">
            <v>2.8</v>
          </cell>
          <cell r="AH774">
            <v>2.8</v>
          </cell>
        </row>
      </sheetData>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Figures"/>
      <sheetName val="Balance Sheet"/>
      <sheetName val="Ctas T"/>
      <sheetName val="Cash Flow"/>
      <sheetName val="D &amp; A"/>
      <sheetName val="Summary.IS"/>
      <sheetName val="Semi Detailed Expenses"/>
      <sheetName val="TM1.Settings"/>
      <sheetName val="Auto"/>
      <sheetName val="Menu"/>
      <sheetName val="PrintCode"/>
      <sheetName val="PDB"/>
      <sheetName val="modPickElements"/>
      <sheetName val="Telecoms"/>
      <sheetName val="tariffs"/>
      <sheetName val="Table of Cont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C19" t="str">
            <v>local:99FIN-PE</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806"/>
      <sheetName val="2706"/>
      <sheetName val="2606"/>
      <sheetName val="2506"/>
      <sheetName val="2406"/>
      <sheetName val="2106"/>
      <sheetName val="2006"/>
      <sheetName val="1906"/>
      <sheetName val="1806"/>
      <sheetName val="1706"/>
      <sheetName val="1406"/>
      <sheetName val="1306"/>
      <sheetName val="1206"/>
      <sheetName val="1106"/>
      <sheetName val="1006"/>
      <sheetName val="0706"/>
      <sheetName val="0606"/>
      <sheetName val="0506"/>
      <sheetName val="0406"/>
      <sheetName val="0306"/>
      <sheetName val="Junho"/>
      <sheetName val="Fluxo"/>
      <sheetName val="FluxoR$"/>
      <sheetName val="Fluxo Fornecedor"/>
      <sheetName val="Matriz"/>
      <sheetName val="Pendências"/>
      <sheetName val="Variações"/>
      <sheetName val="Fluxo_Forneced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1">
          <cell r="L1">
            <v>37410</v>
          </cell>
        </row>
        <row r="2">
          <cell r="L2" t="str">
            <v>Prev</v>
          </cell>
        </row>
        <row r="301">
          <cell r="L301" t="str">
            <v>Prev</v>
          </cell>
        </row>
        <row r="317">
          <cell r="L317" t="str">
            <v>CONTA</v>
          </cell>
        </row>
        <row r="319">
          <cell r="L319">
            <v>300</v>
          </cell>
        </row>
        <row r="320">
          <cell r="L320">
            <v>301</v>
          </cell>
        </row>
        <row r="321">
          <cell r="L321">
            <v>303</v>
          </cell>
        </row>
        <row r="322">
          <cell r="L322">
            <v>304</v>
          </cell>
        </row>
        <row r="323">
          <cell r="L323">
            <v>305</v>
          </cell>
        </row>
        <row r="324">
          <cell r="L324">
            <v>306</v>
          </cell>
        </row>
        <row r="325">
          <cell r="L325">
            <v>308</v>
          </cell>
        </row>
        <row r="326">
          <cell r="L326">
            <v>398</v>
          </cell>
        </row>
        <row r="327">
          <cell r="L327">
            <v>399</v>
          </cell>
        </row>
        <row r="328">
          <cell r="L328">
            <v>400</v>
          </cell>
        </row>
        <row r="329">
          <cell r="L329">
            <v>500</v>
          </cell>
        </row>
        <row r="330">
          <cell r="L330">
            <v>599</v>
          </cell>
        </row>
        <row r="331">
          <cell r="L331">
            <v>600</v>
          </cell>
        </row>
        <row r="332">
          <cell r="L332">
            <v>601</v>
          </cell>
        </row>
        <row r="333">
          <cell r="L333">
            <v>603</v>
          </cell>
        </row>
        <row r="334">
          <cell r="L334">
            <v>604</v>
          </cell>
        </row>
        <row r="335">
          <cell r="L335">
            <v>606</v>
          </cell>
        </row>
        <row r="336">
          <cell r="L336">
            <v>699</v>
          </cell>
        </row>
        <row r="337">
          <cell r="L337">
            <v>700</v>
          </cell>
        </row>
        <row r="338">
          <cell r="L338">
            <v>701</v>
          </cell>
        </row>
        <row r="339">
          <cell r="L339">
            <v>702</v>
          </cell>
        </row>
        <row r="340">
          <cell r="L340">
            <v>703</v>
          </cell>
        </row>
        <row r="341">
          <cell r="L341">
            <v>704</v>
          </cell>
        </row>
        <row r="342">
          <cell r="L342">
            <v>705</v>
          </cell>
        </row>
        <row r="343">
          <cell r="L343">
            <v>706</v>
          </cell>
        </row>
        <row r="344">
          <cell r="L344">
            <v>707</v>
          </cell>
        </row>
        <row r="345">
          <cell r="L345">
            <v>708</v>
          </cell>
        </row>
        <row r="346">
          <cell r="L346">
            <v>709</v>
          </cell>
        </row>
        <row r="347">
          <cell r="L347">
            <v>790</v>
          </cell>
        </row>
        <row r="348">
          <cell r="L348">
            <v>800</v>
          </cell>
        </row>
        <row r="349">
          <cell r="L349">
            <v>801</v>
          </cell>
        </row>
        <row r="350">
          <cell r="L350">
            <v>802</v>
          </cell>
        </row>
        <row r="351">
          <cell r="L351">
            <v>803</v>
          </cell>
        </row>
        <row r="352">
          <cell r="L352">
            <v>804</v>
          </cell>
        </row>
        <row r="353">
          <cell r="L353">
            <v>900</v>
          </cell>
        </row>
        <row r="354">
          <cell r="L354">
            <v>901</v>
          </cell>
        </row>
        <row r="355">
          <cell r="L355">
            <v>910</v>
          </cell>
        </row>
        <row r="356">
          <cell r="L356">
            <v>911</v>
          </cell>
        </row>
        <row r="357">
          <cell r="L357">
            <v>912</v>
          </cell>
        </row>
        <row r="358">
          <cell r="L358">
            <v>913</v>
          </cell>
        </row>
        <row r="359">
          <cell r="L359">
            <v>914</v>
          </cell>
        </row>
        <row r="360">
          <cell r="L360">
            <v>915</v>
          </cell>
        </row>
        <row r="361">
          <cell r="L361">
            <v>916</v>
          </cell>
        </row>
        <row r="362">
          <cell r="L362">
            <v>917</v>
          </cell>
        </row>
        <row r="363">
          <cell r="L363">
            <v>918</v>
          </cell>
        </row>
        <row r="364">
          <cell r="L364">
            <v>920</v>
          </cell>
        </row>
        <row r="365">
          <cell r="L365">
            <v>921</v>
          </cell>
        </row>
        <row r="366">
          <cell r="L366">
            <v>922</v>
          </cell>
        </row>
        <row r="367">
          <cell r="L367">
            <v>923</v>
          </cell>
        </row>
        <row r="368">
          <cell r="L368">
            <v>924</v>
          </cell>
        </row>
        <row r="369">
          <cell r="L369">
            <v>925</v>
          </cell>
        </row>
        <row r="370">
          <cell r="L370">
            <v>926</v>
          </cell>
        </row>
        <row r="371">
          <cell r="L371">
            <v>927</v>
          </cell>
        </row>
        <row r="372">
          <cell r="L372">
            <v>928</v>
          </cell>
        </row>
        <row r="373">
          <cell r="L373">
            <v>930</v>
          </cell>
        </row>
        <row r="374">
          <cell r="L374">
            <v>931</v>
          </cell>
        </row>
        <row r="375">
          <cell r="L375">
            <v>932</v>
          </cell>
        </row>
        <row r="376">
          <cell r="L376">
            <v>933</v>
          </cell>
        </row>
        <row r="377">
          <cell r="L377">
            <v>934</v>
          </cell>
        </row>
        <row r="378">
          <cell r="L378">
            <v>935</v>
          </cell>
        </row>
        <row r="379">
          <cell r="L379">
            <v>936</v>
          </cell>
        </row>
        <row r="380">
          <cell r="L380">
            <v>937</v>
          </cell>
        </row>
        <row r="381">
          <cell r="L381">
            <v>938</v>
          </cell>
        </row>
        <row r="382">
          <cell r="L382">
            <v>990</v>
          </cell>
        </row>
        <row r="383">
          <cell r="L383">
            <v>991</v>
          </cell>
        </row>
        <row r="384">
          <cell r="L384">
            <v>992</v>
          </cell>
        </row>
        <row r="385">
          <cell r="L385">
            <v>993</v>
          </cell>
        </row>
        <row r="386">
          <cell r="L386">
            <v>994</v>
          </cell>
        </row>
      </sheetData>
      <sheetData sheetId="25"/>
      <sheetData sheetId="26"/>
      <sheetData sheetId="2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ing"/>
      <sheetName val="ADI Consolidada"/>
      <sheetName val="Aging Conta 2025 - Marketing Ag"/>
    </sheetNames>
    <definedNames>
      <definedName name="HowToUnprotect" refersTo="#REF!"/>
      <definedName name="modPickElements.PickElement" refersTo="#REF!"/>
      <definedName name="PickCube" refersTo="#REF!"/>
      <definedName name="PickElement" refersTo="#REF!"/>
      <definedName name="RecalcCurrentSheet" refersTo="#REF!"/>
    </definedNames>
    <sheetDataSet>
      <sheetData sheetId="0" refreshError="1"/>
      <sheetData sheetId="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1.Settings"/>
      <sheetName val="Sys.Cap"/>
      <sheetName val="Summary.IS"/>
      <sheetName val="Semi.Detailed.IS"/>
      <sheetName val="Dig.Units"/>
      <sheetName val="Metrics"/>
      <sheetName val="Key.Drivers"/>
      <sheetName val="Auto"/>
      <sheetName val="Menu"/>
      <sheetName val="PrintCode"/>
      <sheetName val="PDB"/>
      <sheetName val="modPickElements"/>
      <sheetName val="pr98-206"/>
      <sheetName val="PopCache_Sheet1"/>
      <sheetName val="Hyp.Settings"/>
      <sheetName val="Table of Contents"/>
      <sheetName val="Inputs_and_Actuals"/>
      <sheetName val="Links"/>
      <sheetName val="Lead"/>
      <sheetName val="Dados Básicos"/>
      <sheetName val="Output"/>
      <sheetName val="Monthly Fees"/>
      <sheetName val="CIBER"/>
      <sheetName val="Details"/>
      <sheetName val="DEF_INVOICE"/>
      <sheetName val="Invoice Console"/>
      <sheetName val="Quarterly Fees "/>
      <sheetName val="Table"/>
      <sheetName val="INVOICE DATA"/>
      <sheetName val="SMS Clearing"/>
      <sheetName val="Invoice No"/>
      <sheetName val="All Variables"/>
      <sheetName val="NCI"/>
      <sheetName val="Plan3"/>
      <sheetName val="Controle"/>
      <sheetName val="TM1_Settings"/>
      <sheetName val="Sys_Cap"/>
      <sheetName val="Summary_IS"/>
      <sheetName val="Semi_Detailed_IS"/>
      <sheetName val="Dig_Units"/>
      <sheetName val="Key_Drivers"/>
      <sheetName val="Hyp_Settings"/>
      <sheetName val="Table_of_Contents"/>
      <sheetName val="Dados_Básicos"/>
      <sheetName val="Monthly_Fees"/>
      <sheetName val="Invoice_Console"/>
      <sheetName val="Quarterly_Fees_"/>
      <sheetName val="INVOICE_DATA"/>
      <sheetName val="SMS_Clearing"/>
      <sheetName val="Invoice_No"/>
      <sheetName val="All_Variables"/>
      <sheetName val="Mes"/>
      <sheetName val="PR-7 ACTUAL"/>
      <sheetName val="Concentrado"/>
      <sheetName val="Tabla"/>
      <sheetName val="Detalle Rva"/>
      <sheetName val="Para firma"/>
      <sheetName val="No identificados con serie"/>
    </sheetNames>
    <sheetDataSet>
      <sheetData sheetId="0" refreshError="1">
        <row r="15">
          <cell r="C15" t="str">
            <v>P98</v>
          </cell>
        </row>
        <row r="16">
          <cell r="C16" t="str">
            <v>Plan</v>
          </cell>
        </row>
        <row r="17">
          <cell r="C17" t="str">
            <v>Plan Round 1</v>
          </cell>
        </row>
        <row r="18">
          <cell r="C18" t="str">
            <v>NXTW:   Nextel Worldwide</v>
          </cell>
        </row>
        <row r="20">
          <cell r="C20" t="str">
            <v>NXL Rollup of Nextel Legal Entities</v>
          </cell>
        </row>
      </sheetData>
      <sheetData sheetId="1" refreshError="1">
        <row r="1">
          <cell r="D1">
            <v>1</v>
          </cell>
          <cell r="AM1" t="str">
            <v>Total Site System Capital</v>
          </cell>
        </row>
        <row r="2">
          <cell r="AM2" t="str">
            <v>Digital Site System Capital</v>
          </cell>
        </row>
        <row r="3">
          <cell r="AM3" t="str">
            <v>New Site System Capital</v>
          </cell>
        </row>
        <row r="4">
          <cell r="AM4" t="str">
            <v>Digital System Capital</v>
          </cell>
        </row>
        <row r="5">
          <cell r="AM5" t="str">
            <v>IN Inventory</v>
          </cell>
        </row>
        <row r="6">
          <cell r="AM6" t="str">
            <v>Site Type</v>
          </cell>
        </row>
        <row r="7">
          <cell r="AM7" t="str">
            <v>CZ Capitalized Expenses</v>
          </cell>
        </row>
        <row r="8">
          <cell r="AM8" t="str">
            <v>Capacity Consol</v>
          </cell>
        </row>
        <row r="9">
          <cell r="AM9" t="str">
            <v>CP Capacity</v>
          </cell>
        </row>
        <row r="10">
          <cell r="AM10" t="str">
            <v>MD Modifications</v>
          </cell>
        </row>
        <row r="11">
          <cell r="AM11" t="str">
            <v>CV Coverage</v>
          </cell>
        </row>
        <row r="12">
          <cell r="AM12" t="str">
            <v>QT Quality</v>
          </cell>
        </row>
        <row r="13">
          <cell r="AM13" t="str">
            <v>AT Asset Transfer</v>
          </cell>
        </row>
        <row r="14">
          <cell r="AM14" t="str">
            <v>AN Analog System Capital</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sheetName val="Semi-Detail IS"/>
      <sheetName val="TM1.Settings"/>
      <sheetName val="RF"/>
      <sheetName val="MSO"/>
      <sheetName val="Eng_Mgmt"/>
      <sheetName val="S&amp;R"/>
      <sheetName val="MSF_Anlg"/>
      <sheetName val="CAC"/>
      <sheetName val="IT"/>
      <sheetName val="Bill"/>
      <sheetName val="G&amp;A"/>
      <sheetName val="MKTG"/>
      <sheetName val="SALES"/>
      <sheetName val="FULF"/>
      <sheetName val="Summary-fin"/>
      <sheetName val="Summary-cap"/>
      <sheetName val="modPickElements"/>
      <sheetName val="Sys.Cap"/>
      <sheetName val="Semi-Detail_IS"/>
      <sheetName val="TM1_Settings"/>
      <sheetName val="Sys_Cap"/>
    </sheetNames>
    <sheetDataSet>
      <sheetData sheetId="0">
        <row r="23">
          <cell r="C23" t="str">
            <v>ARGN - Argentina - Consol</v>
          </cell>
        </row>
      </sheetData>
      <sheetData sheetId="1"/>
      <sheetData sheetId="2" refreshError="1">
        <row r="23">
          <cell r="C23" t="str">
            <v>ARGN - Argentina - Consol</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row r="23">
          <cell r="C23" t="str">
            <v>ARGN - Argentina - Consol</v>
          </cell>
        </row>
      </sheetData>
      <sheetData sheetId="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Gráfico"/>
      <sheetName val="ResumoCI"/>
      <sheetName val="BASE"/>
      <sheetName val="Controle"/>
      <sheetName val="Interest Expense"/>
      <sheetName val="TM1.Settings"/>
    </sheetNames>
    <sheetDataSet>
      <sheetData sheetId="0"/>
      <sheetData sheetId="1"/>
      <sheetData sheetId="2"/>
      <sheetData sheetId="3"/>
      <sheetData sheetId="4" refreshError="1">
        <row r="1">
          <cell r="B1" t="str">
            <v>Aditivos-FS</v>
          </cell>
          <cell r="G1" t="str">
            <v>ACT1996</v>
          </cell>
        </row>
        <row r="2">
          <cell r="J2" t="str">
            <v>Grupo</v>
          </cell>
        </row>
      </sheetData>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ECTR"/>
    </sheetNames>
    <sheetDataSet>
      <sheetData sheetId="0">
        <row r="10">
          <cell r="B10" t="b">
            <v>0</v>
          </cell>
        </row>
        <row r="11">
          <cell r="B11" t="b">
            <v>0</v>
          </cell>
        </row>
        <row r="12">
          <cell r="B12" t="b">
            <v>0</v>
          </cell>
        </row>
        <row r="13">
          <cell r="B13" t="b">
            <v>0</v>
          </cell>
        </row>
        <row r="14">
          <cell r="B14" t="b">
            <v>0</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01"/>
      <sheetName val="02"/>
      <sheetName val="03"/>
      <sheetName val="06"/>
      <sheetName val="07"/>
      <sheetName val="08"/>
      <sheetName val="09"/>
      <sheetName val="10"/>
      <sheetName val="13"/>
      <sheetName val="14"/>
      <sheetName val="15"/>
      <sheetName val="16"/>
      <sheetName val="17"/>
      <sheetName val="20"/>
      <sheetName val="21"/>
      <sheetName val="22"/>
      <sheetName val="23"/>
      <sheetName val="24"/>
      <sheetName val="27"/>
      <sheetName val="28"/>
      <sheetName val="29"/>
      <sheetName val="30"/>
      <sheetName val="23º Dia útil"/>
      <sheetName val="Junho_R$"/>
      <sheetName val="Junho_US$"/>
      <sheetName val="Daily Balance"/>
      <sheetName val="Collection"/>
      <sheetName val="CPP"/>
      <sheetName val="Interconnect"/>
      <sheetName val="Site&amp;Switch"/>
      <sheetName val="Payroll &amp; Related"/>
      <sheetName val="Employee"/>
      <sheetName val="Out side"/>
      <sheetName val="Facilities"/>
      <sheetName val="Billing"/>
      <sheetName val="Marketing"/>
      <sheetName val="Customer OPS Handset"/>
      <sheetName val="Non-network Capex"/>
      <sheetName val="Analog Network"/>
      <sheetName val="Site Acq_Const"/>
      <sheetName val="Motorola EBTS"/>
      <sheetName val="Non Motorola EBTS"/>
      <sheetName val="MSO Motorola"/>
      <sheetName val="MSO Non-Motorola"/>
      <sheetName val="Import Tax"/>
      <sheetName val="VAT Pay"/>
      <sheetName val="VAT Cred"/>
      <sheetName val="Other TAX"/>
      <sheetName val="Tower p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mi96"/>
      <sheetName val="prebdg97"/>
      <sheetName val="mese"/>
      <sheetName val="ce"/>
      <sheetName val="BDNF_Rec"/>
      <sheetName val="Critérios"/>
      <sheetName val="Cadastro"/>
      <sheetName val="C"/>
      <sheetName val="B"/>
      <sheetName val="A"/>
      <sheetName val="pr_emessi"/>
      <sheetName val="premi_bdg_fcst"/>
      <sheetName val="comgest"/>
      <sheetName val="comgest_den"/>
      <sheetName val="PRE_COMP"/>
      <sheetName val="MENS_RPR"/>
      <sheetName val="n_cons"/>
      <sheetName val="Modelo C UPF"/>
      <sheetName val="UPF'S"/>
      <sheetName val="Ativo"/>
      <sheetName val="CECO"/>
      <sheetName val="E1.11.1 - RECEBIMENTOS"/>
      <sheetName val="MENS_I_P"/>
      <sheetName val="Daily Register"/>
      <sheetName val="Trial Balance"/>
      <sheetName val="E1.1.2 - RECEBIMENTOS"/>
      <sheetName val="#REF"/>
      <sheetName val="TR"/>
      <sheetName val="INFO"/>
      <sheetName val="Modelo_C_UPF"/>
      <sheetName val="E1_11_1_-_RECEBIMENTOS"/>
      <sheetName val="E1_1_2_-_RECEBIMENTOS"/>
      <sheetName val="Daily_Register"/>
      <sheetName val="Trial_Balance"/>
      <sheetName val="GERREAL"/>
      <sheetName val="E2.1-PCLD ANEEL 06-2006"/>
      <sheetName val="ELIMINAÇÕES"/>
      <sheetName val="Peso áreas e CPs"/>
      <sheetName val="RIS_TECNICHE"/>
      <sheetName val="BASE (2)"/>
      <sheetName val="ANEEL"/>
      <sheetName val="PÇO"/>
      <sheetName val="Cover"/>
      <sheetName val="PC"/>
      <sheetName val="Peso Liq."/>
      <sheetName val="ce99"/>
      <sheetName val="BAL1001"/>
      <sheetName val="Balancete"/>
      <sheetName val="BASE"/>
      <sheetName val="Plan1"/>
      <sheetName val="E4.1"/>
      <sheetName val="Modelo_C_UPF1"/>
      <sheetName val="E1_11_1_-_RECEBIMENTOS1"/>
      <sheetName val="E1_1_2_-_RECEBIMENTOS1"/>
      <sheetName val="Daily_Register1"/>
      <sheetName val="Trial_Balance1"/>
      <sheetName val="E2_1-PCLD_ANEEL_06-2006"/>
      <sheetName val="Peso_áreas_e_CPs"/>
      <sheetName val="BASE_(2)"/>
      <sheetName val="Peso_Liq_"/>
      <sheetName val="EST-0902"/>
      <sheetName val="Macro"/>
      <sheetName val="CUSTO-0702"/>
      <sheetName val="p&amp;l1298"/>
      <sheetName val="P_Par"/>
      <sheetName val="P_Prt"/>
      <sheetName val="INDICES"/>
      <sheetName val="Cadastro de Fornecedores"/>
      <sheetName val="Instructions"/>
      <sheetName val="Consolidado"/>
      <sheetName val="2004"/>
      <sheetName val="p.5"/>
      <sheetName val="Modelo_C_UPF2"/>
      <sheetName val="E1_11_1_-_RECEBIMENTOS2"/>
      <sheetName val="E1_1_2_-_RECEBIMENTOS2"/>
      <sheetName val="Daily_Register2"/>
      <sheetName val="Trial_Balance2"/>
      <sheetName val="Modelo_C_UPF3"/>
      <sheetName val="E1_11_1_-_RECEBIMENTOS3"/>
      <sheetName val="E1_1_2_-_RECEBIMENTOS3"/>
      <sheetName val="Daily_Register3"/>
      <sheetName val="Trial_Balance3"/>
      <sheetName val="RIEP_INC_98"/>
      <sheetName val="Form09"/>
      <sheetName val=" PIB Brasil ( R$ de 1996 )"/>
      <sheetName val="E2_1-PCLD_ANEEL_06-20061"/>
      <sheetName val="Peso_áreas_e_CPs1"/>
      <sheetName val="BASE_(2)1"/>
      <sheetName val="Peso_Liq_1"/>
      <sheetName val="E2_1-PCLD_ANEEL_06-20062"/>
      <sheetName val="Peso_áreas_e_CPs2"/>
      <sheetName val="BASE_(2)2"/>
      <sheetName val="Peso_Liq_2"/>
      <sheetName val="E2_1-PCLD_ANEEL_06-20063"/>
      <sheetName val="Peso_áreas_e_CPs3"/>
      <sheetName val="BASE_(2)3"/>
      <sheetName val="Peso_Liq_3"/>
      <sheetName val="Cadastro_de_Fornecedores"/>
      <sheetName val="p_5"/>
      <sheetName val="Dictionary"/>
      <sheetName val="Execução"/>
      <sheetName val="Capa"/>
      <sheetName val="vinc"/>
      <sheetName val="Start"/>
      <sheetName val="Tab.Translate"/>
      <sheetName val="Main"/>
      <sheetName val="VARIABLEN"/>
      <sheetName val="WORDTAB"/>
      <sheetName val="Period Week Lookup"/>
      <sheetName val="HH"/>
      <sheetName val="DISCOUNTS DDP"/>
      <sheetName val="MATERIAIS - BRG"/>
      <sheetName val="den96"/>
      <sheetName val="ABRIL 2000"/>
      <sheetName val="PROTEUS"/>
      <sheetName val="11081001 geral"/>
      <sheetName val="Tabela de Parâmetros"/>
      <sheetName val="Links"/>
      <sheetName val="Selic"/>
      <sheetName val="Auxi"/>
      <sheetName val="Mutuo"/>
      <sheetName val="Income_Tax"/>
      <sheetName val="N"/>
      <sheetName val="Menu y datos"/>
      <sheetName val="LA1 Total"/>
      <sheetName val="Sheet3"/>
      <sheetName val=" 3 - E05 - M1 - Empréstimos.xls"/>
      <sheetName val="Tabelas"/>
      <sheetName val="ICATU"/>
      <sheetName val="macro_2003"/>
      <sheetName val="Proc"/>
      <sheetName val="Evolutivo"/>
      <sheetName val="Consolidated Month Trend"/>
      <sheetName val="Consolidated Month VHC"/>
      <sheetName val="Consolidated Month Trend+VHC"/>
      <sheetName val="Consolidated Year Trend"/>
      <sheetName val="Consolidated Year VHC"/>
      <sheetName val="Consolidated Year Trend+VHC"/>
      <sheetName val="2019 Consolidated"/>
      <sheetName val="2019 VHC"/>
      <sheetName val="B2019 Consolidated"/>
      <sheetName val="2018 Consolidated"/>
      <sheetName val="2019 Flash"/>
      <sheetName val="Máscara - BP"/>
      <sheetName val="Máscara - LY"/>
      <sheetName val="Máscara - YTD"/>
      <sheetName val="Consolidated Quarter"/>
      <sheetName val="Máscara - Q2"/>
      <sheetName val="Máscara - BP Q2"/>
      <sheetName val="Máscara - LY Q2"/>
      <sheetName val="INDIC_ECON"/>
      <sheetName val="CUSTO_PROD"/>
      <sheetName val="CPV"/>
      <sheetName val="Mix_Venda"/>
      <sheetName val="basevp_f"/>
      <sheetName val="Modelo_C_UPF4"/>
      <sheetName val="E1_11_1_-_RECEBIMENTOS4"/>
      <sheetName val="E1_1_2_-_RECEBIMENTOS4"/>
      <sheetName val="Daily_Register4"/>
      <sheetName val="Trial_Balance4"/>
      <sheetName val="E2_1-PCLD_ANEEL_06-20064"/>
      <sheetName val="Peso_áreas_e_CPs4"/>
      <sheetName val="BASE_(2)4"/>
      <sheetName val="Peso_Liq_4"/>
      <sheetName val="Cadastro_de_Fornecedores1"/>
      <sheetName val="p_51"/>
      <sheetName val="E4_1"/>
      <sheetName val="_PIB_Brasil_(_R$_de_1996_)"/>
      <sheetName val="11081001_geral"/>
      <sheetName val="DISCOUNTS_DDP"/>
      <sheetName val="Period_Week_Lookup"/>
      <sheetName val="Tab_Translate"/>
      <sheetName val="MATERIAIS_-_BRG"/>
      <sheetName val="ABRIL_2000"/>
      <sheetName val="Tabela_de_Parâmetros"/>
      <sheetName val="Menu_y_datos"/>
      <sheetName val="LA1_Total"/>
      <sheetName val="_3_-_E05_-_M1_-_Empréstimos_xls"/>
      <sheetName val="fechamento importação"/>
      <sheetName val="mark up  atual"/>
      <sheetName val="Expenses"/>
    </sheetNames>
    <sheetDataSet>
      <sheetData sheetId="0" refreshError="1"/>
      <sheetData sheetId="1" refreshError="1"/>
      <sheetData sheetId="2">
        <row r="2">
          <cell r="B2" t="str">
            <v>gen</v>
          </cell>
        </row>
      </sheetData>
      <sheetData sheetId="3">
        <row r="2">
          <cell r="B2" t="str">
            <v>gen</v>
          </cell>
        </row>
      </sheetData>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S (3)"/>
      <sheetName val="VC1 (3)"/>
      <sheetName val="ASSINATURA (3)"/>
      <sheetName val="VAS BSE (2)"/>
      <sheetName val="VC1 BSE (2)"/>
      <sheetName val="ASSINATURA BSE (2)"/>
      <sheetName val="Acerto do GSM"/>
      <sheetName val="Estorno da Fraude"/>
      <sheetName val="VAS (2)"/>
      <sheetName val="VC1 (2)"/>
      <sheetName val="ASSINATURA (2)"/>
      <sheetName val="&lt;"/>
      <sheetName val="Janeiro"/>
      <sheetName val="Fevereiro"/>
      <sheetName val="Março"/>
      <sheetName val="Abril"/>
      <sheetName val="Maio"/>
      <sheetName val="Junho"/>
      <sheetName val="Julho"/>
      <sheetName val="Agosto"/>
      <sheetName val="Setembro"/>
      <sheetName val="Outubro"/>
      <sheetName val="Novembro"/>
      <sheetName val="Dezembro"/>
      <sheetName val="&gt;"/>
      <sheetName val="Total"/>
      <sheetName val="Geral"/>
      <sheetName val="International Roaming"/>
      <sheetName val="VAS"/>
      <sheetName val="ASSINATURA"/>
      <sheetName val="VC1"/>
      <sheetName val="Vas BCP"/>
      <sheetName val="VAS BSE"/>
      <sheetName val="VC1 BSE"/>
      <sheetName val="ASSINATURA BSE"/>
      <sheetName val="Anual"/>
      <sheetName val="tess GSM Abr  Jun"/>
      <sheetName val="STEMAR GSM Abr  Jun"/>
      <sheetName val="AMERICEL GSM Abr  Jun"/>
      <sheetName val="TELET E ALBRA"/>
      <sheetName val="ATL GSM Abr  Jun"/>
      <sheetName val="ce"/>
      <sheetName val="CE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ODE"/>
      <sheetName val="Contabilização"/>
      <sheetName val="B.Trim.Dealer"/>
      <sheetName val="Base-Comissão Trimestral"/>
      <sheetName val="Média-Prov.Trimestral"/>
    </sheetNames>
    <sheetDataSet>
      <sheetData sheetId="0">
        <row r="5">
          <cell r="B5">
            <v>2</v>
          </cell>
        </row>
        <row r="14">
          <cell r="B14" t="str">
            <v>dgal</v>
          </cell>
        </row>
      </sheetData>
      <sheetData sheetId="1">
        <row r="5">
          <cell r="B5">
            <v>2</v>
          </cell>
        </row>
      </sheetData>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SANTA"/>
    </sheetNames>
    <sheetDataSet>
      <sheetData sheetId="0" refreshError="1"/>
      <sheetData sheetId="1" refreshError="1">
        <row r="2">
          <cell r="C2" t="str">
            <v>SAM1050009</v>
          </cell>
          <cell r="D2" t="str">
            <v>RE</v>
          </cell>
          <cell r="E2" t="str">
            <v>0003</v>
          </cell>
          <cell r="F2" t="str">
            <v>00042862</v>
          </cell>
          <cell r="G2">
            <v>36285</v>
          </cell>
          <cell r="H2" t="str">
            <v>8AJ33LNA3X9318532</v>
          </cell>
          <cell r="I2" t="str">
            <v>000023</v>
          </cell>
          <cell r="J2" t="str">
            <v>0111</v>
          </cell>
          <cell r="K2">
            <v>1999</v>
          </cell>
          <cell r="L2">
            <v>2759077</v>
          </cell>
        </row>
        <row r="3">
          <cell r="C3" t="str">
            <v>SAM2040020</v>
          </cell>
          <cell r="D3" t="str">
            <v>RE</v>
          </cell>
          <cell r="E3" t="str">
            <v>0003</v>
          </cell>
          <cell r="F3" t="str">
            <v>00043094</v>
          </cell>
          <cell r="G3">
            <v>36290</v>
          </cell>
          <cell r="H3" t="str">
            <v>SB153SBN00E028361</v>
          </cell>
          <cell r="I3" t="str">
            <v>000054</v>
          </cell>
          <cell r="J3" t="str">
            <v>0039</v>
          </cell>
          <cell r="K3">
            <v>1998</v>
          </cell>
          <cell r="L3">
            <v>2457617</v>
          </cell>
        </row>
        <row r="4">
          <cell r="C4" t="str">
            <v>SAM1050013</v>
          </cell>
          <cell r="D4" t="str">
            <v>RE</v>
          </cell>
          <cell r="E4" t="str">
            <v>0003</v>
          </cell>
          <cell r="F4" t="str">
            <v>00043095</v>
          </cell>
          <cell r="G4">
            <v>36290</v>
          </cell>
          <cell r="H4" t="str">
            <v>8AJ33LNA3X9318345</v>
          </cell>
          <cell r="I4" t="str">
            <v>000023</v>
          </cell>
          <cell r="J4" t="str">
            <v>0022</v>
          </cell>
          <cell r="K4">
            <v>1999</v>
          </cell>
          <cell r="L4">
            <v>2759077</v>
          </cell>
        </row>
        <row r="5">
          <cell r="C5" t="str">
            <v>SAM1050012</v>
          </cell>
          <cell r="D5" t="str">
            <v>RE</v>
          </cell>
          <cell r="E5" t="str">
            <v>0003</v>
          </cell>
          <cell r="F5" t="str">
            <v>00043096</v>
          </cell>
          <cell r="G5">
            <v>36290</v>
          </cell>
          <cell r="H5" t="str">
            <v>8AJ33LNA3X9318457</v>
          </cell>
          <cell r="I5" t="str">
            <v>000023</v>
          </cell>
          <cell r="J5" t="str">
            <v>0022</v>
          </cell>
          <cell r="K5">
            <v>1999</v>
          </cell>
          <cell r="L5">
            <v>2759077</v>
          </cell>
        </row>
        <row r="6">
          <cell r="C6" t="str">
            <v>SAM1050007</v>
          </cell>
          <cell r="D6" t="str">
            <v>RE</v>
          </cell>
          <cell r="E6" t="str">
            <v>0003</v>
          </cell>
          <cell r="F6" t="str">
            <v>00043097</v>
          </cell>
          <cell r="G6">
            <v>36290</v>
          </cell>
          <cell r="H6" t="str">
            <v>8AJ33LNA3X9318761</v>
          </cell>
          <cell r="I6" t="str">
            <v>000023</v>
          </cell>
          <cell r="J6" t="str">
            <v>0004</v>
          </cell>
          <cell r="K6">
            <v>1999</v>
          </cell>
          <cell r="L6">
            <v>2759077</v>
          </cell>
        </row>
        <row r="7">
          <cell r="C7" t="str">
            <v>SAM1050008</v>
          </cell>
          <cell r="D7" t="str">
            <v>RE</v>
          </cell>
          <cell r="E7" t="str">
            <v>0003</v>
          </cell>
          <cell r="F7" t="str">
            <v>00043098</v>
          </cell>
          <cell r="G7">
            <v>36290</v>
          </cell>
          <cell r="H7" t="str">
            <v>8AJ33LNA3X9318668</v>
          </cell>
          <cell r="I7" t="str">
            <v>000023</v>
          </cell>
          <cell r="J7" t="str">
            <v>0111</v>
          </cell>
          <cell r="K7">
            <v>1999</v>
          </cell>
          <cell r="L7">
            <v>2759077</v>
          </cell>
        </row>
        <row r="8">
          <cell r="C8" t="str">
            <v>SAM1050001</v>
          </cell>
          <cell r="D8" t="str">
            <v>RE</v>
          </cell>
          <cell r="E8" t="str">
            <v>0003</v>
          </cell>
          <cell r="F8" t="str">
            <v>00043675</v>
          </cell>
          <cell r="G8">
            <v>36301</v>
          </cell>
          <cell r="H8" t="str">
            <v>8AJ33LNA3X9319098</v>
          </cell>
          <cell r="I8" t="str">
            <v>000016</v>
          </cell>
          <cell r="J8" t="str">
            <v>0002</v>
          </cell>
          <cell r="K8">
            <v>1999</v>
          </cell>
          <cell r="L8">
            <v>2531958</v>
          </cell>
        </row>
        <row r="9">
          <cell r="C9" t="str">
            <v>SAM1050029</v>
          </cell>
          <cell r="D9" t="str">
            <v>RE</v>
          </cell>
          <cell r="E9" t="str">
            <v>0003</v>
          </cell>
          <cell r="F9" t="str">
            <v>00043743</v>
          </cell>
          <cell r="G9">
            <v>36304</v>
          </cell>
          <cell r="H9" t="str">
            <v>8AJ33LNA3X9319122</v>
          </cell>
          <cell r="I9" t="str">
            <v>000084</v>
          </cell>
          <cell r="J9" t="str">
            <v>0053</v>
          </cell>
          <cell r="K9">
            <v>1999</v>
          </cell>
          <cell r="L9">
            <v>3003019</v>
          </cell>
        </row>
        <row r="10">
          <cell r="C10" t="str">
            <v>SAM1050005</v>
          </cell>
          <cell r="D10" t="str">
            <v>RE</v>
          </cell>
          <cell r="E10" t="str">
            <v>0003</v>
          </cell>
          <cell r="F10" t="str">
            <v>00043843</v>
          </cell>
          <cell r="G10">
            <v>36306</v>
          </cell>
          <cell r="H10" t="str">
            <v>8AJ33LNA3X9319064</v>
          </cell>
          <cell r="I10" t="str">
            <v>000016</v>
          </cell>
          <cell r="J10" t="str">
            <v>0020</v>
          </cell>
          <cell r="K10">
            <v>1999</v>
          </cell>
          <cell r="L10">
            <v>2531958</v>
          </cell>
        </row>
        <row r="11">
          <cell r="C11" t="str">
            <v>SAM1050006</v>
          </cell>
          <cell r="D11" t="str">
            <v>RE</v>
          </cell>
          <cell r="E11" t="str">
            <v>0003</v>
          </cell>
          <cell r="F11" t="str">
            <v>00043844</v>
          </cell>
          <cell r="G11">
            <v>36306</v>
          </cell>
          <cell r="H11" t="str">
            <v>8AJ33LNA3X9319175</v>
          </cell>
          <cell r="I11" t="str">
            <v>000016</v>
          </cell>
          <cell r="J11" t="str">
            <v>0022</v>
          </cell>
          <cell r="K11">
            <v>1999</v>
          </cell>
          <cell r="L11">
            <v>2531958</v>
          </cell>
        </row>
        <row r="12">
          <cell r="C12" t="str">
            <v>SAM1050011</v>
          </cell>
          <cell r="D12" t="str">
            <v>RE</v>
          </cell>
          <cell r="E12" t="str">
            <v>0003</v>
          </cell>
          <cell r="F12" t="str">
            <v>00043845</v>
          </cell>
          <cell r="G12">
            <v>36306</v>
          </cell>
          <cell r="H12" t="str">
            <v>8AJ33LNA3X9318807</v>
          </cell>
          <cell r="I12" t="str">
            <v>000023</v>
          </cell>
          <cell r="J12" t="str">
            <v>0020</v>
          </cell>
          <cell r="K12">
            <v>1999</v>
          </cell>
          <cell r="L12">
            <v>2759077</v>
          </cell>
        </row>
        <row r="13">
          <cell r="C13" t="str">
            <v>SAM1050002</v>
          </cell>
          <cell r="D13" t="str">
            <v>RE</v>
          </cell>
          <cell r="E13" t="str">
            <v>0003</v>
          </cell>
          <cell r="F13" t="str">
            <v>00044154</v>
          </cell>
          <cell r="G13">
            <v>36312</v>
          </cell>
          <cell r="H13" t="str">
            <v>8AJ33LNA3X9319124</v>
          </cell>
          <cell r="I13" t="str">
            <v>000016</v>
          </cell>
          <cell r="J13" t="str">
            <v>0002</v>
          </cell>
          <cell r="K13">
            <v>1999</v>
          </cell>
          <cell r="L13">
            <v>2531958</v>
          </cell>
        </row>
        <row r="14">
          <cell r="C14" t="str">
            <v>SAM2050026</v>
          </cell>
          <cell r="D14" t="str">
            <v>RE</v>
          </cell>
          <cell r="E14" t="str">
            <v>0003</v>
          </cell>
          <cell r="F14" t="str">
            <v>00044346</v>
          </cell>
          <cell r="G14">
            <v>36315</v>
          </cell>
          <cell r="H14" t="str">
            <v>JTA11GNJ5X0058848</v>
          </cell>
          <cell r="I14" t="str">
            <v>000062</v>
          </cell>
          <cell r="J14" t="str">
            <v>0007</v>
          </cell>
          <cell r="K14">
            <v>1999</v>
          </cell>
          <cell r="L14">
            <v>4124393</v>
          </cell>
        </row>
        <row r="15">
          <cell r="C15" t="str">
            <v>SAM1060011</v>
          </cell>
          <cell r="D15" t="str">
            <v>RE</v>
          </cell>
          <cell r="E15" t="str">
            <v>0003</v>
          </cell>
          <cell r="F15" t="str">
            <v>00044417</v>
          </cell>
          <cell r="G15">
            <v>36318</v>
          </cell>
          <cell r="H15" t="str">
            <v>8AJ31LNA3X9101651</v>
          </cell>
          <cell r="I15" t="str">
            <v>000029</v>
          </cell>
          <cell r="J15" t="str">
            <v>0020</v>
          </cell>
          <cell r="K15">
            <v>1999</v>
          </cell>
          <cell r="L15">
            <v>2405780</v>
          </cell>
        </row>
        <row r="16">
          <cell r="C16" t="str">
            <v>SAM1050030</v>
          </cell>
          <cell r="D16" t="str">
            <v>RE</v>
          </cell>
          <cell r="E16" t="str">
            <v>0003</v>
          </cell>
          <cell r="F16" t="str">
            <v>00044766</v>
          </cell>
          <cell r="G16">
            <v>36327</v>
          </cell>
          <cell r="H16" t="str">
            <v>8AJ33LNA3X9319501</v>
          </cell>
          <cell r="I16" t="str">
            <v>000084</v>
          </cell>
          <cell r="J16" t="str">
            <v>0029</v>
          </cell>
          <cell r="K16">
            <v>1999</v>
          </cell>
          <cell r="L16">
            <v>3003019</v>
          </cell>
        </row>
        <row r="17">
          <cell r="C17" t="str">
            <v>SAM1060010</v>
          </cell>
          <cell r="D17" t="str">
            <v>RE</v>
          </cell>
          <cell r="E17" t="str">
            <v>0003</v>
          </cell>
          <cell r="F17" t="str">
            <v>00045008</v>
          </cell>
          <cell r="G17">
            <v>36333</v>
          </cell>
          <cell r="H17" t="str">
            <v>8AJ31LN86X9505566</v>
          </cell>
          <cell r="I17" t="str">
            <v>000046</v>
          </cell>
          <cell r="J17" t="str">
            <v>0111</v>
          </cell>
          <cell r="K17">
            <v>1999</v>
          </cell>
          <cell r="L17">
            <v>1765481</v>
          </cell>
        </row>
        <row r="18">
          <cell r="C18" t="str">
            <v>SAM1060012</v>
          </cell>
          <cell r="D18" t="str">
            <v>RE</v>
          </cell>
          <cell r="E18" t="str">
            <v>0003</v>
          </cell>
          <cell r="F18" t="str">
            <v>00045261</v>
          </cell>
          <cell r="G18">
            <v>36340</v>
          </cell>
          <cell r="H18" t="str">
            <v>8AJ33LNA3X9319846</v>
          </cell>
          <cell r="I18" t="str">
            <v>000084</v>
          </cell>
          <cell r="J18" t="str">
            <v>0072</v>
          </cell>
          <cell r="K18">
            <v>1999</v>
          </cell>
          <cell r="L18">
            <v>3003019</v>
          </cell>
        </row>
        <row r="19">
          <cell r="C19" t="str">
            <v>SAM1060009</v>
          </cell>
          <cell r="D19" t="str">
            <v>RE</v>
          </cell>
          <cell r="E19" t="str">
            <v>0003</v>
          </cell>
          <cell r="F19" t="str">
            <v>00045561</v>
          </cell>
          <cell r="G19">
            <v>36343</v>
          </cell>
          <cell r="H19" t="str">
            <v>8AJ31LN86X9505567</v>
          </cell>
          <cell r="I19" t="str">
            <v>000046</v>
          </cell>
          <cell r="J19" t="str">
            <v>0002</v>
          </cell>
          <cell r="K19">
            <v>1999</v>
          </cell>
          <cell r="L19">
            <v>1765481</v>
          </cell>
        </row>
        <row r="20">
          <cell r="C20" t="str">
            <v>SAM1070006</v>
          </cell>
          <cell r="D20" t="str">
            <v>RE</v>
          </cell>
          <cell r="E20" t="str">
            <v>0003</v>
          </cell>
          <cell r="F20" t="str">
            <v>00045838</v>
          </cell>
          <cell r="G20">
            <v>36353</v>
          </cell>
          <cell r="H20" t="str">
            <v>8AJ33LN86X9755510</v>
          </cell>
          <cell r="I20" t="str">
            <v>000032</v>
          </cell>
          <cell r="J20" t="str">
            <v>0004</v>
          </cell>
          <cell r="K20">
            <v>1999</v>
          </cell>
          <cell r="L20">
            <v>2187072</v>
          </cell>
        </row>
        <row r="21">
          <cell r="C21" t="str">
            <v>SAM1070009</v>
          </cell>
          <cell r="D21" t="str">
            <v>RE</v>
          </cell>
          <cell r="E21" t="str">
            <v>0003</v>
          </cell>
          <cell r="F21" t="str">
            <v>00045840</v>
          </cell>
          <cell r="G21">
            <v>36353</v>
          </cell>
          <cell r="H21" t="str">
            <v>8AJ31LN86X9505656</v>
          </cell>
          <cell r="I21" t="str">
            <v>000041</v>
          </cell>
          <cell r="J21" t="str">
            <v>0004</v>
          </cell>
          <cell r="K21">
            <v>1999</v>
          </cell>
          <cell r="L21">
            <v>2010425</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ODE"/>
      <sheetName val="Lançamento 1"/>
    </sheetNames>
    <sheetDataSet>
      <sheetData sheetId="0">
        <row r="4">
          <cell r="B4" t="str">
            <v>Nextel</v>
          </cell>
        </row>
      </sheetData>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170070"/>
      <sheetName val="Planilha1"/>
    </sheetNames>
    <sheetDataSet>
      <sheetData sheetId="0"/>
      <sheetData sheetId="1">
        <row r="1">
          <cell r="A1" t="str">
            <v>Código</v>
          </cell>
          <cell r="B1" t="str">
            <v>C.N.P.J OU c.c</v>
          </cell>
          <cell r="C1" t="str">
            <v>Razão</v>
          </cell>
          <cell r="D1" t="str">
            <v>Descrição</v>
          </cell>
        </row>
        <row r="2">
          <cell r="A2">
            <v>101</v>
          </cell>
          <cell r="C2" t="str">
            <v>PB PARTICIPACOES S/A</v>
          </cell>
          <cell r="D2" t="str">
            <v>PB PARTICIPACOES S/A</v>
          </cell>
        </row>
        <row r="3">
          <cell r="A3">
            <v>10101</v>
          </cell>
          <cell r="C3" t="str">
            <v>PARE BEM</v>
          </cell>
          <cell r="D3" t="str">
            <v>MATRIZ PARE BEM</v>
          </cell>
        </row>
        <row r="4">
          <cell r="A4">
            <v>10102</v>
          </cell>
          <cell r="B4" t="str">
            <v>3306501001</v>
          </cell>
          <cell r="C4" t="str">
            <v>PARE BEM</v>
          </cell>
          <cell r="D4" t="str">
            <v>CURSINO</v>
          </cell>
        </row>
        <row r="5">
          <cell r="A5">
            <v>10103</v>
          </cell>
          <cell r="B5" t="str">
            <v>3306501002</v>
          </cell>
          <cell r="C5" t="str">
            <v>PARE BEM</v>
          </cell>
          <cell r="D5" t="str">
            <v>CARDOSO ALMEIDA</v>
          </cell>
        </row>
        <row r="6">
          <cell r="A6">
            <v>10104</v>
          </cell>
          <cell r="B6" t="str">
            <v>2000101000</v>
          </cell>
          <cell r="C6" t="str">
            <v>PARE BEM</v>
          </cell>
          <cell r="D6" t="str">
            <v>PEDRO DE TOLEDO</v>
          </cell>
        </row>
        <row r="7">
          <cell r="A7">
            <v>10105</v>
          </cell>
          <cell r="B7" t="str">
            <v>3306501003</v>
          </cell>
          <cell r="C7" t="str">
            <v>PARE BEM</v>
          </cell>
          <cell r="D7" t="str">
            <v>VITAL BRASIL</v>
          </cell>
        </row>
        <row r="8">
          <cell r="A8">
            <v>10106</v>
          </cell>
          <cell r="B8" t="str">
            <v>3300601001</v>
          </cell>
          <cell r="C8" t="str">
            <v>PARE BEM</v>
          </cell>
          <cell r="D8" t="str">
            <v>INDICO</v>
          </cell>
        </row>
        <row r="9">
          <cell r="A9">
            <v>10107</v>
          </cell>
          <cell r="B9" t="str">
            <v>3306501004</v>
          </cell>
          <cell r="C9" t="str">
            <v>PARE BEM</v>
          </cell>
          <cell r="D9" t="str">
            <v>QUEIROZ DOS SANTOS</v>
          </cell>
        </row>
        <row r="10">
          <cell r="A10">
            <v>10108</v>
          </cell>
          <cell r="B10" t="str">
            <v>3306501005</v>
          </cell>
          <cell r="C10" t="str">
            <v>PARE BEM</v>
          </cell>
          <cell r="D10" t="str">
            <v>BERLIM</v>
          </cell>
        </row>
        <row r="11">
          <cell r="A11">
            <v>10109</v>
          </cell>
          <cell r="B11" t="str">
            <v>3300601002</v>
          </cell>
          <cell r="C11" t="str">
            <v>PARE BEM</v>
          </cell>
          <cell r="D11" t="str">
            <v>MARECHAL DEODORO</v>
          </cell>
        </row>
        <row r="12">
          <cell r="A12">
            <v>10110</v>
          </cell>
          <cell r="B12" t="str">
            <v>3309601001</v>
          </cell>
          <cell r="C12" t="str">
            <v>PARE BEM</v>
          </cell>
          <cell r="D12" t="str">
            <v>ITM</v>
          </cell>
        </row>
        <row r="13">
          <cell r="A13">
            <v>10111</v>
          </cell>
          <cell r="B13" t="str">
            <v>3309701001</v>
          </cell>
          <cell r="C13" t="str">
            <v>PARE BEM</v>
          </cell>
          <cell r="D13" t="str">
            <v>CHIBARAS</v>
          </cell>
        </row>
        <row r="14">
          <cell r="A14">
            <v>10112</v>
          </cell>
          <cell r="B14" t="str">
            <v>3304701001</v>
          </cell>
          <cell r="C14" t="str">
            <v>PARE BEM</v>
          </cell>
          <cell r="D14" t="str">
            <v>CELSO GARCIA HOSPITAL</v>
          </cell>
        </row>
        <row r="15">
          <cell r="A15">
            <v>10113</v>
          </cell>
          <cell r="B15" t="str">
            <v>3305801001</v>
          </cell>
          <cell r="C15" t="str">
            <v>PARE BEM</v>
          </cell>
          <cell r="D15" t="str">
            <v>SHOPPING D</v>
          </cell>
        </row>
        <row r="16">
          <cell r="A16">
            <v>10114</v>
          </cell>
          <cell r="B16" t="str">
            <v>3304701002</v>
          </cell>
          <cell r="C16" t="str">
            <v>PARE BEM</v>
          </cell>
          <cell r="D16" t="str">
            <v>SAMARITANO</v>
          </cell>
        </row>
        <row r="17">
          <cell r="A17">
            <v>10115</v>
          </cell>
          <cell r="B17" t="str">
            <v>3305701201</v>
          </cell>
          <cell r="C17" t="str">
            <v>PARE BEM</v>
          </cell>
          <cell r="D17" t="str">
            <v>BAURU SHOPPING</v>
          </cell>
        </row>
        <row r="18">
          <cell r="A18">
            <v>10116</v>
          </cell>
          <cell r="B18" t="str">
            <v>3305801201</v>
          </cell>
          <cell r="C18" t="str">
            <v>PARE BEM</v>
          </cell>
          <cell r="D18" t="str">
            <v>OSASCO</v>
          </cell>
        </row>
        <row r="19">
          <cell r="A19">
            <v>10117</v>
          </cell>
          <cell r="B19" t="str">
            <v>3305701001</v>
          </cell>
          <cell r="C19" t="str">
            <v>PARE BEM</v>
          </cell>
          <cell r="D19" t="str">
            <v>CENTRAL PLAZA</v>
          </cell>
        </row>
        <row r="20">
          <cell r="A20">
            <v>10118</v>
          </cell>
          <cell r="B20" t="str">
            <v>3305701001</v>
          </cell>
          <cell r="C20" t="str">
            <v>PARE BEM</v>
          </cell>
          <cell r="D20" t="str">
            <v>GUAMIRANGA / DECK PARK</v>
          </cell>
        </row>
        <row r="21">
          <cell r="A21">
            <v>10119</v>
          </cell>
          <cell r="B21" t="str">
            <v>3305701202</v>
          </cell>
          <cell r="C21" t="str">
            <v>PARE BEM</v>
          </cell>
          <cell r="D21" t="str">
            <v>RIO CLARO</v>
          </cell>
        </row>
        <row r="22">
          <cell r="A22">
            <v>10120</v>
          </cell>
          <cell r="B22" t="str">
            <v>3305701901, 3305901906</v>
          </cell>
          <cell r="C22" t="str">
            <v>PARE BEM</v>
          </cell>
          <cell r="D22" t="str">
            <v>CHAPECÓ</v>
          </cell>
        </row>
        <row r="23">
          <cell r="A23">
            <v>10121</v>
          </cell>
          <cell r="B23" t="str">
            <v>3305701201</v>
          </cell>
          <cell r="C23" t="str">
            <v>PARE BEM</v>
          </cell>
          <cell r="D23" t="str">
            <v>BAURU (TERRENO)</v>
          </cell>
        </row>
        <row r="24">
          <cell r="A24">
            <v>10122</v>
          </cell>
          <cell r="B24" t="str">
            <v>3303601001</v>
          </cell>
          <cell r="C24" t="str">
            <v>PARE BEM</v>
          </cell>
          <cell r="D24" t="str">
            <v>ITAQUERA</v>
          </cell>
        </row>
        <row r="25">
          <cell r="A25">
            <v>10123</v>
          </cell>
          <cell r="B25" t="str">
            <v>3305701203</v>
          </cell>
          <cell r="C25" t="str">
            <v>PARE BEM</v>
          </cell>
          <cell r="D25" t="str">
            <v>PINDA</v>
          </cell>
        </row>
        <row r="26">
          <cell r="A26">
            <v>10124</v>
          </cell>
          <cell r="B26" t="str">
            <v>3304701001</v>
          </cell>
          <cell r="C26" t="str">
            <v>PARE BEM</v>
          </cell>
          <cell r="D26" t="str">
            <v>SANTA VIRGINIA / GUILHERME RUDGE</v>
          </cell>
        </row>
        <row r="27">
          <cell r="A27">
            <v>10125</v>
          </cell>
          <cell r="B27" t="str">
            <v>3300601003</v>
          </cell>
          <cell r="C27" t="str">
            <v>PARE BEM</v>
          </cell>
          <cell r="D27" t="str">
            <v>GOIABEIRAS</v>
          </cell>
        </row>
        <row r="28">
          <cell r="A28">
            <v>10126</v>
          </cell>
          <cell r="B28" t="str">
            <v>3300801001</v>
          </cell>
          <cell r="C28" t="str">
            <v>PARE BEM</v>
          </cell>
          <cell r="D28" t="str">
            <v>DOMINGOS DE MORAES</v>
          </cell>
        </row>
        <row r="29">
          <cell r="A29">
            <v>10127</v>
          </cell>
          <cell r="B29" t="str">
            <v>3304701003</v>
          </cell>
          <cell r="C29" t="str">
            <v>PARE BEM</v>
          </cell>
          <cell r="D29" t="str">
            <v>RADIAL LESTE</v>
          </cell>
        </row>
        <row r="30">
          <cell r="A30">
            <v>10128</v>
          </cell>
          <cell r="B30" t="str">
            <v>3302501001</v>
          </cell>
          <cell r="C30" t="str">
            <v>PARE BEM</v>
          </cell>
          <cell r="D30" t="str">
            <v>FARIA LIMA</v>
          </cell>
        </row>
        <row r="31">
          <cell r="A31">
            <v>10129</v>
          </cell>
          <cell r="B31" t="str">
            <v>3301501501</v>
          </cell>
          <cell r="C31" t="str">
            <v>PARE BEM</v>
          </cell>
          <cell r="D31" t="str">
            <v>LAGOA SANTA / CONFINS</v>
          </cell>
        </row>
        <row r="32">
          <cell r="A32">
            <v>10130</v>
          </cell>
          <cell r="B32" t="str">
            <v>3302501002</v>
          </cell>
          <cell r="C32" t="str">
            <v>PARE BEM</v>
          </cell>
          <cell r="D32" t="str">
            <v>APENINOS</v>
          </cell>
        </row>
        <row r="33">
          <cell r="A33">
            <v>10131</v>
          </cell>
          <cell r="B33" t="str">
            <v>3301501901</v>
          </cell>
          <cell r="C33" t="str">
            <v>PARE BEM</v>
          </cell>
          <cell r="D33" t="str">
            <v>CURITIBA/SAO JOSE DOS PINHAIS</v>
          </cell>
        </row>
        <row r="34">
          <cell r="A34">
            <v>10132</v>
          </cell>
          <cell r="B34" t="str">
            <v>3300501001</v>
          </cell>
          <cell r="C34" t="str">
            <v>PARE BEM</v>
          </cell>
          <cell r="D34" t="str">
            <v>CONSELHEIRO RAMALHO</v>
          </cell>
        </row>
        <row r="35">
          <cell r="A35">
            <v>10133</v>
          </cell>
          <cell r="B35" t="str">
            <v>3300701001</v>
          </cell>
          <cell r="C35" t="str">
            <v>PARE BEM</v>
          </cell>
          <cell r="D35" t="str">
            <v>PEDROSO ALVARENGA</v>
          </cell>
        </row>
        <row r="36">
          <cell r="A36">
            <v>10134</v>
          </cell>
          <cell r="B36" t="str">
            <v>3307701001</v>
          </cell>
          <cell r="C36" t="str">
            <v>PARE BEM</v>
          </cell>
          <cell r="D36" t="str">
            <v>AMADOR BUENO</v>
          </cell>
        </row>
        <row r="37">
          <cell r="A37">
            <v>10135</v>
          </cell>
          <cell r="B37" t="str">
            <v>3302501003</v>
          </cell>
          <cell r="C37" t="str">
            <v>PARE BEM</v>
          </cell>
          <cell r="D37" t="str">
            <v>SILVA BUENO</v>
          </cell>
        </row>
        <row r="38">
          <cell r="A38">
            <v>10136</v>
          </cell>
          <cell r="B38" t="str">
            <v>3304701601</v>
          </cell>
          <cell r="C38" t="str">
            <v>PARE BEM</v>
          </cell>
          <cell r="D38" t="str">
            <v>JOAO PESSOA</v>
          </cell>
        </row>
        <row r="39">
          <cell r="A39">
            <v>10137</v>
          </cell>
          <cell r="B39" t="str">
            <v>3304501001</v>
          </cell>
          <cell r="C39" t="str">
            <v>PARE BEM</v>
          </cell>
          <cell r="D39" t="str">
            <v>HOSPITAL SANTA PAULA</v>
          </cell>
        </row>
        <row r="40">
          <cell r="A40">
            <v>10138</v>
          </cell>
          <cell r="B40" t="str">
            <v>3302701201</v>
          </cell>
          <cell r="C40" t="str">
            <v>PARE BEM</v>
          </cell>
          <cell r="D40" t="str">
            <v>MOGI</v>
          </cell>
        </row>
        <row r="41">
          <cell r="A41">
            <v>10139</v>
          </cell>
          <cell r="B41" t="str">
            <v>3307601001</v>
          </cell>
          <cell r="C41" t="str">
            <v>PARE BEM</v>
          </cell>
          <cell r="D41" t="str">
            <v>ALMEIDA LIMA PB</v>
          </cell>
        </row>
        <row r="42">
          <cell r="A42">
            <v>10140</v>
          </cell>
          <cell r="B42" t="str">
            <v>3305601201</v>
          </cell>
          <cell r="C42" t="str">
            <v>PARE BEM</v>
          </cell>
          <cell r="D42" t="str">
            <v>MARILIA PB</v>
          </cell>
        </row>
        <row r="43">
          <cell r="A43">
            <v>10141</v>
          </cell>
          <cell r="B43" t="str">
            <v>3300601004</v>
          </cell>
          <cell r="C43" t="str">
            <v>PARE BEM</v>
          </cell>
          <cell r="D43" t="str">
            <v>GRUMIXAMAS PB</v>
          </cell>
        </row>
        <row r="44">
          <cell r="A44">
            <v>10142</v>
          </cell>
          <cell r="B44" t="str">
            <v>3304601001</v>
          </cell>
          <cell r="C44" t="str">
            <v>PARE BEM</v>
          </cell>
          <cell r="D44" t="str">
            <v>RICARDO JAFET PB</v>
          </cell>
        </row>
        <row r="45">
          <cell r="A45">
            <v>10143</v>
          </cell>
          <cell r="B45" t="str">
            <v>3302501004</v>
          </cell>
          <cell r="C45" t="str">
            <v>PARE BEM</v>
          </cell>
          <cell r="D45" t="str">
            <v>REBOUCAS PB</v>
          </cell>
        </row>
        <row r="46">
          <cell r="A46">
            <v>10144</v>
          </cell>
          <cell r="B46" t="str">
            <v>3305801002</v>
          </cell>
          <cell r="C46" t="str">
            <v>PARE BEM</v>
          </cell>
          <cell r="D46" t="str">
            <v>TATUAPE PB</v>
          </cell>
        </row>
        <row r="47">
          <cell r="A47">
            <v>10145</v>
          </cell>
          <cell r="B47" t="str">
            <v>3305901001</v>
          </cell>
          <cell r="C47" t="str">
            <v>PARE BEM</v>
          </cell>
          <cell r="D47" t="str">
            <v>TOP CENTER</v>
          </cell>
        </row>
        <row r="48">
          <cell r="A48">
            <v>10146</v>
          </cell>
          <cell r="B48" t="str">
            <v>2000101000</v>
          </cell>
          <cell r="C48" t="str">
            <v>PARE BEM</v>
          </cell>
          <cell r="D48" t="str">
            <v>GOIANIA</v>
          </cell>
        </row>
        <row r="49">
          <cell r="A49">
            <v>10147</v>
          </cell>
          <cell r="B49" t="str">
            <v>3307601002</v>
          </cell>
          <cell r="C49" t="str">
            <v>PARE BEM</v>
          </cell>
          <cell r="D49" t="str">
            <v>SANTO AMARO 1386-1408 PB</v>
          </cell>
        </row>
        <row r="50">
          <cell r="A50">
            <v>10148</v>
          </cell>
          <cell r="B50" t="str">
            <v>3307701002</v>
          </cell>
          <cell r="C50" t="str">
            <v>PARE BEM</v>
          </cell>
          <cell r="D50" t="str">
            <v>SANTO AMARO 1342 PB</v>
          </cell>
        </row>
        <row r="51">
          <cell r="A51">
            <v>10149</v>
          </cell>
          <cell r="B51" t="str">
            <v>3302401001</v>
          </cell>
          <cell r="C51" t="str">
            <v>PARE BEM</v>
          </cell>
          <cell r="D51" t="str">
            <v>ALPHAVILLE</v>
          </cell>
        </row>
        <row r="52">
          <cell r="A52">
            <v>10150</v>
          </cell>
          <cell r="B52" t="str">
            <v>3305801003</v>
          </cell>
          <cell r="C52" t="str">
            <v>PARE BEM</v>
          </cell>
          <cell r="D52" t="str">
            <v>REGENTE FEIJO</v>
          </cell>
        </row>
        <row r="53">
          <cell r="A53">
            <v>10151</v>
          </cell>
          <cell r="B53">
            <v>3305301303</v>
          </cell>
          <cell r="C53" t="str">
            <v>PARE BEM</v>
          </cell>
          <cell r="D53" t="str">
            <v>WEST SHOPPING</v>
          </cell>
        </row>
        <row r="54">
          <cell r="A54">
            <v>10152</v>
          </cell>
          <cell r="B54" t="str">
            <v>3305301301</v>
          </cell>
          <cell r="C54" t="str">
            <v>PARE BEM</v>
          </cell>
          <cell r="D54" t="str">
            <v>CENTER SHOPPING RIO</v>
          </cell>
        </row>
        <row r="55">
          <cell r="A55">
            <v>10153</v>
          </cell>
          <cell r="B55" t="str">
            <v>3305301302</v>
          </cell>
          <cell r="C55" t="str">
            <v>PARE BEM</v>
          </cell>
          <cell r="D55" t="str">
            <v>AMERICAS SHOPPING</v>
          </cell>
        </row>
        <row r="56">
          <cell r="A56">
            <v>10154</v>
          </cell>
          <cell r="B56" t="str">
            <v>3304601201</v>
          </cell>
          <cell r="C56" t="str">
            <v>PARE BEM</v>
          </cell>
          <cell r="D56" t="str">
            <v>REDE DOR SAO CAETANO</v>
          </cell>
        </row>
        <row r="57">
          <cell r="A57">
            <v>10155</v>
          </cell>
          <cell r="B57" t="str">
            <v>3300601005</v>
          </cell>
          <cell r="C57" t="str">
            <v>PARE BEM</v>
          </cell>
          <cell r="D57" t="str">
            <v>QUINTANILHA</v>
          </cell>
        </row>
        <row r="58">
          <cell r="A58">
            <v>10156</v>
          </cell>
          <cell r="B58" t="str">
            <v>3306501007</v>
          </cell>
          <cell r="C58" t="str">
            <v>PARE BEM</v>
          </cell>
          <cell r="D58" t="str">
            <v>ADOLFO PINHEIRO</v>
          </cell>
        </row>
        <row r="59">
          <cell r="A59">
            <v>10157</v>
          </cell>
          <cell r="B59" t="str">
            <v>3306501009</v>
          </cell>
          <cell r="C59" t="str">
            <v>PARE BEM</v>
          </cell>
          <cell r="D59" t="str">
            <v>PEIXOTO GOMIDE</v>
          </cell>
        </row>
        <row r="60">
          <cell r="A60">
            <v>10158</v>
          </cell>
          <cell r="B60" t="str">
            <v>3306501008</v>
          </cell>
          <cell r="C60" t="str">
            <v>PARE BEM</v>
          </cell>
          <cell r="D60" t="str">
            <v>CITY LAPA</v>
          </cell>
        </row>
        <row r="61">
          <cell r="A61">
            <v>10159</v>
          </cell>
          <cell r="B61" t="str">
            <v>3306501006</v>
          </cell>
          <cell r="C61" t="str">
            <v>PARE BEM</v>
          </cell>
          <cell r="D61" t="str">
            <v>HENRIQUE SCHAUMANN</v>
          </cell>
        </row>
        <row r="62">
          <cell r="A62">
            <v>10160</v>
          </cell>
          <cell r="B62" t="str">
            <v>3304901301</v>
          </cell>
          <cell r="C62" t="str">
            <v>PARE BEM</v>
          </cell>
          <cell r="D62" t="str">
            <v>RIOS DOR</v>
          </cell>
        </row>
        <row r="63">
          <cell r="A63">
            <v>10161</v>
          </cell>
          <cell r="B63" t="str">
            <v>3304601501</v>
          </cell>
          <cell r="C63" t="str">
            <v>PARE BEM</v>
          </cell>
          <cell r="D63" t="str">
            <v>LIFE CENTER</v>
          </cell>
        </row>
        <row r="64">
          <cell r="A64">
            <v>10162</v>
          </cell>
          <cell r="B64" t="str">
            <v>3302901202, 3302901203 e 3302901204</v>
          </cell>
          <cell r="C64" t="str">
            <v>PARE BEM</v>
          </cell>
          <cell r="D64" t="str">
            <v>ROYAL PALM PLAZA CAMPINAS</v>
          </cell>
        </row>
        <row r="65">
          <cell r="A65">
            <v>10163</v>
          </cell>
          <cell r="B65" t="str">
            <v>3304801501</v>
          </cell>
          <cell r="C65" t="str">
            <v>PARE BEM</v>
          </cell>
          <cell r="D65" t="str">
            <v>AXIAL MEDICINA DIAGNOSTICA (ALLIAR) - PB</v>
          </cell>
        </row>
        <row r="66">
          <cell r="A66">
            <v>10164</v>
          </cell>
          <cell r="B66" t="str">
            <v>3302901301</v>
          </cell>
          <cell r="C66" t="str">
            <v>PARE BEM</v>
          </cell>
          <cell r="D66" t="str">
            <v>BOTAFOGO TRADE CENTER - PB</v>
          </cell>
        </row>
        <row r="67">
          <cell r="A67">
            <v>10165</v>
          </cell>
          <cell r="B67" t="str">
            <v>2000101000</v>
          </cell>
          <cell r="C67" t="str">
            <v>PARE BEM</v>
          </cell>
          <cell r="D67" t="str">
            <v>PB CENTER RESULTADO -CONS</v>
          </cell>
        </row>
        <row r="68">
          <cell r="A68">
            <v>10166</v>
          </cell>
          <cell r="B68" t="str">
            <v>2000101000</v>
          </cell>
          <cell r="C68" t="str">
            <v>PARE BEM</v>
          </cell>
          <cell r="D68" t="str">
            <v>PB WEST RESULTADO -CONS</v>
          </cell>
        </row>
        <row r="69">
          <cell r="A69">
            <v>10167</v>
          </cell>
          <cell r="B69" t="str">
            <v>3302901001</v>
          </cell>
          <cell r="C69" t="str">
            <v>PARE BEM</v>
          </cell>
          <cell r="D69" t="str">
            <v>EDIFICIO FARIA LIMA BUSINESS CENTER - PB</v>
          </cell>
        </row>
        <row r="70">
          <cell r="A70">
            <v>10168</v>
          </cell>
          <cell r="B70" t="str">
            <v>3304901901, 3305901904, 3302901901</v>
          </cell>
          <cell r="C70" t="str">
            <v>PARE BEM</v>
          </cell>
          <cell r="D70" t="str">
            <v>HOSPITAL SANTA ROSA CUIABA - PB</v>
          </cell>
        </row>
        <row r="71">
          <cell r="A71">
            <v>10169</v>
          </cell>
          <cell r="B71" t="str">
            <v>3305901701</v>
          </cell>
          <cell r="C71" t="str">
            <v>PARE BEM</v>
          </cell>
          <cell r="D71" t="str">
            <v>SHOPPING VENANCIO SCP</v>
          </cell>
        </row>
        <row r="72">
          <cell r="A72">
            <v>10170</v>
          </cell>
          <cell r="B72" t="str">
            <v>3305901601</v>
          </cell>
          <cell r="C72" t="str">
            <v>PARE BEM</v>
          </cell>
          <cell r="D72" t="str">
            <v>GOIANIA SHOPPING SCP</v>
          </cell>
        </row>
        <row r="73">
          <cell r="A73">
            <v>10171</v>
          </cell>
          <cell r="B73">
            <v>3304901902</v>
          </cell>
          <cell r="C73" t="str">
            <v>PARE BEM</v>
          </cell>
          <cell r="D73" t="str">
            <v>HOSPITAL SAO VICENTE</v>
          </cell>
        </row>
        <row r="74">
          <cell r="A74">
            <v>10172</v>
          </cell>
          <cell r="B74">
            <v>3302901203</v>
          </cell>
          <cell r="C74" t="str">
            <v>PARE BEM</v>
          </cell>
          <cell r="D74" t="str">
            <v>ROYAL HALL - PB</v>
          </cell>
        </row>
        <row r="75">
          <cell r="A75">
            <v>10173</v>
          </cell>
          <cell r="B75">
            <v>3305701201</v>
          </cell>
          <cell r="C75" t="str">
            <v>PARE BEM</v>
          </cell>
          <cell r="D75" t="str">
            <v>BAURU RUY - PB</v>
          </cell>
        </row>
        <row r="76">
          <cell r="A76">
            <v>10174</v>
          </cell>
          <cell r="B76">
            <v>3302901002</v>
          </cell>
          <cell r="C76" t="str">
            <v>PARE BEM</v>
          </cell>
          <cell r="D76" t="str">
            <v>KASA 99 - PB</v>
          </cell>
        </row>
        <row r="77">
          <cell r="A77">
            <v>10175</v>
          </cell>
          <cell r="B77">
            <v>3305901005</v>
          </cell>
          <cell r="C77" t="str">
            <v>PARE BEM</v>
          </cell>
          <cell r="D77" t="str">
            <v>SHOPPING MAIS - PB</v>
          </cell>
        </row>
        <row r="78">
          <cell r="A78">
            <v>10176</v>
          </cell>
          <cell r="B78">
            <v>3305901004</v>
          </cell>
          <cell r="C78" t="str">
            <v>PARE BEM</v>
          </cell>
          <cell r="D78" t="str">
            <v>SHOPPING LIGHT - PB</v>
          </cell>
        </row>
        <row r="79">
          <cell r="A79">
            <v>10177</v>
          </cell>
          <cell r="B79">
            <v>3304901903</v>
          </cell>
          <cell r="C79" t="str">
            <v>PARE BEM</v>
          </cell>
          <cell r="D79" t="str">
            <v>HOSPITAL IMPERIAL CARIDADE - PB</v>
          </cell>
        </row>
        <row r="80">
          <cell r="A80">
            <v>10178</v>
          </cell>
          <cell r="B80">
            <v>3302901204</v>
          </cell>
          <cell r="C80" t="str">
            <v>PARE BEM</v>
          </cell>
          <cell r="D80" t="str">
            <v>ROYAL TOWER - PB</v>
          </cell>
        </row>
        <row r="81">
          <cell r="A81">
            <v>10179</v>
          </cell>
          <cell r="B81">
            <v>3301901601</v>
          </cell>
          <cell r="C81" t="str">
            <v>PARE BEM</v>
          </cell>
          <cell r="D81" t="str">
            <v>AEROPORTO SANTA GENOVEVA - PB</v>
          </cell>
        </row>
        <row r="82">
          <cell r="A82">
            <v>10180</v>
          </cell>
          <cell r="B82">
            <v>3305901902</v>
          </cell>
          <cell r="C82" t="str">
            <v>PARE BEM</v>
          </cell>
          <cell r="D82" t="str">
            <v>PB CRYSTAL PLAZA SHOP - CONSORCIO</v>
          </cell>
        </row>
        <row r="83">
          <cell r="A83">
            <v>10181</v>
          </cell>
          <cell r="B83">
            <v>3305901501</v>
          </cell>
          <cell r="C83" t="str">
            <v>PARE BEM</v>
          </cell>
          <cell r="D83" t="str">
            <v>JARDIM NORTE SCP</v>
          </cell>
        </row>
        <row r="84">
          <cell r="A84">
            <v>10182</v>
          </cell>
          <cell r="B84">
            <v>3305901904</v>
          </cell>
          <cell r="C84" t="str">
            <v>PARE BEM</v>
          </cell>
          <cell r="D84" t="str">
            <v>SHOPPING ESTACAO CUIABA SCP</v>
          </cell>
        </row>
        <row r="85">
          <cell r="A85">
            <v>10183</v>
          </cell>
          <cell r="B85">
            <v>3307901901</v>
          </cell>
          <cell r="C85" t="str">
            <v>PARE BEM</v>
          </cell>
          <cell r="D85" t="str">
            <v>FACULDADE PUC RS - PB</v>
          </cell>
        </row>
        <row r="86">
          <cell r="A86">
            <v>10184</v>
          </cell>
          <cell r="B86">
            <v>3307901901</v>
          </cell>
          <cell r="C86" t="str">
            <v>PARE BEM</v>
          </cell>
          <cell r="D86" t="str">
            <v>HOSPITAL PUC RS - PB</v>
          </cell>
        </row>
        <row r="87">
          <cell r="A87">
            <v>10201</v>
          </cell>
          <cell r="B87" t="str">
            <v>2000101000</v>
          </cell>
          <cell r="C87" t="str">
            <v>PARE CAR</v>
          </cell>
          <cell r="D87" t="str">
            <v>MATRIZ PARE CAR</v>
          </cell>
        </row>
        <row r="88">
          <cell r="A88">
            <v>10204</v>
          </cell>
          <cell r="B88" t="str">
            <v>2000101000</v>
          </cell>
          <cell r="C88" t="str">
            <v>PARE CAR</v>
          </cell>
          <cell r="D88" t="str">
            <v>REBOUÇAS</v>
          </cell>
        </row>
        <row r="89">
          <cell r="A89">
            <v>10205</v>
          </cell>
          <cell r="B89" t="str">
            <v>2000101000</v>
          </cell>
          <cell r="C89" t="str">
            <v>PARE CAR</v>
          </cell>
          <cell r="D89" t="str">
            <v>ALMEIDA LIMA</v>
          </cell>
        </row>
        <row r="90">
          <cell r="A90">
            <v>10206</v>
          </cell>
          <cell r="B90" t="str">
            <v>2000101000</v>
          </cell>
          <cell r="C90" t="str">
            <v>PARE CAR</v>
          </cell>
          <cell r="D90" t="str">
            <v>GRUMIXAMAS</v>
          </cell>
        </row>
        <row r="91">
          <cell r="A91">
            <v>10207</v>
          </cell>
          <cell r="B91" t="str">
            <v>2000101000</v>
          </cell>
          <cell r="C91" t="str">
            <v>PARE CAR</v>
          </cell>
          <cell r="D91" t="str">
            <v>SANTO AMARO 1386</v>
          </cell>
        </row>
        <row r="92">
          <cell r="A92">
            <v>10208</v>
          </cell>
          <cell r="B92" t="str">
            <v>2000101000</v>
          </cell>
          <cell r="C92" t="str">
            <v>PARE CAR</v>
          </cell>
          <cell r="D92" t="str">
            <v>JABAQUARA</v>
          </cell>
        </row>
        <row r="93">
          <cell r="A93">
            <v>10209</v>
          </cell>
          <cell r="B93" t="str">
            <v>2000101000</v>
          </cell>
          <cell r="C93" t="str">
            <v>PARE CAR</v>
          </cell>
          <cell r="D93" t="str">
            <v>CAMBUCI</v>
          </cell>
        </row>
        <row r="94">
          <cell r="A94">
            <v>10301</v>
          </cell>
          <cell r="B94" t="str">
            <v>2000101000</v>
          </cell>
          <cell r="C94" t="str">
            <v>OBJECTIVE</v>
          </cell>
          <cell r="D94" t="str">
            <v>MATRIZ OBJECTIVE ESTACIONAMENTOS</v>
          </cell>
        </row>
        <row r="95">
          <cell r="A95">
            <v>10302</v>
          </cell>
          <cell r="B95" t="str">
            <v>2000101000</v>
          </cell>
          <cell r="C95" t="str">
            <v>OBJECTIVE</v>
          </cell>
          <cell r="D95" t="str">
            <v>TOMOICHI</v>
          </cell>
        </row>
        <row r="96">
          <cell r="A96">
            <v>10401</v>
          </cell>
          <cell r="B96" t="str">
            <v>2000101000</v>
          </cell>
          <cell r="C96" t="str">
            <v>INFINITY</v>
          </cell>
          <cell r="D96" t="str">
            <v>MATRIZ INFINITY</v>
          </cell>
        </row>
        <row r="97">
          <cell r="A97">
            <v>10402</v>
          </cell>
          <cell r="B97" t="str">
            <v>2000101000</v>
          </cell>
          <cell r="C97" t="str">
            <v>INFINITY</v>
          </cell>
          <cell r="D97" t="str">
            <v>SANTO AMARO 1342</v>
          </cell>
        </row>
        <row r="98">
          <cell r="A98">
            <v>10403</v>
          </cell>
          <cell r="B98" t="str">
            <v>2000101000</v>
          </cell>
          <cell r="C98" t="str">
            <v>INFINITY</v>
          </cell>
          <cell r="D98" t="str">
            <v>RICARDO JAFET</v>
          </cell>
        </row>
        <row r="99">
          <cell r="A99">
            <v>10404</v>
          </cell>
          <cell r="B99" t="str">
            <v>2000101000</v>
          </cell>
          <cell r="C99" t="str">
            <v>INFINITY</v>
          </cell>
          <cell r="D99" t="str">
            <v>MARILIA</v>
          </cell>
        </row>
        <row r="100">
          <cell r="A100">
            <v>10501</v>
          </cell>
          <cell r="B100" t="str">
            <v>2000101000</v>
          </cell>
          <cell r="C100" t="str">
            <v>PARE SEMPRE</v>
          </cell>
          <cell r="D100" t="str">
            <v>MATRIZ PARE SEMPRE</v>
          </cell>
        </row>
        <row r="101">
          <cell r="A101">
            <v>10502</v>
          </cell>
          <cell r="B101" t="str">
            <v>2000101000</v>
          </cell>
          <cell r="C101" t="str">
            <v>PARE SEMPRE</v>
          </cell>
          <cell r="D101" t="str">
            <v>BH</v>
          </cell>
        </row>
        <row r="102">
          <cell r="A102">
            <v>10503</v>
          </cell>
          <cell r="B102" t="str">
            <v>2000101000</v>
          </cell>
          <cell r="C102" t="str">
            <v>PARE SEMPRE</v>
          </cell>
          <cell r="D102" t="str">
            <v>TATUAPE</v>
          </cell>
        </row>
        <row r="103">
          <cell r="A103">
            <v>10601</v>
          </cell>
          <cell r="B103" t="str">
            <v>2000101000</v>
          </cell>
          <cell r="C103" t="str">
            <v>RS BRAND</v>
          </cell>
          <cell r="D103" t="str">
            <v>RS BRAND</v>
          </cell>
        </row>
        <row r="104">
          <cell r="A104">
            <v>10701</v>
          </cell>
          <cell r="C104" t="str">
            <v>MASTER PARK</v>
          </cell>
          <cell r="D104" t="str">
            <v>MATRIZ MASTER PARK</v>
          </cell>
        </row>
        <row r="105">
          <cell r="A105">
            <v>10702</v>
          </cell>
          <cell r="B105" t="str">
            <v>3310607601</v>
          </cell>
          <cell r="C105" t="str">
            <v>MASTER PARK</v>
          </cell>
          <cell r="D105" t="str">
            <v>14M - 06186606000816</v>
          </cell>
        </row>
        <row r="106">
          <cell r="A106">
            <v>10703</v>
          </cell>
          <cell r="B106" t="str">
            <v>2000101000</v>
          </cell>
          <cell r="C106" t="str">
            <v>MASTER PARK</v>
          </cell>
          <cell r="D106" t="str">
            <v>QUARTEIRAO CULTURAL - 06186606000654</v>
          </cell>
        </row>
        <row r="107">
          <cell r="A107">
            <v>10704</v>
          </cell>
          <cell r="B107" t="str">
            <v>2000101000</v>
          </cell>
          <cell r="C107" t="str">
            <v>MASTER PARK</v>
          </cell>
          <cell r="D107" t="str">
            <v>10M - 06186606000735</v>
          </cell>
        </row>
        <row r="108">
          <cell r="A108">
            <v>10705</v>
          </cell>
          <cell r="B108" t="str">
            <v>2000101000</v>
          </cell>
          <cell r="C108" t="str">
            <v>MASTER PARK</v>
          </cell>
          <cell r="D108" t="str">
            <v>AERO ARACAJU - 06186606001383</v>
          </cell>
        </row>
        <row r="109">
          <cell r="A109">
            <v>10706</v>
          </cell>
          <cell r="B109" t="str">
            <v>3301107801</v>
          </cell>
          <cell r="C109" t="str">
            <v>MASTER PARK</v>
          </cell>
          <cell r="D109" t="str">
            <v>AERO BELEM - 06186606001707</v>
          </cell>
        </row>
        <row r="110">
          <cell r="A110">
            <v>10707</v>
          </cell>
          <cell r="B110" t="str">
            <v>3301107602</v>
          </cell>
          <cell r="C110" t="str">
            <v>MASTER PARK</v>
          </cell>
          <cell r="D110" t="str">
            <v>AERO FORTALEZA - 06186606001626</v>
          </cell>
        </row>
        <row r="111">
          <cell r="A111">
            <v>10708</v>
          </cell>
          <cell r="B111" t="str">
            <v>3301107601</v>
          </cell>
          <cell r="C111" t="str">
            <v>MASTER PARK</v>
          </cell>
          <cell r="D111" t="str">
            <v>AERO GOIANIA - 06186606000492</v>
          </cell>
        </row>
        <row r="112">
          <cell r="A112">
            <v>10709</v>
          </cell>
          <cell r="B112" t="str">
            <v>2000101000</v>
          </cell>
          <cell r="C112" t="str">
            <v>MASTER PARK</v>
          </cell>
          <cell r="D112" t="str">
            <v>MASTER AERO REC</v>
          </cell>
        </row>
        <row r="113">
          <cell r="A113">
            <v>10710</v>
          </cell>
          <cell r="B113" t="str">
            <v>3301107802</v>
          </cell>
          <cell r="C113" t="str">
            <v>MASTER PARK</v>
          </cell>
          <cell r="D113" t="str">
            <v>AERO SAO LUIZ - 06186606001200</v>
          </cell>
        </row>
        <row r="114">
          <cell r="A114">
            <v>10711</v>
          </cell>
          <cell r="B114" t="str">
            <v>2000101000</v>
          </cell>
          <cell r="C114" t="str">
            <v>MASTER PARK</v>
          </cell>
          <cell r="D114" t="str">
            <v>CASA DA CULTURA - 06186606001111</v>
          </cell>
        </row>
        <row r="115">
          <cell r="A115">
            <v>10712</v>
          </cell>
          <cell r="B115" t="str">
            <v>3302607601</v>
          </cell>
          <cell r="C115" t="str">
            <v>MASTER PARK</v>
          </cell>
          <cell r="D115" t="str">
            <v>MILLENIUM -  06186606000301</v>
          </cell>
        </row>
        <row r="116">
          <cell r="A116">
            <v>10713</v>
          </cell>
          <cell r="B116" t="str">
            <v>3309207501</v>
          </cell>
          <cell r="C116" t="str">
            <v>MASTER PARK</v>
          </cell>
          <cell r="D116" t="str">
            <v>EXPOMINAS - 06186606001898</v>
          </cell>
        </row>
        <row r="117">
          <cell r="A117">
            <v>10714</v>
          </cell>
          <cell r="B117" t="str">
            <v>2000101000</v>
          </cell>
          <cell r="C117" t="str">
            <v>MASTER PARK</v>
          </cell>
          <cell r="D117" t="str">
            <v>AERO PAMPULHA - 06186606001464</v>
          </cell>
        </row>
        <row r="118">
          <cell r="A118">
            <v>10715</v>
          </cell>
          <cell r="B118" t="str">
            <v>2000101000</v>
          </cell>
          <cell r="C118" t="str">
            <v>MASTER PARK</v>
          </cell>
          <cell r="D118" t="str">
            <v>OLINTO MANSO - 06186606001979</v>
          </cell>
        </row>
        <row r="119">
          <cell r="A119">
            <v>10716</v>
          </cell>
          <cell r="B119" t="str">
            <v>3302807601</v>
          </cell>
          <cell r="C119" t="str">
            <v>MASTER PARK</v>
          </cell>
          <cell r="D119" t="str">
            <v>PARQUE CIDADE BRASILIA - 06186606002002</v>
          </cell>
        </row>
        <row r="120">
          <cell r="A120">
            <v>10717</v>
          </cell>
          <cell r="B120" t="str">
            <v>3305901602</v>
          </cell>
          <cell r="C120" t="str">
            <v>MASTER PARK</v>
          </cell>
          <cell r="D120" t="str">
            <v>SHOPPING PARALELA - BA</v>
          </cell>
        </row>
        <row r="121">
          <cell r="A121">
            <v>10718</v>
          </cell>
          <cell r="B121" t="str">
            <v>2000101000</v>
          </cell>
          <cell r="C121" t="str">
            <v>MASTER PARK</v>
          </cell>
          <cell r="D121" t="str">
            <v>MASTER MATRIZ - Não usar</v>
          </cell>
        </row>
        <row r="122">
          <cell r="A122">
            <v>10719</v>
          </cell>
          <cell r="B122" t="str">
            <v>3302607602</v>
          </cell>
          <cell r="C122" t="str">
            <v>MASTER PARK</v>
          </cell>
          <cell r="D122" t="str">
            <v>SALVADOR SHOPPING BUSINES</v>
          </cell>
        </row>
        <row r="123">
          <cell r="A123">
            <v>10720</v>
          </cell>
          <cell r="B123" t="str">
            <v>3302707601</v>
          </cell>
          <cell r="C123" t="str">
            <v>MASTER PARK</v>
          </cell>
          <cell r="D123" t="str">
            <v>PARQUE CIDADE - SCP</v>
          </cell>
        </row>
        <row r="124">
          <cell r="A124">
            <v>10721</v>
          </cell>
          <cell r="B124">
            <v>3302607602</v>
          </cell>
          <cell r="C124" t="str">
            <v>MASTER PARK</v>
          </cell>
          <cell r="D124" t="str">
            <v>MASTER BRASILIA</v>
          </cell>
        </row>
        <row r="125">
          <cell r="A125">
            <v>10801</v>
          </cell>
          <cell r="C125" t="str">
            <v>CENTER PARK ESTACIONAMENTOS</v>
          </cell>
          <cell r="D125" t="str">
            <v>SENADOR POMPEU 11 A 15 - CENTER I</v>
          </cell>
        </row>
        <row r="126">
          <cell r="A126">
            <v>10802</v>
          </cell>
          <cell r="B126" t="str">
            <v>3302608306</v>
          </cell>
          <cell r="C126" t="str">
            <v>CENTER PARK ESTACIONAMENTOS</v>
          </cell>
          <cell r="D126" t="str">
            <v>AMERICA TRADE CENTER - D'ARAUJO</v>
          </cell>
        </row>
        <row r="127">
          <cell r="A127">
            <v>10803</v>
          </cell>
          <cell r="B127" t="str">
            <v>3302608309</v>
          </cell>
          <cell r="C127" t="str">
            <v>CENTER PARK ESTACIONAMENTOS</v>
          </cell>
          <cell r="D127" t="str">
            <v>PRAIA DO FLAMENGO</v>
          </cell>
        </row>
        <row r="128">
          <cell r="A128">
            <v>10804</v>
          </cell>
          <cell r="B128" t="str">
            <v>3302608301</v>
          </cell>
          <cell r="C128" t="str">
            <v>CENTER PARK ESTACIONAMENTOS</v>
          </cell>
          <cell r="D128" t="str">
            <v>FREEWAY BARRA</v>
          </cell>
        </row>
        <row r="129">
          <cell r="A129">
            <v>10805</v>
          </cell>
          <cell r="B129" t="str">
            <v>3304608302</v>
          </cell>
          <cell r="C129" t="str">
            <v>CENTER PARK ESTACIONAMENTOS</v>
          </cell>
          <cell r="D129" t="str">
            <v>BOTAFOGO MEDICAL CENTER - G35</v>
          </cell>
        </row>
        <row r="130">
          <cell r="A130">
            <v>10806</v>
          </cell>
          <cell r="B130" t="str">
            <v>3302608310</v>
          </cell>
          <cell r="C130" t="str">
            <v>CENTER PARK ESTACIONAMENTOS</v>
          </cell>
          <cell r="D130" t="str">
            <v>SEDE DE EMPRESAS - G22</v>
          </cell>
        </row>
        <row r="131">
          <cell r="A131">
            <v>10807</v>
          </cell>
          <cell r="B131" t="str">
            <v>3302708301</v>
          </cell>
          <cell r="C131" t="str">
            <v>CENTER PARK ESTACIONAMENTOS</v>
          </cell>
          <cell r="D131" t="str">
            <v>PARADISO ALL SUITES</v>
          </cell>
        </row>
        <row r="132">
          <cell r="A132">
            <v>10808</v>
          </cell>
          <cell r="B132" t="str">
            <v>3302608304</v>
          </cell>
          <cell r="C132" t="str">
            <v>CENTER PARK ESTACIONAMENTOS</v>
          </cell>
          <cell r="D132" t="str">
            <v>FLEX CENTER - G06</v>
          </cell>
        </row>
        <row r="133">
          <cell r="A133">
            <v>10809</v>
          </cell>
          <cell r="B133" t="str">
            <v>3304608301</v>
          </cell>
          <cell r="C133" t="str">
            <v>CENTER PARK ESTACIONAMENTOS</v>
          </cell>
          <cell r="D133" t="str">
            <v>MDX</v>
          </cell>
        </row>
        <row r="134">
          <cell r="A134">
            <v>10810</v>
          </cell>
          <cell r="B134" t="str">
            <v>3302808301</v>
          </cell>
          <cell r="C134" t="str">
            <v>CENTER PARK ESTACIONAMENTOS</v>
          </cell>
          <cell r="D134" t="str">
            <v>MANCHETE</v>
          </cell>
        </row>
        <row r="135">
          <cell r="A135">
            <v>10811</v>
          </cell>
          <cell r="B135" t="str">
            <v>3302908303</v>
          </cell>
          <cell r="C135" t="str">
            <v>CENTER PARK ESTACIONAMENTOS</v>
          </cell>
          <cell r="D135" t="str">
            <v>CENTRAL PARKING - G02</v>
          </cell>
        </row>
        <row r="136">
          <cell r="A136">
            <v>10812</v>
          </cell>
          <cell r="B136" t="str">
            <v>3302608307</v>
          </cell>
          <cell r="C136" t="str">
            <v>CENTER PARK ESTACIONAMENTOS</v>
          </cell>
          <cell r="D136" t="str">
            <v>MIDTOWN - G31</v>
          </cell>
        </row>
        <row r="137">
          <cell r="A137">
            <v>10813</v>
          </cell>
          <cell r="B137" t="str">
            <v>3302608308</v>
          </cell>
          <cell r="C137" t="str">
            <v>CENTER PARK ESTACIONAMENTOS</v>
          </cell>
          <cell r="D137" t="str">
            <v>TIJUCA OFFICE - G43</v>
          </cell>
        </row>
        <row r="138">
          <cell r="A138">
            <v>10814</v>
          </cell>
          <cell r="B138" t="str">
            <v>3304708301</v>
          </cell>
          <cell r="C138" t="str">
            <v>CENTER PARK ESTACIONAMENTOS</v>
          </cell>
          <cell r="D138" t="str">
            <v>SAO VICENTE DE PAULO - G08</v>
          </cell>
        </row>
        <row r="139">
          <cell r="A139">
            <v>10815</v>
          </cell>
          <cell r="B139" t="str">
            <v>3304608303</v>
          </cell>
          <cell r="C139" t="str">
            <v>CENTER PARK ESTACIONAMENTOS</v>
          </cell>
          <cell r="D139" t="str">
            <v>MELO FRANCO - G37</v>
          </cell>
        </row>
        <row r="140">
          <cell r="A140">
            <v>10816</v>
          </cell>
          <cell r="B140" t="str">
            <v>3308508302</v>
          </cell>
          <cell r="C140" t="str">
            <v>CENTER PARK ESTACIONAMENTOS</v>
          </cell>
          <cell r="D140" t="str">
            <v>MUNIZ BARRETO</v>
          </cell>
        </row>
        <row r="141">
          <cell r="A141">
            <v>10817</v>
          </cell>
          <cell r="B141" t="str">
            <v>3302608303</v>
          </cell>
          <cell r="C141" t="str">
            <v>CENTER PARK ESTACIONAMENTOS</v>
          </cell>
          <cell r="D141" t="str">
            <v>LINK OFFICE</v>
          </cell>
        </row>
        <row r="142">
          <cell r="A142">
            <v>10818</v>
          </cell>
          <cell r="B142" t="str">
            <v>3302608311</v>
          </cell>
          <cell r="C142" t="str">
            <v>CENTER PARK ESTACIONAMENTOS</v>
          </cell>
          <cell r="D142" t="str">
            <v>LEBLON CORPORATE - G29</v>
          </cell>
        </row>
        <row r="143">
          <cell r="A143">
            <v>10819</v>
          </cell>
          <cell r="B143" t="str">
            <v>3302908301</v>
          </cell>
          <cell r="C143" t="str">
            <v>CENTER PARK ESTACIONAMENTOS</v>
          </cell>
          <cell r="D143" t="str">
            <v>MAP</v>
          </cell>
        </row>
        <row r="144">
          <cell r="A144">
            <v>10820</v>
          </cell>
          <cell r="C144" t="str">
            <v>CENTER PARK ESTACIONAMENTOS</v>
          </cell>
          <cell r="D144" t="str">
            <v>ESCRITORIO Travessa Coronel Julião</v>
          </cell>
        </row>
        <row r="145">
          <cell r="A145">
            <v>10821</v>
          </cell>
          <cell r="B145" t="str">
            <v>3305708301</v>
          </cell>
          <cell r="C145" t="str">
            <v>CENTER PARK ESTACIONAMENTOS</v>
          </cell>
          <cell r="D145" t="str">
            <v>DOWNTOWN</v>
          </cell>
        </row>
        <row r="146">
          <cell r="A146">
            <v>10822</v>
          </cell>
          <cell r="B146" t="str">
            <v>3302908302</v>
          </cell>
          <cell r="C146" t="str">
            <v>CENTER PARK ESTACIONAMENTOS</v>
          </cell>
          <cell r="D146" t="str">
            <v>VERANO STAY</v>
          </cell>
        </row>
        <row r="147">
          <cell r="A147">
            <v>10823</v>
          </cell>
          <cell r="B147" t="str">
            <v>3302808302</v>
          </cell>
          <cell r="C147" t="str">
            <v>CENTER PARK ESTACIONAMENTOS</v>
          </cell>
          <cell r="D147" t="str">
            <v xml:space="preserve">Visconde de Inhauma </v>
          </cell>
        </row>
        <row r="148">
          <cell r="A148">
            <v>10824</v>
          </cell>
          <cell r="B148">
            <v>3302908304</v>
          </cell>
          <cell r="C148" t="str">
            <v>CENTER PARK ESTACIONAMENTOS</v>
          </cell>
          <cell r="D148" t="str">
            <v>CONDOMINIO ATLANTICO PALACE - CP</v>
          </cell>
        </row>
        <row r="149">
          <cell r="A149">
            <v>10901</v>
          </cell>
          <cell r="B149" t="str">
            <v>2000101000</v>
          </cell>
          <cell r="C149" t="str">
            <v>DIAS PARK ESTACIONAMENTOS</v>
          </cell>
          <cell r="D149" t="str">
            <v>IPANEMA 152 - G04</v>
          </cell>
        </row>
        <row r="150">
          <cell r="A150">
            <v>10902</v>
          </cell>
          <cell r="B150" t="str">
            <v>2000101000</v>
          </cell>
          <cell r="C150" t="str">
            <v>DIAS PARK ESTACIONAMENTOS</v>
          </cell>
          <cell r="D150" t="str">
            <v>CAMPUS TOM JOBIM - G07</v>
          </cell>
        </row>
        <row r="151">
          <cell r="A151">
            <v>10903</v>
          </cell>
          <cell r="B151" t="str">
            <v>2000101000</v>
          </cell>
          <cell r="C151" t="str">
            <v>DIAS PARK ESTACIONAMENTOS</v>
          </cell>
          <cell r="D151" t="str">
            <v>IPANEMA 142 - G15</v>
          </cell>
        </row>
        <row r="152">
          <cell r="A152">
            <v>10904</v>
          </cell>
          <cell r="B152" t="str">
            <v>2000101000</v>
          </cell>
          <cell r="C152" t="str">
            <v>DIAS PARK ESTACIONAMENTOS</v>
          </cell>
          <cell r="D152" t="str">
            <v>CARDOSO DE MORAES - G27</v>
          </cell>
        </row>
        <row r="153">
          <cell r="A153">
            <v>10905</v>
          </cell>
          <cell r="B153" t="str">
            <v>2000101000</v>
          </cell>
          <cell r="C153" t="str">
            <v>DIAS PARK ESTACIONAMENTOS</v>
          </cell>
          <cell r="D153" t="str">
            <v>PROCARDIACO TERRENO - G44</v>
          </cell>
        </row>
        <row r="154">
          <cell r="A154">
            <v>10906</v>
          </cell>
          <cell r="B154" t="str">
            <v>2000101000</v>
          </cell>
          <cell r="C154" t="str">
            <v>DIAS PARK ESTACIONAMENTOS</v>
          </cell>
          <cell r="D154" t="str">
            <v>PROCARDIACO PREDIO - G45</v>
          </cell>
        </row>
        <row r="155">
          <cell r="A155">
            <v>11001</v>
          </cell>
          <cell r="C155" t="str">
            <v>GE PARK ESTACIONAMENTOS</v>
          </cell>
          <cell r="D155" t="str">
            <v>ACRE 108 - G34</v>
          </cell>
        </row>
        <row r="156">
          <cell r="A156">
            <v>11002</v>
          </cell>
          <cell r="B156" t="str">
            <v>3302810303</v>
          </cell>
          <cell r="C156" t="str">
            <v>GE PARK ESTACIONAMENTOS</v>
          </cell>
          <cell r="D156" t="str">
            <v>INFRABARRA - G16</v>
          </cell>
        </row>
        <row r="157">
          <cell r="A157">
            <v>11003</v>
          </cell>
          <cell r="B157" t="str">
            <v>3302610307</v>
          </cell>
          <cell r="C157" t="str">
            <v>GE PARK ESTACIONAMENTOS</v>
          </cell>
          <cell r="D157" t="str">
            <v>NITEROI TERMINAL - G28</v>
          </cell>
        </row>
        <row r="158">
          <cell r="A158">
            <v>11004</v>
          </cell>
          <cell r="B158" t="str">
            <v>3302610305</v>
          </cell>
          <cell r="C158" t="str">
            <v>GE PARK ESTACIONAMENTOS</v>
          </cell>
          <cell r="D158" t="str">
            <v>RINK OFFICE</v>
          </cell>
        </row>
        <row r="159">
          <cell r="A159">
            <v>11005</v>
          </cell>
          <cell r="B159" t="str">
            <v>3302710302</v>
          </cell>
          <cell r="C159" t="str">
            <v>GE PARK ESTACIONAMENTOS</v>
          </cell>
          <cell r="D159" t="str">
            <v>HOTEL IBIS</v>
          </cell>
        </row>
        <row r="160">
          <cell r="A160">
            <v>11006</v>
          </cell>
          <cell r="B160" t="str">
            <v>3302710312</v>
          </cell>
          <cell r="C160" t="str">
            <v>GE PARK ESTACIONAMENTOS</v>
          </cell>
          <cell r="D160" t="str">
            <v>GAIA</v>
          </cell>
        </row>
        <row r="161">
          <cell r="A161">
            <v>11007</v>
          </cell>
          <cell r="B161" t="str">
            <v>3302710310</v>
          </cell>
          <cell r="C161" t="str">
            <v>GE PARK ESTACIONAMENTOS</v>
          </cell>
          <cell r="D161" t="str">
            <v>LE MOND - NOVA IGUACU</v>
          </cell>
        </row>
        <row r="162">
          <cell r="A162">
            <v>11008</v>
          </cell>
          <cell r="B162" t="str">
            <v>3302710305</v>
          </cell>
          <cell r="C162" t="str">
            <v>GE PARK ESTACIONAMENTOS</v>
          </cell>
          <cell r="D162" t="str">
            <v>VIANENSE</v>
          </cell>
        </row>
        <row r="163">
          <cell r="A163">
            <v>11009</v>
          </cell>
          <cell r="B163" t="str">
            <v>3302710308</v>
          </cell>
          <cell r="C163" t="str">
            <v>GE PARK ESTACIONAMENTOS</v>
          </cell>
          <cell r="D163" t="str">
            <v>THE GREEN</v>
          </cell>
        </row>
        <row r="164">
          <cell r="A164">
            <v>11010</v>
          </cell>
          <cell r="B164" t="str">
            <v>3302710306</v>
          </cell>
          <cell r="C164" t="str">
            <v>GE PARK ESTACIONAMENTOS</v>
          </cell>
          <cell r="D164" t="str">
            <v>LARGO DO IBAM</v>
          </cell>
        </row>
        <row r="165">
          <cell r="A165">
            <v>11011</v>
          </cell>
          <cell r="B165" t="str">
            <v>3302510302</v>
          </cell>
          <cell r="C165" t="str">
            <v>GE PARK ESTACIONAMENTOS</v>
          </cell>
          <cell r="D165" t="str">
            <v>SAO FRANCISCO XAVIER - G05</v>
          </cell>
        </row>
        <row r="166">
          <cell r="A166">
            <v>11012</v>
          </cell>
          <cell r="B166" t="str">
            <v>3302510301</v>
          </cell>
          <cell r="C166" t="str">
            <v>GE PARK ESTACIONAMENTOS</v>
          </cell>
          <cell r="D166" t="str">
            <v>PRINCESS - G17</v>
          </cell>
        </row>
        <row r="167">
          <cell r="A167">
            <v>11013</v>
          </cell>
          <cell r="B167" t="str">
            <v>3308710301</v>
          </cell>
          <cell r="C167" t="str">
            <v>GE PARK ESTACIONAMENTOS</v>
          </cell>
          <cell r="D167" t="str">
            <v>RUA DO BISPO - G14</v>
          </cell>
        </row>
        <row r="168">
          <cell r="A168">
            <v>11014</v>
          </cell>
          <cell r="B168" t="str">
            <v>3305610301</v>
          </cell>
          <cell r="C168" t="str">
            <v>GE PARK ESTACIONAMENTOS</v>
          </cell>
          <cell r="D168" t="str">
            <v>BARRA POINT</v>
          </cell>
        </row>
        <row r="169">
          <cell r="A169">
            <v>11015</v>
          </cell>
          <cell r="B169" t="str">
            <v>3302610301</v>
          </cell>
          <cell r="C169" t="str">
            <v>GE PARK ESTACIONAMENTOS</v>
          </cell>
          <cell r="D169" t="str">
            <v>MOURISCO - G20</v>
          </cell>
        </row>
        <row r="170">
          <cell r="A170">
            <v>11016</v>
          </cell>
          <cell r="B170" t="str">
            <v>3304610301</v>
          </cell>
          <cell r="C170" t="str">
            <v>GE PARK ESTACIONAMENTOS</v>
          </cell>
          <cell r="D170" t="str">
            <v>HOSPITAL SAMARITANO</v>
          </cell>
        </row>
        <row r="171">
          <cell r="A171">
            <v>11017</v>
          </cell>
          <cell r="B171" t="str">
            <v>3302710307</v>
          </cell>
          <cell r="C171" t="str">
            <v>GE PARK ESTACIONAMENTOS</v>
          </cell>
          <cell r="D171" t="str">
            <v>HELIUX</v>
          </cell>
        </row>
        <row r="172">
          <cell r="A172">
            <v>11018</v>
          </cell>
          <cell r="B172" t="str">
            <v>3302610306, 3302810302, 3309810301</v>
          </cell>
          <cell r="C172" t="str">
            <v>GE PARK ESTACIONAMENTOS</v>
          </cell>
          <cell r="D172" t="str">
            <v>IPANEMA 2000 - G19</v>
          </cell>
        </row>
        <row r="173">
          <cell r="A173">
            <v>11019</v>
          </cell>
          <cell r="B173" t="str">
            <v>3302610302</v>
          </cell>
          <cell r="C173" t="str">
            <v>GE PARK ESTACIONAMENTOS</v>
          </cell>
          <cell r="D173" t="str">
            <v>RIO METROPOLITAN - RM CENTRO</v>
          </cell>
        </row>
        <row r="174">
          <cell r="A174">
            <v>11020</v>
          </cell>
          <cell r="B174" t="str">
            <v>3302610303</v>
          </cell>
          <cell r="C174" t="str">
            <v>GE PARK ESTACIONAMENTOS</v>
          </cell>
          <cell r="D174" t="str">
            <v>BARATA RIBEIRO - RM COPA</v>
          </cell>
        </row>
        <row r="175">
          <cell r="A175">
            <v>11021</v>
          </cell>
          <cell r="B175" t="str">
            <v>3302710301</v>
          </cell>
          <cell r="C175" t="str">
            <v>GE PARK ESTACIONAMENTOS</v>
          </cell>
          <cell r="D175" t="str">
            <v>PETRO OFFICE - RM MACAE</v>
          </cell>
        </row>
        <row r="176">
          <cell r="A176">
            <v>11022</v>
          </cell>
          <cell r="B176" t="str">
            <v>3302710303</v>
          </cell>
          <cell r="C176" t="str">
            <v>GE PARK ESTACIONAMENTOS</v>
          </cell>
          <cell r="D176" t="str">
            <v>MACAE PALACE</v>
          </cell>
        </row>
        <row r="177">
          <cell r="A177">
            <v>11023</v>
          </cell>
          <cell r="B177" t="str">
            <v>3302710309</v>
          </cell>
          <cell r="C177" t="str">
            <v>GE PARK ESTACIONAMENTOS</v>
          </cell>
          <cell r="D177" t="str">
            <v>IBOL</v>
          </cell>
        </row>
        <row r="178">
          <cell r="A178">
            <v>11024</v>
          </cell>
          <cell r="B178" t="str">
            <v>3302710305</v>
          </cell>
          <cell r="C178" t="str">
            <v>GE PARK ESTACIONAMENTOS</v>
          </cell>
          <cell r="D178" t="str">
            <v>METROPOLE - NOVA IGUACU</v>
          </cell>
        </row>
        <row r="179">
          <cell r="A179">
            <v>11025</v>
          </cell>
          <cell r="B179" t="str">
            <v>2000101000</v>
          </cell>
          <cell r="C179" t="str">
            <v>GE PARK ESTACIONAMENTOS</v>
          </cell>
          <cell r="D179" t="str">
            <v>ROMAO DUARTE</v>
          </cell>
        </row>
        <row r="180">
          <cell r="A180">
            <v>11026</v>
          </cell>
          <cell r="B180" t="str">
            <v>3302710313</v>
          </cell>
          <cell r="C180" t="str">
            <v>GE PARK ESTACIONAMENTOS</v>
          </cell>
          <cell r="D180" t="str">
            <v>BOULEVARD 28 DE SETEMBRO - GE</v>
          </cell>
        </row>
        <row r="181">
          <cell r="A181">
            <v>11027</v>
          </cell>
          <cell r="B181" t="str">
            <v>3308509302</v>
          </cell>
          <cell r="C181" t="str">
            <v>GE PARK ESTACIONAMENTOS</v>
          </cell>
          <cell r="D181" t="str">
            <v>IPANEMA 152 - G04</v>
          </cell>
        </row>
        <row r="182">
          <cell r="A182">
            <v>11028</v>
          </cell>
          <cell r="B182" t="str">
            <v>3302509301</v>
          </cell>
          <cell r="C182" t="str">
            <v>GE PARK ESTACIONAMENTOS</v>
          </cell>
          <cell r="D182" t="str">
            <v>CARDOSO DE MORAES - G27</v>
          </cell>
        </row>
        <row r="183">
          <cell r="A183">
            <v>11029</v>
          </cell>
          <cell r="B183" t="str">
            <v>3307509301</v>
          </cell>
          <cell r="C183" t="str">
            <v>GE PARK ESTACIONAMENTOS</v>
          </cell>
          <cell r="D183" t="str">
            <v>CAMPUS TOM JOBIM - G07</v>
          </cell>
        </row>
        <row r="184">
          <cell r="A184">
            <v>11030</v>
          </cell>
          <cell r="B184" t="str">
            <v>3304609301</v>
          </cell>
          <cell r="C184" t="str">
            <v>GE PARK ESTACIONAMENTOS</v>
          </cell>
          <cell r="D184" t="str">
            <v>PROCARDIACO TERRENO - G44</v>
          </cell>
        </row>
        <row r="185">
          <cell r="A185">
            <v>11031</v>
          </cell>
          <cell r="B185" t="str">
            <v>3308509301</v>
          </cell>
          <cell r="C185" t="str">
            <v>GE PARK ESTACIONAMENTOS</v>
          </cell>
          <cell r="D185" t="str">
            <v>IPANEMA 142 - G15</v>
          </cell>
        </row>
        <row r="186">
          <cell r="A186">
            <v>11032</v>
          </cell>
          <cell r="B186" t="str">
            <v>3304609303</v>
          </cell>
          <cell r="C186" t="str">
            <v>GE PARK ESTACIONAMENTOS</v>
          </cell>
          <cell r="D186" t="str">
            <v>PROCARDIACO PREDIO - G45</v>
          </cell>
        </row>
        <row r="187">
          <cell r="A187">
            <v>11033</v>
          </cell>
          <cell r="B187" t="str">
            <v>3302710311</v>
          </cell>
          <cell r="C187" t="str">
            <v>GE PARK ESTACIONAMENTOS</v>
          </cell>
          <cell r="D187" t="str">
            <v>RIO OFFICE PARK - G33</v>
          </cell>
        </row>
        <row r="188">
          <cell r="A188">
            <v>11034</v>
          </cell>
          <cell r="C188" t="str">
            <v>GE PARK ESTACIONAMENTOS</v>
          </cell>
          <cell r="D188" t="str">
            <v>GEPARK RJ - BONFIM</v>
          </cell>
        </row>
        <row r="189">
          <cell r="A189">
            <v>11035</v>
          </cell>
          <cell r="C189" t="str">
            <v>GE PARK ESTACIONAMENTOS</v>
          </cell>
          <cell r="D189" t="str">
            <v>GEPARK RJ - PIRAJA</v>
          </cell>
        </row>
        <row r="190">
          <cell r="A190">
            <v>11036</v>
          </cell>
          <cell r="C190" t="str">
            <v>GE PARK ESTACIONAMENTOS</v>
          </cell>
          <cell r="D190" t="str">
            <v>GEPARK RJ - LARANJEIRAS</v>
          </cell>
        </row>
        <row r="191">
          <cell r="A191">
            <v>11037</v>
          </cell>
          <cell r="C191" t="str">
            <v>GE PARK ESTACIONAMENTOS</v>
          </cell>
          <cell r="D191" t="str">
            <v>GEPARK RJ - ALMIRANTE</v>
          </cell>
        </row>
        <row r="192">
          <cell r="A192">
            <v>11038</v>
          </cell>
          <cell r="C192" t="str">
            <v>GE PARK ESTACIONAMENTOS</v>
          </cell>
          <cell r="D192" t="str">
            <v>GEPARK RJ - ITAIARA</v>
          </cell>
        </row>
        <row r="193">
          <cell r="A193">
            <v>11039</v>
          </cell>
          <cell r="C193" t="str">
            <v>GE PARK ESTACIONAMENTOS</v>
          </cell>
          <cell r="D193" t="str">
            <v>GEPARK RJ - MARIANA</v>
          </cell>
        </row>
        <row r="194">
          <cell r="A194">
            <v>11040</v>
          </cell>
          <cell r="C194" t="str">
            <v>GE PARK ESTACIONAMENTOS</v>
          </cell>
          <cell r="D194" t="str">
            <v>GEPARK RJ - GETULIO</v>
          </cell>
        </row>
        <row r="195">
          <cell r="A195">
            <v>11041</v>
          </cell>
          <cell r="C195" t="str">
            <v>GE PARK ESTACIONAMENTOS</v>
          </cell>
          <cell r="D195" t="str">
            <v>GEPARK RJ - ALBETO</v>
          </cell>
        </row>
        <row r="196">
          <cell r="A196">
            <v>11101</v>
          </cell>
          <cell r="B196" t="str">
            <v>2000101000</v>
          </cell>
          <cell r="C196" t="str">
            <v>PARQUEAMENTOS UNIDOS ESTACIONAMENTOS</v>
          </cell>
          <cell r="D196" t="str">
            <v>RIO OFFICE PARK - G33</v>
          </cell>
        </row>
        <row r="197">
          <cell r="A197">
            <v>11201</v>
          </cell>
          <cell r="B197" t="str">
            <v>3305312301</v>
          </cell>
          <cell r="C197" t="str">
            <v>CONSORCIO CENTER SHOP RIO</v>
          </cell>
          <cell r="D197" t="str">
            <v>CONSORCIO CENTER SHOPPING RIO</v>
          </cell>
        </row>
        <row r="198">
          <cell r="A198">
            <v>11301</v>
          </cell>
          <cell r="B198" t="str">
            <v>3305313302</v>
          </cell>
          <cell r="C198" t="str">
            <v>CONSORCIO WEST SHOP RIO</v>
          </cell>
          <cell r="D198" t="str">
            <v>CONSORCIO WEST SHOPPING RIO</v>
          </cell>
        </row>
        <row r="199">
          <cell r="A199">
            <v>11401</v>
          </cell>
          <cell r="C199" t="str">
            <v>FLA ESTACIONAMENTOS LTDA</v>
          </cell>
          <cell r="D199" t="str">
            <v>SEO ROSA CAMBUÍ - MATRIZ</v>
          </cell>
        </row>
        <row r="200">
          <cell r="A200">
            <v>11402</v>
          </cell>
          <cell r="B200" t="str">
            <v>3311091404</v>
          </cell>
          <cell r="C200" t="str">
            <v>FLA ESTACIONAMENTOS LTDA</v>
          </cell>
          <cell r="D200" t="str">
            <v>SEO ROSA GRAMADO</v>
          </cell>
        </row>
        <row r="201">
          <cell r="A201">
            <v>11403</v>
          </cell>
          <cell r="B201">
            <v>3311091409.3311</v>
          </cell>
          <cell r="C201" t="str">
            <v>FLA ESTACIONAMENTOS LTDA</v>
          </cell>
          <cell r="D201" t="str">
            <v>TILLI CENTER</v>
          </cell>
        </row>
        <row r="202">
          <cell r="A202">
            <v>11404</v>
          </cell>
          <cell r="B202" t="str">
            <v>3311091406, 3311091407 e 3311091408</v>
          </cell>
          <cell r="C202" t="str">
            <v>FLA ESTACIONAMENTOS LTDA</v>
          </cell>
          <cell r="D202" t="str">
            <v>COMPLEXO GALERIA</v>
          </cell>
        </row>
        <row r="203">
          <cell r="A203">
            <v>11405</v>
          </cell>
          <cell r="B203" t="str">
            <v>3311091410</v>
          </cell>
          <cell r="C203" t="str">
            <v>FLA ESTACIONAMENTOS LTDA</v>
          </cell>
          <cell r="D203" t="str">
            <v>ED.WALL STREET</v>
          </cell>
        </row>
        <row r="204">
          <cell r="A204">
            <v>11406</v>
          </cell>
          <cell r="B204" t="str">
            <v>3311091411</v>
          </cell>
          <cell r="C204" t="str">
            <v>FLA ESTACIONAMENTOS LTDA</v>
          </cell>
          <cell r="D204" t="str">
            <v>PABREU MALL</v>
          </cell>
        </row>
        <row r="205">
          <cell r="A205">
            <v>11407</v>
          </cell>
          <cell r="B205" t="str">
            <v>3311091412</v>
          </cell>
          <cell r="C205" t="str">
            <v>FLA ESTACIONAMENTOS LTDA</v>
          </cell>
          <cell r="D205" t="str">
            <v>CPFL</v>
          </cell>
        </row>
        <row r="206">
          <cell r="A206">
            <v>11408</v>
          </cell>
          <cell r="B206" t="str">
            <v>3311091413</v>
          </cell>
          <cell r="C206" t="str">
            <v>FLA ESTACIONAMENTOS LTDA</v>
          </cell>
          <cell r="D206" t="str">
            <v>IAF</v>
          </cell>
        </row>
        <row r="207">
          <cell r="A207">
            <v>11409</v>
          </cell>
          <cell r="B207" t="str">
            <v>3311091414</v>
          </cell>
          <cell r="C207" t="str">
            <v>FLA ESTACIONAMENTOS LTDA</v>
          </cell>
          <cell r="D207" t="str">
            <v>JB MALL</v>
          </cell>
        </row>
        <row r="208">
          <cell r="A208">
            <v>11501</v>
          </cell>
          <cell r="B208" t="str">
            <v>2000101000</v>
          </cell>
          <cell r="C208" t="str">
            <v>FICUS ESTACIONAMENTOS LTDA</v>
          </cell>
          <cell r="D208" t="str">
            <v>SIMOPARK MATRIZ - FICUS</v>
          </cell>
        </row>
        <row r="209">
          <cell r="A209">
            <v>11502</v>
          </cell>
          <cell r="B209" t="str">
            <v>2000101000</v>
          </cell>
          <cell r="C209" t="str">
            <v>FICUS ESTACIONAMENTOS LTDA</v>
          </cell>
          <cell r="D209" t="str">
            <v>REAL BARÃO/GLICÉRIO</v>
          </cell>
        </row>
        <row r="210">
          <cell r="A210">
            <v>11503</v>
          </cell>
          <cell r="B210">
            <v>3311091506</v>
          </cell>
          <cell r="C210" t="str">
            <v>FICUS ESTACIONAMENTOS LTDA</v>
          </cell>
          <cell r="D210" t="str">
            <v>RBS MATRIZ</v>
          </cell>
        </row>
        <row r="211">
          <cell r="A211">
            <v>11504</v>
          </cell>
          <cell r="B211" t="str">
            <v>2000101000</v>
          </cell>
          <cell r="C211" t="str">
            <v>FICUS ESTACIONAMENTOS LTDA</v>
          </cell>
          <cell r="D211" t="str">
            <v>REAL TAQUARAL</v>
          </cell>
        </row>
        <row r="212">
          <cell r="A212">
            <v>11505</v>
          </cell>
          <cell r="B212" t="str">
            <v>2000101000</v>
          </cell>
          <cell r="C212" t="str">
            <v>FICUS ESTACIONAMENTOS LTDA</v>
          </cell>
          <cell r="D212" t="str">
            <v>GENERAL OSÓRIO</v>
          </cell>
        </row>
        <row r="213">
          <cell r="A213">
            <v>11506</v>
          </cell>
          <cell r="B213">
            <v>3311091507</v>
          </cell>
          <cell r="C213" t="str">
            <v>FICUS ESTACIONAMENTOS LTDA</v>
          </cell>
          <cell r="D213" t="str">
            <v>MMI</v>
          </cell>
        </row>
        <row r="214">
          <cell r="A214">
            <v>11507</v>
          </cell>
          <cell r="B214" t="str">
            <v>2000101000</v>
          </cell>
          <cell r="C214" t="str">
            <v>FICUS ESTACIONAMENTOS LTDA</v>
          </cell>
          <cell r="D214" t="str">
            <v>REAL BRASIL</v>
          </cell>
        </row>
        <row r="215">
          <cell r="A215">
            <v>11508</v>
          </cell>
          <cell r="B215" t="str">
            <v>2000101000</v>
          </cell>
          <cell r="C215" t="str">
            <v>FICUS ESTACIONAMENTOS LTDA</v>
          </cell>
          <cell r="D215" t="str">
            <v>REAL CAMPOS SALES</v>
          </cell>
        </row>
        <row r="216">
          <cell r="A216">
            <v>11509</v>
          </cell>
          <cell r="B216" t="str">
            <v>2000101000</v>
          </cell>
          <cell r="C216" t="str">
            <v>FICUS ESTACIONAMENTOS LTDA</v>
          </cell>
          <cell r="D216" t="str">
            <v>CAMPINAS HALL</v>
          </cell>
        </row>
        <row r="217">
          <cell r="A217">
            <v>11601</v>
          </cell>
          <cell r="C217" t="str">
            <v>VPM ESTACIONAMENTOS LTDA</v>
          </cell>
          <cell r="D217" t="str">
            <v>HOTEL IBIS, MERCURE E BUDGET</v>
          </cell>
        </row>
        <row r="218">
          <cell r="A218">
            <v>11602</v>
          </cell>
          <cell r="B218" t="str">
            <v>3311091606</v>
          </cell>
          <cell r="C218" t="str">
            <v>VPM ESTACIONAMENTOS LTDA</v>
          </cell>
          <cell r="D218" t="str">
            <v>HOTEL TRYP CAMPINAS</v>
          </cell>
        </row>
        <row r="219">
          <cell r="A219">
            <v>11603</v>
          </cell>
          <cell r="B219" t="str">
            <v>3311091605</v>
          </cell>
          <cell r="C219" t="str">
            <v>VPM ESTACIONAMENTOS LTDA</v>
          </cell>
          <cell r="D219" t="str">
            <v>ED. TRADE TOWER</v>
          </cell>
        </row>
        <row r="220">
          <cell r="A220">
            <v>11604</v>
          </cell>
          <cell r="B220" t="str">
            <v>3311091608</v>
          </cell>
          <cell r="C220" t="str">
            <v>VPM ESTACIONAMENTOS LTDA</v>
          </cell>
          <cell r="D220" t="str">
            <v>ED. AMÉRICA CAMBUÍ</v>
          </cell>
        </row>
        <row r="221">
          <cell r="A221">
            <v>11605</v>
          </cell>
          <cell r="B221" t="str">
            <v>3311091607</v>
          </cell>
          <cell r="C221" t="str">
            <v>VPM ESTACIONAMENTOS LTDA</v>
          </cell>
          <cell r="D221" t="str">
            <v>HOTEL MONREALE CLASSIC</v>
          </cell>
        </row>
        <row r="222">
          <cell r="A222">
            <v>11606</v>
          </cell>
          <cell r="B222" t="str">
            <v>3311091604</v>
          </cell>
          <cell r="C222" t="str">
            <v>VPM ESTACIONAMENTOS LTDA</v>
          </cell>
          <cell r="D222" t="str">
            <v>HOTEL VITÓRIA CAMPINAS</v>
          </cell>
        </row>
        <row r="223">
          <cell r="A223">
            <v>11607</v>
          </cell>
          <cell r="B223" t="str">
            <v>3311091601</v>
          </cell>
          <cell r="C223" t="str">
            <v>VPM ESTACIONAMENTOS LTDA</v>
          </cell>
          <cell r="D223" t="str">
            <v>HOTEL COMFORT SUÍTES</v>
          </cell>
        </row>
        <row r="224">
          <cell r="A224">
            <v>11608</v>
          </cell>
          <cell r="B224" t="str">
            <v>3311091609</v>
          </cell>
          <cell r="C224" t="str">
            <v>VPM ESTACIONAMENTOS LTDA</v>
          </cell>
          <cell r="D224" t="str">
            <v>ED. FIRST OFFICES</v>
          </cell>
        </row>
        <row r="225">
          <cell r="A225">
            <v>11701</v>
          </cell>
          <cell r="C225" t="str">
            <v>FIBRA ESTACIONAMENTOS LTDA</v>
          </cell>
          <cell r="D225" t="str">
            <v>GRAMADO MALL</v>
          </cell>
        </row>
        <row r="226">
          <cell r="A226">
            <v>11702</v>
          </cell>
          <cell r="B226" t="str">
            <v>3311091701</v>
          </cell>
          <cell r="C226" t="str">
            <v>FIBRA ESTACIONAMENTOS LTDA</v>
          </cell>
          <cell r="D226" t="str">
            <v>CENTRO MÉDICO</v>
          </cell>
        </row>
        <row r="227">
          <cell r="A227">
            <v>11703</v>
          </cell>
          <cell r="B227" t="str">
            <v>3311091704</v>
          </cell>
          <cell r="C227" t="str">
            <v>FIBRA ESTACIONAMENTOS LTDA</v>
          </cell>
          <cell r="D227" t="str">
            <v>HOSPITAL SAO FRANCISCO - FIBRA</v>
          </cell>
        </row>
        <row r="228">
          <cell r="A228">
            <v>11704</v>
          </cell>
          <cell r="B228" t="str">
            <v>3311091703</v>
          </cell>
          <cell r="C228" t="str">
            <v>FIBRA ESTACIONAMENTOS LTDA</v>
          </cell>
          <cell r="D228" t="str">
            <v>VITÓRIA PAULÍNIA</v>
          </cell>
        </row>
        <row r="229">
          <cell r="A229">
            <v>11705</v>
          </cell>
          <cell r="B229">
            <v>3311091610</v>
          </cell>
          <cell r="C229" t="str">
            <v>FIBRA ESTACIONAMENTOS LTDA</v>
          </cell>
          <cell r="D229" t="str">
            <v>Rua José Paulino, 229</v>
          </cell>
        </row>
        <row r="230">
          <cell r="A230">
            <v>11706</v>
          </cell>
          <cell r="B230">
            <v>3311091501</v>
          </cell>
          <cell r="C230" t="str">
            <v>FIBRA ESTACIONAMENTOS LTDA</v>
          </cell>
          <cell r="D230" t="str">
            <v>Rua Campos Salles, 675</v>
          </cell>
        </row>
        <row r="231">
          <cell r="A231">
            <v>11707</v>
          </cell>
          <cell r="B231">
            <v>3311091502</v>
          </cell>
          <cell r="C231" t="str">
            <v>FIBRA ESTACIONAMENTOS LTDA</v>
          </cell>
          <cell r="D231" t="str">
            <v>Avenida Brasil, 800</v>
          </cell>
        </row>
        <row r="232">
          <cell r="A232">
            <v>11708</v>
          </cell>
          <cell r="B232" t="str">
            <v>3311091503, 3311091504</v>
          </cell>
          <cell r="C232" t="str">
            <v>FIBRA ESTACIONAMENTOS LTDA</v>
          </cell>
          <cell r="D232" t="str">
            <v>Rua Barão de Jaguará, 867</v>
          </cell>
        </row>
        <row r="233">
          <cell r="A233">
            <v>11709</v>
          </cell>
          <cell r="B233">
            <v>3311091505</v>
          </cell>
          <cell r="C233" t="str">
            <v>FIBRA ESTACIONAMENTOS LTDA</v>
          </cell>
          <cell r="D233" t="str">
            <v>Rua Armando de Sales Oliveira, 100</v>
          </cell>
        </row>
        <row r="234">
          <cell r="A234">
            <v>11710</v>
          </cell>
          <cell r="B234">
            <v>3311091506</v>
          </cell>
          <cell r="C234" t="str">
            <v>FIBRA ESTACIONAMENTOS LTDA</v>
          </cell>
          <cell r="D234" t="str">
            <v>Rua Barão de Jaguará, 1.171</v>
          </cell>
        </row>
        <row r="235">
          <cell r="A235">
            <v>11711</v>
          </cell>
          <cell r="B235">
            <v>3311091507</v>
          </cell>
          <cell r="C235" t="str">
            <v>FIBRA ESTACIONAMENTOS LTDA</v>
          </cell>
          <cell r="D235" t="str">
            <v>Rua Barão de Jaguará, 1.363</v>
          </cell>
        </row>
        <row r="236">
          <cell r="A236">
            <v>11712</v>
          </cell>
          <cell r="B236">
            <v>3311091508</v>
          </cell>
          <cell r="C236" t="str">
            <v>FIBRA ESTACIONAMENTOS LTDA</v>
          </cell>
          <cell r="D236" t="str">
            <v>Rua General Osorio, 829</v>
          </cell>
        </row>
        <row r="237">
          <cell r="A237">
            <v>11801</v>
          </cell>
          <cell r="B237">
            <v>3305901902</v>
          </cell>
          <cell r="C237" t="str">
            <v>CONSORCIO CRYSTAL PLAZA SHOPPING</v>
          </cell>
          <cell r="D237"/>
        </row>
        <row r="238">
          <cell r="A238">
            <v>20101</v>
          </cell>
          <cell r="C238" t="str">
            <v>EXP</v>
          </cell>
          <cell r="D238" t="str">
            <v>MATRIZ EXPLORA</v>
          </cell>
        </row>
        <row r="239">
          <cell r="A239">
            <v>20102</v>
          </cell>
          <cell r="B239" t="str">
            <v>3300601000</v>
          </cell>
          <cell r="C239" t="str">
            <v>EXP</v>
          </cell>
          <cell r="D239" t="str">
            <v>PARKING ATIBAIA</v>
          </cell>
        </row>
        <row r="240">
          <cell r="A240">
            <v>20103</v>
          </cell>
          <cell r="B240" t="str">
            <v>3300401000</v>
          </cell>
          <cell r="C240" t="str">
            <v>EXP</v>
          </cell>
          <cell r="D240" t="str">
            <v>PARKING CATALAO</v>
          </cell>
        </row>
        <row r="241">
          <cell r="A241">
            <v>20104</v>
          </cell>
          <cell r="B241" t="str">
            <v>3300901000</v>
          </cell>
          <cell r="C241" t="str">
            <v>EXP</v>
          </cell>
          <cell r="D241" t="str">
            <v>PARKING DOURADOS</v>
          </cell>
        </row>
        <row r="242">
          <cell r="A242">
            <v>20105</v>
          </cell>
          <cell r="B242" t="str">
            <v>3301001000</v>
          </cell>
          <cell r="C242" t="str">
            <v>EXP</v>
          </cell>
          <cell r="D242" t="str">
            <v>PARKING POCOS DE CALDAS</v>
          </cell>
        </row>
        <row r="243">
          <cell r="A243">
            <v>20106</v>
          </cell>
          <cell r="B243" t="str">
            <v>3300501000</v>
          </cell>
          <cell r="C243" t="str">
            <v>EXP</v>
          </cell>
          <cell r="D243" t="str">
            <v>PARKING RIO VERDE</v>
          </cell>
        </row>
        <row r="244">
          <cell r="A244">
            <v>20107</v>
          </cell>
          <cell r="B244" t="str">
            <v>3300801000</v>
          </cell>
          <cell r="C244" t="str">
            <v>EXP</v>
          </cell>
          <cell r="D244" t="str">
            <v>PARKING SAO VICENTE</v>
          </cell>
        </row>
        <row r="245">
          <cell r="A245">
            <v>20108</v>
          </cell>
          <cell r="B245" t="str">
            <v>3301011000</v>
          </cell>
          <cell r="C245" t="str">
            <v>EXP</v>
          </cell>
          <cell r="D245" t="str">
            <v>PARKING ARAGUARI</v>
          </cell>
        </row>
        <row r="246">
          <cell r="A246">
            <v>20109</v>
          </cell>
          <cell r="B246" t="str">
            <v>3300101000</v>
          </cell>
          <cell r="C246" t="str">
            <v>EXP</v>
          </cell>
          <cell r="D246" t="str">
            <v>PARKING ANDRADINA</v>
          </cell>
        </row>
        <row r="247">
          <cell r="A247">
            <v>20110</v>
          </cell>
          <cell r="B247" t="str">
            <v>3300301000</v>
          </cell>
          <cell r="C247" t="str">
            <v>EXP</v>
          </cell>
          <cell r="D247" t="str">
            <v>PARKING APUCARANA</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1.Settings"/>
      <sheetName val="EmployeeDetail"/>
      <sheetName val="CC.Inputs"/>
      <sheetName val="CC.Report"/>
      <sheetName val="ScratchPad"/>
      <sheetName val="DlgUnprot"/>
      <sheetName val="SendCode"/>
      <sheetName val="XVals"/>
      <sheetName val="0.4 Protection"/>
      <sheetName val="TM1_Settings"/>
      <sheetName val="CC_Inputs"/>
      <sheetName val="CC_Report"/>
      <sheetName val="0_4_Protection"/>
    </sheetNames>
    <sheetDataSet>
      <sheetData sheetId="0" refreshError="1">
        <row r="17">
          <cell r="J17" t="e">
            <v>#NAME?</v>
          </cell>
        </row>
      </sheetData>
      <sheetData sheetId="1"/>
      <sheetData sheetId="2"/>
      <sheetData sheetId="3"/>
      <sheetData sheetId="4"/>
      <sheetData sheetId="5"/>
      <sheetData sheetId="6" refreshError="1"/>
      <sheetData sheetId="7" refreshError="1"/>
      <sheetData sheetId="8" refreshError="1"/>
      <sheetData sheetId="9">
        <row r="17">
          <cell r="J17" t="e">
            <v>#NAME?</v>
          </cell>
        </row>
      </sheetData>
      <sheetData sheetId="10"/>
      <sheetData sheetId="11"/>
      <sheetData sheetId="1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ics"/>
      <sheetName val="DetailedAss 2002"/>
      <sheetName val="HC 01-02"/>
      <sheetName val="Gráf1"/>
      <sheetName val="Forecast R$"/>
      <sheetName val="Forecast US$"/>
      <sheetName val="Forecast US$BER"/>
      <sheetName val="Forecast NII"/>
      <sheetName val="ADJUSTMENTS"/>
      <sheetName val="Summary R$"/>
      <sheetName val="Summary US$"/>
      <sheetName val="Comp Detalhado"/>
      <sheetName val="Comp Detalhado 4Q"/>
      <sheetName val="Summary Comp R$"/>
      <sheetName val="Summary Comp US$"/>
      <sheetName val="Comissões"/>
      <sheetName val="Overtime Expenses"/>
      <sheetName val="Sum Rev"/>
      <sheetName val="Access"/>
      <sheetName val="Subs"/>
      <sheetName val="MOU rev"/>
      <sheetName val="MOU cost"/>
      <sheetName val="Toll"/>
      <sheetName val="Usage"/>
      <sheetName val="CPP"/>
      <sheetName val="Tower Sale"/>
      <sheetName val="Lojas Nextel"/>
      <sheetName val="Interconnect"/>
      <sheetName val="Subsidio"/>
      <sheetName val="Budget R$"/>
      <sheetName val="Budget US$"/>
      <sheetName val="Versão A R$"/>
      <sheetName val="Versão A US$"/>
      <sheetName val="TM1.Settings"/>
      <sheetName val="Summary"/>
      <sheetName val="TM1 PESOS-03"/>
      <sheetName val="SispecPSAP"/>
    </sheetNames>
    <sheetDataSet>
      <sheetData sheetId="0"/>
      <sheetData sheetId="1"/>
      <sheetData sheetId="2"/>
      <sheetData sheetId="3" refreshError="1"/>
      <sheetData sheetId="4"/>
      <sheetData sheetId="5" refreshError="1">
        <row r="774">
          <cell r="K774">
            <v>1.95</v>
          </cell>
          <cell r="L774">
            <v>2.0099999999999998</v>
          </cell>
          <cell r="M774">
            <v>2.11</v>
          </cell>
          <cell r="N774">
            <v>2.1800000000000002</v>
          </cell>
          <cell r="O774">
            <v>2.29</v>
          </cell>
          <cell r="P774">
            <v>2.37</v>
          </cell>
          <cell r="Q774">
            <v>2.46</v>
          </cell>
          <cell r="R774">
            <v>2.5099999999999998</v>
          </cell>
          <cell r="S774">
            <v>2.66</v>
          </cell>
          <cell r="T774">
            <v>2.74</v>
          </cell>
          <cell r="U774">
            <v>2.5499999999999998</v>
          </cell>
          <cell r="V774">
            <v>2.37</v>
          </cell>
          <cell r="W774">
            <v>2.8</v>
          </cell>
          <cell r="X774">
            <v>2.8</v>
          </cell>
          <cell r="Y774">
            <v>2.8</v>
          </cell>
          <cell r="Z774">
            <v>2.8</v>
          </cell>
          <cell r="AA774">
            <v>2.8</v>
          </cell>
          <cell r="AB774">
            <v>2.8</v>
          </cell>
          <cell r="AC774">
            <v>2.8</v>
          </cell>
          <cell r="AD774">
            <v>2.8</v>
          </cell>
          <cell r="AE774">
            <v>2.8</v>
          </cell>
          <cell r="AF774">
            <v>2.8</v>
          </cell>
          <cell r="AG774">
            <v>2.8</v>
          </cell>
          <cell r="AH774">
            <v>2.8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ummary (2)"/>
      <sheetName val="Plan Data bruto"/>
      <sheetName val="Plan desact"/>
      <sheetName val="Copa1"/>
      <sheetName val="Julho2"/>
      <sheetName val="Basic2"/>
      <sheetName val="outros"/>
      <sheetName val="v.parc"/>
      <sheetName val="Other Accrued"/>
      <sheetName val="TM1.Settings"/>
      <sheetName val="Sys.Cap"/>
      <sheetName val="Personnel"/>
    </sheetNames>
    <sheetDataSet>
      <sheetData sheetId="0"/>
      <sheetData sheetId="1"/>
      <sheetData sheetId="2"/>
      <sheetData sheetId="3"/>
      <sheetData sheetId="4" refreshError="1">
        <row r="7">
          <cell r="I7">
            <v>35</v>
          </cell>
        </row>
      </sheetData>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Resumo"/>
      <sheetName val="CDI"/>
      <sheetName val="Relat."/>
      <sheetName val="BCP1"/>
      <sheetName val="BCP2"/>
      <sheetName val="BCP3"/>
      <sheetName val="BCP4"/>
      <sheetName val="BCP5"/>
      <sheetName val="BCP6"/>
      <sheetName val="BCP7"/>
      <sheetName val="BCP8"/>
      <sheetName val="BCP9"/>
      <sheetName val="BCP10"/>
      <sheetName val="BCP11"/>
      <sheetName val="||"/>
      <sheetName val="BSE1"/>
      <sheetName val="BSE2"/>
      <sheetName val="BSE3"/>
      <sheetName val="BSE4"/>
      <sheetName val="BSE5"/>
      <sheetName val="Título9"/>
      <sheetName val="LTN"/>
      <sheetName val="Movimentação Jun-00"/>
      <sheetName val="Teste Adições Jun-00"/>
      <sheetName val="Cálc. Global Deprec. Jun-00"/>
      <sheetName val="X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Actual Detalhe"/>
      <sheetName val="Scorcard"/>
      <sheetName val="Total por Bancos-Graf"/>
      <sheetName val="Total Por Bco-Resumo"/>
      <sheetName val="SuporteAnalise"/>
      <sheetName val="Resumo Área por ano"/>
      <sheetName val="KPI Pend (2)"/>
      <sheetName val="KPI Pend"/>
      <sheetName val="Pend Back Office"/>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06F2A-B694-42BE-9FB0-98DF034C3B6B}">
  <dimension ref="A1:B42"/>
  <sheetViews>
    <sheetView workbookViewId="0"/>
  </sheetViews>
  <sheetFormatPr defaultRowHeight="14" x14ac:dyDescent="0.3"/>
  <cols>
    <col min="1" max="1" width="73.19921875" style="1" bestFit="1" customWidth="1"/>
    <col min="2" max="2" width="46.59765625" style="1" bestFit="1" customWidth="1"/>
    <col min="3" max="16384" width="8.796875" style="1"/>
  </cols>
  <sheetData>
    <row r="1" spans="1:2" x14ac:dyDescent="0.3">
      <c r="A1" s="1" t="s">
        <v>0</v>
      </c>
      <c r="B1" s="1" t="s">
        <v>1</v>
      </c>
    </row>
    <row r="2" spans="1:2" x14ac:dyDescent="0.3">
      <c r="A2" s="1" t="s">
        <v>2</v>
      </c>
      <c r="B2" s="1" t="s">
        <v>1</v>
      </c>
    </row>
    <row r="3" spans="1:2" x14ac:dyDescent="0.3">
      <c r="A3" s="1" t="s">
        <v>3</v>
      </c>
      <c r="B3" s="1" t="s">
        <v>4</v>
      </c>
    </row>
    <row r="4" spans="1:2" x14ac:dyDescent="0.3">
      <c r="A4" s="1" t="s">
        <v>5</v>
      </c>
      <c r="B4" s="1" t="s">
        <v>6</v>
      </c>
    </row>
    <row r="5" spans="1:2" x14ac:dyDescent="0.3">
      <c r="A5" s="1" t="s">
        <v>7</v>
      </c>
      <c r="B5" s="1" t="s">
        <v>8</v>
      </c>
    </row>
    <row r="6" spans="1:2" x14ac:dyDescent="0.3">
      <c r="A6" s="1" t="s">
        <v>9</v>
      </c>
      <c r="B6" s="1" t="s">
        <v>10</v>
      </c>
    </row>
    <row r="7" spans="1:2" x14ac:dyDescent="0.3">
      <c r="A7" s="1" t="s">
        <v>11</v>
      </c>
      <c r="B7" s="1" t="s">
        <v>12</v>
      </c>
    </row>
    <row r="8" spans="1:2" x14ac:dyDescent="0.3">
      <c r="A8" s="1" t="s">
        <v>13</v>
      </c>
      <c r="B8" s="1" t="s">
        <v>14</v>
      </c>
    </row>
    <row r="9" spans="1:2" x14ac:dyDescent="0.3">
      <c r="A9" s="1" t="s">
        <v>15</v>
      </c>
      <c r="B9" s="1" t="s">
        <v>16</v>
      </c>
    </row>
    <row r="10" spans="1:2" x14ac:dyDescent="0.3">
      <c r="A10" s="1" t="s">
        <v>17</v>
      </c>
      <c r="B10" s="1" t="s">
        <v>16</v>
      </c>
    </row>
    <row r="11" spans="1:2" x14ac:dyDescent="0.3">
      <c r="A11" s="1" t="s">
        <v>18</v>
      </c>
      <c r="B11" s="1" t="s">
        <v>19</v>
      </c>
    </row>
    <row r="12" spans="1:2" x14ac:dyDescent="0.3">
      <c r="A12" s="1" t="s">
        <v>20</v>
      </c>
      <c r="B12" s="1" t="s">
        <v>21</v>
      </c>
    </row>
    <row r="13" spans="1:2" x14ac:dyDescent="0.3">
      <c r="A13" s="1" t="s">
        <v>22</v>
      </c>
      <c r="B13" s="1" t="s">
        <v>12</v>
      </c>
    </row>
    <row r="14" spans="1:2" x14ac:dyDescent="0.3">
      <c r="A14" s="1" t="s">
        <v>23</v>
      </c>
      <c r="B14" s="1" t="s">
        <v>24</v>
      </c>
    </row>
    <row r="15" spans="1:2" x14ac:dyDescent="0.3">
      <c r="A15" s="1" t="s">
        <v>25</v>
      </c>
      <c r="B15" s="1" t="s">
        <v>16</v>
      </c>
    </row>
    <row r="16" spans="1:2" x14ac:dyDescent="0.3">
      <c r="A16" s="1" t="s">
        <v>26</v>
      </c>
      <c r="B16" s="1" t="s">
        <v>12</v>
      </c>
    </row>
    <row r="17" spans="1:2" x14ac:dyDescent="0.3">
      <c r="A17" s="1" t="s">
        <v>27</v>
      </c>
      <c r="B17" s="1" t="s">
        <v>24</v>
      </c>
    </row>
    <row r="18" spans="1:2" x14ac:dyDescent="0.3">
      <c r="A18" s="1" t="s">
        <v>28</v>
      </c>
      <c r="B18" s="1" t="s">
        <v>16</v>
      </c>
    </row>
    <row r="19" spans="1:2" x14ac:dyDescent="0.3">
      <c r="A19" s="1" t="s">
        <v>29</v>
      </c>
      <c r="B19" s="1" t="s">
        <v>12</v>
      </c>
    </row>
    <row r="20" spans="1:2" x14ac:dyDescent="0.3">
      <c r="A20" s="1" t="s">
        <v>30</v>
      </c>
      <c r="B20" s="1" t="s">
        <v>24</v>
      </c>
    </row>
    <row r="21" spans="1:2" x14ac:dyDescent="0.3">
      <c r="A21" s="1" t="s">
        <v>31</v>
      </c>
      <c r="B21" s="1" t="s">
        <v>16</v>
      </c>
    </row>
    <row r="22" spans="1:2" x14ac:dyDescent="0.3">
      <c r="A22" s="1" t="s">
        <v>32</v>
      </c>
      <c r="B22" s="1">
        <v>1</v>
      </c>
    </row>
    <row r="23" spans="1:2" x14ac:dyDescent="0.3">
      <c r="A23" s="1" t="s">
        <v>33</v>
      </c>
      <c r="B23" s="1">
        <v>999999</v>
      </c>
    </row>
    <row r="24" spans="1:2" x14ac:dyDescent="0.3">
      <c r="A24" s="1" t="s">
        <v>34</v>
      </c>
      <c r="B24" s="1">
        <v>1</v>
      </c>
    </row>
    <row r="25" spans="1:2" x14ac:dyDescent="0.3">
      <c r="A25" s="1" t="s">
        <v>35</v>
      </c>
      <c r="B25" s="1" t="s">
        <v>19</v>
      </c>
    </row>
    <row r="26" spans="1:2" x14ac:dyDescent="0.3">
      <c r="A26" s="1" t="s">
        <v>36</v>
      </c>
      <c r="B26" s="1" t="s">
        <v>19</v>
      </c>
    </row>
    <row r="27" spans="1:2" x14ac:dyDescent="0.3">
      <c r="A27" s="1" t="s">
        <v>37</v>
      </c>
      <c r="B27" s="1" t="s">
        <v>19</v>
      </c>
    </row>
    <row r="28" spans="1:2" x14ac:dyDescent="0.3">
      <c r="A28" s="1" t="s">
        <v>38</v>
      </c>
      <c r="B28" s="1" t="s">
        <v>21</v>
      </c>
    </row>
    <row r="29" spans="1:2" x14ac:dyDescent="0.3">
      <c r="A29" s="1" t="s">
        <v>39</v>
      </c>
      <c r="B29" s="1" t="s">
        <v>40</v>
      </c>
    </row>
    <row r="30" spans="1:2" x14ac:dyDescent="0.3">
      <c r="A30" s="1" t="s">
        <v>41</v>
      </c>
      <c r="B30" s="1" t="s">
        <v>21</v>
      </c>
    </row>
    <row r="31" spans="1:2" x14ac:dyDescent="0.3">
      <c r="A31" s="1" t="s">
        <v>42</v>
      </c>
      <c r="B31" s="1" t="s">
        <v>16</v>
      </c>
    </row>
    <row r="32" spans="1:2" x14ac:dyDescent="0.3">
      <c r="A32" s="1" t="s">
        <v>43</v>
      </c>
      <c r="B32" s="1">
        <v>90</v>
      </c>
    </row>
    <row r="33" spans="1:2" x14ac:dyDescent="0.3">
      <c r="A33" s="1" t="s">
        <v>44</v>
      </c>
      <c r="B33" s="1" t="s">
        <v>45</v>
      </c>
    </row>
    <row r="34" spans="1:2" x14ac:dyDescent="0.3">
      <c r="A34" s="1" t="s">
        <v>46</v>
      </c>
      <c r="B34" s="1" t="s">
        <v>8</v>
      </c>
    </row>
    <row r="35" spans="1:2" x14ac:dyDescent="0.3">
      <c r="A35" s="1" t="s">
        <v>47</v>
      </c>
      <c r="B35" s="1" t="s">
        <v>21</v>
      </c>
    </row>
    <row r="36" spans="1:2" x14ac:dyDescent="0.3">
      <c r="A36" s="1" t="s">
        <v>48</v>
      </c>
      <c r="B36" s="1" t="s">
        <v>21</v>
      </c>
    </row>
    <row r="37" spans="1:2" x14ac:dyDescent="0.3">
      <c r="A37" s="1" t="s">
        <v>49</v>
      </c>
      <c r="B37" s="1" t="s">
        <v>21</v>
      </c>
    </row>
    <row r="38" spans="1:2" x14ac:dyDescent="0.3">
      <c r="A38" s="1" t="s">
        <v>50</v>
      </c>
      <c r="B38" s="1" t="s">
        <v>51</v>
      </c>
    </row>
    <row r="39" spans="1:2" x14ac:dyDescent="0.3">
      <c r="A39" s="1" t="s">
        <v>52</v>
      </c>
      <c r="B39" s="1" t="s">
        <v>12</v>
      </c>
    </row>
    <row r="40" spans="1:2" x14ac:dyDescent="0.3">
      <c r="A40" s="1" t="s">
        <v>53</v>
      </c>
      <c r="B40" s="1" t="s">
        <v>12</v>
      </c>
    </row>
    <row r="41" spans="1:2" x14ac:dyDescent="0.3">
      <c r="A41" s="1" t="s">
        <v>54</v>
      </c>
      <c r="B41" s="1" t="s">
        <v>12</v>
      </c>
    </row>
    <row r="42" spans="1:2" x14ac:dyDescent="0.3">
      <c r="A42" s="1" t="s">
        <v>55</v>
      </c>
      <c r="B42" s="1" t="s">
        <v>12</v>
      </c>
    </row>
  </sheetData>
  <pageMargins left="0.78740157499999996" right="0.78740157499999996" top="0.984251969" bottom="0.984251969" header="0.4921259845" footer="0.492125984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F5AE-3EE2-419D-8C04-C9C6AEFB5F3A}">
  <sheetPr filterMode="1"/>
  <dimension ref="B2:P127"/>
  <sheetViews>
    <sheetView showGridLines="0" tabSelected="1" topLeftCell="I1" zoomScale="90" zoomScaleNormal="90" workbookViewId="0">
      <pane ySplit="6" topLeftCell="A33" activePane="bottomLeft" state="frozen"/>
      <selection pane="bottomLeft" activeCell="K36" sqref="K36"/>
    </sheetView>
  </sheetViews>
  <sheetFormatPr defaultRowHeight="13" x14ac:dyDescent="0.3"/>
  <cols>
    <col min="1" max="1" width="1" style="2" customWidth="1"/>
    <col min="2" max="2" width="12.69921875" style="2" bestFit="1" customWidth="1"/>
    <col min="3" max="3" width="11.19921875" style="14" bestFit="1" customWidth="1"/>
    <col min="4" max="4" width="28.8984375" style="2" bestFit="1" customWidth="1"/>
    <col min="5" max="5" width="11.19921875" style="10" bestFit="1" customWidth="1"/>
    <col min="6" max="6" width="11.296875" style="2" customWidth="1"/>
    <col min="7" max="7" width="41.69921875" style="2" bestFit="1" customWidth="1"/>
    <col min="8" max="8" width="15.69921875" style="2" bestFit="1" customWidth="1"/>
    <col min="9" max="9" width="8.5" style="2" bestFit="1" customWidth="1"/>
    <col min="10" max="10" width="13.796875" style="2" bestFit="1" customWidth="1"/>
    <col min="11" max="12" width="13.796875" style="187" customWidth="1"/>
    <col min="13" max="13" width="12.69921875" style="3" bestFit="1" customWidth="1"/>
    <col min="14" max="14" width="21.09765625" style="2" bestFit="1" customWidth="1"/>
    <col min="15" max="15" width="11.09765625" style="2" bestFit="1" customWidth="1"/>
    <col min="16" max="16" width="11.296875" style="2" bestFit="1" customWidth="1"/>
    <col min="17" max="16384" width="8.796875" style="2"/>
  </cols>
  <sheetData>
    <row r="2" spans="2:14" x14ac:dyDescent="0.3">
      <c r="L2" s="192">
        <v>225387.67</v>
      </c>
    </row>
    <row r="4" spans="2:14" x14ac:dyDescent="0.3">
      <c r="N4" s="13"/>
    </row>
    <row r="5" spans="2:14" x14ac:dyDescent="0.3">
      <c r="M5" s="3">
        <f>SUBTOTAL(9,M7:M120)</f>
        <v>-329237.80000000005</v>
      </c>
    </row>
    <row r="6" spans="2:14" s="7" customFormat="1" ht="13.5" thickBot="1" x14ac:dyDescent="0.3">
      <c r="B6" s="7" t="s">
        <v>89</v>
      </c>
      <c r="C6" s="15" t="s">
        <v>45</v>
      </c>
      <c r="D6" s="7" t="s">
        <v>87</v>
      </c>
      <c r="E6" s="11" t="s">
        <v>90</v>
      </c>
      <c r="F6" s="8" t="s">
        <v>56</v>
      </c>
      <c r="G6" s="8" t="s">
        <v>57</v>
      </c>
      <c r="H6" s="8" t="s">
        <v>58</v>
      </c>
      <c r="I6" s="8" t="s">
        <v>88</v>
      </c>
      <c r="J6" s="8" t="s">
        <v>59</v>
      </c>
      <c r="K6" s="188" t="s">
        <v>992</v>
      </c>
      <c r="L6" s="188" t="s">
        <v>993</v>
      </c>
      <c r="M6" s="9" t="s">
        <v>85</v>
      </c>
      <c r="N6" s="8" t="s">
        <v>86</v>
      </c>
    </row>
    <row r="7" spans="2:14" hidden="1" x14ac:dyDescent="0.3">
      <c r="B7" s="13" t="s">
        <v>91</v>
      </c>
      <c r="C7" s="14" t="str">
        <f>MID(D7,1,12)</f>
        <v>2.1.1.05.000</v>
      </c>
      <c r="D7" s="2" t="s">
        <v>898</v>
      </c>
      <c r="E7" s="12">
        <v>44316</v>
      </c>
      <c r="F7" s="4" t="s">
        <v>64</v>
      </c>
      <c r="G7" s="5" t="s">
        <v>900</v>
      </c>
      <c r="H7" s="4" t="s">
        <v>695</v>
      </c>
      <c r="I7" s="4" t="s">
        <v>975</v>
      </c>
      <c r="J7" s="6" t="s">
        <v>12</v>
      </c>
      <c r="K7" s="189">
        <v>0</v>
      </c>
      <c r="L7" s="189">
        <v>40500</v>
      </c>
      <c r="M7" s="193">
        <v>-40500</v>
      </c>
      <c r="N7" s="2" t="s">
        <v>1000</v>
      </c>
    </row>
    <row r="8" spans="2:14" hidden="1" x14ac:dyDescent="0.3">
      <c r="B8" s="13" t="s">
        <v>91</v>
      </c>
      <c r="C8" s="14" t="str">
        <f>MID(D8,1,12)</f>
        <v>2.1.1.05.000</v>
      </c>
      <c r="D8" s="2" t="s">
        <v>898</v>
      </c>
      <c r="E8" s="12">
        <v>44347</v>
      </c>
      <c r="F8" s="4" t="s">
        <v>901</v>
      </c>
      <c r="G8" s="5" t="s">
        <v>902</v>
      </c>
      <c r="H8" s="4" t="s">
        <v>695</v>
      </c>
      <c r="I8" s="4" t="s">
        <v>975</v>
      </c>
      <c r="J8" s="6" t="s">
        <v>12</v>
      </c>
      <c r="K8" s="189">
        <v>0</v>
      </c>
      <c r="L8" s="189">
        <v>27000</v>
      </c>
      <c r="M8" s="193">
        <v>-27000</v>
      </c>
      <c r="N8" s="2" t="s">
        <v>1000</v>
      </c>
    </row>
    <row r="9" spans="2:14" hidden="1" x14ac:dyDescent="0.3">
      <c r="B9" s="13" t="s">
        <v>91</v>
      </c>
      <c r="C9" s="14" t="str">
        <f>MID(D9,1,12)</f>
        <v>2.1.1.05.000</v>
      </c>
      <c r="D9" s="2" t="s">
        <v>898</v>
      </c>
      <c r="E9" s="12">
        <v>44377</v>
      </c>
      <c r="F9" s="4" t="s">
        <v>903</v>
      </c>
      <c r="G9" s="5" t="s">
        <v>904</v>
      </c>
      <c r="H9" s="4" t="s">
        <v>695</v>
      </c>
      <c r="I9" s="4" t="s">
        <v>975</v>
      </c>
      <c r="J9" s="6" t="s">
        <v>12</v>
      </c>
      <c r="K9" s="189">
        <v>0</v>
      </c>
      <c r="L9" s="189">
        <v>27000</v>
      </c>
      <c r="M9" s="193">
        <v>-27000</v>
      </c>
      <c r="N9" s="2" t="s">
        <v>1000</v>
      </c>
    </row>
    <row r="10" spans="2:14" hidden="1" x14ac:dyDescent="0.3">
      <c r="B10" s="13" t="s">
        <v>91</v>
      </c>
      <c r="C10" s="14" t="str">
        <f>MID(D10,1,12)</f>
        <v>2.1.1.05.000</v>
      </c>
      <c r="D10" s="2" t="s">
        <v>898</v>
      </c>
      <c r="E10" s="12">
        <v>44407</v>
      </c>
      <c r="F10" s="4" t="s">
        <v>905</v>
      </c>
      <c r="G10" s="5" t="s">
        <v>906</v>
      </c>
      <c r="H10" s="4" t="s">
        <v>695</v>
      </c>
      <c r="I10" s="4" t="s">
        <v>975</v>
      </c>
      <c r="J10" s="6" t="s">
        <v>12</v>
      </c>
      <c r="K10" s="189">
        <v>0</v>
      </c>
      <c r="L10" s="189">
        <v>27000</v>
      </c>
      <c r="M10" s="193">
        <v>-27000</v>
      </c>
      <c r="N10" s="2" t="s">
        <v>1000</v>
      </c>
    </row>
    <row r="11" spans="2:14" hidden="1" x14ac:dyDescent="0.3">
      <c r="B11" s="13" t="s">
        <v>91</v>
      </c>
      <c r="C11" s="14" t="str">
        <f>MID(D11,1,12)</f>
        <v>2.1.1.05.000</v>
      </c>
      <c r="D11" s="2" t="s">
        <v>898</v>
      </c>
      <c r="E11" s="12">
        <v>44439</v>
      </c>
      <c r="F11" s="4" t="s">
        <v>69</v>
      </c>
      <c r="G11" s="5" t="s">
        <v>906</v>
      </c>
      <c r="H11" s="4" t="s">
        <v>695</v>
      </c>
      <c r="I11" s="4" t="s">
        <v>975</v>
      </c>
      <c r="J11" s="6" t="s">
        <v>12</v>
      </c>
      <c r="K11" s="189">
        <v>0</v>
      </c>
      <c r="L11" s="189">
        <v>27000</v>
      </c>
      <c r="M11" s="193">
        <v>-27000</v>
      </c>
      <c r="N11" s="2" t="s">
        <v>1000</v>
      </c>
    </row>
    <row r="12" spans="2:14" hidden="1" x14ac:dyDescent="0.3">
      <c r="B12" s="13" t="s">
        <v>91</v>
      </c>
      <c r="C12" s="14" t="str">
        <f>MID(D12,1,12)</f>
        <v>2.1.1.05.000</v>
      </c>
      <c r="D12" s="2" t="s">
        <v>898</v>
      </c>
      <c r="E12" s="12">
        <v>44467</v>
      </c>
      <c r="F12" s="4" t="s">
        <v>79</v>
      </c>
      <c r="G12" s="5" t="s">
        <v>906</v>
      </c>
      <c r="H12" s="4" t="s">
        <v>695</v>
      </c>
      <c r="I12" s="4" t="s">
        <v>975</v>
      </c>
      <c r="J12" s="6" t="s">
        <v>12</v>
      </c>
      <c r="K12" s="189">
        <v>0</v>
      </c>
      <c r="L12" s="189">
        <v>27000</v>
      </c>
      <c r="M12" s="193">
        <v>-27000</v>
      </c>
      <c r="N12" s="2" t="s">
        <v>1000</v>
      </c>
    </row>
    <row r="13" spans="2:14" hidden="1" x14ac:dyDescent="0.3">
      <c r="B13" s="13" t="s">
        <v>91</v>
      </c>
      <c r="C13" s="14" t="str">
        <f>MID(D13,1,12)</f>
        <v>2.1.1.05.000</v>
      </c>
      <c r="D13" s="2" t="s">
        <v>898</v>
      </c>
      <c r="E13" s="12">
        <v>44498</v>
      </c>
      <c r="F13" s="4" t="s">
        <v>907</v>
      </c>
      <c r="G13" s="5" t="s">
        <v>906</v>
      </c>
      <c r="H13" s="4" t="s">
        <v>695</v>
      </c>
      <c r="I13" s="4" t="s">
        <v>975</v>
      </c>
      <c r="J13" s="6" t="s">
        <v>12</v>
      </c>
      <c r="K13" s="189">
        <v>0</v>
      </c>
      <c r="L13" s="189">
        <v>27000</v>
      </c>
      <c r="M13" s="193">
        <v>-27000</v>
      </c>
      <c r="N13" s="2" t="s">
        <v>1000</v>
      </c>
    </row>
    <row r="14" spans="2:14" hidden="1" x14ac:dyDescent="0.3">
      <c r="B14" s="13" t="s">
        <v>91</v>
      </c>
      <c r="C14" s="14" t="str">
        <f>MID(D14,1,12)</f>
        <v>2.1.1.05.000</v>
      </c>
      <c r="D14" s="2" t="s">
        <v>898</v>
      </c>
      <c r="E14" s="12">
        <v>44529</v>
      </c>
      <c r="F14" s="4" t="s">
        <v>907</v>
      </c>
      <c r="G14" s="5" t="s">
        <v>906</v>
      </c>
      <c r="H14" s="4" t="s">
        <v>695</v>
      </c>
      <c r="I14" s="4" t="s">
        <v>975</v>
      </c>
      <c r="J14" s="6" t="s">
        <v>12</v>
      </c>
      <c r="K14" s="189">
        <v>0</v>
      </c>
      <c r="L14" s="189">
        <v>27000</v>
      </c>
      <c r="M14" s="193">
        <v>-27000</v>
      </c>
      <c r="N14" s="2" t="s">
        <v>1000</v>
      </c>
    </row>
    <row r="15" spans="2:14" hidden="1" x14ac:dyDescent="0.3">
      <c r="B15" s="13" t="s">
        <v>91</v>
      </c>
      <c r="C15" s="14" t="str">
        <f>MID(D15,1,12)</f>
        <v>2.1.1.05.000</v>
      </c>
      <c r="D15" s="2" t="s">
        <v>898</v>
      </c>
      <c r="E15" s="12">
        <v>44560</v>
      </c>
      <c r="F15" s="4" t="s">
        <v>907</v>
      </c>
      <c r="G15" s="5" t="s">
        <v>906</v>
      </c>
      <c r="H15" s="4" t="s">
        <v>695</v>
      </c>
      <c r="I15" s="4" t="s">
        <v>975</v>
      </c>
      <c r="J15" s="6" t="s">
        <v>12</v>
      </c>
      <c r="K15" s="189">
        <v>0</v>
      </c>
      <c r="L15" s="189">
        <v>27000</v>
      </c>
      <c r="M15" s="193">
        <v>-27000</v>
      </c>
      <c r="N15" s="2" t="s">
        <v>1000</v>
      </c>
    </row>
    <row r="16" spans="2:14" hidden="1" x14ac:dyDescent="0.3">
      <c r="B16" s="13" t="s">
        <v>91</v>
      </c>
      <c r="C16" s="14" t="s">
        <v>484</v>
      </c>
      <c r="D16" s="2" t="s">
        <v>898</v>
      </c>
      <c r="E16" s="12">
        <v>44227</v>
      </c>
      <c r="F16" s="4" t="s">
        <v>66</v>
      </c>
      <c r="G16" s="5" t="s">
        <v>899</v>
      </c>
      <c r="H16" s="4" t="s">
        <v>695</v>
      </c>
      <c r="I16" s="4" t="s">
        <v>975</v>
      </c>
      <c r="J16" s="6" t="s">
        <v>12</v>
      </c>
      <c r="K16" s="189">
        <v>0</v>
      </c>
      <c r="L16" s="189">
        <v>22500</v>
      </c>
      <c r="M16" s="193">
        <v>-22500</v>
      </c>
      <c r="N16" s="2" t="s">
        <v>1000</v>
      </c>
    </row>
    <row r="17" spans="2:14" hidden="1" x14ac:dyDescent="0.3">
      <c r="B17" s="13" t="s">
        <v>91</v>
      </c>
      <c r="C17" s="14" t="str">
        <f>MID(D17,1,12)</f>
        <v>2.1.1.05.000</v>
      </c>
      <c r="D17" s="2" t="s">
        <v>898</v>
      </c>
      <c r="E17" s="12">
        <v>44255</v>
      </c>
      <c r="F17" s="4" t="s">
        <v>69</v>
      </c>
      <c r="G17" s="5" t="s">
        <v>899</v>
      </c>
      <c r="H17" s="4" t="s">
        <v>695</v>
      </c>
      <c r="I17" s="4" t="s">
        <v>975</v>
      </c>
      <c r="J17" s="6" t="s">
        <v>12</v>
      </c>
      <c r="K17" s="189">
        <v>0</v>
      </c>
      <c r="L17" s="189">
        <v>22500</v>
      </c>
      <c r="M17" s="193">
        <v>-22500</v>
      </c>
      <c r="N17" s="2" t="s">
        <v>1000</v>
      </c>
    </row>
    <row r="18" spans="2:14" hidden="1" x14ac:dyDescent="0.3">
      <c r="B18" s="13" t="s">
        <v>91</v>
      </c>
      <c r="C18" s="14" t="str">
        <f>MID(D18,1,12)</f>
        <v>2.1.1.05.000</v>
      </c>
      <c r="D18" s="2" t="s">
        <v>898</v>
      </c>
      <c r="E18" s="12">
        <v>44286</v>
      </c>
      <c r="F18" s="4" t="s">
        <v>66</v>
      </c>
      <c r="G18" s="5" t="s">
        <v>899</v>
      </c>
      <c r="H18" s="4" t="s">
        <v>695</v>
      </c>
      <c r="I18" s="4" t="s">
        <v>975</v>
      </c>
      <c r="J18" s="6" t="s">
        <v>12</v>
      </c>
      <c r="K18" s="189">
        <v>0</v>
      </c>
      <c r="L18" s="189">
        <v>22500</v>
      </c>
      <c r="M18" s="193">
        <v>-22500</v>
      </c>
      <c r="N18" s="2" t="s">
        <v>1000</v>
      </c>
    </row>
    <row r="19" spans="2:14" hidden="1" x14ac:dyDescent="0.3">
      <c r="B19" s="13" t="s">
        <v>93</v>
      </c>
      <c r="C19" s="14" t="str">
        <f>MID(D19,1,12)</f>
        <v>2.1.1.05.000</v>
      </c>
      <c r="D19" s="2" t="s">
        <v>898</v>
      </c>
      <c r="E19" s="12">
        <v>45016</v>
      </c>
      <c r="F19" s="4" t="s">
        <v>72</v>
      </c>
      <c r="G19" s="5" t="s">
        <v>910</v>
      </c>
      <c r="H19" s="4" t="s">
        <v>695</v>
      </c>
      <c r="I19" s="4" t="s">
        <v>975</v>
      </c>
      <c r="J19" s="6" t="s">
        <v>12</v>
      </c>
      <c r="K19" s="189">
        <v>0</v>
      </c>
      <c r="L19" s="189">
        <v>1</v>
      </c>
      <c r="M19" s="192">
        <f>L19*-1</f>
        <v>-1</v>
      </c>
    </row>
    <row r="20" spans="2:14" hidden="1" x14ac:dyDescent="0.3">
      <c r="B20" s="13" t="s">
        <v>94</v>
      </c>
      <c r="C20" s="14" t="str">
        <f>MID(D20,1,12)</f>
        <v>2.1.1.05.000</v>
      </c>
      <c r="D20" s="2" t="s">
        <v>898</v>
      </c>
      <c r="E20" s="12">
        <v>45412</v>
      </c>
      <c r="F20" s="4" t="s">
        <v>64</v>
      </c>
      <c r="G20" s="5" t="s">
        <v>935</v>
      </c>
      <c r="H20" s="4" t="s">
        <v>695</v>
      </c>
      <c r="I20" s="4" t="s">
        <v>975</v>
      </c>
      <c r="J20" s="6" t="s">
        <v>984</v>
      </c>
      <c r="K20" s="189">
        <v>639.41999999999996</v>
      </c>
      <c r="L20" s="189">
        <v>0</v>
      </c>
      <c r="M20" s="193">
        <v>639.41999999999996</v>
      </c>
      <c r="N20" s="2" t="s">
        <v>1000</v>
      </c>
    </row>
    <row r="21" spans="2:14" hidden="1" x14ac:dyDescent="0.3">
      <c r="B21" s="13" t="s">
        <v>94</v>
      </c>
      <c r="C21" s="14" t="str">
        <f>MID(D21,1,12)</f>
        <v>2.1.1.05.000</v>
      </c>
      <c r="D21" s="2" t="s">
        <v>898</v>
      </c>
      <c r="E21" s="12">
        <v>45412</v>
      </c>
      <c r="F21" s="4" t="s">
        <v>913</v>
      </c>
      <c r="G21" s="5" t="s">
        <v>933</v>
      </c>
      <c r="H21" s="4" t="s">
        <v>695</v>
      </c>
      <c r="I21" s="4" t="s">
        <v>977</v>
      </c>
      <c r="J21" s="6" t="s">
        <v>982</v>
      </c>
      <c r="K21" s="189">
        <v>0</v>
      </c>
      <c r="L21" s="189">
        <v>639.41999999999996</v>
      </c>
      <c r="M21" s="193">
        <f>L21*-1</f>
        <v>-639.41999999999996</v>
      </c>
      <c r="N21" s="2" t="s">
        <v>1000</v>
      </c>
    </row>
    <row r="22" spans="2:14" hidden="1" x14ac:dyDescent="0.3">
      <c r="B22" s="13" t="s">
        <v>95</v>
      </c>
      <c r="C22" s="14" t="str">
        <f>MID(D22,1,12)</f>
        <v>2.1.1.05.000</v>
      </c>
      <c r="D22" s="2" t="s">
        <v>898</v>
      </c>
      <c r="E22" s="12">
        <v>45809</v>
      </c>
      <c r="F22" s="4" t="s">
        <v>76</v>
      </c>
      <c r="G22" s="5" t="s">
        <v>954</v>
      </c>
      <c r="H22" s="4" t="s">
        <v>695</v>
      </c>
      <c r="I22" s="4" t="s">
        <v>975</v>
      </c>
      <c r="J22" s="6" t="s">
        <v>12</v>
      </c>
      <c r="K22" s="189">
        <v>0</v>
      </c>
      <c r="L22" s="189">
        <v>1408</v>
      </c>
      <c r="M22" s="192">
        <f>L22*-1</f>
        <v>-1408</v>
      </c>
    </row>
    <row r="23" spans="2:14" hidden="1" x14ac:dyDescent="0.3">
      <c r="B23" s="13" t="s">
        <v>221</v>
      </c>
      <c r="C23" s="14" t="str">
        <f>MID(D23,1,12)</f>
        <v>2.1.1.05.000</v>
      </c>
      <c r="D23" s="2" t="s">
        <v>898</v>
      </c>
      <c r="E23" s="12">
        <v>46203</v>
      </c>
      <c r="F23" s="4" t="s">
        <v>964</v>
      </c>
      <c r="G23" s="5" t="s">
        <v>974</v>
      </c>
      <c r="H23" s="4" t="s">
        <v>808</v>
      </c>
      <c r="I23" s="4" t="s">
        <v>977</v>
      </c>
      <c r="J23" s="6" t="s">
        <v>990</v>
      </c>
      <c r="K23" s="189">
        <v>0</v>
      </c>
      <c r="L23" s="189">
        <v>4159.93</v>
      </c>
      <c r="M23" s="192">
        <f>L23*-1</f>
        <v>-4159.93</v>
      </c>
      <c r="N23" s="13"/>
    </row>
    <row r="24" spans="2:14" hidden="1" x14ac:dyDescent="0.3">
      <c r="B24" s="13" t="s">
        <v>221</v>
      </c>
      <c r="C24" s="14" t="str">
        <f>MID(D24,1,12)</f>
        <v>2.1.1.05.000</v>
      </c>
      <c r="D24" s="2" t="s">
        <v>898</v>
      </c>
      <c r="E24" s="12">
        <v>46142</v>
      </c>
      <c r="F24" s="4" t="s">
        <v>967</v>
      </c>
      <c r="G24" s="5" t="s">
        <v>965</v>
      </c>
      <c r="H24" s="4" t="s">
        <v>646</v>
      </c>
      <c r="I24" s="4" t="s">
        <v>977</v>
      </c>
      <c r="J24" s="6" t="s">
        <v>982</v>
      </c>
      <c r="K24" s="189">
        <v>4427.88</v>
      </c>
      <c r="L24" s="189">
        <v>0</v>
      </c>
      <c r="M24" s="192">
        <v>4427.88</v>
      </c>
      <c r="N24" s="13"/>
    </row>
    <row r="25" spans="2:14" hidden="1" x14ac:dyDescent="0.3">
      <c r="B25" s="13" t="s">
        <v>221</v>
      </c>
      <c r="C25" s="14" t="str">
        <f>MID(D25,1,12)</f>
        <v>2.1.1.05.000</v>
      </c>
      <c r="D25" s="2" t="s">
        <v>898</v>
      </c>
      <c r="E25" s="12">
        <v>46203</v>
      </c>
      <c r="F25" s="4" t="s">
        <v>960</v>
      </c>
      <c r="G25" s="5" t="s">
        <v>973</v>
      </c>
      <c r="H25" s="4" t="s">
        <v>646</v>
      </c>
      <c r="I25" s="4" t="s">
        <v>977</v>
      </c>
      <c r="J25" s="6" t="s">
        <v>991</v>
      </c>
      <c r="K25" s="189">
        <v>5737.83</v>
      </c>
      <c r="L25" s="189">
        <v>0</v>
      </c>
      <c r="M25" s="192">
        <v>5737.83</v>
      </c>
      <c r="N25" s="13"/>
    </row>
    <row r="26" spans="2:14" hidden="1" x14ac:dyDescent="0.3">
      <c r="B26" s="13" t="s">
        <v>221</v>
      </c>
      <c r="C26" s="14" t="str">
        <f>MID(D26,1,12)</f>
        <v>2.1.1.05.000</v>
      </c>
      <c r="D26" s="2" t="s">
        <v>898</v>
      </c>
      <c r="E26" s="12">
        <v>46142</v>
      </c>
      <c r="F26" s="4" t="s">
        <v>960</v>
      </c>
      <c r="G26" s="5" t="s">
        <v>961</v>
      </c>
      <c r="H26" s="4" t="s">
        <v>808</v>
      </c>
      <c r="I26" s="4" t="s">
        <v>977</v>
      </c>
      <c r="J26" s="6" t="s">
        <v>12</v>
      </c>
      <c r="K26" s="189">
        <v>0</v>
      </c>
      <c r="L26" s="189">
        <v>6111.41</v>
      </c>
      <c r="M26" s="192">
        <f>L26*-1</f>
        <v>-6111.41</v>
      </c>
    </row>
    <row r="27" spans="2:14" hidden="1" x14ac:dyDescent="0.3">
      <c r="B27" s="13" t="s">
        <v>221</v>
      </c>
      <c r="C27" s="14" t="str">
        <f>MID(D27,1,12)</f>
        <v>2.1.1.05.000</v>
      </c>
      <c r="D27" s="2" t="s">
        <v>898</v>
      </c>
      <c r="E27" s="12">
        <v>46142</v>
      </c>
      <c r="F27" s="4" t="s">
        <v>966</v>
      </c>
      <c r="G27" s="5" t="s">
        <v>965</v>
      </c>
      <c r="H27" s="4" t="s">
        <v>646</v>
      </c>
      <c r="I27" s="4" t="s">
        <v>977</v>
      </c>
      <c r="J27" s="6" t="s">
        <v>12</v>
      </c>
      <c r="K27" s="189">
        <v>7176.11</v>
      </c>
      <c r="L27" s="189">
        <v>0</v>
      </c>
      <c r="M27" s="192">
        <v>7176.11</v>
      </c>
    </row>
    <row r="28" spans="2:14" hidden="1" x14ac:dyDescent="0.3">
      <c r="B28" s="13" t="s">
        <v>93</v>
      </c>
      <c r="C28" s="14" t="str">
        <f>MID(D28,1,12)</f>
        <v>2.1.1.05.000</v>
      </c>
      <c r="D28" s="2" t="s">
        <v>898</v>
      </c>
      <c r="E28" s="12">
        <v>45107</v>
      </c>
      <c r="F28" s="4" t="s">
        <v>918</v>
      </c>
      <c r="G28" s="5" t="s">
        <v>917</v>
      </c>
      <c r="H28" s="4" t="s">
        <v>695</v>
      </c>
      <c r="I28" s="4" t="s">
        <v>975</v>
      </c>
      <c r="J28" s="6" t="s">
        <v>12</v>
      </c>
      <c r="K28" s="189">
        <v>0</v>
      </c>
      <c r="L28" s="189">
        <v>7639</v>
      </c>
      <c r="M28" s="192">
        <f>L28*-1</f>
        <v>-7639</v>
      </c>
    </row>
    <row r="29" spans="2:14" hidden="1" x14ac:dyDescent="0.3">
      <c r="B29" s="13" t="s">
        <v>92</v>
      </c>
      <c r="C29" s="14" t="str">
        <f>MID(D29,1,12)</f>
        <v>2.1.1.05.000</v>
      </c>
      <c r="D29" s="2" t="s">
        <v>898</v>
      </c>
      <c r="E29" s="12">
        <v>44621</v>
      </c>
      <c r="F29" s="4" t="s">
        <v>76</v>
      </c>
      <c r="G29" s="5" t="s">
        <v>994</v>
      </c>
      <c r="H29" s="4" t="s">
        <v>976</v>
      </c>
      <c r="I29" s="4" t="s">
        <v>975</v>
      </c>
      <c r="J29" s="6" t="s">
        <v>12</v>
      </c>
      <c r="K29" s="189">
        <v>0</v>
      </c>
      <c r="L29" s="189">
        <v>8000</v>
      </c>
      <c r="M29" s="193">
        <f>L29*-1</f>
        <v>-8000</v>
      </c>
      <c r="N29" s="2" t="s">
        <v>1000</v>
      </c>
    </row>
    <row r="30" spans="2:14" hidden="1" x14ac:dyDescent="0.3">
      <c r="B30" s="13" t="s">
        <v>92</v>
      </c>
      <c r="C30" s="14" t="str">
        <f>MID(D30,1,12)</f>
        <v>2.1.1.05.000</v>
      </c>
      <c r="D30" s="2" t="s">
        <v>898</v>
      </c>
      <c r="E30" s="12">
        <v>44624</v>
      </c>
      <c r="F30" s="4" t="s">
        <v>911</v>
      </c>
      <c r="G30" s="4" t="s">
        <v>995</v>
      </c>
      <c r="H30" s="4" t="s">
        <v>235</v>
      </c>
      <c r="I30" s="4" t="s">
        <v>975</v>
      </c>
      <c r="J30" s="6" t="s">
        <v>12</v>
      </c>
      <c r="K30" s="189">
        <v>8000</v>
      </c>
      <c r="L30" s="189">
        <v>0</v>
      </c>
      <c r="M30" s="193">
        <v>8000</v>
      </c>
      <c r="N30" s="2" t="s">
        <v>1000</v>
      </c>
    </row>
    <row r="31" spans="2:14" hidden="1" x14ac:dyDescent="0.3">
      <c r="B31" s="13" t="s">
        <v>92</v>
      </c>
      <c r="C31" s="14" t="str">
        <f>MID(D31,1,12)</f>
        <v>2.1.1.05.000</v>
      </c>
      <c r="D31" s="2" t="s">
        <v>898</v>
      </c>
      <c r="E31" s="12">
        <v>44651</v>
      </c>
      <c r="F31" s="4" t="s">
        <v>912</v>
      </c>
      <c r="G31" s="5" t="s">
        <v>996</v>
      </c>
      <c r="H31" s="4" t="s">
        <v>683</v>
      </c>
      <c r="I31" s="4" t="s">
        <v>975</v>
      </c>
      <c r="J31" s="6" t="s">
        <v>12</v>
      </c>
      <c r="K31" s="189">
        <v>0</v>
      </c>
      <c r="L31" s="189">
        <v>8000</v>
      </c>
      <c r="M31" s="193">
        <f>L31*-1</f>
        <v>-8000</v>
      </c>
      <c r="N31" s="2" t="s">
        <v>1000</v>
      </c>
    </row>
    <row r="32" spans="2:14" hidden="1" x14ac:dyDescent="0.3">
      <c r="B32" s="13" t="s">
        <v>221</v>
      </c>
      <c r="C32" s="14" t="str">
        <f>MID(D32,1,12)</f>
        <v>2.1.1.05.000</v>
      </c>
      <c r="D32" s="2" t="s">
        <v>898</v>
      </c>
      <c r="E32" s="12">
        <v>46142</v>
      </c>
      <c r="F32" s="4" t="s">
        <v>962</v>
      </c>
      <c r="G32" s="5" t="s">
        <v>961</v>
      </c>
      <c r="H32" s="4" t="s">
        <v>808</v>
      </c>
      <c r="I32" s="4" t="s">
        <v>977</v>
      </c>
      <c r="J32" s="6" t="s">
        <v>12</v>
      </c>
      <c r="K32" s="189">
        <v>0</v>
      </c>
      <c r="L32" s="189">
        <v>8769.49</v>
      </c>
      <c r="M32" s="192">
        <f>L32*-1</f>
        <v>-8769.49</v>
      </c>
    </row>
    <row r="33" spans="2:15" x14ac:dyDescent="0.3">
      <c r="B33" s="13" t="s">
        <v>94</v>
      </c>
      <c r="C33" s="14" t="str">
        <f>MID(D33,1,12)</f>
        <v>2.1.1.05.000</v>
      </c>
      <c r="D33" s="2" t="s">
        <v>898</v>
      </c>
      <c r="E33" s="12">
        <v>45626</v>
      </c>
      <c r="F33" s="4" t="s">
        <v>943</v>
      </c>
      <c r="G33" s="5" t="s">
        <v>924</v>
      </c>
      <c r="H33" s="4" t="s">
        <v>695</v>
      </c>
      <c r="I33" s="4" t="s">
        <v>975</v>
      </c>
      <c r="J33" s="6" t="s">
        <v>12</v>
      </c>
      <c r="K33" s="189">
        <v>0</v>
      </c>
      <c r="L33" s="189">
        <v>10257</v>
      </c>
      <c r="M33" s="192">
        <f>L33*-1</f>
        <v>-10257</v>
      </c>
    </row>
    <row r="34" spans="2:15" x14ac:dyDescent="0.3">
      <c r="B34" s="13" t="s">
        <v>94</v>
      </c>
      <c r="C34" s="14" t="str">
        <f>MID(D34,1,12)</f>
        <v>2.1.1.05.000</v>
      </c>
      <c r="D34" s="2" t="s">
        <v>898</v>
      </c>
      <c r="E34" s="12">
        <v>45657</v>
      </c>
      <c r="F34" s="4" t="s">
        <v>945</v>
      </c>
      <c r="G34" s="5" t="s">
        <v>946</v>
      </c>
      <c r="H34" s="4" t="s">
        <v>695</v>
      </c>
      <c r="I34" s="4" t="s">
        <v>975</v>
      </c>
      <c r="J34" s="6" t="s">
        <v>12</v>
      </c>
      <c r="K34" s="189">
        <v>0</v>
      </c>
      <c r="L34" s="189">
        <v>10257</v>
      </c>
      <c r="M34" s="192">
        <f>L34*-1</f>
        <v>-10257</v>
      </c>
    </row>
    <row r="35" spans="2:15" x14ac:dyDescent="0.3">
      <c r="B35" s="13" t="s">
        <v>94</v>
      </c>
      <c r="C35" s="14" t="str">
        <f>MID(D35,1,12)</f>
        <v>2.1.1.05.000</v>
      </c>
      <c r="D35" s="2" t="s">
        <v>898</v>
      </c>
      <c r="E35" s="12">
        <v>45566</v>
      </c>
      <c r="F35" s="4" t="s">
        <v>70</v>
      </c>
      <c r="G35" s="5" t="s">
        <v>924</v>
      </c>
      <c r="H35" s="4" t="s">
        <v>695</v>
      </c>
      <c r="I35" s="4" t="s">
        <v>975</v>
      </c>
      <c r="J35" s="6" t="s">
        <v>12</v>
      </c>
      <c r="K35" s="189">
        <v>0</v>
      </c>
      <c r="L35" s="189">
        <v>11967</v>
      </c>
      <c r="M35" s="192">
        <f>L35*-1</f>
        <v>-11967</v>
      </c>
    </row>
    <row r="36" spans="2:15" x14ac:dyDescent="0.3">
      <c r="B36" s="13" t="s">
        <v>94</v>
      </c>
      <c r="C36" s="14" t="str">
        <f>MID(D36,1,12)</f>
        <v>2.1.1.05.000</v>
      </c>
      <c r="D36" s="2" t="s">
        <v>898</v>
      </c>
      <c r="E36" s="12">
        <v>45626</v>
      </c>
      <c r="F36" s="4" t="s">
        <v>69</v>
      </c>
      <c r="G36" s="5" t="s">
        <v>942</v>
      </c>
      <c r="H36" s="4" t="s">
        <v>695</v>
      </c>
      <c r="I36" s="4" t="s">
        <v>977</v>
      </c>
      <c r="J36" s="6" t="s">
        <v>12</v>
      </c>
      <c r="K36" s="189">
        <v>0</v>
      </c>
      <c r="L36" s="189">
        <v>12740</v>
      </c>
      <c r="M36" s="192">
        <f>L36*-1</f>
        <v>-12740</v>
      </c>
    </row>
    <row r="37" spans="2:15" x14ac:dyDescent="0.3">
      <c r="B37" s="13" t="s">
        <v>94</v>
      </c>
      <c r="C37" s="14" t="str">
        <f>MID(D37,1,12)</f>
        <v>2.1.1.05.000</v>
      </c>
      <c r="D37" s="2" t="s">
        <v>898</v>
      </c>
      <c r="E37" s="12">
        <v>45657</v>
      </c>
      <c r="F37" s="4" t="s">
        <v>905</v>
      </c>
      <c r="G37" s="5" t="s">
        <v>942</v>
      </c>
      <c r="H37" s="4" t="s">
        <v>695</v>
      </c>
      <c r="I37" s="4" t="s">
        <v>977</v>
      </c>
      <c r="J37" s="6" t="s">
        <v>12</v>
      </c>
      <c r="K37" s="189">
        <v>0</v>
      </c>
      <c r="L37" s="189">
        <v>12740</v>
      </c>
      <c r="M37" s="192">
        <f>L37*-1</f>
        <v>-12740</v>
      </c>
    </row>
    <row r="38" spans="2:15" x14ac:dyDescent="0.3">
      <c r="B38" s="13" t="s">
        <v>94</v>
      </c>
      <c r="C38" s="14" t="str">
        <f>MID(D38,1,12)</f>
        <v>2.1.1.05.000</v>
      </c>
      <c r="D38" s="2" t="s">
        <v>898</v>
      </c>
      <c r="E38" s="12">
        <v>45412</v>
      </c>
      <c r="F38" s="4" t="s">
        <v>929</v>
      </c>
      <c r="G38" s="5" t="s">
        <v>928</v>
      </c>
      <c r="H38" s="4" t="s">
        <v>646</v>
      </c>
      <c r="I38" s="4" t="s">
        <v>977</v>
      </c>
      <c r="J38" s="6" t="s">
        <v>12</v>
      </c>
      <c r="K38" s="189">
        <v>13393.18</v>
      </c>
      <c r="L38" s="189">
        <v>0</v>
      </c>
      <c r="M38" s="192">
        <v>13393.18</v>
      </c>
    </row>
    <row r="39" spans="2:15" hidden="1" x14ac:dyDescent="0.3">
      <c r="B39" s="13" t="s">
        <v>93</v>
      </c>
      <c r="C39" s="14" t="str">
        <f>MID(D39,1,12)</f>
        <v>2.1.1.05.000</v>
      </c>
      <c r="D39" s="2" t="s">
        <v>898</v>
      </c>
      <c r="E39" s="12">
        <v>45291</v>
      </c>
      <c r="F39" s="4" t="s">
        <v>921</v>
      </c>
      <c r="G39" s="5" t="s">
        <v>917</v>
      </c>
      <c r="H39" s="4" t="s">
        <v>695</v>
      </c>
      <c r="I39" s="4" t="s">
        <v>975</v>
      </c>
      <c r="J39" s="6" t="s">
        <v>12</v>
      </c>
      <c r="K39" s="189">
        <v>14960</v>
      </c>
      <c r="L39" s="189">
        <v>0</v>
      </c>
      <c r="M39" s="192">
        <v>14960</v>
      </c>
    </row>
    <row r="40" spans="2:15" x14ac:dyDescent="0.3">
      <c r="B40" s="13" t="s">
        <v>94</v>
      </c>
      <c r="C40" s="14" t="str">
        <f>MID(D40,1,12)</f>
        <v>2.1.1.05.000</v>
      </c>
      <c r="D40" s="2" t="s">
        <v>898</v>
      </c>
      <c r="E40" s="12">
        <v>45412</v>
      </c>
      <c r="F40" s="4" t="s">
        <v>71</v>
      </c>
      <c r="G40" s="5" t="s">
        <v>937</v>
      </c>
      <c r="H40" s="4" t="s">
        <v>695</v>
      </c>
      <c r="I40" s="4" t="s">
        <v>975</v>
      </c>
      <c r="J40" s="6" t="s">
        <v>986</v>
      </c>
      <c r="K40" s="189">
        <v>0</v>
      </c>
      <c r="L40" s="189">
        <v>17988.02</v>
      </c>
      <c r="M40" s="192">
        <f>L40*-1</f>
        <v>-17988.02</v>
      </c>
      <c r="N40" s="194"/>
      <c r="O40" s="3"/>
    </row>
    <row r="41" spans="2:15" x14ac:dyDescent="0.3">
      <c r="B41" s="13" t="s">
        <v>94</v>
      </c>
      <c r="C41" s="14" t="str">
        <f>MID(D41,1,12)</f>
        <v>2.1.1.05.000</v>
      </c>
      <c r="D41" s="2" t="s">
        <v>898</v>
      </c>
      <c r="E41" s="12">
        <v>45412</v>
      </c>
      <c r="F41" s="4" t="s">
        <v>932</v>
      </c>
      <c r="G41" s="5" t="s">
        <v>928</v>
      </c>
      <c r="H41" s="4" t="s">
        <v>979</v>
      </c>
      <c r="I41" s="4" t="s">
        <v>977</v>
      </c>
      <c r="J41" s="6" t="s">
        <v>981</v>
      </c>
      <c r="K41" s="189">
        <v>18052.650000000001</v>
      </c>
      <c r="L41" s="189">
        <v>0</v>
      </c>
      <c r="M41" s="192">
        <v>18052.650000000001</v>
      </c>
    </row>
    <row r="42" spans="2:15" hidden="1" x14ac:dyDescent="0.3">
      <c r="B42" s="13" t="s">
        <v>221</v>
      </c>
      <c r="C42" s="14" t="str">
        <f>MID(D42,1,12)</f>
        <v>2.1.1.05.000</v>
      </c>
      <c r="D42" s="2" t="s">
        <v>898</v>
      </c>
      <c r="E42" s="12">
        <v>46142</v>
      </c>
      <c r="F42" s="4" t="s">
        <v>963</v>
      </c>
      <c r="G42" s="5" t="s">
        <v>961</v>
      </c>
      <c r="H42" s="4" t="s">
        <v>808</v>
      </c>
      <c r="I42" s="4" t="s">
        <v>977</v>
      </c>
      <c r="J42" s="6" t="s">
        <v>12</v>
      </c>
      <c r="K42" s="189">
        <v>0</v>
      </c>
      <c r="L42" s="189">
        <v>20828.18</v>
      </c>
      <c r="M42" s="192">
        <f>L42*-1</f>
        <v>-20828.18</v>
      </c>
    </row>
    <row r="43" spans="2:15" hidden="1" x14ac:dyDescent="0.3">
      <c r="B43" s="13" t="s">
        <v>221</v>
      </c>
      <c r="C43" s="14" t="str">
        <f>MID(D43,1,12)</f>
        <v>2.1.1.05.000</v>
      </c>
      <c r="D43" s="2" t="s">
        <v>898</v>
      </c>
      <c r="E43" s="12">
        <v>46173</v>
      </c>
      <c r="F43" s="4" t="s">
        <v>969</v>
      </c>
      <c r="G43" s="5" t="s">
        <v>961</v>
      </c>
      <c r="H43" s="4" t="s">
        <v>808</v>
      </c>
      <c r="I43" s="4" t="s">
        <v>977</v>
      </c>
      <c r="J43" s="6" t="s">
        <v>990</v>
      </c>
      <c r="K43" s="189">
        <v>0</v>
      </c>
      <c r="L43" s="189">
        <v>20828.18</v>
      </c>
      <c r="M43" s="192">
        <f>L43*-1</f>
        <v>-20828.18</v>
      </c>
      <c r="N43" s="13"/>
    </row>
    <row r="44" spans="2:15" x14ac:dyDescent="0.3">
      <c r="B44" s="13" t="s">
        <v>94</v>
      </c>
      <c r="C44" s="14" t="str">
        <f>MID(D44,1,12)</f>
        <v>2.1.1.05.000</v>
      </c>
      <c r="D44" s="2" t="s">
        <v>898</v>
      </c>
      <c r="E44" s="12">
        <v>45412</v>
      </c>
      <c r="F44" s="4" t="s">
        <v>67</v>
      </c>
      <c r="G44" s="5" t="s">
        <v>927</v>
      </c>
      <c r="H44" s="4" t="s">
        <v>693</v>
      </c>
      <c r="I44" s="4" t="s">
        <v>975</v>
      </c>
      <c r="J44" s="6" t="s">
        <v>12</v>
      </c>
      <c r="K44" s="189">
        <v>21166.53</v>
      </c>
      <c r="L44" s="189">
        <v>0</v>
      </c>
      <c r="M44" s="192">
        <v>21166.53</v>
      </c>
    </row>
    <row r="45" spans="2:15" hidden="1" x14ac:dyDescent="0.3">
      <c r="B45" s="13" t="s">
        <v>221</v>
      </c>
      <c r="C45" s="14" t="str">
        <f>MID(D45,1,12)</f>
        <v>2.1.1.05.000</v>
      </c>
      <c r="D45" s="2" t="s">
        <v>898</v>
      </c>
      <c r="E45" s="12">
        <v>46053</v>
      </c>
      <c r="F45" s="4" t="s">
        <v>73</v>
      </c>
      <c r="G45" s="5" t="s">
        <v>956</v>
      </c>
      <c r="H45" s="4" t="s">
        <v>695</v>
      </c>
      <c r="I45" s="4" t="s">
        <v>977</v>
      </c>
      <c r="J45" s="6" t="s">
        <v>12</v>
      </c>
      <c r="K45" s="189">
        <v>0</v>
      </c>
      <c r="L45" s="189">
        <v>22757</v>
      </c>
      <c r="M45" s="192">
        <f>L45*-1</f>
        <v>-22757</v>
      </c>
    </row>
    <row r="46" spans="2:15" hidden="1" x14ac:dyDescent="0.3">
      <c r="B46" s="13" t="s">
        <v>221</v>
      </c>
      <c r="C46" s="14" t="str">
        <f>MID(D46,1,12)</f>
        <v>2.1.1.05.000</v>
      </c>
      <c r="D46" s="2" t="s">
        <v>898</v>
      </c>
      <c r="E46" s="12">
        <v>46081</v>
      </c>
      <c r="F46" s="4" t="s">
        <v>907</v>
      </c>
      <c r="G46" s="5" t="s">
        <v>957</v>
      </c>
      <c r="H46" s="4" t="s">
        <v>695</v>
      </c>
      <c r="I46" s="4" t="s">
        <v>977</v>
      </c>
      <c r="J46" s="6" t="s">
        <v>12</v>
      </c>
      <c r="K46" s="189">
        <v>0</v>
      </c>
      <c r="L46" s="189">
        <v>22757</v>
      </c>
      <c r="M46" s="192">
        <f>L46*-1</f>
        <v>-22757</v>
      </c>
    </row>
    <row r="47" spans="2:15" hidden="1" x14ac:dyDescent="0.3">
      <c r="B47" s="13" t="s">
        <v>221</v>
      </c>
      <c r="C47" s="14" t="str">
        <f>MID(D47,1,12)</f>
        <v>2.1.1.05.000</v>
      </c>
      <c r="D47" s="2" t="s">
        <v>898</v>
      </c>
      <c r="E47" s="12">
        <v>46112</v>
      </c>
      <c r="F47" s="4" t="s">
        <v>79</v>
      </c>
      <c r="G47" s="5" t="s">
        <v>958</v>
      </c>
      <c r="H47" s="4" t="s">
        <v>695</v>
      </c>
      <c r="I47" s="4" t="s">
        <v>977</v>
      </c>
      <c r="J47" s="6" t="s">
        <v>12</v>
      </c>
      <c r="K47" s="189">
        <v>0</v>
      </c>
      <c r="L47" s="189">
        <v>22757</v>
      </c>
      <c r="M47" s="192">
        <f>L47*-1</f>
        <v>-22757</v>
      </c>
    </row>
    <row r="48" spans="2:15" hidden="1" x14ac:dyDescent="0.3">
      <c r="B48" s="13" t="s">
        <v>221</v>
      </c>
      <c r="C48" s="14" t="str">
        <f>MID(D48,1,12)</f>
        <v>2.1.1.05.000</v>
      </c>
      <c r="D48" s="2" t="s">
        <v>898</v>
      </c>
      <c r="E48" s="12">
        <v>46142</v>
      </c>
      <c r="F48" s="4" t="s">
        <v>907</v>
      </c>
      <c r="G48" s="5" t="s">
        <v>959</v>
      </c>
      <c r="H48" s="4" t="s">
        <v>695</v>
      </c>
      <c r="I48" s="4" t="s">
        <v>977</v>
      </c>
      <c r="J48" s="6" t="s">
        <v>12</v>
      </c>
      <c r="K48" s="189">
        <v>0</v>
      </c>
      <c r="L48" s="189">
        <v>22757</v>
      </c>
      <c r="M48" s="192">
        <f>L48*-1</f>
        <v>-22757</v>
      </c>
    </row>
    <row r="49" spans="2:16" hidden="1" x14ac:dyDescent="0.3">
      <c r="B49" s="13" t="s">
        <v>221</v>
      </c>
      <c r="C49" s="14" t="str">
        <f>MID(D49,1,12)</f>
        <v>2.1.1.05.000</v>
      </c>
      <c r="D49" s="2" t="s">
        <v>898</v>
      </c>
      <c r="E49" s="12">
        <v>46173</v>
      </c>
      <c r="F49" s="4" t="s">
        <v>907</v>
      </c>
      <c r="G49" s="5" t="s">
        <v>968</v>
      </c>
      <c r="H49" s="4" t="s">
        <v>695</v>
      </c>
      <c r="I49" s="4" t="s">
        <v>977</v>
      </c>
      <c r="J49" s="6" t="s">
        <v>990</v>
      </c>
      <c r="K49" s="189">
        <v>0</v>
      </c>
      <c r="L49" s="189">
        <v>22757</v>
      </c>
      <c r="M49" s="192">
        <f>L49*-1</f>
        <v>-22757</v>
      </c>
      <c r="N49" s="13"/>
    </row>
    <row r="50" spans="2:16" hidden="1" x14ac:dyDescent="0.3">
      <c r="B50" s="13" t="s">
        <v>221</v>
      </c>
      <c r="C50" s="14" t="str">
        <f>MID(D50,1,12)</f>
        <v>2.1.1.05.000</v>
      </c>
      <c r="D50" s="2" t="s">
        <v>898</v>
      </c>
      <c r="E50" s="12">
        <v>46203</v>
      </c>
      <c r="F50" s="4" t="s">
        <v>971</v>
      </c>
      <c r="G50" s="5" t="s">
        <v>972</v>
      </c>
      <c r="H50" s="4" t="s">
        <v>695</v>
      </c>
      <c r="I50" s="4" t="s">
        <v>977</v>
      </c>
      <c r="J50" s="6" t="s">
        <v>982</v>
      </c>
      <c r="K50" s="189">
        <v>0</v>
      </c>
      <c r="L50" s="189">
        <v>22757</v>
      </c>
      <c r="M50" s="192">
        <f>L50*-1</f>
        <v>-22757</v>
      </c>
      <c r="N50" s="13"/>
    </row>
    <row r="51" spans="2:16" x14ac:dyDescent="0.3">
      <c r="B51" s="13" t="s">
        <v>94</v>
      </c>
      <c r="C51" s="14" t="str">
        <f>MID(D51,1,12)</f>
        <v>2.1.1.05.000</v>
      </c>
      <c r="D51" s="2" t="s">
        <v>898</v>
      </c>
      <c r="E51" s="12">
        <v>45412</v>
      </c>
      <c r="F51" s="4" t="s">
        <v>930</v>
      </c>
      <c r="G51" s="5" t="s">
        <v>928</v>
      </c>
      <c r="H51" s="4" t="s">
        <v>646</v>
      </c>
      <c r="I51" s="4" t="s">
        <v>977</v>
      </c>
      <c r="J51" s="6" t="s">
        <v>12</v>
      </c>
      <c r="K51" s="189">
        <v>22791.79</v>
      </c>
      <c r="L51" s="189">
        <v>0</v>
      </c>
      <c r="M51" s="192">
        <v>22791.79</v>
      </c>
    </row>
    <row r="52" spans="2:16" x14ac:dyDescent="0.3">
      <c r="B52" s="13" t="s">
        <v>94</v>
      </c>
      <c r="C52" s="14" t="str">
        <f>MID(D52,1,12)</f>
        <v>2.1.1.05.000</v>
      </c>
      <c r="D52" s="2" t="s">
        <v>898</v>
      </c>
      <c r="E52" s="12">
        <v>45412</v>
      </c>
      <c r="F52" s="4" t="s">
        <v>66</v>
      </c>
      <c r="G52" s="5" t="s">
        <v>927</v>
      </c>
      <c r="H52" s="4" t="s">
        <v>979</v>
      </c>
      <c r="I52" s="4" t="s">
        <v>975</v>
      </c>
      <c r="J52" s="6" t="s">
        <v>985</v>
      </c>
      <c r="K52" s="189">
        <v>23427.51</v>
      </c>
      <c r="L52" s="189">
        <v>0</v>
      </c>
      <c r="M52" s="192">
        <v>23427.51</v>
      </c>
    </row>
    <row r="53" spans="2:16" hidden="1" x14ac:dyDescent="0.3">
      <c r="B53" s="13" t="s">
        <v>94</v>
      </c>
      <c r="C53" s="14" t="str">
        <f>MID(D53,1,12)</f>
        <v>2.1.1.05.000</v>
      </c>
      <c r="D53" s="2" t="s">
        <v>898</v>
      </c>
      <c r="E53" s="12">
        <v>45412</v>
      </c>
      <c r="F53" s="4" t="s">
        <v>931</v>
      </c>
      <c r="G53" s="5" t="s">
        <v>928</v>
      </c>
      <c r="H53" s="4" t="s">
        <v>978</v>
      </c>
      <c r="I53" s="4" t="s">
        <v>977</v>
      </c>
      <c r="J53" s="6" t="s">
        <v>980</v>
      </c>
      <c r="K53" s="189">
        <v>24529.8</v>
      </c>
      <c r="L53" s="189">
        <v>0</v>
      </c>
      <c r="M53" s="192">
        <v>24529.8</v>
      </c>
      <c r="N53" s="187">
        <v>341456.04</v>
      </c>
      <c r="O53" s="187">
        <v>350000</v>
      </c>
      <c r="P53" s="195">
        <f>N53-O53</f>
        <v>-8543.960000000021</v>
      </c>
    </row>
    <row r="54" spans="2:16" hidden="1" x14ac:dyDescent="0.3">
      <c r="B54" s="13" t="s">
        <v>94</v>
      </c>
      <c r="C54" s="14" t="str">
        <f>MID(D54,1,12)</f>
        <v>2.1.1.05.000</v>
      </c>
      <c r="D54" s="2" t="s">
        <v>898</v>
      </c>
      <c r="E54" s="12">
        <v>45536</v>
      </c>
      <c r="F54" s="4" t="s">
        <v>907</v>
      </c>
      <c r="G54" s="5" t="s">
        <v>917</v>
      </c>
      <c r="H54" s="4" t="s">
        <v>695</v>
      </c>
      <c r="I54" s="4" t="s">
        <v>977</v>
      </c>
      <c r="J54" s="6" t="s">
        <v>12</v>
      </c>
      <c r="K54" s="189">
        <v>24648</v>
      </c>
      <c r="L54" s="189">
        <v>0</v>
      </c>
      <c r="M54" s="192">
        <v>24648</v>
      </c>
      <c r="N54" s="194">
        <v>284951.33</v>
      </c>
      <c r="O54" s="187">
        <v>350000</v>
      </c>
      <c r="P54" s="195">
        <f>N54-O54</f>
        <v>-65048.669999999984</v>
      </c>
    </row>
    <row r="55" spans="2:16" x14ac:dyDescent="0.3">
      <c r="B55" s="13" t="s">
        <v>94</v>
      </c>
      <c r="C55" s="14" t="str">
        <f>MID(D55,1,12)</f>
        <v>2.1.1.05.000</v>
      </c>
      <c r="D55" s="2" t="s">
        <v>898</v>
      </c>
      <c r="E55" s="12">
        <v>45412</v>
      </c>
      <c r="F55" s="4" t="s">
        <v>68</v>
      </c>
      <c r="G55" s="5" t="s">
        <v>927</v>
      </c>
      <c r="H55" s="4" t="s">
        <v>646</v>
      </c>
      <c r="I55" s="4" t="s">
        <v>975</v>
      </c>
      <c r="J55" s="6" t="s">
        <v>12</v>
      </c>
      <c r="K55" s="189">
        <v>25240.720000000001</v>
      </c>
      <c r="L55" s="189">
        <v>0</v>
      </c>
      <c r="M55" s="192">
        <v>25240.720000000001</v>
      </c>
    </row>
    <row r="56" spans="2:16" hidden="1" x14ac:dyDescent="0.3">
      <c r="B56" s="13" t="s">
        <v>221</v>
      </c>
      <c r="C56" s="14" t="str">
        <f>MID(D56,1,12)</f>
        <v>2.1.1.05.000</v>
      </c>
      <c r="D56" s="2" t="s">
        <v>898</v>
      </c>
      <c r="E56" s="12">
        <v>46173</v>
      </c>
      <c r="F56" s="4" t="s">
        <v>970</v>
      </c>
      <c r="G56" s="5" t="s">
        <v>965</v>
      </c>
      <c r="H56" s="4" t="s">
        <v>693</v>
      </c>
      <c r="I56" s="4" t="s">
        <v>977</v>
      </c>
      <c r="J56" s="6" t="s">
        <v>990</v>
      </c>
      <c r="K56" s="189">
        <v>27244.78</v>
      </c>
      <c r="L56" s="189">
        <v>0</v>
      </c>
      <c r="M56" s="192">
        <v>27244.78</v>
      </c>
      <c r="N56" s="13"/>
    </row>
    <row r="57" spans="2:16" x14ac:dyDescent="0.3">
      <c r="B57" s="13" t="s">
        <v>94</v>
      </c>
      <c r="C57" s="14" t="str">
        <f>MID(D57,1,12)</f>
        <v>2.1.1.05.000</v>
      </c>
      <c r="D57" s="2" t="s">
        <v>898</v>
      </c>
      <c r="E57" s="12">
        <v>45412</v>
      </c>
      <c r="F57" s="4" t="s">
        <v>936</v>
      </c>
      <c r="G57" s="5" t="s">
        <v>927</v>
      </c>
      <c r="H57" s="4" t="s">
        <v>979</v>
      </c>
      <c r="I57" s="4" t="s">
        <v>975</v>
      </c>
      <c r="J57" s="6" t="s">
        <v>12</v>
      </c>
      <c r="K57" s="189">
        <v>27273.52</v>
      </c>
      <c r="L57" s="189">
        <v>0</v>
      </c>
      <c r="M57" s="192">
        <v>27273.52</v>
      </c>
    </row>
    <row r="58" spans="2:16" x14ac:dyDescent="0.3">
      <c r="B58" s="13" t="s">
        <v>94</v>
      </c>
      <c r="C58" s="14" t="str">
        <f>MID(D58,1,12)</f>
        <v>2.1.1.05.000</v>
      </c>
      <c r="D58" s="2" t="s">
        <v>898</v>
      </c>
      <c r="E58" s="12">
        <v>45535</v>
      </c>
      <c r="F58" s="4" t="s">
        <v>69</v>
      </c>
      <c r="G58" s="5" t="s">
        <v>917</v>
      </c>
      <c r="H58" s="4" t="s">
        <v>695</v>
      </c>
      <c r="I58" s="4" t="s">
        <v>977</v>
      </c>
      <c r="J58" s="6" t="s">
        <v>12</v>
      </c>
      <c r="K58" s="189">
        <v>0</v>
      </c>
      <c r="L58" s="189">
        <v>28076</v>
      </c>
      <c r="M58" s="192">
        <f>L58*-1</f>
        <v>-28076</v>
      </c>
    </row>
    <row r="59" spans="2:16" x14ac:dyDescent="0.3">
      <c r="B59" s="13" t="s">
        <v>94</v>
      </c>
      <c r="C59" s="14" t="str">
        <f>MID(D59,1,12)</f>
        <v>2.1.1.05.000</v>
      </c>
      <c r="D59" s="2" t="s">
        <v>898</v>
      </c>
      <c r="E59" s="12">
        <v>45412</v>
      </c>
      <c r="F59" s="4" t="s">
        <v>918</v>
      </c>
      <c r="G59" s="5" t="s">
        <v>928</v>
      </c>
      <c r="H59" s="4" t="s">
        <v>646</v>
      </c>
      <c r="I59" s="4" t="s">
        <v>977</v>
      </c>
      <c r="J59" s="6" t="s">
        <v>12</v>
      </c>
      <c r="K59" s="189">
        <v>31263.99</v>
      </c>
      <c r="L59" s="189">
        <v>0</v>
      </c>
      <c r="M59" s="192">
        <v>31263.99</v>
      </c>
    </row>
    <row r="60" spans="2:16" hidden="1" x14ac:dyDescent="0.3">
      <c r="B60" s="13" t="s">
        <v>221</v>
      </c>
      <c r="C60" s="14" t="str">
        <f>MID(D60,1,12)</f>
        <v>2.1.1.05.000</v>
      </c>
      <c r="D60" s="2" t="s">
        <v>898</v>
      </c>
      <c r="E60" s="12">
        <v>46203</v>
      </c>
      <c r="F60" s="4" t="s">
        <v>963</v>
      </c>
      <c r="G60" s="5" t="s">
        <v>974</v>
      </c>
      <c r="H60" s="4" t="s">
        <v>808</v>
      </c>
      <c r="I60" s="4" t="s">
        <v>977</v>
      </c>
      <c r="J60" s="6" t="s">
        <v>990</v>
      </c>
      <c r="K60" s="189">
        <v>0</v>
      </c>
      <c r="L60" s="189">
        <v>33571.79</v>
      </c>
      <c r="M60" s="192">
        <f>L60*-1</f>
        <v>-33571.79</v>
      </c>
    </row>
    <row r="61" spans="2:16" x14ac:dyDescent="0.3">
      <c r="B61" s="13" t="s">
        <v>94</v>
      </c>
      <c r="C61" s="14" t="str">
        <f>MID(D61,1,12)</f>
        <v>2.1.1.05.000</v>
      </c>
      <c r="D61" s="2" t="s">
        <v>898</v>
      </c>
      <c r="E61" s="12">
        <v>45322</v>
      </c>
      <c r="F61" s="4" t="s">
        <v>923</v>
      </c>
      <c r="G61" s="5" t="s">
        <v>924</v>
      </c>
      <c r="H61" s="4" t="s">
        <v>695</v>
      </c>
      <c r="I61" s="4" t="s">
        <v>975</v>
      </c>
      <c r="J61" s="6" t="s">
        <v>12</v>
      </c>
      <c r="K61" s="189">
        <v>0</v>
      </c>
      <c r="L61" s="189">
        <v>39273</v>
      </c>
      <c r="M61" s="192">
        <f>L61*-1</f>
        <v>-39273</v>
      </c>
    </row>
    <row r="62" spans="2:16" x14ac:dyDescent="0.3">
      <c r="B62" s="13" t="s">
        <v>94</v>
      </c>
      <c r="C62" s="14" t="str">
        <f>MID(D62,1,12)</f>
        <v>2.1.1.05.000</v>
      </c>
      <c r="D62" s="2" t="s">
        <v>898</v>
      </c>
      <c r="E62" s="12">
        <v>45536</v>
      </c>
      <c r="F62" s="4" t="s">
        <v>73</v>
      </c>
      <c r="G62" s="5" t="s">
        <v>924</v>
      </c>
      <c r="H62" s="4" t="s">
        <v>695</v>
      </c>
      <c r="I62" s="4" t="s">
        <v>975</v>
      </c>
      <c r="J62" s="6" t="s">
        <v>12</v>
      </c>
      <c r="K62" s="189">
        <v>40797</v>
      </c>
      <c r="L62" s="189">
        <v>0</v>
      </c>
      <c r="M62" s="192">
        <v>40797</v>
      </c>
    </row>
    <row r="63" spans="2:16" x14ac:dyDescent="0.3">
      <c r="B63" s="13" t="s">
        <v>94</v>
      </c>
      <c r="C63" s="14" t="str">
        <f>MID(D63,1,12)</f>
        <v>2.1.1.05.000</v>
      </c>
      <c r="D63" s="2" t="s">
        <v>898</v>
      </c>
      <c r="E63" s="12">
        <v>45595</v>
      </c>
      <c r="F63" s="4" t="s">
        <v>73</v>
      </c>
      <c r="G63" s="5" t="s">
        <v>941</v>
      </c>
      <c r="H63" s="4" t="s">
        <v>695</v>
      </c>
      <c r="I63" s="4" t="s">
        <v>977</v>
      </c>
      <c r="J63" s="6" t="s">
        <v>12</v>
      </c>
      <c r="K63" s="189">
        <v>42232</v>
      </c>
      <c r="L63" s="189">
        <v>0</v>
      </c>
      <c r="M63" s="192">
        <v>42232</v>
      </c>
    </row>
    <row r="64" spans="2:16" hidden="1" x14ac:dyDescent="0.3">
      <c r="B64" s="13" t="s">
        <v>221</v>
      </c>
      <c r="C64" s="14" t="str">
        <f>MID(D64,1,12)</f>
        <v>2.1.1.05.000</v>
      </c>
      <c r="D64" s="2" t="s">
        <v>898</v>
      </c>
      <c r="E64" s="12">
        <v>46203</v>
      </c>
      <c r="F64" s="4" t="s">
        <v>962</v>
      </c>
      <c r="G64" s="5" t="s">
        <v>973</v>
      </c>
      <c r="H64" s="4" t="s">
        <v>693</v>
      </c>
      <c r="I64" s="4" t="s">
        <v>977</v>
      </c>
      <c r="J64" s="6" t="s">
        <v>12</v>
      </c>
      <c r="K64" s="189">
        <v>44468.54</v>
      </c>
      <c r="L64" s="189">
        <v>0</v>
      </c>
      <c r="M64" s="192">
        <v>44468.54</v>
      </c>
    </row>
    <row r="65" spans="2:13" x14ac:dyDescent="0.3">
      <c r="B65" s="13" t="s">
        <v>94</v>
      </c>
      <c r="C65" s="14" t="str">
        <f>MID(D65,1,12)</f>
        <v>2.1.1.05.000</v>
      </c>
      <c r="D65" s="2" t="s">
        <v>898</v>
      </c>
      <c r="E65" s="12">
        <v>45352</v>
      </c>
      <c r="F65" s="4" t="s">
        <v>73</v>
      </c>
      <c r="G65" s="5" t="s">
        <v>924</v>
      </c>
      <c r="H65" s="4" t="s">
        <v>695</v>
      </c>
      <c r="I65" s="4" t="s">
        <v>975</v>
      </c>
      <c r="J65" s="6" t="s">
        <v>12</v>
      </c>
      <c r="K65" s="189">
        <v>0</v>
      </c>
      <c r="L65" s="189">
        <v>46472</v>
      </c>
      <c r="M65" s="192">
        <f>L65*-1</f>
        <v>-46472</v>
      </c>
    </row>
    <row r="66" spans="2:13" x14ac:dyDescent="0.3">
      <c r="B66" s="13" t="s">
        <v>94</v>
      </c>
      <c r="C66" s="14" t="str">
        <f>MID(D66,1,12)</f>
        <v>2.1.1.05.000</v>
      </c>
      <c r="D66" s="2" t="s">
        <v>898</v>
      </c>
      <c r="E66" s="12">
        <v>45535</v>
      </c>
      <c r="F66" s="4" t="s">
        <v>923</v>
      </c>
      <c r="G66" s="5" t="s">
        <v>924</v>
      </c>
      <c r="H66" s="4" t="s">
        <v>695</v>
      </c>
      <c r="I66" s="4" t="s">
        <v>975</v>
      </c>
      <c r="J66" s="6" t="s">
        <v>12</v>
      </c>
      <c r="K66" s="189">
        <v>0</v>
      </c>
      <c r="L66" s="189">
        <v>46472</v>
      </c>
      <c r="M66" s="192">
        <f>L66*-1</f>
        <v>-46472</v>
      </c>
    </row>
    <row r="67" spans="2:13" x14ac:dyDescent="0.3">
      <c r="B67" s="13" t="s">
        <v>94</v>
      </c>
      <c r="C67" s="14" t="str">
        <f>MID(D67,1,12)</f>
        <v>2.1.1.05.000</v>
      </c>
      <c r="D67" s="2" t="s">
        <v>898</v>
      </c>
      <c r="E67" s="12">
        <v>45382</v>
      </c>
      <c r="F67" s="4" t="s">
        <v>62</v>
      </c>
      <c r="G67" s="5" t="s">
        <v>924</v>
      </c>
      <c r="H67" s="4" t="s">
        <v>695</v>
      </c>
      <c r="I67" s="4" t="s">
        <v>975</v>
      </c>
      <c r="J67" s="6" t="s">
        <v>12</v>
      </c>
      <c r="K67" s="189">
        <v>0</v>
      </c>
      <c r="L67" s="189">
        <v>46473</v>
      </c>
      <c r="M67" s="192">
        <f>L67*-1</f>
        <v>-46473</v>
      </c>
    </row>
    <row r="68" spans="2:13" x14ac:dyDescent="0.3">
      <c r="B68" s="13" t="s">
        <v>94</v>
      </c>
      <c r="C68" s="14" t="str">
        <f>MID(D68,1,12)</f>
        <v>2.1.1.05.000</v>
      </c>
      <c r="D68" s="2" t="s">
        <v>898</v>
      </c>
      <c r="E68" s="12">
        <v>45412</v>
      </c>
      <c r="F68" s="4" t="s">
        <v>63</v>
      </c>
      <c r="G68" s="5" t="s">
        <v>924</v>
      </c>
      <c r="H68" s="4" t="s">
        <v>695</v>
      </c>
      <c r="I68" s="4" t="s">
        <v>975</v>
      </c>
      <c r="J68" s="6" t="s">
        <v>12</v>
      </c>
      <c r="K68" s="189">
        <v>0</v>
      </c>
      <c r="L68" s="189">
        <v>46473</v>
      </c>
      <c r="M68" s="192">
        <f>L68*-1</f>
        <v>-46473</v>
      </c>
    </row>
    <row r="69" spans="2:13" x14ac:dyDescent="0.3">
      <c r="B69" s="13" t="s">
        <v>94</v>
      </c>
      <c r="C69" s="14" t="str">
        <f>MID(D69,1,12)</f>
        <v>2.1.1.05.000</v>
      </c>
      <c r="D69" s="2" t="s">
        <v>898</v>
      </c>
      <c r="E69" s="12">
        <v>45443</v>
      </c>
      <c r="F69" s="4" t="s">
        <v>907</v>
      </c>
      <c r="G69" s="5" t="s">
        <v>924</v>
      </c>
      <c r="H69" s="4" t="s">
        <v>695</v>
      </c>
      <c r="I69" s="4" t="s">
        <v>975</v>
      </c>
      <c r="J69" s="6" t="s">
        <v>12</v>
      </c>
      <c r="K69" s="189">
        <v>0</v>
      </c>
      <c r="L69" s="189">
        <v>46473</v>
      </c>
      <c r="M69" s="192">
        <f>L69*-1</f>
        <v>-46473</v>
      </c>
    </row>
    <row r="70" spans="2:13" x14ac:dyDescent="0.3">
      <c r="B70" s="13" t="s">
        <v>94</v>
      </c>
      <c r="C70" s="14" t="str">
        <f>MID(D70,1,12)</f>
        <v>2.1.1.05.000</v>
      </c>
      <c r="D70" s="2" t="s">
        <v>898</v>
      </c>
      <c r="E70" s="12">
        <v>45473</v>
      </c>
      <c r="F70" s="4" t="s">
        <v>907</v>
      </c>
      <c r="G70" s="5" t="s">
        <v>924</v>
      </c>
      <c r="H70" s="4" t="s">
        <v>695</v>
      </c>
      <c r="I70" s="4" t="s">
        <v>975</v>
      </c>
      <c r="J70" s="6" t="s">
        <v>12</v>
      </c>
      <c r="K70" s="189">
        <v>0</v>
      </c>
      <c r="L70" s="189">
        <v>46473</v>
      </c>
      <c r="M70" s="192">
        <f>L70*-1</f>
        <v>-46473</v>
      </c>
    </row>
    <row r="71" spans="2:13" x14ac:dyDescent="0.3">
      <c r="B71" s="13" t="s">
        <v>94</v>
      </c>
      <c r="C71" s="14" t="str">
        <f>MID(D71,1,12)</f>
        <v>2.1.1.05.000</v>
      </c>
      <c r="D71" s="2" t="s">
        <v>898</v>
      </c>
      <c r="E71" s="12">
        <v>45504</v>
      </c>
      <c r="F71" s="4" t="s">
        <v>907</v>
      </c>
      <c r="G71" s="5" t="s">
        <v>924</v>
      </c>
      <c r="H71" s="4" t="s">
        <v>695</v>
      </c>
      <c r="I71" s="4" t="s">
        <v>975</v>
      </c>
      <c r="J71" s="6" t="s">
        <v>12</v>
      </c>
      <c r="K71" s="189">
        <v>0</v>
      </c>
      <c r="L71" s="189">
        <v>46473</v>
      </c>
      <c r="M71" s="192">
        <f>L71*-1</f>
        <v>-46473</v>
      </c>
    </row>
    <row r="72" spans="2:13" x14ac:dyDescent="0.3">
      <c r="B72" s="13" t="s">
        <v>94</v>
      </c>
      <c r="C72" s="14" t="str">
        <f>MID(D72,1,12)</f>
        <v>2.1.1.05.000</v>
      </c>
      <c r="D72" s="2" t="s">
        <v>898</v>
      </c>
      <c r="E72" s="12">
        <v>45565</v>
      </c>
      <c r="F72" s="4" t="s">
        <v>73</v>
      </c>
      <c r="G72" s="5" t="s">
        <v>917</v>
      </c>
      <c r="H72" s="4" t="s">
        <v>695</v>
      </c>
      <c r="I72" s="4" t="s">
        <v>977</v>
      </c>
      <c r="J72" s="6" t="s">
        <v>12</v>
      </c>
      <c r="K72" s="189">
        <v>0</v>
      </c>
      <c r="L72" s="189">
        <v>48811</v>
      </c>
      <c r="M72" s="192">
        <f>L72*-1</f>
        <v>-48811</v>
      </c>
    </row>
    <row r="73" spans="2:13" x14ac:dyDescent="0.3">
      <c r="B73" s="13" t="s">
        <v>94</v>
      </c>
      <c r="C73" s="14" t="str">
        <f>MID(D73,1,12)</f>
        <v>2.1.1.05.000</v>
      </c>
      <c r="D73" s="2" t="s">
        <v>898</v>
      </c>
      <c r="E73" s="12">
        <v>45382</v>
      </c>
      <c r="F73" s="4" t="s">
        <v>907</v>
      </c>
      <c r="G73" s="5" t="s">
        <v>917</v>
      </c>
      <c r="H73" s="4" t="s">
        <v>695</v>
      </c>
      <c r="I73" s="4" t="s">
        <v>977</v>
      </c>
      <c r="J73" s="6" t="s">
        <v>12</v>
      </c>
      <c r="K73" s="189">
        <v>0</v>
      </c>
      <c r="L73" s="189">
        <v>51772</v>
      </c>
      <c r="M73" s="192">
        <f>L73*-1</f>
        <v>-51772</v>
      </c>
    </row>
    <row r="74" spans="2:13" x14ac:dyDescent="0.3">
      <c r="B74" s="13" t="s">
        <v>94</v>
      </c>
      <c r="C74" s="14" t="str">
        <f>MID(D74,1,12)</f>
        <v>2.1.1.05.000</v>
      </c>
      <c r="D74" s="2" t="s">
        <v>898</v>
      </c>
      <c r="E74" s="12">
        <v>45322</v>
      </c>
      <c r="F74" s="4" t="s">
        <v>79</v>
      </c>
      <c r="G74" s="5" t="s">
        <v>917</v>
      </c>
      <c r="H74" s="4" t="s">
        <v>695</v>
      </c>
      <c r="I74" s="4" t="s">
        <v>977</v>
      </c>
      <c r="J74" s="6" t="s">
        <v>12</v>
      </c>
      <c r="K74" s="189">
        <v>0</v>
      </c>
      <c r="L74" s="189">
        <v>51773</v>
      </c>
      <c r="M74" s="192">
        <f>L74*-1</f>
        <v>-51773</v>
      </c>
    </row>
    <row r="75" spans="2:13" x14ac:dyDescent="0.3">
      <c r="B75" s="13" t="s">
        <v>94</v>
      </c>
      <c r="C75" s="14" t="str">
        <f>MID(D75,1,12)</f>
        <v>2.1.1.05.000</v>
      </c>
      <c r="D75" s="2" t="s">
        <v>898</v>
      </c>
      <c r="E75" s="12">
        <v>45351</v>
      </c>
      <c r="F75" s="4" t="s">
        <v>923</v>
      </c>
      <c r="G75" s="5" t="s">
        <v>917</v>
      </c>
      <c r="H75" s="4" t="s">
        <v>695</v>
      </c>
      <c r="I75" s="4" t="s">
        <v>977</v>
      </c>
      <c r="J75" s="6" t="s">
        <v>12</v>
      </c>
      <c r="K75" s="189">
        <v>0</v>
      </c>
      <c r="L75" s="189">
        <v>51773</v>
      </c>
      <c r="M75" s="192">
        <f>L75*-1</f>
        <v>-51773</v>
      </c>
    </row>
    <row r="76" spans="2:13" x14ac:dyDescent="0.3">
      <c r="B76" s="13" t="s">
        <v>94</v>
      </c>
      <c r="C76" s="14" t="str">
        <f>MID(D76,1,12)</f>
        <v>2.1.1.05.000</v>
      </c>
      <c r="D76" s="2" t="s">
        <v>898</v>
      </c>
      <c r="E76" s="12">
        <v>45412</v>
      </c>
      <c r="F76" s="4" t="s">
        <v>923</v>
      </c>
      <c r="G76" s="5" t="s">
        <v>917</v>
      </c>
      <c r="H76" s="4" t="s">
        <v>695</v>
      </c>
      <c r="I76" s="4" t="s">
        <v>977</v>
      </c>
      <c r="J76" s="6" t="s">
        <v>12</v>
      </c>
      <c r="K76" s="189">
        <v>0</v>
      </c>
      <c r="L76" s="189">
        <v>51773</v>
      </c>
      <c r="M76" s="192">
        <f>L76*-1</f>
        <v>-51773</v>
      </c>
    </row>
    <row r="77" spans="2:13" x14ac:dyDescent="0.3">
      <c r="B77" s="13" t="s">
        <v>94</v>
      </c>
      <c r="C77" s="14" t="str">
        <f>MID(D77,1,12)</f>
        <v>2.1.1.05.000</v>
      </c>
      <c r="D77" s="2" t="s">
        <v>898</v>
      </c>
      <c r="E77" s="12">
        <v>45443</v>
      </c>
      <c r="F77" s="4" t="s">
        <v>69</v>
      </c>
      <c r="G77" s="5" t="s">
        <v>917</v>
      </c>
      <c r="H77" s="4" t="s">
        <v>695</v>
      </c>
      <c r="I77" s="4" t="s">
        <v>977</v>
      </c>
      <c r="J77" s="6" t="s">
        <v>12</v>
      </c>
      <c r="K77" s="189">
        <v>0</v>
      </c>
      <c r="L77" s="189">
        <v>51773</v>
      </c>
      <c r="M77" s="192">
        <f>L77*-1</f>
        <v>-51773</v>
      </c>
    </row>
    <row r="78" spans="2:13" x14ac:dyDescent="0.3">
      <c r="B78" s="13" t="s">
        <v>94</v>
      </c>
      <c r="C78" s="14" t="str">
        <f>MID(D78,1,12)</f>
        <v>2.1.1.05.000</v>
      </c>
      <c r="D78" s="2" t="s">
        <v>898</v>
      </c>
      <c r="E78" s="12">
        <v>45473</v>
      </c>
      <c r="F78" s="4" t="s">
        <v>69</v>
      </c>
      <c r="G78" s="5" t="s">
        <v>917</v>
      </c>
      <c r="H78" s="4" t="s">
        <v>695</v>
      </c>
      <c r="I78" s="4" t="s">
        <v>977</v>
      </c>
      <c r="J78" s="6" t="s">
        <v>980</v>
      </c>
      <c r="K78" s="189">
        <v>0</v>
      </c>
      <c r="L78" s="189">
        <v>51773</v>
      </c>
      <c r="M78" s="192">
        <f>L78*-1</f>
        <v>-51773</v>
      </c>
    </row>
    <row r="79" spans="2:13" x14ac:dyDescent="0.3">
      <c r="B79" s="13" t="s">
        <v>94</v>
      </c>
      <c r="C79" s="14" t="str">
        <f>MID(D79,1,12)</f>
        <v>2.1.1.05.000</v>
      </c>
      <c r="D79" s="2" t="s">
        <v>898</v>
      </c>
      <c r="E79" s="12">
        <v>45504</v>
      </c>
      <c r="F79" s="4" t="s">
        <v>69</v>
      </c>
      <c r="G79" s="5" t="s">
        <v>917</v>
      </c>
      <c r="H79" s="4" t="s">
        <v>695</v>
      </c>
      <c r="I79" s="4" t="s">
        <v>977</v>
      </c>
      <c r="J79" s="6" t="s">
        <v>12</v>
      </c>
      <c r="K79" s="189">
        <v>0</v>
      </c>
      <c r="L79" s="189">
        <v>51773</v>
      </c>
      <c r="M79" s="192">
        <f>L79*-1</f>
        <v>-51773</v>
      </c>
    </row>
    <row r="80" spans="2:13" x14ac:dyDescent="0.3">
      <c r="B80" s="13" t="s">
        <v>94</v>
      </c>
      <c r="C80" s="14" t="str">
        <f>MID(D80,1,12)</f>
        <v>2.1.1.05.000</v>
      </c>
      <c r="D80" s="2" t="s">
        <v>898</v>
      </c>
      <c r="E80" s="12">
        <v>45412</v>
      </c>
      <c r="F80" s="4" t="s">
        <v>939</v>
      </c>
      <c r="G80" s="5" t="s">
        <v>927</v>
      </c>
      <c r="H80" s="4" t="s">
        <v>693</v>
      </c>
      <c r="I80" s="4" t="s">
        <v>975</v>
      </c>
      <c r="J80" s="6" t="s">
        <v>988</v>
      </c>
      <c r="K80" s="189">
        <v>55372.32</v>
      </c>
      <c r="L80" s="189">
        <v>0</v>
      </c>
      <c r="M80" s="192">
        <v>55372.32</v>
      </c>
    </row>
    <row r="81" spans="2:14" hidden="1" x14ac:dyDescent="0.3">
      <c r="B81" s="13" t="s">
        <v>221</v>
      </c>
      <c r="C81" s="14" t="str">
        <f>MID(D81,1,12)</f>
        <v>2.1.1.05.000</v>
      </c>
      <c r="D81" s="2" t="s">
        <v>898</v>
      </c>
      <c r="E81" s="12">
        <v>46142</v>
      </c>
      <c r="F81" s="4" t="s">
        <v>964</v>
      </c>
      <c r="G81" s="5" t="s">
        <v>965</v>
      </c>
      <c r="H81" s="4" t="s">
        <v>693</v>
      </c>
      <c r="I81" s="4" t="s">
        <v>977</v>
      </c>
      <c r="J81" s="6" t="s">
        <v>12</v>
      </c>
      <c r="K81" s="189">
        <v>56492.33</v>
      </c>
      <c r="L81" s="189">
        <v>0</v>
      </c>
      <c r="M81" s="192">
        <v>56492.33</v>
      </c>
    </row>
    <row r="82" spans="2:14" hidden="1" x14ac:dyDescent="0.3">
      <c r="B82" s="13" t="s">
        <v>93</v>
      </c>
      <c r="C82" s="14" t="str">
        <f>MID(D82,1,12)</f>
        <v>2.1.1.05.000</v>
      </c>
      <c r="D82" s="2" t="s">
        <v>898</v>
      </c>
      <c r="E82" s="12">
        <v>45138</v>
      </c>
      <c r="F82" s="4" t="s">
        <v>919</v>
      </c>
      <c r="G82" s="5" t="s">
        <v>917</v>
      </c>
      <c r="H82" s="4" t="s">
        <v>695</v>
      </c>
      <c r="I82" s="4" t="s">
        <v>975</v>
      </c>
      <c r="J82" s="6" t="s">
        <v>12</v>
      </c>
      <c r="K82" s="189">
        <v>0</v>
      </c>
      <c r="L82" s="189">
        <v>56639</v>
      </c>
      <c r="M82" s="192">
        <f>L82*-1</f>
        <v>-56639</v>
      </c>
    </row>
    <row r="83" spans="2:14" hidden="1" x14ac:dyDescent="0.3">
      <c r="B83" s="13" t="s">
        <v>93</v>
      </c>
      <c r="C83" s="14" t="str">
        <f>MID(D83,1,12)</f>
        <v>2.1.1.05.000</v>
      </c>
      <c r="D83" s="2" t="s">
        <v>898</v>
      </c>
      <c r="E83" s="12">
        <v>45199</v>
      </c>
      <c r="F83" s="4" t="s">
        <v>74</v>
      </c>
      <c r="G83" s="5" t="s">
        <v>917</v>
      </c>
      <c r="H83" s="4" t="s">
        <v>695</v>
      </c>
      <c r="I83" s="4" t="s">
        <v>975</v>
      </c>
      <c r="J83" s="6" t="s">
        <v>12</v>
      </c>
      <c r="K83" s="189">
        <v>0</v>
      </c>
      <c r="L83" s="189">
        <v>56639</v>
      </c>
      <c r="M83" s="192">
        <f>L83*-1</f>
        <v>-56639</v>
      </c>
    </row>
    <row r="84" spans="2:14" hidden="1" x14ac:dyDescent="0.3">
      <c r="B84" s="13" t="s">
        <v>93</v>
      </c>
      <c r="C84" s="14" t="str">
        <f>MID(D84,1,12)</f>
        <v>2.1.1.05.000</v>
      </c>
      <c r="D84" s="2" t="s">
        <v>898</v>
      </c>
      <c r="E84" s="12">
        <v>45169</v>
      </c>
      <c r="F84" s="4" t="s">
        <v>74</v>
      </c>
      <c r="G84" s="5" t="s">
        <v>917</v>
      </c>
      <c r="H84" s="4" t="s">
        <v>695</v>
      </c>
      <c r="I84" s="4" t="s">
        <v>975</v>
      </c>
      <c r="J84" s="6" t="s">
        <v>12</v>
      </c>
      <c r="K84" s="189">
        <v>0</v>
      </c>
      <c r="L84" s="189">
        <v>56640</v>
      </c>
      <c r="M84" s="192">
        <f>L84*-1</f>
        <v>-56640</v>
      </c>
    </row>
    <row r="85" spans="2:14" hidden="1" x14ac:dyDescent="0.3">
      <c r="B85" s="13" t="s">
        <v>93</v>
      </c>
      <c r="C85" s="14" t="str">
        <f>MID(D85,1,12)</f>
        <v>2.1.1.05.000</v>
      </c>
      <c r="D85" s="2" t="s">
        <v>898</v>
      </c>
      <c r="E85" s="12">
        <v>45230</v>
      </c>
      <c r="F85" s="4" t="s">
        <v>920</v>
      </c>
      <c r="G85" s="5" t="s">
        <v>917</v>
      </c>
      <c r="H85" s="4" t="s">
        <v>695</v>
      </c>
      <c r="I85" s="4" t="s">
        <v>975</v>
      </c>
      <c r="J85" s="6" t="s">
        <v>12</v>
      </c>
      <c r="K85" s="189">
        <v>0</v>
      </c>
      <c r="L85" s="189">
        <v>56640</v>
      </c>
      <c r="M85" s="192">
        <f>L85*-1</f>
        <v>-56640</v>
      </c>
    </row>
    <row r="86" spans="2:14" x14ac:dyDescent="0.3">
      <c r="B86" s="13" t="s">
        <v>94</v>
      </c>
      <c r="C86" s="14" t="str">
        <f>MID(D86,1,12)</f>
        <v>2.1.1.05.000</v>
      </c>
      <c r="D86" s="2" t="s">
        <v>898</v>
      </c>
      <c r="E86" s="12">
        <v>45566</v>
      </c>
      <c r="F86" s="4" t="s">
        <v>69</v>
      </c>
      <c r="G86" s="5" t="s">
        <v>924</v>
      </c>
      <c r="H86" s="4" t="s">
        <v>695</v>
      </c>
      <c r="I86" s="4" t="s">
        <v>975</v>
      </c>
      <c r="J86" s="6" t="s">
        <v>12</v>
      </c>
      <c r="K86" s="189">
        <v>56880</v>
      </c>
      <c r="L86" s="189">
        <v>0</v>
      </c>
      <c r="M86" s="192">
        <v>56880</v>
      </c>
    </row>
    <row r="87" spans="2:14" hidden="1" x14ac:dyDescent="0.3">
      <c r="B87" s="13" t="s">
        <v>92</v>
      </c>
      <c r="C87" s="14" t="str">
        <f>MID(D87,1,12)</f>
        <v>2.1.1.05.000</v>
      </c>
      <c r="D87" s="2" t="s">
        <v>898</v>
      </c>
      <c r="E87" s="12">
        <v>44592</v>
      </c>
      <c r="F87" s="4" t="s">
        <v>75</v>
      </c>
      <c r="G87" s="5" t="s">
        <v>910</v>
      </c>
      <c r="H87" s="4" t="s">
        <v>695</v>
      </c>
      <c r="I87" s="4" t="s">
        <v>975</v>
      </c>
      <c r="J87" s="6" t="s">
        <v>12</v>
      </c>
      <c r="K87" s="189">
        <v>0</v>
      </c>
      <c r="L87" s="189">
        <v>59713.2</v>
      </c>
      <c r="M87" s="193">
        <f>L87*-1</f>
        <v>-59713.2</v>
      </c>
      <c r="N87" s="2" t="s">
        <v>1000</v>
      </c>
    </row>
    <row r="88" spans="2:14" hidden="1" x14ac:dyDescent="0.3">
      <c r="B88" s="13" t="s">
        <v>92</v>
      </c>
      <c r="C88" s="14" t="str">
        <f>MID(D88,1,12)</f>
        <v>2.1.1.05.000</v>
      </c>
      <c r="D88" s="2" t="s">
        <v>898</v>
      </c>
      <c r="E88" s="12">
        <v>44620</v>
      </c>
      <c r="F88" s="4" t="s">
        <v>80</v>
      </c>
      <c r="G88" s="5" t="s">
        <v>910</v>
      </c>
      <c r="H88" s="4" t="s">
        <v>695</v>
      </c>
      <c r="I88" s="4" t="s">
        <v>975</v>
      </c>
      <c r="J88" s="6" t="s">
        <v>12</v>
      </c>
      <c r="K88" s="189">
        <v>0</v>
      </c>
      <c r="L88" s="189">
        <v>59713.2</v>
      </c>
      <c r="M88" s="193">
        <f>L88*-1</f>
        <v>-59713.2</v>
      </c>
      <c r="N88" s="2" t="s">
        <v>1000</v>
      </c>
    </row>
    <row r="89" spans="2:14" hidden="1" x14ac:dyDescent="0.3">
      <c r="B89" s="13" t="s">
        <v>92</v>
      </c>
      <c r="C89" s="14" t="str">
        <f>MID(D89,1,12)</f>
        <v>2.1.1.05.000</v>
      </c>
      <c r="D89" s="2" t="s">
        <v>898</v>
      </c>
      <c r="E89" s="12">
        <v>44651</v>
      </c>
      <c r="F89" s="4" t="s">
        <v>69</v>
      </c>
      <c r="G89" s="5" t="s">
        <v>910</v>
      </c>
      <c r="H89" s="4" t="s">
        <v>695</v>
      </c>
      <c r="I89" s="4" t="s">
        <v>975</v>
      </c>
      <c r="J89" s="6" t="s">
        <v>12</v>
      </c>
      <c r="K89" s="189">
        <v>0</v>
      </c>
      <c r="L89" s="189">
        <v>59713.2</v>
      </c>
      <c r="M89" s="193">
        <f>L89*-1</f>
        <v>-59713.2</v>
      </c>
      <c r="N89" s="2" t="s">
        <v>1000</v>
      </c>
    </row>
    <row r="90" spans="2:14" hidden="1" x14ac:dyDescent="0.3">
      <c r="B90" s="13" t="s">
        <v>92</v>
      </c>
      <c r="C90" s="14" t="str">
        <f>MID(D90,1,12)</f>
        <v>2.1.1.05.000</v>
      </c>
      <c r="D90" s="2" t="s">
        <v>898</v>
      </c>
      <c r="E90" s="12">
        <v>44681</v>
      </c>
      <c r="F90" s="4" t="s">
        <v>76</v>
      </c>
      <c r="G90" s="5" t="s">
        <v>910</v>
      </c>
      <c r="H90" s="4" t="s">
        <v>695</v>
      </c>
      <c r="I90" s="4" t="s">
        <v>975</v>
      </c>
      <c r="J90" s="6" t="s">
        <v>12</v>
      </c>
      <c r="K90" s="189">
        <v>0</v>
      </c>
      <c r="L90" s="189">
        <v>59713.2</v>
      </c>
      <c r="M90" s="193">
        <f>L90*-1</f>
        <v>-59713.2</v>
      </c>
      <c r="N90" s="2" t="s">
        <v>1000</v>
      </c>
    </row>
    <row r="91" spans="2:14" hidden="1" x14ac:dyDescent="0.3">
      <c r="B91" s="13" t="s">
        <v>92</v>
      </c>
      <c r="C91" s="14" t="str">
        <f>MID(D91,1,12)</f>
        <v>2.1.1.05.000</v>
      </c>
      <c r="D91" s="2" t="s">
        <v>898</v>
      </c>
      <c r="E91" s="12">
        <v>44712</v>
      </c>
      <c r="F91" s="4" t="s">
        <v>907</v>
      </c>
      <c r="G91" s="5" t="s">
        <v>910</v>
      </c>
      <c r="H91" s="4" t="s">
        <v>695</v>
      </c>
      <c r="I91" s="4" t="s">
        <v>975</v>
      </c>
      <c r="J91" s="6" t="s">
        <v>12</v>
      </c>
      <c r="K91" s="189">
        <v>0</v>
      </c>
      <c r="L91" s="189">
        <v>59713.2</v>
      </c>
      <c r="M91" s="193">
        <f>L91*-1</f>
        <v>-59713.2</v>
      </c>
      <c r="N91" s="2" t="s">
        <v>1000</v>
      </c>
    </row>
    <row r="92" spans="2:14" hidden="1" x14ac:dyDescent="0.3">
      <c r="B92" s="13" t="s">
        <v>92</v>
      </c>
      <c r="C92" s="14" t="str">
        <f>MID(D92,1,12)</f>
        <v>2.1.1.05.000</v>
      </c>
      <c r="D92" s="2" t="s">
        <v>898</v>
      </c>
      <c r="E92" s="12">
        <v>44742</v>
      </c>
      <c r="F92" s="4" t="s">
        <v>913</v>
      </c>
      <c r="G92" s="5" t="s">
        <v>910</v>
      </c>
      <c r="H92" s="4" t="s">
        <v>695</v>
      </c>
      <c r="I92" s="4" t="s">
        <v>975</v>
      </c>
      <c r="J92" s="6" t="s">
        <v>12</v>
      </c>
      <c r="K92" s="189">
        <v>0</v>
      </c>
      <c r="L92" s="189">
        <v>59713.2</v>
      </c>
      <c r="M92" s="193">
        <f>L92*-1</f>
        <v>-59713.2</v>
      </c>
      <c r="N92" s="2" t="s">
        <v>1000</v>
      </c>
    </row>
    <row r="93" spans="2:14" hidden="1" x14ac:dyDescent="0.3">
      <c r="B93" s="13" t="s">
        <v>92</v>
      </c>
      <c r="C93" s="14" t="str">
        <f>MID(D93,1,12)</f>
        <v>2.1.1.05.000</v>
      </c>
      <c r="D93" s="2" t="s">
        <v>898</v>
      </c>
      <c r="E93" s="12">
        <v>44773</v>
      </c>
      <c r="F93" s="4" t="s">
        <v>69</v>
      </c>
      <c r="G93" s="5" t="s">
        <v>910</v>
      </c>
      <c r="H93" s="4" t="s">
        <v>695</v>
      </c>
      <c r="I93" s="4" t="s">
        <v>975</v>
      </c>
      <c r="J93" s="6" t="s">
        <v>12</v>
      </c>
      <c r="K93" s="189">
        <v>0</v>
      </c>
      <c r="L93" s="189">
        <v>59713.2</v>
      </c>
      <c r="M93" s="193">
        <f>L93*-1</f>
        <v>-59713.2</v>
      </c>
      <c r="N93" s="2" t="s">
        <v>1000</v>
      </c>
    </row>
    <row r="94" spans="2:14" hidden="1" x14ac:dyDescent="0.3">
      <c r="B94" s="13" t="s">
        <v>92</v>
      </c>
      <c r="C94" s="14" t="str">
        <f>MID(D94,1,12)</f>
        <v>2.1.1.05.000</v>
      </c>
      <c r="D94" s="2" t="s">
        <v>898</v>
      </c>
      <c r="E94" s="12">
        <v>44803</v>
      </c>
      <c r="F94" s="4" t="s">
        <v>69</v>
      </c>
      <c r="G94" s="5" t="s">
        <v>910</v>
      </c>
      <c r="H94" s="4" t="s">
        <v>695</v>
      </c>
      <c r="I94" s="4" t="s">
        <v>975</v>
      </c>
      <c r="J94" s="6" t="s">
        <v>12</v>
      </c>
      <c r="K94" s="189">
        <v>0</v>
      </c>
      <c r="L94" s="189">
        <v>59713.2</v>
      </c>
      <c r="M94" s="193">
        <f>L94*-1</f>
        <v>-59713.2</v>
      </c>
      <c r="N94" s="2" t="s">
        <v>1000</v>
      </c>
    </row>
    <row r="95" spans="2:14" hidden="1" x14ac:dyDescent="0.3">
      <c r="B95" s="13" t="s">
        <v>92</v>
      </c>
      <c r="C95" s="14" t="str">
        <f>MID(D95,1,12)</f>
        <v>2.1.1.05.000</v>
      </c>
      <c r="D95" s="2" t="s">
        <v>898</v>
      </c>
      <c r="E95" s="12">
        <v>44834</v>
      </c>
      <c r="F95" s="4" t="s">
        <v>907</v>
      </c>
      <c r="G95" s="5" t="s">
        <v>910</v>
      </c>
      <c r="H95" s="4" t="s">
        <v>695</v>
      </c>
      <c r="I95" s="4" t="s">
        <v>975</v>
      </c>
      <c r="J95" s="6" t="s">
        <v>12</v>
      </c>
      <c r="K95" s="189">
        <v>0</v>
      </c>
      <c r="L95" s="189">
        <v>59713.2</v>
      </c>
      <c r="M95" s="193">
        <f>L95*-1</f>
        <v>-59713.2</v>
      </c>
      <c r="N95" s="2" t="s">
        <v>1000</v>
      </c>
    </row>
    <row r="96" spans="2:14" hidden="1" x14ac:dyDescent="0.3">
      <c r="B96" s="13" t="s">
        <v>92</v>
      </c>
      <c r="C96" s="14" t="str">
        <f>MID(D96,1,12)</f>
        <v>2.1.1.05.000</v>
      </c>
      <c r="D96" s="2" t="s">
        <v>898</v>
      </c>
      <c r="E96" s="12">
        <v>44835</v>
      </c>
      <c r="F96" s="4" t="s">
        <v>913</v>
      </c>
      <c r="G96" s="5" t="s">
        <v>910</v>
      </c>
      <c r="H96" s="4" t="s">
        <v>695</v>
      </c>
      <c r="I96" s="4" t="s">
        <v>975</v>
      </c>
      <c r="J96" s="6" t="s">
        <v>12</v>
      </c>
      <c r="K96" s="189">
        <v>0</v>
      </c>
      <c r="L96" s="189">
        <v>59713.2</v>
      </c>
      <c r="M96" s="193">
        <f>L96*-1</f>
        <v>-59713.2</v>
      </c>
      <c r="N96" s="2" t="s">
        <v>1000</v>
      </c>
    </row>
    <row r="97" spans="2:16" hidden="1" x14ac:dyDescent="0.3">
      <c r="B97" s="13" t="s">
        <v>95</v>
      </c>
      <c r="C97" s="14" t="str">
        <f>MID(D97,1,12)</f>
        <v>2.1.1.05.000</v>
      </c>
      <c r="D97" s="2" t="s">
        <v>898</v>
      </c>
      <c r="E97" s="12">
        <v>45808</v>
      </c>
      <c r="F97" s="4" t="s">
        <v>79</v>
      </c>
      <c r="G97" s="5" t="s">
        <v>953</v>
      </c>
      <c r="H97" s="4" t="s">
        <v>695</v>
      </c>
      <c r="I97" s="4" t="s">
        <v>975</v>
      </c>
      <c r="J97" s="6" t="s">
        <v>12</v>
      </c>
      <c r="K97" s="189">
        <v>0</v>
      </c>
      <c r="L97" s="189">
        <v>62406</v>
      </c>
      <c r="M97" s="192">
        <f>L97*-1</f>
        <v>-62406</v>
      </c>
    </row>
    <row r="98" spans="2:16" hidden="1" x14ac:dyDescent="0.3">
      <c r="B98" s="13" t="s">
        <v>93</v>
      </c>
      <c r="C98" s="14" t="str">
        <f>MID(D98,1,12)</f>
        <v>2.1.1.05.000</v>
      </c>
      <c r="D98" s="2" t="s">
        <v>898</v>
      </c>
      <c r="E98" s="12">
        <v>44957</v>
      </c>
      <c r="F98" s="4" t="s">
        <v>78</v>
      </c>
      <c r="G98" s="5" t="s">
        <v>910</v>
      </c>
      <c r="H98" s="4" t="s">
        <v>695</v>
      </c>
      <c r="I98" s="4" t="s">
        <v>975</v>
      </c>
      <c r="J98" s="6" t="s">
        <v>12</v>
      </c>
      <c r="K98" s="189">
        <v>0</v>
      </c>
      <c r="L98" s="189">
        <v>66439</v>
      </c>
      <c r="M98" s="192">
        <f>L98*-1</f>
        <v>-66439</v>
      </c>
    </row>
    <row r="99" spans="2:16" hidden="1" x14ac:dyDescent="0.3">
      <c r="B99" s="13" t="s">
        <v>93</v>
      </c>
      <c r="C99" s="14" t="str">
        <f>MID(D99,1,12)</f>
        <v>2.1.1.05.000</v>
      </c>
      <c r="D99" s="2" t="s">
        <v>898</v>
      </c>
      <c r="E99" s="12">
        <v>44985</v>
      </c>
      <c r="F99" s="4" t="s">
        <v>64</v>
      </c>
      <c r="G99" s="5" t="s">
        <v>910</v>
      </c>
      <c r="H99" s="4" t="s">
        <v>695</v>
      </c>
      <c r="I99" s="4" t="s">
        <v>975</v>
      </c>
      <c r="J99" s="6" t="s">
        <v>12</v>
      </c>
      <c r="K99" s="189">
        <v>0</v>
      </c>
      <c r="L99" s="189">
        <v>66439</v>
      </c>
      <c r="M99" s="192">
        <f>L99*-1</f>
        <v>-66439</v>
      </c>
    </row>
    <row r="100" spans="2:16" hidden="1" x14ac:dyDescent="0.3">
      <c r="B100" s="13" t="s">
        <v>93</v>
      </c>
      <c r="C100" s="14" t="str">
        <f>MID(D100,1,12)</f>
        <v>2.1.1.05.000</v>
      </c>
      <c r="D100" s="2" t="s">
        <v>898</v>
      </c>
      <c r="E100" s="12">
        <v>45016</v>
      </c>
      <c r="F100" s="4" t="s">
        <v>79</v>
      </c>
      <c r="G100" s="5" t="s">
        <v>910</v>
      </c>
      <c r="H100" s="4" t="s">
        <v>695</v>
      </c>
      <c r="I100" s="4" t="s">
        <v>975</v>
      </c>
      <c r="J100" s="6" t="s">
        <v>12</v>
      </c>
      <c r="K100" s="189">
        <v>0</v>
      </c>
      <c r="L100" s="189">
        <v>66439</v>
      </c>
      <c r="M100" s="192">
        <f>L100*-1</f>
        <v>-66439</v>
      </c>
    </row>
    <row r="101" spans="2:16" hidden="1" x14ac:dyDescent="0.3">
      <c r="B101" s="13" t="s">
        <v>93</v>
      </c>
      <c r="C101" s="14" t="str">
        <f>MID(D101,1,12)</f>
        <v>2.1.1.05.000</v>
      </c>
      <c r="D101" s="2" t="s">
        <v>898</v>
      </c>
      <c r="E101" s="12">
        <v>45077</v>
      </c>
      <c r="F101" s="4" t="s">
        <v>916</v>
      </c>
      <c r="G101" s="5" t="s">
        <v>917</v>
      </c>
      <c r="H101" s="4" t="s">
        <v>695</v>
      </c>
      <c r="I101" s="4" t="s">
        <v>975</v>
      </c>
      <c r="J101" s="6" t="s">
        <v>12</v>
      </c>
      <c r="K101" s="189">
        <v>0</v>
      </c>
      <c r="L101" s="189">
        <v>66439</v>
      </c>
      <c r="M101" s="192">
        <f>L101*-1</f>
        <v>-66439</v>
      </c>
    </row>
    <row r="102" spans="2:16" hidden="1" x14ac:dyDescent="0.3">
      <c r="B102" s="13" t="s">
        <v>93</v>
      </c>
      <c r="C102" s="14" t="str">
        <f>MID(D102,1,12)</f>
        <v>2.1.1.05.000</v>
      </c>
      <c r="D102" s="2" t="s">
        <v>898</v>
      </c>
      <c r="E102" s="12">
        <v>45046</v>
      </c>
      <c r="F102" s="4" t="s">
        <v>72</v>
      </c>
      <c r="G102" s="5" t="s">
        <v>910</v>
      </c>
      <c r="H102" s="4" t="s">
        <v>695</v>
      </c>
      <c r="I102" s="4" t="s">
        <v>975</v>
      </c>
      <c r="J102" s="6" t="s">
        <v>12</v>
      </c>
      <c r="K102" s="189">
        <v>0</v>
      </c>
      <c r="L102" s="189">
        <v>66440</v>
      </c>
      <c r="M102" s="192">
        <f>L102*-1</f>
        <v>-66440</v>
      </c>
    </row>
    <row r="103" spans="2:16" hidden="1" x14ac:dyDescent="0.3">
      <c r="B103" s="13" t="s">
        <v>94</v>
      </c>
      <c r="C103" s="14" t="str">
        <f>MID(D103,1,12)</f>
        <v>2.1.1.05.000</v>
      </c>
      <c r="D103" s="2" t="s">
        <v>898</v>
      </c>
      <c r="E103" s="12">
        <v>45387</v>
      </c>
      <c r="F103" s="4" t="s">
        <v>925</v>
      </c>
      <c r="G103" s="4" t="s">
        <v>997</v>
      </c>
      <c r="H103" s="4" t="s">
        <v>249</v>
      </c>
      <c r="I103" s="4" t="s">
        <v>977</v>
      </c>
      <c r="J103" s="6" t="s">
        <v>12</v>
      </c>
      <c r="K103" s="189">
        <v>71574.929999999993</v>
      </c>
      <c r="L103" s="189">
        <v>0</v>
      </c>
      <c r="M103" s="193">
        <v>71574.929999999993</v>
      </c>
      <c r="N103" s="2" t="s">
        <v>1000</v>
      </c>
    </row>
    <row r="104" spans="2:16" hidden="1" x14ac:dyDescent="0.3">
      <c r="B104" s="13" t="s">
        <v>94</v>
      </c>
      <c r="C104" s="14" t="str">
        <f>MID(D104,1,12)</f>
        <v>2.1.1.05.000</v>
      </c>
      <c r="D104" s="2" t="s">
        <v>898</v>
      </c>
      <c r="E104" s="12">
        <v>45413</v>
      </c>
      <c r="F104" s="4" t="s">
        <v>940</v>
      </c>
      <c r="G104" s="4" t="s">
        <v>998</v>
      </c>
      <c r="H104" s="4" t="s">
        <v>459</v>
      </c>
      <c r="I104" s="4" t="s">
        <v>977</v>
      </c>
      <c r="J104" s="6" t="s">
        <v>989</v>
      </c>
      <c r="K104" s="189">
        <v>0</v>
      </c>
      <c r="L104" s="189">
        <v>71574.929999999993</v>
      </c>
      <c r="M104" s="193">
        <f>L104*-1</f>
        <v>-71574.929999999993</v>
      </c>
      <c r="N104" s="2" t="s">
        <v>1000</v>
      </c>
    </row>
    <row r="105" spans="2:16" x14ac:dyDescent="0.3">
      <c r="B105" s="13" t="s">
        <v>94</v>
      </c>
      <c r="C105" s="14" t="str">
        <f>MID(D105,1,12)</f>
        <v>2.1.1.05.000</v>
      </c>
      <c r="D105" s="2" t="s">
        <v>898</v>
      </c>
      <c r="E105" s="12">
        <v>45657</v>
      </c>
      <c r="F105" s="4" t="s">
        <v>944</v>
      </c>
      <c r="G105" s="5" t="s">
        <v>942</v>
      </c>
      <c r="H105" s="4" t="s">
        <v>695</v>
      </c>
      <c r="I105" s="4" t="s">
        <v>975</v>
      </c>
      <c r="J105" s="6" t="s">
        <v>12</v>
      </c>
      <c r="K105" s="189">
        <v>75000</v>
      </c>
      <c r="L105" s="189">
        <v>0</v>
      </c>
      <c r="M105" s="192">
        <v>75000</v>
      </c>
    </row>
    <row r="106" spans="2:16" hidden="1" x14ac:dyDescent="0.3">
      <c r="B106" s="13" t="s">
        <v>95</v>
      </c>
      <c r="C106" s="14" t="str">
        <f>MID(D106,1,12)</f>
        <v>2.1.1.05.000</v>
      </c>
      <c r="D106" s="2" t="s">
        <v>898</v>
      </c>
      <c r="E106" s="12">
        <v>45716</v>
      </c>
      <c r="F106" s="4" t="s">
        <v>945</v>
      </c>
      <c r="G106" s="5" t="s">
        <v>947</v>
      </c>
      <c r="H106" s="4" t="s">
        <v>695</v>
      </c>
      <c r="I106" s="4" t="s">
        <v>975</v>
      </c>
      <c r="J106" s="6" t="s">
        <v>12</v>
      </c>
      <c r="K106" s="189">
        <v>0</v>
      </c>
      <c r="L106" s="189">
        <v>76653</v>
      </c>
      <c r="M106" s="192">
        <f>L106*-1</f>
        <v>-76653</v>
      </c>
    </row>
    <row r="107" spans="2:16" hidden="1" x14ac:dyDescent="0.3">
      <c r="B107" s="13" t="s">
        <v>95</v>
      </c>
      <c r="C107" s="14" t="str">
        <f>MID(D107,1,12)</f>
        <v>2.1.1.05.000</v>
      </c>
      <c r="D107" s="2" t="s">
        <v>898</v>
      </c>
      <c r="E107" s="12">
        <v>45716</v>
      </c>
      <c r="F107" s="4" t="s">
        <v>948</v>
      </c>
      <c r="G107" s="5" t="s">
        <v>949</v>
      </c>
      <c r="H107" s="4" t="s">
        <v>695</v>
      </c>
      <c r="I107" s="4" t="s">
        <v>975</v>
      </c>
      <c r="J107" s="6" t="s">
        <v>12</v>
      </c>
      <c r="K107" s="189">
        <v>0</v>
      </c>
      <c r="L107" s="189">
        <v>76653</v>
      </c>
      <c r="M107" s="192">
        <f>L107*-1</f>
        <v>-76653</v>
      </c>
    </row>
    <row r="108" spans="2:16" hidden="1" x14ac:dyDescent="0.3">
      <c r="B108" s="13" t="s">
        <v>95</v>
      </c>
      <c r="C108" s="14" t="str">
        <f>MID(D108,1,12)</f>
        <v>2.1.1.05.000</v>
      </c>
      <c r="D108" s="2" t="s">
        <v>898</v>
      </c>
      <c r="E108" s="12">
        <v>45747</v>
      </c>
      <c r="F108" s="4" t="s">
        <v>945</v>
      </c>
      <c r="G108" s="5" t="s">
        <v>950</v>
      </c>
      <c r="H108" s="4" t="s">
        <v>695</v>
      </c>
      <c r="I108" s="4" t="s">
        <v>975</v>
      </c>
      <c r="J108" s="6" t="s">
        <v>12</v>
      </c>
      <c r="K108" s="189">
        <v>0</v>
      </c>
      <c r="L108" s="189">
        <v>76653</v>
      </c>
      <c r="M108" s="192">
        <f>L108*-1</f>
        <v>-76653</v>
      </c>
      <c r="N108" s="194">
        <v>-229959</v>
      </c>
      <c r="O108" s="187">
        <v>350000</v>
      </c>
      <c r="P108" s="195">
        <f>N108+O108</f>
        <v>120041</v>
      </c>
    </row>
    <row r="109" spans="2:16" hidden="1" x14ac:dyDescent="0.3">
      <c r="B109" s="13" t="s">
        <v>95</v>
      </c>
      <c r="C109" s="14" t="str">
        <f>MID(D109,1,12)</f>
        <v>2.1.1.05.000</v>
      </c>
      <c r="D109" s="2" t="s">
        <v>898</v>
      </c>
      <c r="E109" s="12">
        <v>45747</v>
      </c>
      <c r="F109" s="4" t="s">
        <v>948</v>
      </c>
      <c r="G109" s="5" t="s">
        <v>951</v>
      </c>
      <c r="H109" s="4" t="s">
        <v>695</v>
      </c>
      <c r="I109" s="4" t="s">
        <v>975</v>
      </c>
      <c r="J109" s="6" t="s">
        <v>12</v>
      </c>
      <c r="K109" s="189">
        <v>76653</v>
      </c>
      <c r="L109" s="189">
        <v>0</v>
      </c>
      <c r="M109" s="193">
        <v>76653</v>
      </c>
      <c r="N109" s="2" t="s">
        <v>1000</v>
      </c>
    </row>
    <row r="110" spans="2:16" hidden="1" x14ac:dyDescent="0.3">
      <c r="B110" s="13" t="s">
        <v>95</v>
      </c>
      <c r="C110" s="14" t="str">
        <f>MID(D110,1,12)</f>
        <v>2.1.1.05.000</v>
      </c>
      <c r="D110" s="2" t="s">
        <v>898</v>
      </c>
      <c r="E110" s="12">
        <v>45777</v>
      </c>
      <c r="F110" s="4" t="s">
        <v>907</v>
      </c>
      <c r="G110" s="5" t="s">
        <v>952</v>
      </c>
      <c r="H110" s="4" t="s">
        <v>695</v>
      </c>
      <c r="I110" s="4" t="s">
        <v>975</v>
      </c>
      <c r="J110" s="6" t="s">
        <v>12</v>
      </c>
      <c r="K110" s="189">
        <v>0</v>
      </c>
      <c r="L110" s="189">
        <v>76653</v>
      </c>
      <c r="M110" s="193">
        <f>L110*-1</f>
        <v>-76653</v>
      </c>
      <c r="N110" s="2" t="s">
        <v>1000</v>
      </c>
    </row>
    <row r="111" spans="2:16" hidden="1" x14ac:dyDescent="0.3">
      <c r="B111" s="13" t="s">
        <v>93</v>
      </c>
      <c r="C111" s="14" t="str">
        <f>MID(D111,1,12)</f>
        <v>2.1.1.05.000</v>
      </c>
      <c r="D111" s="2" t="s">
        <v>898</v>
      </c>
      <c r="E111" s="12">
        <v>45291</v>
      </c>
      <c r="F111" s="4" t="s">
        <v>922</v>
      </c>
      <c r="G111" s="5" t="s">
        <v>917</v>
      </c>
      <c r="H111" s="4" t="s">
        <v>695</v>
      </c>
      <c r="I111" s="4" t="s">
        <v>975</v>
      </c>
      <c r="J111" s="6" t="s">
        <v>12</v>
      </c>
      <c r="K111" s="189">
        <v>92600</v>
      </c>
      <c r="L111" s="189">
        <v>0</v>
      </c>
      <c r="M111" s="192">
        <v>92600</v>
      </c>
    </row>
    <row r="112" spans="2:16" x14ac:dyDescent="0.3">
      <c r="B112" s="13" t="s">
        <v>94</v>
      </c>
      <c r="C112" s="14" t="str">
        <f>MID(D112,1,12)</f>
        <v>2.1.1.05.000</v>
      </c>
      <c r="D112" s="2" t="s">
        <v>898</v>
      </c>
      <c r="E112" s="12">
        <v>45412</v>
      </c>
      <c r="F112" s="4" t="s">
        <v>926</v>
      </c>
      <c r="G112" s="5" t="s">
        <v>927</v>
      </c>
      <c r="H112" s="4" t="s">
        <v>693</v>
      </c>
      <c r="I112" s="4" t="s">
        <v>977</v>
      </c>
      <c r="J112" s="6" t="s">
        <v>12</v>
      </c>
      <c r="K112" s="189">
        <v>97699.01</v>
      </c>
      <c r="L112" s="189">
        <v>0</v>
      </c>
      <c r="M112" s="192">
        <v>97699.01</v>
      </c>
    </row>
    <row r="113" spans="2:14" hidden="1" x14ac:dyDescent="0.3">
      <c r="B113" s="13" t="s">
        <v>93</v>
      </c>
      <c r="C113" s="14" t="str">
        <f>MID(D113,1,12)</f>
        <v>2.1.1.05.000</v>
      </c>
      <c r="D113" s="2" t="s">
        <v>898</v>
      </c>
      <c r="E113" s="12">
        <v>45260</v>
      </c>
      <c r="F113" s="4" t="s">
        <v>921</v>
      </c>
      <c r="G113" s="5" t="s">
        <v>917</v>
      </c>
      <c r="H113" s="4" t="s">
        <v>695</v>
      </c>
      <c r="I113" s="4" t="s">
        <v>975</v>
      </c>
      <c r="J113" s="6" t="s">
        <v>12</v>
      </c>
      <c r="K113" s="189">
        <v>116611</v>
      </c>
      <c r="L113" s="189">
        <v>0</v>
      </c>
      <c r="M113" s="192">
        <v>116611</v>
      </c>
    </row>
    <row r="114" spans="2:14" hidden="1" x14ac:dyDescent="0.3">
      <c r="B114" s="13" t="s">
        <v>94</v>
      </c>
      <c r="C114" s="14" t="str">
        <f>MID(D114,1,12)</f>
        <v>2.1.1.05.000</v>
      </c>
      <c r="D114" s="2" t="s">
        <v>898</v>
      </c>
      <c r="E114" s="12">
        <v>45412</v>
      </c>
      <c r="F114" s="4" t="s">
        <v>65</v>
      </c>
      <c r="G114" s="5" t="s">
        <v>934</v>
      </c>
      <c r="H114" s="4" t="s">
        <v>695</v>
      </c>
      <c r="I114" s="4" t="s">
        <v>977</v>
      </c>
      <c r="J114" s="6" t="s">
        <v>983</v>
      </c>
      <c r="K114" s="189">
        <v>0</v>
      </c>
      <c r="L114" s="189">
        <v>207091</v>
      </c>
      <c r="M114" s="193">
        <f>L114*-1</f>
        <v>-207091</v>
      </c>
      <c r="N114" s="2" t="s">
        <v>1000</v>
      </c>
    </row>
    <row r="115" spans="2:14" hidden="1" x14ac:dyDescent="0.3">
      <c r="B115" s="13" t="s">
        <v>94</v>
      </c>
      <c r="C115" s="14" t="str">
        <f>MID(D115,1,12)</f>
        <v>2.1.1.05.000</v>
      </c>
      <c r="D115" s="2" t="s">
        <v>898</v>
      </c>
      <c r="E115" s="12">
        <v>45412</v>
      </c>
      <c r="F115" s="4" t="s">
        <v>72</v>
      </c>
      <c r="G115" s="5" t="s">
        <v>938</v>
      </c>
      <c r="H115" s="4" t="s">
        <v>695</v>
      </c>
      <c r="I115" s="4" t="s">
        <v>975</v>
      </c>
      <c r="J115" s="6" t="s">
        <v>987</v>
      </c>
      <c r="K115" s="189">
        <v>207091</v>
      </c>
      <c r="L115" s="189">
        <v>0</v>
      </c>
      <c r="M115" s="193">
        <v>207091</v>
      </c>
      <c r="N115" s="2" t="s">
        <v>1000</v>
      </c>
    </row>
    <row r="116" spans="2:14" hidden="1" x14ac:dyDescent="0.3">
      <c r="B116" s="13" t="s">
        <v>95</v>
      </c>
      <c r="C116" s="14" t="str">
        <f>MID(D116,1,12)</f>
        <v>2.1.1.05.000</v>
      </c>
      <c r="D116" s="2" t="s">
        <v>898</v>
      </c>
      <c r="E116" s="12">
        <v>46021</v>
      </c>
      <c r="F116" s="4" t="s">
        <v>69</v>
      </c>
      <c r="G116" s="5" t="s">
        <v>83</v>
      </c>
      <c r="H116" s="4" t="s">
        <v>695</v>
      </c>
      <c r="I116" s="4" t="s">
        <v>975</v>
      </c>
      <c r="J116" s="6" t="s">
        <v>12</v>
      </c>
      <c r="K116" s="189">
        <v>225387.67</v>
      </c>
      <c r="L116" s="189">
        <v>0</v>
      </c>
      <c r="M116" s="192">
        <v>225387.67</v>
      </c>
    </row>
    <row r="117" spans="2:14" hidden="1" x14ac:dyDescent="0.3">
      <c r="B117" s="13" t="s">
        <v>92</v>
      </c>
      <c r="C117" s="14" t="str">
        <f>MID(D117,1,12)</f>
        <v>2.1.1.05.000</v>
      </c>
      <c r="D117" s="2" t="s">
        <v>898</v>
      </c>
      <c r="E117" s="12">
        <v>44895</v>
      </c>
      <c r="F117" s="4" t="s">
        <v>82</v>
      </c>
      <c r="G117" s="5" t="s">
        <v>910</v>
      </c>
      <c r="H117" s="4" t="s">
        <v>695</v>
      </c>
      <c r="I117" s="4" t="s">
        <v>975</v>
      </c>
      <c r="J117" s="6" t="s">
        <v>12</v>
      </c>
      <c r="K117" s="189">
        <v>246852.8</v>
      </c>
      <c r="L117" s="189">
        <v>0</v>
      </c>
      <c r="M117" s="193">
        <v>246852.8</v>
      </c>
      <c r="N117" s="2" t="s">
        <v>1000</v>
      </c>
    </row>
    <row r="118" spans="2:14" hidden="1" x14ac:dyDescent="0.3">
      <c r="B118" s="13" t="s">
        <v>91</v>
      </c>
      <c r="C118" s="14" t="str">
        <f>MID(D118,1,12)</f>
        <v>2.1.1.05.000</v>
      </c>
      <c r="D118" s="2" t="s">
        <v>898</v>
      </c>
      <c r="E118" s="12">
        <v>44561</v>
      </c>
      <c r="F118" s="4" t="s">
        <v>908</v>
      </c>
      <c r="G118" s="5" t="s">
        <v>909</v>
      </c>
      <c r="H118" s="4" t="s">
        <v>695</v>
      </c>
      <c r="I118" s="4" t="s">
        <v>975</v>
      </c>
      <c r="J118" s="6" t="s">
        <v>12</v>
      </c>
      <c r="K118" s="189">
        <v>324000</v>
      </c>
      <c r="L118" s="189">
        <v>0</v>
      </c>
      <c r="M118" s="193">
        <v>324000</v>
      </c>
      <c r="N118" s="2" t="s">
        <v>1000</v>
      </c>
    </row>
    <row r="119" spans="2:14" hidden="1" x14ac:dyDescent="0.3">
      <c r="B119" s="13" t="s">
        <v>95</v>
      </c>
      <c r="C119" s="14" t="str">
        <f>MID(D119,1,12)</f>
        <v>2.1.1.05.000</v>
      </c>
      <c r="D119" s="2" t="s">
        <v>898</v>
      </c>
      <c r="E119" s="12">
        <v>45839</v>
      </c>
      <c r="F119" s="4" t="s">
        <v>913</v>
      </c>
      <c r="G119" s="5" t="s">
        <v>955</v>
      </c>
      <c r="H119" s="4" t="s">
        <v>695</v>
      </c>
      <c r="I119" s="4" t="s">
        <v>975</v>
      </c>
      <c r="J119" s="6" t="s">
        <v>12</v>
      </c>
      <c r="K119" s="189">
        <v>350000</v>
      </c>
      <c r="L119" s="189">
        <v>0</v>
      </c>
      <c r="M119" s="192">
        <v>350000</v>
      </c>
    </row>
    <row r="120" spans="2:14" hidden="1" x14ac:dyDescent="0.3">
      <c r="B120" s="13" t="s">
        <v>92</v>
      </c>
      <c r="C120" s="14" t="str">
        <f>MID(D120,1,12)</f>
        <v>2.1.1.05.000</v>
      </c>
      <c r="D120" s="2" t="s">
        <v>898</v>
      </c>
      <c r="E120" s="12">
        <v>44925</v>
      </c>
      <c r="F120" s="4" t="s">
        <v>914</v>
      </c>
      <c r="G120" s="5" t="s">
        <v>915</v>
      </c>
      <c r="H120" s="4" t="s">
        <v>695</v>
      </c>
      <c r="I120" s="4" t="s">
        <v>975</v>
      </c>
      <c r="J120" s="6" t="s">
        <v>12</v>
      </c>
      <c r="K120" s="189">
        <v>358279.2</v>
      </c>
      <c r="L120" s="189">
        <v>0</v>
      </c>
      <c r="M120" s="193">
        <v>358279.2</v>
      </c>
      <c r="N120" s="2" t="s">
        <v>1000</v>
      </c>
    </row>
    <row r="127" spans="2:14" x14ac:dyDescent="0.3">
      <c r="K127" s="187">
        <f>K123-K125</f>
        <v>0</v>
      </c>
    </row>
  </sheetData>
  <autoFilter ref="B6:O120" xr:uid="{C7B1380C-CC1F-4EC1-9EAE-4788F09B8AE4}">
    <filterColumn colId="3">
      <filters>
        <dateGroupItem year="2024" dateTimeGrouping="year"/>
      </filters>
    </filterColumn>
    <filterColumn colId="12">
      <filters blank="1"/>
    </filterColumn>
  </autoFilter>
  <pageMargins left="0.78740157499999996" right="0.78740157499999996" top="0.984251969" bottom="0.984251969" header="0.4921259845" footer="0.492125984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7EEA-D7F0-4BCC-BFC5-73A48C4BB66C}">
  <sheetPr>
    <tabColor theme="0" tint="-0.249977111117893"/>
    <pageSetUpPr fitToPage="1"/>
  </sheetPr>
  <dimension ref="A1:Z162"/>
  <sheetViews>
    <sheetView showGridLines="0" zoomScale="90" zoomScaleNormal="90" workbookViewId="0"/>
  </sheetViews>
  <sheetFormatPr defaultRowHeight="13" x14ac:dyDescent="0.3"/>
  <cols>
    <col min="1" max="1" width="3.09765625" style="27" customWidth="1"/>
    <col min="2" max="2" width="11.09765625" style="28" bestFit="1" customWidth="1"/>
    <col min="3" max="3" width="39.3984375" style="28" bestFit="1" customWidth="1"/>
    <col min="4" max="4" width="16.5" style="28" bestFit="1" customWidth="1"/>
    <col min="5" max="5" width="20.296875" style="28" customWidth="1"/>
    <col min="6" max="6" width="6.796875" style="28" customWidth="1"/>
    <col min="7" max="7" width="17.69921875" style="28" bestFit="1" customWidth="1"/>
    <col min="8" max="8" width="15.59765625" style="28" bestFit="1" customWidth="1"/>
    <col min="9" max="9" width="13.09765625" style="28" bestFit="1" customWidth="1"/>
    <col min="10" max="10" width="13" style="28" bestFit="1" customWidth="1"/>
    <col min="11" max="11" width="1.69921875" style="28" customWidth="1"/>
    <col min="12" max="12" width="15.3984375" style="29" bestFit="1" customWidth="1"/>
    <col min="13" max="13" width="17.09765625" style="29" bestFit="1" customWidth="1"/>
    <col min="14" max="26" width="8.796875" style="29"/>
    <col min="27" max="255" width="8.796875" style="28"/>
    <col min="256" max="256" width="1.3984375" style="28" customWidth="1"/>
    <col min="257" max="257" width="19.796875" style="28" customWidth="1"/>
    <col min="258" max="258" width="21.796875" style="28" customWidth="1"/>
    <col min="259" max="259" width="28.09765625" style="28" customWidth="1"/>
    <col min="260" max="260" width="26.8984375" style="28" customWidth="1"/>
    <col min="261" max="261" width="49.296875" style="28" customWidth="1"/>
    <col min="262" max="262" width="26.3984375" style="28" customWidth="1"/>
    <col min="263" max="263" width="17" style="28" customWidth="1"/>
    <col min="264" max="264" width="1.296875" style="28" customWidth="1"/>
    <col min="265" max="265" width="50" style="28" customWidth="1"/>
    <col min="266" max="266" width="18.19921875" style="28" bestFit="1" customWidth="1"/>
    <col min="267" max="268" width="19.19921875" style="28" bestFit="1" customWidth="1"/>
    <col min="269" max="511" width="8.796875" style="28"/>
    <col min="512" max="512" width="1.3984375" style="28" customWidth="1"/>
    <col min="513" max="513" width="19.796875" style="28" customWidth="1"/>
    <col min="514" max="514" width="21.796875" style="28" customWidth="1"/>
    <col min="515" max="515" width="28.09765625" style="28" customWidth="1"/>
    <col min="516" max="516" width="26.8984375" style="28" customWidth="1"/>
    <col min="517" max="517" width="49.296875" style="28" customWidth="1"/>
    <col min="518" max="518" width="26.3984375" style="28" customWidth="1"/>
    <col min="519" max="519" width="17" style="28" customWidth="1"/>
    <col min="520" max="520" width="1.296875" style="28" customWidth="1"/>
    <col min="521" max="521" width="50" style="28" customWidth="1"/>
    <col min="522" max="522" width="18.19921875" style="28" bestFit="1" customWidth="1"/>
    <col min="523" max="524" width="19.19921875" style="28" bestFit="1" customWidth="1"/>
    <col min="525" max="767" width="8.796875" style="28"/>
    <col min="768" max="768" width="1.3984375" style="28" customWidth="1"/>
    <col min="769" max="769" width="19.796875" style="28" customWidth="1"/>
    <col min="770" max="770" width="21.796875" style="28" customWidth="1"/>
    <col min="771" max="771" width="28.09765625" style="28" customWidth="1"/>
    <col min="772" max="772" width="26.8984375" style="28" customWidth="1"/>
    <col min="773" max="773" width="49.296875" style="28" customWidth="1"/>
    <col min="774" max="774" width="26.3984375" style="28" customWidth="1"/>
    <col min="775" max="775" width="17" style="28" customWidth="1"/>
    <col min="776" max="776" width="1.296875" style="28" customWidth="1"/>
    <col min="777" max="777" width="50" style="28" customWidth="1"/>
    <col min="778" max="778" width="18.19921875" style="28" bestFit="1" customWidth="1"/>
    <col min="779" max="780" width="19.19921875" style="28" bestFit="1" customWidth="1"/>
    <col min="781" max="1023" width="8.796875" style="28"/>
    <col min="1024" max="1024" width="1.3984375" style="28" customWidth="1"/>
    <col min="1025" max="1025" width="19.796875" style="28" customWidth="1"/>
    <col min="1026" max="1026" width="21.796875" style="28" customWidth="1"/>
    <col min="1027" max="1027" width="28.09765625" style="28" customWidth="1"/>
    <col min="1028" max="1028" width="26.8984375" style="28" customWidth="1"/>
    <col min="1029" max="1029" width="49.296875" style="28" customWidth="1"/>
    <col min="1030" max="1030" width="26.3984375" style="28" customWidth="1"/>
    <col min="1031" max="1031" width="17" style="28" customWidth="1"/>
    <col min="1032" max="1032" width="1.296875" style="28" customWidth="1"/>
    <col min="1033" max="1033" width="50" style="28" customWidth="1"/>
    <col min="1034" max="1034" width="18.19921875" style="28" bestFit="1" customWidth="1"/>
    <col min="1035" max="1036" width="19.19921875" style="28" bestFit="1" customWidth="1"/>
    <col min="1037" max="1279" width="8.796875" style="28"/>
    <col min="1280" max="1280" width="1.3984375" style="28" customWidth="1"/>
    <col min="1281" max="1281" width="19.796875" style="28" customWidth="1"/>
    <col min="1282" max="1282" width="21.796875" style="28" customWidth="1"/>
    <col min="1283" max="1283" width="28.09765625" style="28" customWidth="1"/>
    <col min="1284" max="1284" width="26.8984375" style="28" customWidth="1"/>
    <col min="1285" max="1285" width="49.296875" style="28" customWidth="1"/>
    <col min="1286" max="1286" width="26.3984375" style="28" customWidth="1"/>
    <col min="1287" max="1287" width="17" style="28" customWidth="1"/>
    <col min="1288" max="1288" width="1.296875" style="28" customWidth="1"/>
    <col min="1289" max="1289" width="50" style="28" customWidth="1"/>
    <col min="1290" max="1290" width="18.19921875" style="28" bestFit="1" customWidth="1"/>
    <col min="1291" max="1292" width="19.19921875" style="28" bestFit="1" customWidth="1"/>
    <col min="1293" max="1535" width="8.796875" style="28"/>
    <col min="1536" max="1536" width="1.3984375" style="28" customWidth="1"/>
    <col min="1537" max="1537" width="19.796875" style="28" customWidth="1"/>
    <col min="1538" max="1538" width="21.796875" style="28" customWidth="1"/>
    <col min="1539" max="1539" width="28.09765625" style="28" customWidth="1"/>
    <col min="1540" max="1540" width="26.8984375" style="28" customWidth="1"/>
    <col min="1541" max="1541" width="49.296875" style="28" customWidth="1"/>
    <col min="1542" max="1542" width="26.3984375" style="28" customWidth="1"/>
    <col min="1543" max="1543" width="17" style="28" customWidth="1"/>
    <col min="1544" max="1544" width="1.296875" style="28" customWidth="1"/>
    <col min="1545" max="1545" width="50" style="28" customWidth="1"/>
    <col min="1546" max="1546" width="18.19921875" style="28" bestFit="1" customWidth="1"/>
    <col min="1547" max="1548" width="19.19921875" style="28" bestFit="1" customWidth="1"/>
    <col min="1549" max="1791" width="8.796875" style="28"/>
    <col min="1792" max="1792" width="1.3984375" style="28" customWidth="1"/>
    <col min="1793" max="1793" width="19.796875" style="28" customWidth="1"/>
    <col min="1794" max="1794" width="21.796875" style="28" customWidth="1"/>
    <col min="1795" max="1795" width="28.09765625" style="28" customWidth="1"/>
    <col min="1796" max="1796" width="26.8984375" style="28" customWidth="1"/>
    <col min="1797" max="1797" width="49.296875" style="28" customWidth="1"/>
    <col min="1798" max="1798" width="26.3984375" style="28" customWidth="1"/>
    <col min="1799" max="1799" width="17" style="28" customWidth="1"/>
    <col min="1800" max="1800" width="1.296875" style="28" customWidth="1"/>
    <col min="1801" max="1801" width="50" style="28" customWidth="1"/>
    <col min="1802" max="1802" width="18.19921875" style="28" bestFit="1" customWidth="1"/>
    <col min="1803" max="1804" width="19.19921875" style="28" bestFit="1" customWidth="1"/>
    <col min="1805" max="2047" width="8.796875" style="28"/>
    <col min="2048" max="2048" width="1.3984375" style="28" customWidth="1"/>
    <col min="2049" max="2049" width="19.796875" style="28" customWidth="1"/>
    <col min="2050" max="2050" width="21.796875" style="28" customWidth="1"/>
    <col min="2051" max="2051" width="28.09765625" style="28" customWidth="1"/>
    <col min="2052" max="2052" width="26.8984375" style="28" customWidth="1"/>
    <col min="2053" max="2053" width="49.296875" style="28" customWidth="1"/>
    <col min="2054" max="2054" width="26.3984375" style="28" customWidth="1"/>
    <col min="2055" max="2055" width="17" style="28" customWidth="1"/>
    <col min="2056" max="2056" width="1.296875" style="28" customWidth="1"/>
    <col min="2057" max="2057" width="50" style="28" customWidth="1"/>
    <col min="2058" max="2058" width="18.19921875" style="28" bestFit="1" customWidth="1"/>
    <col min="2059" max="2060" width="19.19921875" style="28" bestFit="1" customWidth="1"/>
    <col min="2061" max="2303" width="8.796875" style="28"/>
    <col min="2304" max="2304" width="1.3984375" style="28" customWidth="1"/>
    <col min="2305" max="2305" width="19.796875" style="28" customWidth="1"/>
    <col min="2306" max="2306" width="21.796875" style="28" customWidth="1"/>
    <col min="2307" max="2307" width="28.09765625" style="28" customWidth="1"/>
    <col min="2308" max="2308" width="26.8984375" style="28" customWidth="1"/>
    <col min="2309" max="2309" width="49.296875" style="28" customWidth="1"/>
    <col min="2310" max="2310" width="26.3984375" style="28" customWidth="1"/>
    <col min="2311" max="2311" width="17" style="28" customWidth="1"/>
    <col min="2312" max="2312" width="1.296875" style="28" customWidth="1"/>
    <col min="2313" max="2313" width="50" style="28" customWidth="1"/>
    <col min="2314" max="2314" width="18.19921875" style="28" bestFit="1" customWidth="1"/>
    <col min="2315" max="2316" width="19.19921875" style="28" bestFit="1" customWidth="1"/>
    <col min="2317" max="2559" width="8.796875" style="28"/>
    <col min="2560" max="2560" width="1.3984375" style="28" customWidth="1"/>
    <col min="2561" max="2561" width="19.796875" style="28" customWidth="1"/>
    <col min="2562" max="2562" width="21.796875" style="28" customWidth="1"/>
    <col min="2563" max="2563" width="28.09765625" style="28" customWidth="1"/>
    <col min="2564" max="2564" width="26.8984375" style="28" customWidth="1"/>
    <col min="2565" max="2565" width="49.296875" style="28" customWidth="1"/>
    <col min="2566" max="2566" width="26.3984375" style="28" customWidth="1"/>
    <col min="2567" max="2567" width="17" style="28" customWidth="1"/>
    <col min="2568" max="2568" width="1.296875" style="28" customWidth="1"/>
    <col min="2569" max="2569" width="50" style="28" customWidth="1"/>
    <col min="2570" max="2570" width="18.19921875" style="28" bestFit="1" customWidth="1"/>
    <col min="2571" max="2572" width="19.19921875" style="28" bestFit="1" customWidth="1"/>
    <col min="2573" max="2815" width="8.796875" style="28"/>
    <col min="2816" max="2816" width="1.3984375" style="28" customWidth="1"/>
    <col min="2817" max="2817" width="19.796875" style="28" customWidth="1"/>
    <col min="2818" max="2818" width="21.796875" style="28" customWidth="1"/>
    <col min="2819" max="2819" width="28.09765625" style="28" customWidth="1"/>
    <col min="2820" max="2820" width="26.8984375" style="28" customWidth="1"/>
    <col min="2821" max="2821" width="49.296875" style="28" customWidth="1"/>
    <col min="2822" max="2822" width="26.3984375" style="28" customWidth="1"/>
    <col min="2823" max="2823" width="17" style="28" customWidth="1"/>
    <col min="2824" max="2824" width="1.296875" style="28" customWidth="1"/>
    <col min="2825" max="2825" width="50" style="28" customWidth="1"/>
    <col min="2826" max="2826" width="18.19921875" style="28" bestFit="1" customWidth="1"/>
    <col min="2827" max="2828" width="19.19921875" style="28" bestFit="1" customWidth="1"/>
    <col min="2829" max="3071" width="8.796875" style="28"/>
    <col min="3072" max="3072" width="1.3984375" style="28" customWidth="1"/>
    <col min="3073" max="3073" width="19.796875" style="28" customWidth="1"/>
    <col min="3074" max="3074" width="21.796875" style="28" customWidth="1"/>
    <col min="3075" max="3075" width="28.09765625" style="28" customWidth="1"/>
    <col min="3076" max="3076" width="26.8984375" style="28" customWidth="1"/>
    <col min="3077" max="3077" width="49.296875" style="28" customWidth="1"/>
    <col min="3078" max="3078" width="26.3984375" style="28" customWidth="1"/>
    <col min="3079" max="3079" width="17" style="28" customWidth="1"/>
    <col min="3080" max="3080" width="1.296875" style="28" customWidth="1"/>
    <col min="3081" max="3081" width="50" style="28" customWidth="1"/>
    <col min="3082" max="3082" width="18.19921875" style="28" bestFit="1" customWidth="1"/>
    <col min="3083" max="3084" width="19.19921875" style="28" bestFit="1" customWidth="1"/>
    <col min="3085" max="3327" width="8.796875" style="28"/>
    <col min="3328" max="3328" width="1.3984375" style="28" customWidth="1"/>
    <col min="3329" max="3329" width="19.796875" style="28" customWidth="1"/>
    <col min="3330" max="3330" width="21.796875" style="28" customWidth="1"/>
    <col min="3331" max="3331" width="28.09765625" style="28" customWidth="1"/>
    <col min="3332" max="3332" width="26.8984375" style="28" customWidth="1"/>
    <col min="3333" max="3333" width="49.296875" style="28" customWidth="1"/>
    <col min="3334" max="3334" width="26.3984375" style="28" customWidth="1"/>
    <col min="3335" max="3335" width="17" style="28" customWidth="1"/>
    <col min="3336" max="3336" width="1.296875" style="28" customWidth="1"/>
    <col min="3337" max="3337" width="50" style="28" customWidth="1"/>
    <col min="3338" max="3338" width="18.19921875" style="28" bestFit="1" customWidth="1"/>
    <col min="3339" max="3340" width="19.19921875" style="28" bestFit="1" customWidth="1"/>
    <col min="3341" max="3583" width="8.796875" style="28"/>
    <col min="3584" max="3584" width="1.3984375" style="28" customWidth="1"/>
    <col min="3585" max="3585" width="19.796875" style="28" customWidth="1"/>
    <col min="3586" max="3586" width="21.796875" style="28" customWidth="1"/>
    <col min="3587" max="3587" width="28.09765625" style="28" customWidth="1"/>
    <col min="3588" max="3588" width="26.8984375" style="28" customWidth="1"/>
    <col min="3589" max="3589" width="49.296875" style="28" customWidth="1"/>
    <col min="3590" max="3590" width="26.3984375" style="28" customWidth="1"/>
    <col min="3591" max="3591" width="17" style="28" customWidth="1"/>
    <col min="3592" max="3592" width="1.296875" style="28" customWidth="1"/>
    <col min="3593" max="3593" width="50" style="28" customWidth="1"/>
    <col min="3594" max="3594" width="18.19921875" style="28" bestFit="1" customWidth="1"/>
    <col min="3595" max="3596" width="19.19921875" style="28" bestFit="1" customWidth="1"/>
    <col min="3597" max="3839" width="8.796875" style="28"/>
    <col min="3840" max="3840" width="1.3984375" style="28" customWidth="1"/>
    <col min="3841" max="3841" width="19.796875" style="28" customWidth="1"/>
    <col min="3842" max="3842" width="21.796875" style="28" customWidth="1"/>
    <col min="3843" max="3843" width="28.09765625" style="28" customWidth="1"/>
    <col min="3844" max="3844" width="26.8984375" style="28" customWidth="1"/>
    <col min="3845" max="3845" width="49.296875" style="28" customWidth="1"/>
    <col min="3846" max="3846" width="26.3984375" style="28" customWidth="1"/>
    <col min="3847" max="3847" width="17" style="28" customWidth="1"/>
    <col min="3848" max="3848" width="1.296875" style="28" customWidth="1"/>
    <col min="3849" max="3849" width="50" style="28" customWidth="1"/>
    <col min="3850" max="3850" width="18.19921875" style="28" bestFit="1" customWidth="1"/>
    <col min="3851" max="3852" width="19.19921875" style="28" bestFit="1" customWidth="1"/>
    <col min="3853" max="4095" width="8.796875" style="28"/>
    <col min="4096" max="4096" width="1.3984375" style="28" customWidth="1"/>
    <col min="4097" max="4097" width="19.796875" style="28" customWidth="1"/>
    <col min="4098" max="4098" width="21.796875" style="28" customWidth="1"/>
    <col min="4099" max="4099" width="28.09765625" style="28" customWidth="1"/>
    <col min="4100" max="4100" width="26.8984375" style="28" customWidth="1"/>
    <col min="4101" max="4101" width="49.296875" style="28" customWidth="1"/>
    <col min="4102" max="4102" width="26.3984375" style="28" customWidth="1"/>
    <col min="4103" max="4103" width="17" style="28" customWidth="1"/>
    <col min="4104" max="4104" width="1.296875" style="28" customWidth="1"/>
    <col min="4105" max="4105" width="50" style="28" customWidth="1"/>
    <col min="4106" max="4106" width="18.19921875" style="28" bestFit="1" customWidth="1"/>
    <col min="4107" max="4108" width="19.19921875" style="28" bestFit="1" customWidth="1"/>
    <col min="4109" max="4351" width="8.796875" style="28"/>
    <col min="4352" max="4352" width="1.3984375" style="28" customWidth="1"/>
    <col min="4353" max="4353" width="19.796875" style="28" customWidth="1"/>
    <col min="4354" max="4354" width="21.796875" style="28" customWidth="1"/>
    <col min="4355" max="4355" width="28.09765625" style="28" customWidth="1"/>
    <col min="4356" max="4356" width="26.8984375" style="28" customWidth="1"/>
    <col min="4357" max="4357" width="49.296875" style="28" customWidth="1"/>
    <col min="4358" max="4358" width="26.3984375" style="28" customWidth="1"/>
    <col min="4359" max="4359" width="17" style="28" customWidth="1"/>
    <col min="4360" max="4360" width="1.296875" style="28" customWidth="1"/>
    <col min="4361" max="4361" width="50" style="28" customWidth="1"/>
    <col min="4362" max="4362" width="18.19921875" style="28" bestFit="1" customWidth="1"/>
    <col min="4363" max="4364" width="19.19921875" style="28" bestFit="1" customWidth="1"/>
    <col min="4365" max="4607" width="8.796875" style="28"/>
    <col min="4608" max="4608" width="1.3984375" style="28" customWidth="1"/>
    <col min="4609" max="4609" width="19.796875" style="28" customWidth="1"/>
    <col min="4610" max="4610" width="21.796875" style="28" customWidth="1"/>
    <col min="4611" max="4611" width="28.09765625" style="28" customWidth="1"/>
    <col min="4612" max="4612" width="26.8984375" style="28" customWidth="1"/>
    <col min="4613" max="4613" width="49.296875" style="28" customWidth="1"/>
    <col min="4614" max="4614" width="26.3984375" style="28" customWidth="1"/>
    <col min="4615" max="4615" width="17" style="28" customWidth="1"/>
    <col min="4616" max="4616" width="1.296875" style="28" customWidth="1"/>
    <col min="4617" max="4617" width="50" style="28" customWidth="1"/>
    <col min="4618" max="4618" width="18.19921875" style="28" bestFit="1" customWidth="1"/>
    <col min="4619" max="4620" width="19.19921875" style="28" bestFit="1" customWidth="1"/>
    <col min="4621" max="4863" width="8.796875" style="28"/>
    <col min="4864" max="4864" width="1.3984375" style="28" customWidth="1"/>
    <col min="4865" max="4865" width="19.796875" style="28" customWidth="1"/>
    <col min="4866" max="4866" width="21.796875" style="28" customWidth="1"/>
    <col min="4867" max="4867" width="28.09765625" style="28" customWidth="1"/>
    <col min="4868" max="4868" width="26.8984375" style="28" customWidth="1"/>
    <col min="4869" max="4869" width="49.296875" style="28" customWidth="1"/>
    <col min="4870" max="4870" width="26.3984375" style="28" customWidth="1"/>
    <col min="4871" max="4871" width="17" style="28" customWidth="1"/>
    <col min="4872" max="4872" width="1.296875" style="28" customWidth="1"/>
    <col min="4873" max="4873" width="50" style="28" customWidth="1"/>
    <col min="4874" max="4874" width="18.19921875" style="28" bestFit="1" customWidth="1"/>
    <col min="4875" max="4876" width="19.19921875" style="28" bestFit="1" customWidth="1"/>
    <col min="4877" max="5119" width="8.796875" style="28"/>
    <col min="5120" max="5120" width="1.3984375" style="28" customWidth="1"/>
    <col min="5121" max="5121" width="19.796875" style="28" customWidth="1"/>
    <col min="5122" max="5122" width="21.796875" style="28" customWidth="1"/>
    <col min="5123" max="5123" width="28.09765625" style="28" customWidth="1"/>
    <col min="5124" max="5124" width="26.8984375" style="28" customWidth="1"/>
    <col min="5125" max="5125" width="49.296875" style="28" customWidth="1"/>
    <col min="5126" max="5126" width="26.3984375" style="28" customWidth="1"/>
    <col min="5127" max="5127" width="17" style="28" customWidth="1"/>
    <col min="5128" max="5128" width="1.296875" style="28" customWidth="1"/>
    <col min="5129" max="5129" width="50" style="28" customWidth="1"/>
    <col min="5130" max="5130" width="18.19921875" style="28" bestFit="1" customWidth="1"/>
    <col min="5131" max="5132" width="19.19921875" style="28" bestFit="1" customWidth="1"/>
    <col min="5133" max="5375" width="8.796875" style="28"/>
    <col min="5376" max="5376" width="1.3984375" style="28" customWidth="1"/>
    <col min="5377" max="5377" width="19.796875" style="28" customWidth="1"/>
    <col min="5378" max="5378" width="21.796875" style="28" customWidth="1"/>
    <col min="5379" max="5379" width="28.09765625" style="28" customWidth="1"/>
    <col min="5380" max="5380" width="26.8984375" style="28" customWidth="1"/>
    <col min="5381" max="5381" width="49.296875" style="28" customWidth="1"/>
    <col min="5382" max="5382" width="26.3984375" style="28" customWidth="1"/>
    <col min="5383" max="5383" width="17" style="28" customWidth="1"/>
    <col min="5384" max="5384" width="1.296875" style="28" customWidth="1"/>
    <col min="5385" max="5385" width="50" style="28" customWidth="1"/>
    <col min="5386" max="5386" width="18.19921875" style="28" bestFit="1" customWidth="1"/>
    <col min="5387" max="5388" width="19.19921875" style="28" bestFit="1" customWidth="1"/>
    <col min="5389" max="5631" width="8.796875" style="28"/>
    <col min="5632" max="5632" width="1.3984375" style="28" customWidth="1"/>
    <col min="5633" max="5633" width="19.796875" style="28" customWidth="1"/>
    <col min="5634" max="5634" width="21.796875" style="28" customWidth="1"/>
    <col min="5635" max="5635" width="28.09765625" style="28" customWidth="1"/>
    <col min="5636" max="5636" width="26.8984375" style="28" customWidth="1"/>
    <col min="5637" max="5637" width="49.296875" style="28" customWidth="1"/>
    <col min="5638" max="5638" width="26.3984375" style="28" customWidth="1"/>
    <col min="5639" max="5639" width="17" style="28" customWidth="1"/>
    <col min="5640" max="5640" width="1.296875" style="28" customWidth="1"/>
    <col min="5641" max="5641" width="50" style="28" customWidth="1"/>
    <col min="5642" max="5642" width="18.19921875" style="28" bestFit="1" customWidth="1"/>
    <col min="5643" max="5644" width="19.19921875" style="28" bestFit="1" customWidth="1"/>
    <col min="5645" max="5887" width="8.796875" style="28"/>
    <col min="5888" max="5888" width="1.3984375" style="28" customWidth="1"/>
    <col min="5889" max="5889" width="19.796875" style="28" customWidth="1"/>
    <col min="5890" max="5890" width="21.796875" style="28" customWidth="1"/>
    <col min="5891" max="5891" width="28.09765625" style="28" customWidth="1"/>
    <col min="5892" max="5892" width="26.8984375" style="28" customWidth="1"/>
    <col min="5893" max="5893" width="49.296875" style="28" customWidth="1"/>
    <col min="5894" max="5894" width="26.3984375" style="28" customWidth="1"/>
    <col min="5895" max="5895" width="17" style="28" customWidth="1"/>
    <col min="5896" max="5896" width="1.296875" style="28" customWidth="1"/>
    <col min="5897" max="5897" width="50" style="28" customWidth="1"/>
    <col min="5898" max="5898" width="18.19921875" style="28" bestFit="1" customWidth="1"/>
    <col min="5899" max="5900" width="19.19921875" style="28" bestFit="1" customWidth="1"/>
    <col min="5901" max="6143" width="8.796875" style="28"/>
    <col min="6144" max="6144" width="1.3984375" style="28" customWidth="1"/>
    <col min="6145" max="6145" width="19.796875" style="28" customWidth="1"/>
    <col min="6146" max="6146" width="21.796875" style="28" customWidth="1"/>
    <col min="6147" max="6147" width="28.09765625" style="28" customWidth="1"/>
    <col min="6148" max="6148" width="26.8984375" style="28" customWidth="1"/>
    <col min="6149" max="6149" width="49.296875" style="28" customWidth="1"/>
    <col min="6150" max="6150" width="26.3984375" style="28" customWidth="1"/>
    <col min="6151" max="6151" width="17" style="28" customWidth="1"/>
    <col min="6152" max="6152" width="1.296875" style="28" customWidth="1"/>
    <col min="6153" max="6153" width="50" style="28" customWidth="1"/>
    <col min="6154" max="6154" width="18.19921875" style="28" bestFit="1" customWidth="1"/>
    <col min="6155" max="6156" width="19.19921875" style="28" bestFit="1" customWidth="1"/>
    <col min="6157" max="6399" width="8.796875" style="28"/>
    <col min="6400" max="6400" width="1.3984375" style="28" customWidth="1"/>
    <col min="6401" max="6401" width="19.796875" style="28" customWidth="1"/>
    <col min="6402" max="6402" width="21.796875" style="28" customWidth="1"/>
    <col min="6403" max="6403" width="28.09765625" style="28" customWidth="1"/>
    <col min="6404" max="6404" width="26.8984375" style="28" customWidth="1"/>
    <col min="6405" max="6405" width="49.296875" style="28" customWidth="1"/>
    <col min="6406" max="6406" width="26.3984375" style="28" customWidth="1"/>
    <col min="6407" max="6407" width="17" style="28" customWidth="1"/>
    <col min="6408" max="6408" width="1.296875" style="28" customWidth="1"/>
    <col min="6409" max="6409" width="50" style="28" customWidth="1"/>
    <col min="6410" max="6410" width="18.19921875" style="28" bestFit="1" customWidth="1"/>
    <col min="6411" max="6412" width="19.19921875" style="28" bestFit="1" customWidth="1"/>
    <col min="6413" max="6655" width="8.796875" style="28"/>
    <col min="6656" max="6656" width="1.3984375" style="28" customWidth="1"/>
    <col min="6657" max="6657" width="19.796875" style="28" customWidth="1"/>
    <col min="6658" max="6658" width="21.796875" style="28" customWidth="1"/>
    <col min="6659" max="6659" width="28.09765625" style="28" customWidth="1"/>
    <col min="6660" max="6660" width="26.8984375" style="28" customWidth="1"/>
    <col min="6661" max="6661" width="49.296875" style="28" customWidth="1"/>
    <col min="6662" max="6662" width="26.3984375" style="28" customWidth="1"/>
    <col min="6663" max="6663" width="17" style="28" customWidth="1"/>
    <col min="6664" max="6664" width="1.296875" style="28" customWidth="1"/>
    <col min="6665" max="6665" width="50" style="28" customWidth="1"/>
    <col min="6666" max="6666" width="18.19921875" style="28" bestFit="1" customWidth="1"/>
    <col min="6667" max="6668" width="19.19921875" style="28" bestFit="1" customWidth="1"/>
    <col min="6669" max="6911" width="8.796875" style="28"/>
    <col min="6912" max="6912" width="1.3984375" style="28" customWidth="1"/>
    <col min="6913" max="6913" width="19.796875" style="28" customWidth="1"/>
    <col min="6914" max="6914" width="21.796875" style="28" customWidth="1"/>
    <col min="6915" max="6915" width="28.09765625" style="28" customWidth="1"/>
    <col min="6916" max="6916" width="26.8984375" style="28" customWidth="1"/>
    <col min="6917" max="6917" width="49.296875" style="28" customWidth="1"/>
    <col min="6918" max="6918" width="26.3984375" style="28" customWidth="1"/>
    <col min="6919" max="6919" width="17" style="28" customWidth="1"/>
    <col min="6920" max="6920" width="1.296875" style="28" customWidth="1"/>
    <col min="6921" max="6921" width="50" style="28" customWidth="1"/>
    <col min="6922" max="6922" width="18.19921875" style="28" bestFit="1" customWidth="1"/>
    <col min="6923" max="6924" width="19.19921875" style="28" bestFit="1" customWidth="1"/>
    <col min="6925" max="7167" width="8.796875" style="28"/>
    <col min="7168" max="7168" width="1.3984375" style="28" customWidth="1"/>
    <col min="7169" max="7169" width="19.796875" style="28" customWidth="1"/>
    <col min="7170" max="7170" width="21.796875" style="28" customWidth="1"/>
    <col min="7171" max="7171" width="28.09765625" style="28" customWidth="1"/>
    <col min="7172" max="7172" width="26.8984375" style="28" customWidth="1"/>
    <col min="7173" max="7173" width="49.296875" style="28" customWidth="1"/>
    <col min="7174" max="7174" width="26.3984375" style="28" customWidth="1"/>
    <col min="7175" max="7175" width="17" style="28" customWidth="1"/>
    <col min="7176" max="7176" width="1.296875" style="28" customWidth="1"/>
    <col min="7177" max="7177" width="50" style="28" customWidth="1"/>
    <col min="7178" max="7178" width="18.19921875" style="28" bestFit="1" customWidth="1"/>
    <col min="7179" max="7180" width="19.19921875" style="28" bestFit="1" customWidth="1"/>
    <col min="7181" max="7423" width="8.796875" style="28"/>
    <col min="7424" max="7424" width="1.3984375" style="28" customWidth="1"/>
    <col min="7425" max="7425" width="19.796875" style="28" customWidth="1"/>
    <col min="7426" max="7426" width="21.796875" style="28" customWidth="1"/>
    <col min="7427" max="7427" width="28.09765625" style="28" customWidth="1"/>
    <col min="7428" max="7428" width="26.8984375" style="28" customWidth="1"/>
    <col min="7429" max="7429" width="49.296875" style="28" customWidth="1"/>
    <col min="7430" max="7430" width="26.3984375" style="28" customWidth="1"/>
    <col min="7431" max="7431" width="17" style="28" customWidth="1"/>
    <col min="7432" max="7432" width="1.296875" style="28" customWidth="1"/>
    <col min="7433" max="7433" width="50" style="28" customWidth="1"/>
    <col min="7434" max="7434" width="18.19921875" style="28" bestFit="1" customWidth="1"/>
    <col min="7435" max="7436" width="19.19921875" style="28" bestFit="1" customWidth="1"/>
    <col min="7437" max="7679" width="8.796875" style="28"/>
    <col min="7680" max="7680" width="1.3984375" style="28" customWidth="1"/>
    <col min="7681" max="7681" width="19.796875" style="28" customWidth="1"/>
    <col min="7682" max="7682" width="21.796875" style="28" customWidth="1"/>
    <col min="7683" max="7683" width="28.09765625" style="28" customWidth="1"/>
    <col min="7684" max="7684" width="26.8984375" style="28" customWidth="1"/>
    <col min="7685" max="7685" width="49.296875" style="28" customWidth="1"/>
    <col min="7686" max="7686" width="26.3984375" style="28" customWidth="1"/>
    <col min="7687" max="7687" width="17" style="28" customWidth="1"/>
    <col min="7688" max="7688" width="1.296875" style="28" customWidth="1"/>
    <col min="7689" max="7689" width="50" style="28" customWidth="1"/>
    <col min="7690" max="7690" width="18.19921875" style="28" bestFit="1" customWidth="1"/>
    <col min="7691" max="7692" width="19.19921875" style="28" bestFit="1" customWidth="1"/>
    <col min="7693" max="7935" width="8.796875" style="28"/>
    <col min="7936" max="7936" width="1.3984375" style="28" customWidth="1"/>
    <col min="7937" max="7937" width="19.796875" style="28" customWidth="1"/>
    <col min="7938" max="7938" width="21.796875" style="28" customWidth="1"/>
    <col min="7939" max="7939" width="28.09765625" style="28" customWidth="1"/>
    <col min="7940" max="7940" width="26.8984375" style="28" customWidth="1"/>
    <col min="7941" max="7941" width="49.296875" style="28" customWidth="1"/>
    <col min="7942" max="7942" width="26.3984375" style="28" customWidth="1"/>
    <col min="7943" max="7943" width="17" style="28" customWidth="1"/>
    <col min="7944" max="7944" width="1.296875" style="28" customWidth="1"/>
    <col min="7945" max="7945" width="50" style="28" customWidth="1"/>
    <col min="7946" max="7946" width="18.19921875" style="28" bestFit="1" customWidth="1"/>
    <col min="7947" max="7948" width="19.19921875" style="28" bestFit="1" customWidth="1"/>
    <col min="7949" max="8191" width="8.796875" style="28"/>
    <col min="8192" max="8192" width="1.3984375" style="28" customWidth="1"/>
    <col min="8193" max="8193" width="19.796875" style="28" customWidth="1"/>
    <col min="8194" max="8194" width="21.796875" style="28" customWidth="1"/>
    <col min="8195" max="8195" width="28.09765625" style="28" customWidth="1"/>
    <col min="8196" max="8196" width="26.8984375" style="28" customWidth="1"/>
    <col min="8197" max="8197" width="49.296875" style="28" customWidth="1"/>
    <col min="8198" max="8198" width="26.3984375" style="28" customWidth="1"/>
    <col min="8199" max="8199" width="17" style="28" customWidth="1"/>
    <col min="8200" max="8200" width="1.296875" style="28" customWidth="1"/>
    <col min="8201" max="8201" width="50" style="28" customWidth="1"/>
    <col min="8202" max="8202" width="18.19921875" style="28" bestFit="1" customWidth="1"/>
    <col min="8203" max="8204" width="19.19921875" style="28" bestFit="1" customWidth="1"/>
    <col min="8205" max="8447" width="8.796875" style="28"/>
    <col min="8448" max="8448" width="1.3984375" style="28" customWidth="1"/>
    <col min="8449" max="8449" width="19.796875" style="28" customWidth="1"/>
    <col min="8450" max="8450" width="21.796875" style="28" customWidth="1"/>
    <col min="8451" max="8451" width="28.09765625" style="28" customWidth="1"/>
    <col min="8452" max="8452" width="26.8984375" style="28" customWidth="1"/>
    <col min="8453" max="8453" width="49.296875" style="28" customWidth="1"/>
    <col min="8454" max="8454" width="26.3984375" style="28" customWidth="1"/>
    <col min="8455" max="8455" width="17" style="28" customWidth="1"/>
    <col min="8456" max="8456" width="1.296875" style="28" customWidth="1"/>
    <col min="8457" max="8457" width="50" style="28" customWidth="1"/>
    <col min="8458" max="8458" width="18.19921875" style="28" bestFit="1" customWidth="1"/>
    <col min="8459" max="8460" width="19.19921875" style="28" bestFit="1" customWidth="1"/>
    <col min="8461" max="8703" width="8.796875" style="28"/>
    <col min="8704" max="8704" width="1.3984375" style="28" customWidth="1"/>
    <col min="8705" max="8705" width="19.796875" style="28" customWidth="1"/>
    <col min="8706" max="8706" width="21.796875" style="28" customWidth="1"/>
    <col min="8707" max="8707" width="28.09765625" style="28" customWidth="1"/>
    <col min="8708" max="8708" width="26.8984375" style="28" customWidth="1"/>
    <col min="8709" max="8709" width="49.296875" style="28" customWidth="1"/>
    <col min="8710" max="8710" width="26.3984375" style="28" customWidth="1"/>
    <col min="8711" max="8711" width="17" style="28" customWidth="1"/>
    <col min="8712" max="8712" width="1.296875" style="28" customWidth="1"/>
    <col min="8713" max="8713" width="50" style="28" customWidth="1"/>
    <col min="8714" max="8714" width="18.19921875" style="28" bestFit="1" customWidth="1"/>
    <col min="8715" max="8716" width="19.19921875" style="28" bestFit="1" customWidth="1"/>
    <col min="8717" max="8959" width="8.796875" style="28"/>
    <col min="8960" max="8960" width="1.3984375" style="28" customWidth="1"/>
    <col min="8961" max="8961" width="19.796875" style="28" customWidth="1"/>
    <col min="8962" max="8962" width="21.796875" style="28" customWidth="1"/>
    <col min="8963" max="8963" width="28.09765625" style="28" customWidth="1"/>
    <col min="8964" max="8964" width="26.8984375" style="28" customWidth="1"/>
    <col min="8965" max="8965" width="49.296875" style="28" customWidth="1"/>
    <col min="8966" max="8966" width="26.3984375" style="28" customWidth="1"/>
    <col min="8967" max="8967" width="17" style="28" customWidth="1"/>
    <col min="8968" max="8968" width="1.296875" style="28" customWidth="1"/>
    <col min="8969" max="8969" width="50" style="28" customWidth="1"/>
    <col min="8970" max="8970" width="18.19921875" style="28" bestFit="1" customWidth="1"/>
    <col min="8971" max="8972" width="19.19921875" style="28" bestFit="1" customWidth="1"/>
    <col min="8973" max="9215" width="8.796875" style="28"/>
    <col min="9216" max="9216" width="1.3984375" style="28" customWidth="1"/>
    <col min="9217" max="9217" width="19.796875" style="28" customWidth="1"/>
    <col min="9218" max="9218" width="21.796875" style="28" customWidth="1"/>
    <col min="9219" max="9219" width="28.09765625" style="28" customWidth="1"/>
    <col min="9220" max="9220" width="26.8984375" style="28" customWidth="1"/>
    <col min="9221" max="9221" width="49.296875" style="28" customWidth="1"/>
    <col min="9222" max="9222" width="26.3984375" style="28" customWidth="1"/>
    <col min="9223" max="9223" width="17" style="28" customWidth="1"/>
    <col min="9224" max="9224" width="1.296875" style="28" customWidth="1"/>
    <col min="9225" max="9225" width="50" style="28" customWidth="1"/>
    <col min="9226" max="9226" width="18.19921875" style="28" bestFit="1" customWidth="1"/>
    <col min="9227" max="9228" width="19.19921875" style="28" bestFit="1" customWidth="1"/>
    <col min="9229" max="9471" width="8.796875" style="28"/>
    <col min="9472" max="9472" width="1.3984375" style="28" customWidth="1"/>
    <col min="9473" max="9473" width="19.796875" style="28" customWidth="1"/>
    <col min="9474" max="9474" width="21.796875" style="28" customWidth="1"/>
    <col min="9475" max="9475" width="28.09765625" style="28" customWidth="1"/>
    <col min="9476" max="9476" width="26.8984375" style="28" customWidth="1"/>
    <col min="9477" max="9477" width="49.296875" style="28" customWidth="1"/>
    <col min="9478" max="9478" width="26.3984375" style="28" customWidth="1"/>
    <col min="9479" max="9479" width="17" style="28" customWidth="1"/>
    <col min="9480" max="9480" width="1.296875" style="28" customWidth="1"/>
    <col min="9481" max="9481" width="50" style="28" customWidth="1"/>
    <col min="9482" max="9482" width="18.19921875" style="28" bestFit="1" customWidth="1"/>
    <col min="9483" max="9484" width="19.19921875" style="28" bestFit="1" customWidth="1"/>
    <col min="9485" max="9727" width="8.796875" style="28"/>
    <col min="9728" max="9728" width="1.3984375" style="28" customWidth="1"/>
    <col min="9729" max="9729" width="19.796875" style="28" customWidth="1"/>
    <col min="9730" max="9730" width="21.796875" style="28" customWidth="1"/>
    <col min="9731" max="9731" width="28.09765625" style="28" customWidth="1"/>
    <col min="9732" max="9732" width="26.8984375" style="28" customWidth="1"/>
    <col min="9733" max="9733" width="49.296875" style="28" customWidth="1"/>
    <col min="9734" max="9734" width="26.3984375" style="28" customWidth="1"/>
    <col min="9735" max="9735" width="17" style="28" customWidth="1"/>
    <col min="9736" max="9736" width="1.296875" style="28" customWidth="1"/>
    <col min="9737" max="9737" width="50" style="28" customWidth="1"/>
    <col min="9738" max="9738" width="18.19921875" style="28" bestFit="1" customWidth="1"/>
    <col min="9739" max="9740" width="19.19921875" style="28" bestFit="1" customWidth="1"/>
    <col min="9741" max="9983" width="8.796875" style="28"/>
    <col min="9984" max="9984" width="1.3984375" style="28" customWidth="1"/>
    <col min="9985" max="9985" width="19.796875" style="28" customWidth="1"/>
    <col min="9986" max="9986" width="21.796875" style="28" customWidth="1"/>
    <col min="9987" max="9987" width="28.09765625" style="28" customWidth="1"/>
    <col min="9988" max="9988" width="26.8984375" style="28" customWidth="1"/>
    <col min="9989" max="9989" width="49.296875" style="28" customWidth="1"/>
    <col min="9990" max="9990" width="26.3984375" style="28" customWidth="1"/>
    <col min="9991" max="9991" width="17" style="28" customWidth="1"/>
    <col min="9992" max="9992" width="1.296875" style="28" customWidth="1"/>
    <col min="9993" max="9993" width="50" style="28" customWidth="1"/>
    <col min="9994" max="9994" width="18.19921875" style="28" bestFit="1" customWidth="1"/>
    <col min="9995" max="9996" width="19.19921875" style="28" bestFit="1" customWidth="1"/>
    <col min="9997" max="10239" width="8.796875" style="28"/>
    <col min="10240" max="10240" width="1.3984375" style="28" customWidth="1"/>
    <col min="10241" max="10241" width="19.796875" style="28" customWidth="1"/>
    <col min="10242" max="10242" width="21.796875" style="28" customWidth="1"/>
    <col min="10243" max="10243" width="28.09765625" style="28" customWidth="1"/>
    <col min="10244" max="10244" width="26.8984375" style="28" customWidth="1"/>
    <col min="10245" max="10245" width="49.296875" style="28" customWidth="1"/>
    <col min="10246" max="10246" width="26.3984375" style="28" customWidth="1"/>
    <col min="10247" max="10247" width="17" style="28" customWidth="1"/>
    <col min="10248" max="10248" width="1.296875" style="28" customWidth="1"/>
    <col min="10249" max="10249" width="50" style="28" customWidth="1"/>
    <col min="10250" max="10250" width="18.19921875" style="28" bestFit="1" customWidth="1"/>
    <col min="10251" max="10252" width="19.19921875" style="28" bestFit="1" customWidth="1"/>
    <col min="10253" max="10495" width="8.796875" style="28"/>
    <col min="10496" max="10496" width="1.3984375" style="28" customWidth="1"/>
    <col min="10497" max="10497" width="19.796875" style="28" customWidth="1"/>
    <col min="10498" max="10498" width="21.796875" style="28" customWidth="1"/>
    <col min="10499" max="10499" width="28.09765625" style="28" customWidth="1"/>
    <col min="10500" max="10500" width="26.8984375" style="28" customWidth="1"/>
    <col min="10501" max="10501" width="49.296875" style="28" customWidth="1"/>
    <col min="10502" max="10502" width="26.3984375" style="28" customWidth="1"/>
    <col min="10503" max="10503" width="17" style="28" customWidth="1"/>
    <col min="10504" max="10504" width="1.296875" style="28" customWidth="1"/>
    <col min="10505" max="10505" width="50" style="28" customWidth="1"/>
    <col min="10506" max="10506" width="18.19921875" style="28" bestFit="1" customWidth="1"/>
    <col min="10507" max="10508" width="19.19921875" style="28" bestFit="1" customWidth="1"/>
    <col min="10509" max="10751" width="8.796875" style="28"/>
    <col min="10752" max="10752" width="1.3984375" style="28" customWidth="1"/>
    <col min="10753" max="10753" width="19.796875" style="28" customWidth="1"/>
    <col min="10754" max="10754" width="21.796875" style="28" customWidth="1"/>
    <col min="10755" max="10755" width="28.09765625" style="28" customWidth="1"/>
    <col min="10756" max="10756" width="26.8984375" style="28" customWidth="1"/>
    <col min="10757" max="10757" width="49.296875" style="28" customWidth="1"/>
    <col min="10758" max="10758" width="26.3984375" style="28" customWidth="1"/>
    <col min="10759" max="10759" width="17" style="28" customWidth="1"/>
    <col min="10760" max="10760" width="1.296875" style="28" customWidth="1"/>
    <col min="10761" max="10761" width="50" style="28" customWidth="1"/>
    <col min="10762" max="10762" width="18.19921875" style="28" bestFit="1" customWidth="1"/>
    <col min="10763" max="10764" width="19.19921875" style="28" bestFit="1" customWidth="1"/>
    <col min="10765" max="11007" width="8.796875" style="28"/>
    <col min="11008" max="11008" width="1.3984375" style="28" customWidth="1"/>
    <col min="11009" max="11009" width="19.796875" style="28" customWidth="1"/>
    <col min="11010" max="11010" width="21.796875" style="28" customWidth="1"/>
    <col min="11011" max="11011" width="28.09765625" style="28" customWidth="1"/>
    <col min="11012" max="11012" width="26.8984375" style="28" customWidth="1"/>
    <col min="11013" max="11013" width="49.296875" style="28" customWidth="1"/>
    <col min="11014" max="11014" width="26.3984375" style="28" customWidth="1"/>
    <col min="11015" max="11015" width="17" style="28" customWidth="1"/>
    <col min="11016" max="11016" width="1.296875" style="28" customWidth="1"/>
    <col min="11017" max="11017" width="50" style="28" customWidth="1"/>
    <col min="11018" max="11018" width="18.19921875" style="28" bestFit="1" customWidth="1"/>
    <col min="11019" max="11020" width="19.19921875" style="28" bestFit="1" customWidth="1"/>
    <col min="11021" max="11263" width="8.796875" style="28"/>
    <col min="11264" max="11264" width="1.3984375" style="28" customWidth="1"/>
    <col min="11265" max="11265" width="19.796875" style="28" customWidth="1"/>
    <col min="11266" max="11266" width="21.796875" style="28" customWidth="1"/>
    <col min="11267" max="11267" width="28.09765625" style="28" customWidth="1"/>
    <col min="11268" max="11268" width="26.8984375" style="28" customWidth="1"/>
    <col min="11269" max="11269" width="49.296875" style="28" customWidth="1"/>
    <col min="11270" max="11270" width="26.3984375" style="28" customWidth="1"/>
    <col min="11271" max="11271" width="17" style="28" customWidth="1"/>
    <col min="11272" max="11272" width="1.296875" style="28" customWidth="1"/>
    <col min="11273" max="11273" width="50" style="28" customWidth="1"/>
    <col min="11274" max="11274" width="18.19921875" style="28" bestFit="1" customWidth="1"/>
    <col min="11275" max="11276" width="19.19921875" style="28" bestFit="1" customWidth="1"/>
    <col min="11277" max="11519" width="8.796875" style="28"/>
    <col min="11520" max="11520" width="1.3984375" style="28" customWidth="1"/>
    <col min="11521" max="11521" width="19.796875" style="28" customWidth="1"/>
    <col min="11522" max="11522" width="21.796875" style="28" customWidth="1"/>
    <col min="11523" max="11523" width="28.09765625" style="28" customWidth="1"/>
    <col min="11524" max="11524" width="26.8984375" style="28" customWidth="1"/>
    <col min="11525" max="11525" width="49.296875" style="28" customWidth="1"/>
    <col min="11526" max="11526" width="26.3984375" style="28" customWidth="1"/>
    <col min="11527" max="11527" width="17" style="28" customWidth="1"/>
    <col min="11528" max="11528" width="1.296875" style="28" customWidth="1"/>
    <col min="11529" max="11529" width="50" style="28" customWidth="1"/>
    <col min="11530" max="11530" width="18.19921875" style="28" bestFit="1" customWidth="1"/>
    <col min="11531" max="11532" width="19.19921875" style="28" bestFit="1" customWidth="1"/>
    <col min="11533" max="11775" width="8.796875" style="28"/>
    <col min="11776" max="11776" width="1.3984375" style="28" customWidth="1"/>
    <col min="11777" max="11777" width="19.796875" style="28" customWidth="1"/>
    <col min="11778" max="11778" width="21.796875" style="28" customWidth="1"/>
    <col min="11779" max="11779" width="28.09765625" style="28" customWidth="1"/>
    <col min="11780" max="11780" width="26.8984375" style="28" customWidth="1"/>
    <col min="11781" max="11781" width="49.296875" style="28" customWidth="1"/>
    <col min="11782" max="11782" width="26.3984375" style="28" customWidth="1"/>
    <col min="11783" max="11783" width="17" style="28" customWidth="1"/>
    <col min="11784" max="11784" width="1.296875" style="28" customWidth="1"/>
    <col min="11785" max="11785" width="50" style="28" customWidth="1"/>
    <col min="11786" max="11786" width="18.19921875" style="28" bestFit="1" customWidth="1"/>
    <col min="11787" max="11788" width="19.19921875" style="28" bestFit="1" customWidth="1"/>
    <col min="11789" max="12031" width="8.796875" style="28"/>
    <col min="12032" max="12032" width="1.3984375" style="28" customWidth="1"/>
    <col min="12033" max="12033" width="19.796875" style="28" customWidth="1"/>
    <col min="12034" max="12034" width="21.796875" style="28" customWidth="1"/>
    <col min="12035" max="12035" width="28.09765625" style="28" customWidth="1"/>
    <col min="12036" max="12036" width="26.8984375" style="28" customWidth="1"/>
    <col min="12037" max="12037" width="49.296875" style="28" customWidth="1"/>
    <col min="12038" max="12038" width="26.3984375" style="28" customWidth="1"/>
    <col min="12039" max="12039" width="17" style="28" customWidth="1"/>
    <col min="12040" max="12040" width="1.296875" style="28" customWidth="1"/>
    <col min="12041" max="12041" width="50" style="28" customWidth="1"/>
    <col min="12042" max="12042" width="18.19921875" style="28" bestFit="1" customWidth="1"/>
    <col min="12043" max="12044" width="19.19921875" style="28" bestFit="1" customWidth="1"/>
    <col min="12045" max="12287" width="8.796875" style="28"/>
    <col min="12288" max="12288" width="1.3984375" style="28" customWidth="1"/>
    <col min="12289" max="12289" width="19.796875" style="28" customWidth="1"/>
    <col min="12290" max="12290" width="21.796875" style="28" customWidth="1"/>
    <col min="12291" max="12291" width="28.09765625" style="28" customWidth="1"/>
    <col min="12292" max="12292" width="26.8984375" style="28" customWidth="1"/>
    <col min="12293" max="12293" width="49.296875" style="28" customWidth="1"/>
    <col min="12294" max="12294" width="26.3984375" style="28" customWidth="1"/>
    <col min="12295" max="12295" width="17" style="28" customWidth="1"/>
    <col min="12296" max="12296" width="1.296875" style="28" customWidth="1"/>
    <col min="12297" max="12297" width="50" style="28" customWidth="1"/>
    <col min="12298" max="12298" width="18.19921875" style="28" bestFit="1" customWidth="1"/>
    <col min="12299" max="12300" width="19.19921875" style="28" bestFit="1" customWidth="1"/>
    <col min="12301" max="12543" width="8.796875" style="28"/>
    <col min="12544" max="12544" width="1.3984375" style="28" customWidth="1"/>
    <col min="12545" max="12545" width="19.796875" style="28" customWidth="1"/>
    <col min="12546" max="12546" width="21.796875" style="28" customWidth="1"/>
    <col min="12547" max="12547" width="28.09765625" style="28" customWidth="1"/>
    <col min="12548" max="12548" width="26.8984375" style="28" customWidth="1"/>
    <col min="12549" max="12549" width="49.296875" style="28" customWidth="1"/>
    <col min="12550" max="12550" width="26.3984375" style="28" customWidth="1"/>
    <col min="12551" max="12551" width="17" style="28" customWidth="1"/>
    <col min="12552" max="12552" width="1.296875" style="28" customWidth="1"/>
    <col min="12553" max="12553" width="50" style="28" customWidth="1"/>
    <col min="12554" max="12554" width="18.19921875" style="28" bestFit="1" customWidth="1"/>
    <col min="12555" max="12556" width="19.19921875" style="28" bestFit="1" customWidth="1"/>
    <col min="12557" max="12799" width="8.796875" style="28"/>
    <col min="12800" max="12800" width="1.3984375" style="28" customWidth="1"/>
    <col min="12801" max="12801" width="19.796875" style="28" customWidth="1"/>
    <col min="12802" max="12802" width="21.796875" style="28" customWidth="1"/>
    <col min="12803" max="12803" width="28.09765625" style="28" customWidth="1"/>
    <col min="12804" max="12804" width="26.8984375" style="28" customWidth="1"/>
    <col min="12805" max="12805" width="49.296875" style="28" customWidth="1"/>
    <col min="12806" max="12806" width="26.3984375" style="28" customWidth="1"/>
    <col min="12807" max="12807" width="17" style="28" customWidth="1"/>
    <col min="12808" max="12808" width="1.296875" style="28" customWidth="1"/>
    <col min="12809" max="12809" width="50" style="28" customWidth="1"/>
    <col min="12810" max="12810" width="18.19921875" style="28" bestFit="1" customWidth="1"/>
    <col min="12811" max="12812" width="19.19921875" style="28" bestFit="1" customWidth="1"/>
    <col min="12813" max="13055" width="8.796875" style="28"/>
    <col min="13056" max="13056" width="1.3984375" style="28" customWidth="1"/>
    <col min="13057" max="13057" width="19.796875" style="28" customWidth="1"/>
    <col min="13058" max="13058" width="21.796875" style="28" customWidth="1"/>
    <col min="13059" max="13059" width="28.09765625" style="28" customWidth="1"/>
    <col min="13060" max="13060" width="26.8984375" style="28" customWidth="1"/>
    <col min="13061" max="13061" width="49.296875" style="28" customWidth="1"/>
    <col min="13062" max="13062" width="26.3984375" style="28" customWidth="1"/>
    <col min="13063" max="13063" width="17" style="28" customWidth="1"/>
    <col min="13064" max="13064" width="1.296875" style="28" customWidth="1"/>
    <col min="13065" max="13065" width="50" style="28" customWidth="1"/>
    <col min="13066" max="13066" width="18.19921875" style="28" bestFit="1" customWidth="1"/>
    <col min="13067" max="13068" width="19.19921875" style="28" bestFit="1" customWidth="1"/>
    <col min="13069" max="13311" width="8.796875" style="28"/>
    <col min="13312" max="13312" width="1.3984375" style="28" customWidth="1"/>
    <col min="13313" max="13313" width="19.796875" style="28" customWidth="1"/>
    <col min="13314" max="13314" width="21.796875" style="28" customWidth="1"/>
    <col min="13315" max="13315" width="28.09765625" style="28" customWidth="1"/>
    <col min="13316" max="13316" width="26.8984375" style="28" customWidth="1"/>
    <col min="13317" max="13317" width="49.296875" style="28" customWidth="1"/>
    <col min="13318" max="13318" width="26.3984375" style="28" customWidth="1"/>
    <col min="13319" max="13319" width="17" style="28" customWidth="1"/>
    <col min="13320" max="13320" width="1.296875" style="28" customWidth="1"/>
    <col min="13321" max="13321" width="50" style="28" customWidth="1"/>
    <col min="13322" max="13322" width="18.19921875" style="28" bestFit="1" customWidth="1"/>
    <col min="13323" max="13324" width="19.19921875" style="28" bestFit="1" customWidth="1"/>
    <col min="13325" max="13567" width="8.796875" style="28"/>
    <col min="13568" max="13568" width="1.3984375" style="28" customWidth="1"/>
    <col min="13569" max="13569" width="19.796875" style="28" customWidth="1"/>
    <col min="13570" max="13570" width="21.796875" style="28" customWidth="1"/>
    <col min="13571" max="13571" width="28.09765625" style="28" customWidth="1"/>
    <col min="13572" max="13572" width="26.8984375" style="28" customWidth="1"/>
    <col min="13573" max="13573" width="49.296875" style="28" customWidth="1"/>
    <col min="13574" max="13574" width="26.3984375" style="28" customWidth="1"/>
    <col min="13575" max="13575" width="17" style="28" customWidth="1"/>
    <col min="13576" max="13576" width="1.296875" style="28" customWidth="1"/>
    <col min="13577" max="13577" width="50" style="28" customWidth="1"/>
    <col min="13578" max="13578" width="18.19921875" style="28" bestFit="1" customWidth="1"/>
    <col min="13579" max="13580" width="19.19921875" style="28" bestFit="1" customWidth="1"/>
    <col min="13581" max="13823" width="8.796875" style="28"/>
    <col min="13824" max="13824" width="1.3984375" style="28" customWidth="1"/>
    <col min="13825" max="13825" width="19.796875" style="28" customWidth="1"/>
    <col min="13826" max="13826" width="21.796875" style="28" customWidth="1"/>
    <col min="13827" max="13827" width="28.09765625" style="28" customWidth="1"/>
    <col min="13828" max="13828" width="26.8984375" style="28" customWidth="1"/>
    <col min="13829" max="13829" width="49.296875" style="28" customWidth="1"/>
    <col min="13830" max="13830" width="26.3984375" style="28" customWidth="1"/>
    <col min="13831" max="13831" width="17" style="28" customWidth="1"/>
    <col min="13832" max="13832" width="1.296875" style="28" customWidth="1"/>
    <col min="13833" max="13833" width="50" style="28" customWidth="1"/>
    <col min="13834" max="13834" width="18.19921875" style="28" bestFit="1" customWidth="1"/>
    <col min="13835" max="13836" width="19.19921875" style="28" bestFit="1" customWidth="1"/>
    <col min="13837" max="14079" width="8.796875" style="28"/>
    <col min="14080" max="14080" width="1.3984375" style="28" customWidth="1"/>
    <col min="14081" max="14081" width="19.796875" style="28" customWidth="1"/>
    <col min="14082" max="14082" width="21.796875" style="28" customWidth="1"/>
    <col min="14083" max="14083" width="28.09765625" style="28" customWidth="1"/>
    <col min="14084" max="14084" width="26.8984375" style="28" customWidth="1"/>
    <col min="14085" max="14085" width="49.296875" style="28" customWidth="1"/>
    <col min="14086" max="14086" width="26.3984375" style="28" customWidth="1"/>
    <col min="14087" max="14087" width="17" style="28" customWidth="1"/>
    <col min="14088" max="14088" width="1.296875" style="28" customWidth="1"/>
    <col min="14089" max="14089" width="50" style="28" customWidth="1"/>
    <col min="14090" max="14090" width="18.19921875" style="28" bestFit="1" customWidth="1"/>
    <col min="14091" max="14092" width="19.19921875" style="28" bestFit="1" customWidth="1"/>
    <col min="14093" max="14335" width="8.796875" style="28"/>
    <col min="14336" max="14336" width="1.3984375" style="28" customWidth="1"/>
    <col min="14337" max="14337" width="19.796875" style="28" customWidth="1"/>
    <col min="14338" max="14338" width="21.796875" style="28" customWidth="1"/>
    <col min="14339" max="14339" width="28.09765625" style="28" customWidth="1"/>
    <col min="14340" max="14340" width="26.8984375" style="28" customWidth="1"/>
    <col min="14341" max="14341" width="49.296875" style="28" customWidth="1"/>
    <col min="14342" max="14342" width="26.3984375" style="28" customWidth="1"/>
    <col min="14343" max="14343" width="17" style="28" customWidth="1"/>
    <col min="14344" max="14344" width="1.296875" style="28" customWidth="1"/>
    <col min="14345" max="14345" width="50" style="28" customWidth="1"/>
    <col min="14346" max="14346" width="18.19921875" style="28" bestFit="1" customWidth="1"/>
    <col min="14347" max="14348" width="19.19921875" style="28" bestFit="1" customWidth="1"/>
    <col min="14349" max="14591" width="8.796875" style="28"/>
    <col min="14592" max="14592" width="1.3984375" style="28" customWidth="1"/>
    <col min="14593" max="14593" width="19.796875" style="28" customWidth="1"/>
    <col min="14594" max="14594" width="21.796875" style="28" customWidth="1"/>
    <col min="14595" max="14595" width="28.09765625" style="28" customWidth="1"/>
    <col min="14596" max="14596" width="26.8984375" style="28" customWidth="1"/>
    <col min="14597" max="14597" width="49.296875" style="28" customWidth="1"/>
    <col min="14598" max="14598" width="26.3984375" style="28" customWidth="1"/>
    <col min="14599" max="14599" width="17" style="28" customWidth="1"/>
    <col min="14600" max="14600" width="1.296875" style="28" customWidth="1"/>
    <col min="14601" max="14601" width="50" style="28" customWidth="1"/>
    <col min="14602" max="14602" width="18.19921875" style="28" bestFit="1" customWidth="1"/>
    <col min="14603" max="14604" width="19.19921875" style="28" bestFit="1" customWidth="1"/>
    <col min="14605" max="14847" width="8.796875" style="28"/>
    <col min="14848" max="14848" width="1.3984375" style="28" customWidth="1"/>
    <col min="14849" max="14849" width="19.796875" style="28" customWidth="1"/>
    <col min="14850" max="14850" width="21.796875" style="28" customWidth="1"/>
    <col min="14851" max="14851" width="28.09765625" style="28" customWidth="1"/>
    <col min="14852" max="14852" width="26.8984375" style="28" customWidth="1"/>
    <col min="14853" max="14853" width="49.296875" style="28" customWidth="1"/>
    <col min="14854" max="14854" width="26.3984375" style="28" customWidth="1"/>
    <col min="14855" max="14855" width="17" style="28" customWidth="1"/>
    <col min="14856" max="14856" width="1.296875" style="28" customWidth="1"/>
    <col min="14857" max="14857" width="50" style="28" customWidth="1"/>
    <col min="14858" max="14858" width="18.19921875" style="28" bestFit="1" customWidth="1"/>
    <col min="14859" max="14860" width="19.19921875" style="28" bestFit="1" customWidth="1"/>
    <col min="14861" max="15103" width="8.796875" style="28"/>
    <col min="15104" max="15104" width="1.3984375" style="28" customWidth="1"/>
    <col min="15105" max="15105" width="19.796875" style="28" customWidth="1"/>
    <col min="15106" max="15106" width="21.796875" style="28" customWidth="1"/>
    <col min="15107" max="15107" width="28.09765625" style="28" customWidth="1"/>
    <col min="15108" max="15108" width="26.8984375" style="28" customWidth="1"/>
    <col min="15109" max="15109" width="49.296875" style="28" customWidth="1"/>
    <col min="15110" max="15110" width="26.3984375" style="28" customWidth="1"/>
    <col min="15111" max="15111" width="17" style="28" customWidth="1"/>
    <col min="15112" max="15112" width="1.296875" style="28" customWidth="1"/>
    <col min="15113" max="15113" width="50" style="28" customWidth="1"/>
    <col min="15114" max="15114" width="18.19921875" style="28" bestFit="1" customWidth="1"/>
    <col min="15115" max="15116" width="19.19921875" style="28" bestFit="1" customWidth="1"/>
    <col min="15117" max="15359" width="8.796875" style="28"/>
    <col min="15360" max="15360" width="1.3984375" style="28" customWidth="1"/>
    <col min="15361" max="15361" width="19.796875" style="28" customWidth="1"/>
    <col min="15362" max="15362" width="21.796875" style="28" customWidth="1"/>
    <col min="15363" max="15363" width="28.09765625" style="28" customWidth="1"/>
    <col min="15364" max="15364" width="26.8984375" style="28" customWidth="1"/>
    <col min="15365" max="15365" width="49.296875" style="28" customWidth="1"/>
    <col min="15366" max="15366" width="26.3984375" style="28" customWidth="1"/>
    <col min="15367" max="15367" width="17" style="28" customWidth="1"/>
    <col min="15368" max="15368" width="1.296875" style="28" customWidth="1"/>
    <col min="15369" max="15369" width="50" style="28" customWidth="1"/>
    <col min="15370" max="15370" width="18.19921875" style="28" bestFit="1" customWidth="1"/>
    <col min="15371" max="15372" width="19.19921875" style="28" bestFit="1" customWidth="1"/>
    <col min="15373" max="15615" width="8.796875" style="28"/>
    <col min="15616" max="15616" width="1.3984375" style="28" customWidth="1"/>
    <col min="15617" max="15617" width="19.796875" style="28" customWidth="1"/>
    <col min="15618" max="15618" width="21.796875" style="28" customWidth="1"/>
    <col min="15619" max="15619" width="28.09765625" style="28" customWidth="1"/>
    <col min="15620" max="15620" width="26.8984375" style="28" customWidth="1"/>
    <col min="15621" max="15621" width="49.296875" style="28" customWidth="1"/>
    <col min="15622" max="15622" width="26.3984375" style="28" customWidth="1"/>
    <col min="15623" max="15623" width="17" style="28" customWidth="1"/>
    <col min="15624" max="15624" width="1.296875" style="28" customWidth="1"/>
    <col min="15625" max="15625" width="50" style="28" customWidth="1"/>
    <col min="15626" max="15626" width="18.19921875" style="28" bestFit="1" customWidth="1"/>
    <col min="15627" max="15628" width="19.19921875" style="28" bestFit="1" customWidth="1"/>
    <col min="15629" max="15871" width="8.796875" style="28"/>
    <col min="15872" max="15872" width="1.3984375" style="28" customWidth="1"/>
    <col min="15873" max="15873" width="19.796875" style="28" customWidth="1"/>
    <col min="15874" max="15874" width="21.796875" style="28" customWidth="1"/>
    <col min="15875" max="15875" width="28.09765625" style="28" customWidth="1"/>
    <col min="15876" max="15876" width="26.8984375" style="28" customWidth="1"/>
    <col min="15877" max="15877" width="49.296875" style="28" customWidth="1"/>
    <col min="15878" max="15878" width="26.3984375" style="28" customWidth="1"/>
    <col min="15879" max="15879" width="17" style="28" customWidth="1"/>
    <col min="15880" max="15880" width="1.296875" style="28" customWidth="1"/>
    <col min="15881" max="15881" width="50" style="28" customWidth="1"/>
    <col min="15882" max="15882" width="18.19921875" style="28" bestFit="1" customWidth="1"/>
    <col min="15883" max="15884" width="19.19921875" style="28" bestFit="1" customWidth="1"/>
    <col min="15885" max="16127" width="8.796875" style="28"/>
    <col min="16128" max="16128" width="1.3984375" style="28" customWidth="1"/>
    <col min="16129" max="16129" width="19.796875" style="28" customWidth="1"/>
    <col min="16130" max="16130" width="21.796875" style="28" customWidth="1"/>
    <col min="16131" max="16131" width="28.09765625" style="28" customWidth="1"/>
    <col min="16132" max="16132" width="26.8984375" style="28" customWidth="1"/>
    <col min="16133" max="16133" width="49.296875" style="28" customWidth="1"/>
    <col min="16134" max="16134" width="26.3984375" style="28" customWidth="1"/>
    <col min="16135" max="16135" width="17" style="28" customWidth="1"/>
    <col min="16136" max="16136" width="1.296875" style="28" customWidth="1"/>
    <col min="16137" max="16137" width="50" style="28" customWidth="1"/>
    <col min="16138" max="16138" width="18.19921875" style="28" bestFit="1" customWidth="1"/>
    <col min="16139" max="16140" width="19.19921875" style="28" bestFit="1" customWidth="1"/>
    <col min="16141" max="16384" width="8.796875" style="28"/>
  </cols>
  <sheetData>
    <row r="1" spans="1:26" ht="7.5" customHeight="1" x14ac:dyDescent="0.3"/>
    <row r="2" spans="1:26" ht="16.5" customHeight="1" x14ac:dyDescent="0.3">
      <c r="B2" s="30"/>
      <c r="C2" s="31"/>
      <c r="D2" s="113" t="s">
        <v>123</v>
      </c>
      <c r="E2" s="112" t="s">
        <v>124</v>
      </c>
      <c r="F2" s="32"/>
      <c r="G2" s="32"/>
      <c r="H2" s="32"/>
      <c r="I2" s="32"/>
      <c r="J2" s="114" t="s">
        <v>125</v>
      </c>
    </row>
    <row r="3" spans="1:26" ht="26.25" customHeight="1" x14ac:dyDescent="0.3">
      <c r="B3" s="155"/>
      <c r="C3" s="156"/>
      <c r="D3" s="33" t="s">
        <v>61</v>
      </c>
      <c r="E3" s="34" t="s">
        <v>151</v>
      </c>
      <c r="F3" s="35"/>
      <c r="G3" s="35"/>
      <c r="H3" s="35"/>
      <c r="I3" s="35"/>
      <c r="J3" s="36">
        <f ca="1">TODAY()</f>
        <v>46220</v>
      </c>
    </row>
    <row r="4" spans="1:26" x14ac:dyDescent="0.3">
      <c r="B4" s="37"/>
      <c r="C4" s="38"/>
      <c r="D4" s="39" t="s">
        <v>126</v>
      </c>
      <c r="E4" s="157" t="s">
        <v>127</v>
      </c>
      <c r="F4" s="157"/>
      <c r="G4" s="157"/>
      <c r="H4" s="157"/>
      <c r="I4" s="157"/>
      <c r="J4" s="40" t="s">
        <v>128</v>
      </c>
    </row>
    <row r="5" spans="1:26" x14ac:dyDescent="0.3">
      <c r="B5" s="37"/>
      <c r="C5" s="38"/>
      <c r="D5" s="41"/>
      <c r="E5" s="42"/>
      <c r="F5" s="43"/>
      <c r="G5" s="43"/>
      <c r="H5" s="43"/>
      <c r="I5" s="44"/>
      <c r="J5" s="158" t="s">
        <v>96</v>
      </c>
    </row>
    <row r="6" spans="1:26" x14ac:dyDescent="0.3">
      <c r="B6" s="37"/>
      <c r="C6" s="38"/>
      <c r="D6" s="41" t="s">
        <v>214</v>
      </c>
      <c r="E6" s="42" t="s">
        <v>189</v>
      </c>
      <c r="F6" s="43"/>
      <c r="G6" s="43"/>
      <c r="H6" s="43"/>
      <c r="I6" s="44"/>
      <c r="J6" s="159"/>
    </row>
    <row r="7" spans="1:26" ht="13.5" customHeight="1" x14ac:dyDescent="0.3">
      <c r="B7" s="45"/>
      <c r="C7" s="46"/>
      <c r="D7" s="47"/>
      <c r="E7" s="48"/>
      <c r="F7" s="49"/>
      <c r="G7" s="49"/>
      <c r="H7" s="49"/>
      <c r="I7" s="50"/>
      <c r="J7" s="160"/>
    </row>
    <row r="8" spans="1:26" ht="5.25" customHeight="1" x14ac:dyDescent="0.3">
      <c r="B8" s="51"/>
      <c r="C8" s="51"/>
      <c r="D8" s="51"/>
      <c r="E8" s="51"/>
      <c r="F8" s="51"/>
      <c r="G8" s="52"/>
      <c r="H8" s="52"/>
      <c r="I8" s="52"/>
      <c r="J8" s="53"/>
    </row>
    <row r="9" spans="1:26" ht="19.899999999999999" customHeight="1" x14ac:dyDescent="0.3">
      <c r="B9" s="54" t="s">
        <v>129</v>
      </c>
      <c r="C9" s="161" t="s">
        <v>130</v>
      </c>
      <c r="D9" s="162"/>
      <c r="E9" s="162"/>
      <c r="F9" s="163"/>
      <c r="G9" s="55" t="s">
        <v>131</v>
      </c>
      <c r="H9" s="55" t="s">
        <v>132</v>
      </c>
      <c r="I9" s="56" t="s">
        <v>133</v>
      </c>
      <c r="J9" s="53"/>
    </row>
    <row r="10" spans="1:26" x14ac:dyDescent="0.3">
      <c r="A10" s="57"/>
      <c r="B10" s="58" t="s">
        <v>215</v>
      </c>
      <c r="C10" s="58" t="e">
        <f>_xlfn.XLOOKUP(B10,'00.Balancete'!E:E,'00.Balancete'!F:F)</f>
        <v>#N/A</v>
      </c>
      <c r="D10" s="59"/>
      <c r="E10" s="59"/>
      <c r="F10" s="60"/>
      <c r="G10" s="61">
        <f>-SUMIFS('00.Balancete'!$N:$N,'00.Balancete'!$E:$E,Capa!$B10)</f>
        <v>0</v>
      </c>
      <c r="H10" s="62">
        <f>'02.Suporte'!Q7</f>
        <v>595920</v>
      </c>
      <c r="I10" s="61">
        <f>G10-H10</f>
        <v>-595920</v>
      </c>
      <c r="J10" s="61"/>
      <c r="L10" s="63"/>
      <c r="M10" s="63"/>
    </row>
    <row r="11" spans="1:26" x14ac:dyDescent="0.3">
      <c r="A11" s="57"/>
      <c r="B11" s="58"/>
      <c r="C11" s="58"/>
      <c r="D11" s="59"/>
      <c r="E11" s="59"/>
      <c r="F11" s="60"/>
      <c r="G11" s="61"/>
      <c r="H11" s="62"/>
      <c r="I11" s="61"/>
      <c r="J11" s="61"/>
      <c r="L11" s="63"/>
      <c r="M11" s="63"/>
    </row>
    <row r="12" spans="1:26" ht="8" customHeight="1" x14ac:dyDescent="0.3">
      <c r="A12" s="57"/>
      <c r="B12" s="64"/>
      <c r="C12" s="58"/>
      <c r="D12" s="59"/>
      <c r="E12" s="59"/>
      <c r="F12" s="60"/>
      <c r="G12" s="61"/>
      <c r="H12" s="62"/>
      <c r="I12" s="61"/>
      <c r="J12" s="61"/>
      <c r="L12" s="63"/>
    </row>
    <row r="13" spans="1:26" ht="19.899999999999999" customHeight="1" x14ac:dyDescent="0.3">
      <c r="B13" s="164" t="s">
        <v>134</v>
      </c>
      <c r="C13" s="165"/>
      <c r="D13" s="165"/>
      <c r="E13" s="165"/>
      <c r="F13" s="165"/>
      <c r="G13" s="65">
        <f>SUM(G10:G10)</f>
        <v>0</v>
      </c>
      <c r="H13" s="65">
        <f>SUM(H10:H10)</f>
        <v>595920</v>
      </c>
      <c r="I13" s="65">
        <f>SUM(I10:I11)</f>
        <v>-595920</v>
      </c>
      <c r="J13" s="66"/>
      <c r="L13" s="63"/>
      <c r="M13" s="63"/>
      <c r="W13" s="28"/>
      <c r="X13" s="28"/>
      <c r="Y13" s="28"/>
      <c r="Z13" s="28"/>
    </row>
    <row r="14" spans="1:26" ht="7.5" customHeight="1" x14ac:dyDescent="0.3">
      <c r="B14" s="51"/>
      <c r="C14" s="51"/>
      <c r="D14" s="51"/>
      <c r="E14" s="51"/>
      <c r="F14" s="51"/>
      <c r="G14" s="52"/>
      <c r="H14" s="52"/>
      <c r="I14" s="52"/>
      <c r="J14" s="67"/>
      <c r="W14" s="28"/>
      <c r="X14" s="28"/>
      <c r="Y14" s="28"/>
      <c r="Z14" s="28"/>
    </row>
    <row r="15" spans="1:26" x14ac:dyDescent="0.3">
      <c r="B15" s="152" t="s">
        <v>135</v>
      </c>
      <c r="C15" s="153"/>
      <c r="D15" s="153"/>
      <c r="E15" s="153"/>
      <c r="F15" s="153"/>
      <c r="G15" s="153"/>
      <c r="H15" s="153"/>
      <c r="I15" s="153"/>
      <c r="J15" s="154"/>
      <c r="W15" s="28"/>
      <c r="X15" s="28"/>
      <c r="Y15" s="28"/>
      <c r="Z15" s="28"/>
    </row>
    <row r="16" spans="1:26" ht="7.5" customHeight="1" x14ac:dyDescent="0.3">
      <c r="B16" s="51"/>
      <c r="C16" s="51"/>
      <c r="D16" s="51"/>
      <c r="E16" s="51"/>
      <c r="F16" s="51"/>
      <c r="G16" s="52"/>
      <c r="H16" s="52"/>
      <c r="I16" s="52"/>
      <c r="J16" s="67"/>
      <c r="W16" s="28"/>
      <c r="X16" s="28"/>
      <c r="Y16" s="28"/>
      <c r="Z16" s="28"/>
    </row>
    <row r="17" spans="1:26" s="51" customFormat="1" x14ac:dyDescent="0.25">
      <c r="A17" s="68"/>
      <c r="B17" s="69" t="s">
        <v>136</v>
      </c>
      <c r="C17" s="175" t="s">
        <v>137</v>
      </c>
      <c r="D17" s="176"/>
      <c r="E17" s="176"/>
      <c r="F17" s="177"/>
      <c r="G17" s="70" t="s">
        <v>138</v>
      </c>
      <c r="H17" s="70" t="s">
        <v>139</v>
      </c>
      <c r="I17" s="70" t="s">
        <v>140</v>
      </c>
      <c r="J17" s="70" t="s">
        <v>141</v>
      </c>
      <c r="L17" s="71"/>
      <c r="M17" s="71"/>
      <c r="N17" s="71"/>
      <c r="O17" s="71"/>
      <c r="P17" s="71"/>
      <c r="Q17" s="71"/>
      <c r="R17" s="71"/>
      <c r="S17" s="71"/>
      <c r="T17" s="71"/>
      <c r="U17" s="71"/>
      <c r="V17" s="71"/>
    </row>
    <row r="18" spans="1:26" x14ac:dyDescent="0.3">
      <c r="B18" s="72">
        <v>45291</v>
      </c>
      <c r="C18" s="43" t="s">
        <v>218</v>
      </c>
      <c r="D18" s="43"/>
      <c r="E18" s="51"/>
      <c r="F18" s="51"/>
      <c r="G18" s="73"/>
      <c r="H18" s="74" t="s">
        <v>60</v>
      </c>
      <c r="I18" s="75" t="s">
        <v>215</v>
      </c>
      <c r="J18" s="76">
        <f>-SUMIFS('03.Conciliação'!$E:$E,'03.Conciliação'!$F:$F,Capa!$C18)</f>
        <v>0</v>
      </c>
      <c r="W18" s="28"/>
      <c r="X18" s="28"/>
      <c r="Y18" s="28"/>
      <c r="Z18" s="28"/>
    </row>
    <row r="19" spans="1:26" x14ac:dyDescent="0.3">
      <c r="B19" s="77">
        <v>45657</v>
      </c>
      <c r="C19" s="43" t="s">
        <v>219</v>
      </c>
      <c r="D19" s="43"/>
      <c r="E19" s="51"/>
      <c r="F19" s="51"/>
      <c r="G19" s="73"/>
      <c r="H19" s="73" t="s">
        <v>215</v>
      </c>
      <c r="I19" s="75" t="s">
        <v>60</v>
      </c>
      <c r="J19" s="76">
        <f>-SUMIFS('03.Conciliação'!$E:$E,'03.Conciliação'!$F:$F,Capa!$C19)</f>
        <v>0</v>
      </c>
      <c r="W19" s="28"/>
      <c r="X19" s="28"/>
      <c r="Y19" s="28"/>
      <c r="Z19" s="28"/>
    </row>
    <row r="20" spans="1:26" x14ac:dyDescent="0.3">
      <c r="B20" s="77">
        <v>46022</v>
      </c>
      <c r="C20" s="43" t="s">
        <v>220</v>
      </c>
      <c r="D20" s="43"/>
      <c r="E20" s="51"/>
      <c r="F20" s="51"/>
      <c r="G20" s="73"/>
      <c r="H20" s="73" t="s">
        <v>215</v>
      </c>
      <c r="I20" s="75" t="s">
        <v>60</v>
      </c>
      <c r="J20" s="76">
        <f>-SUMIFS('03.Conciliação'!$E:$E,'03.Conciliação'!$F:$F,Capa!$C20)</f>
        <v>0</v>
      </c>
      <c r="W20" s="28"/>
      <c r="X20" s="28"/>
      <c r="Y20" s="28"/>
      <c r="Z20" s="28"/>
    </row>
    <row r="21" spans="1:26" x14ac:dyDescent="0.3">
      <c r="B21" s="78"/>
      <c r="C21" s="43"/>
      <c r="D21" s="43"/>
      <c r="E21" s="51"/>
      <c r="F21" s="51"/>
      <c r="G21" s="79"/>
      <c r="H21" s="79"/>
      <c r="I21" s="80"/>
      <c r="J21" s="76"/>
      <c r="W21" s="28"/>
      <c r="X21" s="28"/>
      <c r="Y21" s="28"/>
      <c r="Z21" s="28"/>
    </row>
    <row r="22" spans="1:26" x14ac:dyDescent="0.3">
      <c r="B22" s="178" t="s">
        <v>142</v>
      </c>
      <c r="C22" s="165"/>
      <c r="D22" s="165"/>
      <c r="E22" s="165"/>
      <c r="F22" s="179"/>
      <c r="G22" s="81"/>
      <c r="H22" s="81"/>
      <c r="I22" s="82"/>
      <c r="J22" s="82">
        <f>SUM(J18:J21)</f>
        <v>0</v>
      </c>
      <c r="W22" s="28"/>
      <c r="X22" s="28"/>
      <c r="Y22" s="28"/>
      <c r="Z22" s="28"/>
    </row>
    <row r="23" spans="1:26" ht="7.5" customHeight="1" x14ac:dyDescent="0.3">
      <c r="B23" s="51"/>
      <c r="C23" s="51"/>
      <c r="D23" s="51"/>
      <c r="E23" s="51"/>
      <c r="F23" s="51"/>
      <c r="G23" s="52"/>
      <c r="H23" s="52"/>
      <c r="I23" s="52"/>
      <c r="J23" s="67"/>
      <c r="W23" s="28"/>
      <c r="X23" s="28"/>
      <c r="Y23" s="28"/>
      <c r="Z23" s="28"/>
    </row>
    <row r="24" spans="1:26" s="51" customFormat="1" x14ac:dyDescent="0.25">
      <c r="A24" s="68"/>
      <c r="B24" s="83" t="s">
        <v>136</v>
      </c>
      <c r="C24" s="180" t="s">
        <v>143</v>
      </c>
      <c r="D24" s="181"/>
      <c r="E24" s="181"/>
      <c r="F24" s="182"/>
      <c r="G24" s="70" t="s">
        <v>138</v>
      </c>
      <c r="H24" s="84" t="s">
        <v>139</v>
      </c>
      <c r="I24" s="84" t="s">
        <v>140</v>
      </c>
      <c r="J24" s="85" t="s">
        <v>141</v>
      </c>
      <c r="L24" s="71"/>
      <c r="M24" s="71"/>
      <c r="N24" s="71"/>
      <c r="O24" s="71"/>
      <c r="P24" s="71"/>
      <c r="Q24" s="71"/>
      <c r="R24" s="71"/>
      <c r="S24" s="71"/>
      <c r="T24" s="71"/>
      <c r="U24" s="71"/>
      <c r="V24" s="71"/>
    </row>
    <row r="25" spans="1:26" x14ac:dyDescent="0.3">
      <c r="B25" s="86"/>
      <c r="C25" s="43"/>
      <c r="E25" s="87"/>
      <c r="F25" s="87"/>
      <c r="G25" s="88"/>
      <c r="H25" s="89"/>
      <c r="I25" s="76"/>
      <c r="J25" s="76"/>
      <c r="W25" s="28"/>
      <c r="X25" s="28"/>
      <c r="Y25" s="28"/>
      <c r="Z25" s="28"/>
    </row>
    <row r="26" spans="1:26" x14ac:dyDescent="0.3">
      <c r="B26" s="90"/>
      <c r="C26" s="43"/>
      <c r="E26" s="87"/>
      <c r="F26" s="87"/>
      <c r="G26" s="91"/>
      <c r="H26" s="89"/>
      <c r="I26" s="89"/>
      <c r="J26" s="76"/>
      <c r="W26" s="28"/>
      <c r="X26" s="28"/>
      <c r="Y26" s="28"/>
      <c r="Z26" s="28"/>
    </row>
    <row r="27" spans="1:26" x14ac:dyDescent="0.3">
      <c r="B27" s="92"/>
      <c r="C27" s="93"/>
      <c r="D27" s="94"/>
      <c r="E27" s="94"/>
      <c r="F27" s="94"/>
      <c r="G27" s="95"/>
      <c r="H27" s="96"/>
      <c r="I27" s="96"/>
      <c r="J27" s="97" t="str">
        <f>IF(G27=0,"  ",IF(G27&lt;0,"C","D"))</f>
        <v xml:space="preserve">  </v>
      </c>
      <c r="W27" s="28"/>
      <c r="X27" s="28"/>
      <c r="Y27" s="28"/>
      <c r="Z27" s="28"/>
    </row>
    <row r="28" spans="1:26" x14ac:dyDescent="0.3">
      <c r="B28" s="164" t="s">
        <v>144</v>
      </c>
      <c r="C28" s="165"/>
      <c r="D28" s="165"/>
      <c r="E28" s="165"/>
      <c r="F28" s="179"/>
      <c r="G28" s="98"/>
      <c r="H28" s="99"/>
      <c r="I28" s="99"/>
      <c r="J28" s="100">
        <f>SUM(J25:J27)</f>
        <v>0</v>
      </c>
      <c r="W28" s="28"/>
      <c r="X28" s="28"/>
      <c r="Y28" s="28"/>
      <c r="Z28" s="28"/>
    </row>
    <row r="29" spans="1:26" ht="7.5" customHeight="1" x14ac:dyDescent="0.3">
      <c r="B29" s="51"/>
      <c r="C29" s="51"/>
      <c r="D29" s="51"/>
      <c r="E29" s="51"/>
      <c r="F29" s="51"/>
      <c r="G29" s="52"/>
      <c r="H29" s="52"/>
      <c r="I29" s="52"/>
      <c r="J29" s="67"/>
      <c r="W29" s="28"/>
      <c r="X29" s="28"/>
      <c r="Y29" s="28"/>
      <c r="Z29" s="28"/>
    </row>
    <row r="30" spans="1:26" x14ac:dyDescent="0.3">
      <c r="B30" s="183" t="s">
        <v>145</v>
      </c>
      <c r="C30" s="184"/>
      <c r="D30" s="184"/>
      <c r="E30" s="184"/>
      <c r="F30" s="185"/>
      <c r="G30" s="82"/>
      <c r="H30" s="82"/>
      <c r="I30" s="82"/>
      <c r="J30" s="82">
        <f>I13-J22-J28</f>
        <v>-595920</v>
      </c>
      <c r="W30" s="28"/>
      <c r="X30" s="28"/>
      <c r="Y30" s="28"/>
      <c r="Z30" s="28"/>
    </row>
    <row r="31" spans="1:26" ht="17.25" customHeight="1" x14ac:dyDescent="0.3">
      <c r="B31" s="186"/>
      <c r="C31" s="186"/>
      <c r="D31" s="186"/>
      <c r="E31" s="186"/>
      <c r="F31" s="186"/>
      <c r="G31" s="186"/>
      <c r="H31" s="186"/>
      <c r="I31" s="186"/>
      <c r="J31" s="186"/>
      <c r="W31" s="28"/>
      <c r="X31" s="28"/>
      <c r="Y31" s="28"/>
      <c r="Z31" s="28"/>
    </row>
    <row r="32" spans="1:26" s="29" customFormat="1" x14ac:dyDescent="0.3">
      <c r="A32" s="27"/>
      <c r="B32" s="166" t="s">
        <v>146</v>
      </c>
      <c r="C32" s="166"/>
      <c r="D32" s="166"/>
      <c r="E32" s="130" t="s">
        <v>147</v>
      </c>
      <c r="F32" s="131"/>
      <c r="G32" s="131" t="s">
        <v>148</v>
      </c>
      <c r="H32" s="101" t="s">
        <v>149</v>
      </c>
      <c r="I32" s="101"/>
      <c r="J32" s="102"/>
      <c r="K32" s="28"/>
    </row>
    <row r="33" spans="1:11" s="29" customFormat="1" x14ac:dyDescent="0.3">
      <c r="A33" s="27"/>
      <c r="B33" s="167"/>
      <c r="C33" s="168"/>
      <c r="D33" s="169"/>
      <c r="E33" s="132" t="s">
        <v>150</v>
      </c>
      <c r="F33" s="132"/>
      <c r="G33" s="132" t="s">
        <v>150</v>
      </c>
      <c r="H33" s="28"/>
      <c r="I33" s="28"/>
      <c r="J33" s="103"/>
      <c r="K33" s="28"/>
    </row>
    <row r="34" spans="1:11" s="29" customFormat="1" x14ac:dyDescent="0.3">
      <c r="A34" s="27"/>
      <c r="B34" s="167"/>
      <c r="C34" s="168"/>
      <c r="D34" s="169"/>
      <c r="E34" s="133">
        <f ca="1">J3</f>
        <v>46220</v>
      </c>
      <c r="F34" s="51"/>
      <c r="G34" s="134">
        <v>46204</v>
      </c>
      <c r="H34" s="28"/>
      <c r="I34" s="28"/>
      <c r="J34" s="103"/>
      <c r="K34" s="28"/>
    </row>
    <row r="35" spans="1:11" s="29" customFormat="1" x14ac:dyDescent="0.3">
      <c r="A35" s="27"/>
      <c r="B35" s="167"/>
      <c r="C35" s="168"/>
      <c r="D35" s="169"/>
      <c r="E35" s="104"/>
      <c r="F35" s="105"/>
      <c r="G35" s="94"/>
      <c r="H35" s="94"/>
      <c r="I35" s="94"/>
      <c r="J35" s="173"/>
      <c r="K35" s="28"/>
    </row>
    <row r="36" spans="1:11" s="29" customFormat="1" x14ac:dyDescent="0.3">
      <c r="A36" s="27"/>
      <c r="B36" s="170"/>
      <c r="C36" s="171"/>
      <c r="D36" s="172"/>
      <c r="E36" s="106"/>
      <c r="F36" s="107"/>
      <c r="G36" s="108"/>
      <c r="H36" s="109"/>
      <c r="I36" s="109"/>
      <c r="J36" s="174"/>
      <c r="K36" s="28"/>
    </row>
    <row r="37" spans="1:11" s="29" customFormat="1" x14ac:dyDescent="0.3">
      <c r="A37" s="27"/>
      <c r="B37" s="110"/>
      <c r="C37" s="111"/>
      <c r="D37" s="111"/>
      <c r="E37" s="111"/>
      <c r="F37" s="111"/>
      <c r="G37" s="111"/>
      <c r="H37" s="111"/>
      <c r="I37" s="111"/>
      <c r="J37" s="111"/>
      <c r="K37" s="28"/>
    </row>
    <row r="38" spans="1:11" s="29" customFormat="1" x14ac:dyDescent="0.3">
      <c r="A38" s="27"/>
      <c r="B38" s="28"/>
      <c r="C38" s="28"/>
      <c r="D38" s="28"/>
      <c r="E38" s="28"/>
      <c r="F38" s="28"/>
      <c r="G38" s="28"/>
      <c r="H38" s="28"/>
      <c r="I38" s="28"/>
      <c r="J38" s="28"/>
      <c r="K38" s="28"/>
    </row>
    <row r="39" spans="1:11" s="29" customFormat="1" x14ac:dyDescent="0.3">
      <c r="A39" s="27"/>
      <c r="B39" s="28"/>
      <c r="C39" s="28"/>
      <c r="D39" s="28"/>
      <c r="E39" s="28"/>
      <c r="F39" s="28"/>
      <c r="G39" s="28"/>
      <c r="H39" s="28"/>
      <c r="I39" s="28"/>
      <c r="J39" s="28"/>
      <c r="K39" s="28"/>
    </row>
    <row r="40" spans="1:11" s="29" customFormat="1" x14ac:dyDescent="0.3">
      <c r="A40" s="27"/>
      <c r="B40" s="28"/>
      <c r="C40" s="28"/>
      <c r="D40" s="28"/>
      <c r="E40" s="28"/>
      <c r="F40" s="28"/>
      <c r="G40" s="28"/>
      <c r="H40" s="28"/>
      <c r="I40" s="28"/>
      <c r="J40" s="28"/>
      <c r="K40" s="28"/>
    </row>
    <row r="41" spans="1:11" s="29" customFormat="1" x14ac:dyDescent="0.3">
      <c r="A41" s="27"/>
      <c r="B41" s="28"/>
      <c r="C41" s="28"/>
      <c r="D41" s="28"/>
      <c r="E41" s="28"/>
      <c r="F41" s="28"/>
      <c r="G41" s="28"/>
      <c r="H41" s="28"/>
      <c r="I41" s="28"/>
      <c r="J41" s="28"/>
      <c r="K41" s="28"/>
    </row>
    <row r="42" spans="1:11" s="29" customFormat="1" x14ac:dyDescent="0.3">
      <c r="A42" s="27"/>
      <c r="B42" s="28"/>
      <c r="C42" s="28"/>
      <c r="D42" s="28"/>
      <c r="E42" s="28"/>
      <c r="F42" s="28"/>
      <c r="G42" s="28"/>
      <c r="H42" s="28"/>
      <c r="I42" s="28"/>
      <c r="J42" s="28"/>
      <c r="K42" s="28"/>
    </row>
    <row r="43" spans="1:11" s="29" customFormat="1" x14ac:dyDescent="0.3">
      <c r="A43" s="27"/>
      <c r="B43" s="28"/>
      <c r="C43" s="28"/>
      <c r="D43" s="28"/>
      <c r="E43" s="28"/>
      <c r="F43" s="28"/>
      <c r="G43" s="28"/>
      <c r="H43" s="28"/>
      <c r="I43" s="28"/>
      <c r="J43" s="28"/>
      <c r="K43" s="28"/>
    </row>
    <row r="44" spans="1:11" s="29" customFormat="1" x14ac:dyDescent="0.3">
      <c r="A44" s="27"/>
      <c r="B44" s="28"/>
      <c r="C44" s="28"/>
      <c r="D44" s="28"/>
      <c r="E44" s="28"/>
      <c r="F44" s="28"/>
      <c r="G44" s="28"/>
      <c r="H44" s="28"/>
      <c r="I44" s="28"/>
      <c r="J44" s="28"/>
      <c r="K44" s="28"/>
    </row>
    <row r="45" spans="1:11" s="29" customFormat="1" x14ac:dyDescent="0.3">
      <c r="A45" s="27"/>
      <c r="B45" s="28"/>
      <c r="C45" s="28"/>
      <c r="D45" s="28"/>
      <c r="E45" s="28"/>
      <c r="F45" s="28"/>
      <c r="G45" s="28"/>
      <c r="H45" s="28"/>
      <c r="I45" s="28"/>
      <c r="J45" s="28"/>
      <c r="K45" s="28"/>
    </row>
    <row r="46" spans="1:11" s="29" customFormat="1" x14ac:dyDescent="0.3">
      <c r="A46" s="27"/>
      <c r="B46" s="28"/>
      <c r="C46" s="28"/>
      <c r="D46" s="28"/>
      <c r="E46" s="28"/>
      <c r="F46" s="28"/>
      <c r="G46" s="28"/>
      <c r="H46" s="28"/>
      <c r="I46" s="28"/>
      <c r="J46" s="28"/>
      <c r="K46" s="28"/>
    </row>
    <row r="47" spans="1:11" s="29" customFormat="1" x14ac:dyDescent="0.3">
      <c r="A47" s="27"/>
      <c r="B47" s="28"/>
      <c r="C47" s="28"/>
      <c r="D47" s="28"/>
      <c r="E47" s="28"/>
      <c r="F47" s="28"/>
      <c r="G47" s="28"/>
      <c r="H47" s="28"/>
      <c r="I47" s="28"/>
      <c r="J47" s="28"/>
      <c r="K47" s="28"/>
    </row>
    <row r="48" spans="1:11" s="29" customFormat="1" x14ac:dyDescent="0.3">
      <c r="A48" s="27"/>
      <c r="B48" s="28"/>
      <c r="C48" s="28"/>
      <c r="D48" s="28"/>
      <c r="E48" s="28"/>
      <c r="F48" s="28"/>
      <c r="G48" s="28"/>
      <c r="H48" s="28"/>
      <c r="I48" s="28"/>
      <c r="J48" s="28"/>
      <c r="K48" s="28"/>
    </row>
    <row r="49" spans="1:11" s="29" customFormat="1" x14ac:dyDescent="0.3">
      <c r="A49" s="27"/>
      <c r="B49" s="28"/>
      <c r="C49" s="28"/>
      <c r="D49" s="28"/>
      <c r="E49" s="28"/>
      <c r="F49" s="28"/>
      <c r="G49" s="28"/>
      <c r="H49" s="28"/>
      <c r="I49" s="28"/>
      <c r="J49" s="28"/>
      <c r="K49" s="28"/>
    </row>
    <row r="50" spans="1:11" s="29" customFormat="1" x14ac:dyDescent="0.3">
      <c r="A50" s="27"/>
      <c r="B50" s="28"/>
      <c r="C50" s="28"/>
      <c r="D50" s="28"/>
      <c r="E50" s="28"/>
      <c r="F50" s="28"/>
      <c r="G50" s="28"/>
      <c r="H50" s="28"/>
      <c r="I50" s="28"/>
      <c r="J50" s="28"/>
      <c r="K50" s="28"/>
    </row>
    <row r="51" spans="1:11" s="29" customFormat="1" x14ac:dyDescent="0.3">
      <c r="A51" s="27"/>
      <c r="B51" s="28"/>
      <c r="C51" s="28"/>
      <c r="D51" s="28"/>
      <c r="E51" s="28"/>
      <c r="F51" s="28"/>
      <c r="G51" s="28"/>
      <c r="H51" s="28"/>
      <c r="I51" s="28"/>
      <c r="J51" s="28"/>
      <c r="K51" s="28"/>
    </row>
    <row r="52" spans="1:11" s="29" customFormat="1" x14ac:dyDescent="0.3">
      <c r="A52" s="27"/>
      <c r="B52" s="28"/>
      <c r="C52" s="28"/>
      <c r="D52" s="28"/>
      <c r="E52" s="28"/>
      <c r="F52" s="28"/>
      <c r="G52" s="28"/>
      <c r="H52" s="28"/>
      <c r="I52" s="28"/>
      <c r="J52" s="28"/>
      <c r="K52" s="28"/>
    </row>
    <row r="53" spans="1:11" s="29" customFormat="1" x14ac:dyDescent="0.3">
      <c r="A53" s="27"/>
      <c r="B53" s="28"/>
      <c r="C53" s="28"/>
      <c r="D53" s="28"/>
      <c r="E53" s="28"/>
      <c r="F53" s="28"/>
      <c r="G53" s="28"/>
      <c r="H53" s="28"/>
      <c r="I53" s="28"/>
      <c r="J53" s="28"/>
      <c r="K53" s="28"/>
    </row>
    <row r="54" spans="1:11" s="29" customFormat="1" x14ac:dyDescent="0.3">
      <c r="A54" s="27"/>
      <c r="B54" s="28"/>
      <c r="C54" s="28"/>
      <c r="D54" s="28"/>
      <c r="E54" s="28"/>
      <c r="F54" s="28"/>
      <c r="G54" s="28"/>
      <c r="H54" s="28"/>
      <c r="I54" s="28"/>
      <c r="J54" s="28"/>
      <c r="K54" s="28"/>
    </row>
    <row r="55" spans="1:11" s="29" customFormat="1" x14ac:dyDescent="0.3">
      <c r="A55" s="27"/>
      <c r="B55" s="28"/>
      <c r="C55" s="28"/>
      <c r="D55" s="28"/>
      <c r="E55" s="28"/>
      <c r="F55" s="28"/>
      <c r="G55" s="28"/>
      <c r="H55" s="28"/>
      <c r="I55" s="28"/>
      <c r="J55" s="28"/>
      <c r="K55" s="28"/>
    </row>
    <row r="56" spans="1:11" s="29" customFormat="1" x14ac:dyDescent="0.3">
      <c r="A56" s="27"/>
      <c r="B56" s="28"/>
      <c r="C56" s="28"/>
      <c r="D56" s="28"/>
      <c r="E56" s="28"/>
      <c r="F56" s="28"/>
      <c r="G56" s="28"/>
      <c r="H56" s="28"/>
      <c r="I56" s="28"/>
      <c r="J56" s="28"/>
      <c r="K56" s="28"/>
    </row>
    <row r="57" spans="1:11" s="29" customFormat="1" x14ac:dyDescent="0.3">
      <c r="A57" s="27"/>
      <c r="B57" s="28"/>
      <c r="C57" s="28"/>
      <c r="D57" s="28"/>
      <c r="E57" s="28"/>
      <c r="F57" s="28"/>
      <c r="G57" s="28"/>
      <c r="H57" s="28"/>
      <c r="I57" s="28"/>
      <c r="J57" s="28"/>
      <c r="K57" s="28"/>
    </row>
    <row r="58" spans="1:11" s="29" customFormat="1" x14ac:dyDescent="0.3">
      <c r="A58" s="27"/>
      <c r="B58" s="28"/>
      <c r="C58" s="28"/>
      <c r="D58" s="28"/>
      <c r="E58" s="28"/>
      <c r="F58" s="28"/>
      <c r="G58" s="28"/>
      <c r="H58" s="28"/>
      <c r="I58" s="28"/>
      <c r="J58" s="28"/>
      <c r="K58" s="28"/>
    </row>
    <row r="59" spans="1:11" s="29" customFormat="1" x14ac:dyDescent="0.3">
      <c r="A59" s="27"/>
      <c r="B59" s="28"/>
      <c r="C59" s="28"/>
      <c r="D59" s="28"/>
      <c r="E59" s="28"/>
      <c r="F59" s="28"/>
      <c r="G59" s="28"/>
      <c r="H59" s="28"/>
      <c r="I59" s="28"/>
      <c r="J59" s="28"/>
      <c r="K59" s="28"/>
    </row>
    <row r="60" spans="1:11" s="29" customFormat="1" x14ac:dyDescent="0.3">
      <c r="A60" s="27"/>
      <c r="B60" s="28"/>
      <c r="C60" s="28"/>
      <c r="D60" s="28"/>
      <c r="E60" s="28"/>
      <c r="F60" s="28"/>
      <c r="G60" s="28"/>
      <c r="H60" s="28"/>
      <c r="I60" s="28"/>
      <c r="J60" s="28"/>
      <c r="K60" s="28"/>
    </row>
    <row r="61" spans="1:11" s="29" customFormat="1" x14ac:dyDescent="0.3">
      <c r="A61" s="27"/>
      <c r="B61" s="28"/>
      <c r="C61" s="28"/>
      <c r="D61" s="28"/>
      <c r="E61" s="28"/>
      <c r="F61" s="28"/>
      <c r="G61" s="28"/>
      <c r="H61" s="28"/>
      <c r="I61" s="28"/>
      <c r="J61" s="28"/>
      <c r="K61" s="28"/>
    </row>
    <row r="62" spans="1:11" s="29" customFormat="1" x14ac:dyDescent="0.3">
      <c r="A62" s="27"/>
      <c r="B62" s="28"/>
      <c r="C62" s="28"/>
      <c r="D62" s="28"/>
      <c r="E62" s="28"/>
      <c r="F62" s="28"/>
      <c r="G62" s="28"/>
      <c r="H62" s="28"/>
      <c r="I62" s="28"/>
      <c r="J62" s="28"/>
      <c r="K62" s="28"/>
    </row>
    <row r="63" spans="1:11" s="29" customFormat="1" x14ac:dyDescent="0.3">
      <c r="A63" s="27"/>
      <c r="B63" s="28"/>
      <c r="C63" s="28"/>
      <c r="D63" s="28"/>
      <c r="E63" s="28"/>
      <c r="F63" s="28"/>
      <c r="G63" s="28"/>
      <c r="H63" s="28"/>
      <c r="I63" s="28"/>
      <c r="J63" s="28"/>
      <c r="K63" s="28"/>
    </row>
    <row r="64" spans="1:11" s="29" customFormat="1" x14ac:dyDescent="0.3">
      <c r="A64" s="27"/>
      <c r="B64" s="28"/>
      <c r="C64" s="28"/>
      <c r="D64" s="28"/>
      <c r="E64" s="28"/>
      <c r="F64" s="28"/>
      <c r="G64" s="28"/>
      <c r="H64" s="28"/>
      <c r="I64" s="28"/>
      <c r="J64" s="28"/>
      <c r="K64" s="28"/>
    </row>
    <row r="65" spans="1:11" s="29" customFormat="1" x14ac:dyDescent="0.3">
      <c r="A65" s="27"/>
      <c r="B65" s="28"/>
      <c r="C65" s="28"/>
      <c r="D65" s="28"/>
      <c r="E65" s="28"/>
      <c r="F65" s="28"/>
      <c r="G65" s="28"/>
      <c r="H65" s="28"/>
      <c r="I65" s="28"/>
      <c r="J65" s="28"/>
      <c r="K65" s="28"/>
    </row>
    <row r="66" spans="1:11" s="29" customFormat="1" x14ac:dyDescent="0.3">
      <c r="A66" s="27"/>
      <c r="B66" s="28"/>
      <c r="C66" s="28"/>
      <c r="D66" s="28"/>
      <c r="E66" s="28"/>
      <c r="F66" s="28"/>
      <c r="G66" s="28"/>
      <c r="H66" s="28"/>
      <c r="I66" s="28"/>
      <c r="J66" s="28"/>
      <c r="K66" s="28"/>
    </row>
    <row r="67" spans="1:11" s="29" customFormat="1" x14ac:dyDescent="0.3">
      <c r="A67" s="27"/>
      <c r="B67" s="28"/>
      <c r="C67" s="28"/>
      <c r="D67" s="28"/>
      <c r="E67" s="28"/>
      <c r="F67" s="28"/>
      <c r="G67" s="28"/>
      <c r="H67" s="28"/>
      <c r="I67" s="28"/>
      <c r="J67" s="28"/>
      <c r="K67" s="28"/>
    </row>
    <row r="68" spans="1:11" s="29" customFormat="1" x14ac:dyDescent="0.3">
      <c r="A68" s="27"/>
      <c r="B68" s="28"/>
      <c r="C68" s="28"/>
      <c r="D68" s="28"/>
      <c r="E68" s="28"/>
      <c r="F68" s="28"/>
      <c r="G68" s="28"/>
      <c r="H68" s="28"/>
      <c r="I68" s="28"/>
      <c r="J68" s="28"/>
      <c r="K68" s="28"/>
    </row>
    <row r="69" spans="1:11" s="29" customFormat="1" x14ac:dyDescent="0.3">
      <c r="A69" s="27"/>
      <c r="B69" s="28"/>
      <c r="C69" s="28"/>
      <c r="D69" s="28"/>
      <c r="E69" s="28"/>
      <c r="F69" s="28"/>
      <c r="G69" s="28"/>
      <c r="H69" s="28"/>
      <c r="I69" s="28"/>
      <c r="J69" s="28"/>
      <c r="K69" s="28"/>
    </row>
    <row r="70" spans="1:11" s="29" customFormat="1" x14ac:dyDescent="0.3">
      <c r="A70" s="27"/>
      <c r="B70" s="28"/>
      <c r="C70" s="28"/>
      <c r="D70" s="28"/>
      <c r="E70" s="28"/>
      <c r="F70" s="28"/>
      <c r="G70" s="28"/>
      <c r="H70" s="28"/>
      <c r="I70" s="28"/>
      <c r="J70" s="28"/>
      <c r="K70" s="28"/>
    </row>
    <row r="71" spans="1:11" s="29" customFormat="1" x14ac:dyDescent="0.3">
      <c r="A71" s="27"/>
      <c r="B71" s="28"/>
      <c r="C71" s="28"/>
      <c r="D71" s="28"/>
      <c r="E71" s="28"/>
      <c r="F71" s="28"/>
      <c r="G71" s="28"/>
      <c r="H71" s="28"/>
      <c r="I71" s="28"/>
      <c r="J71" s="28"/>
      <c r="K71" s="28"/>
    </row>
    <row r="72" spans="1:11" s="29" customFormat="1" x14ac:dyDescent="0.3">
      <c r="A72" s="27"/>
      <c r="B72" s="28"/>
      <c r="C72" s="28"/>
      <c r="D72" s="28"/>
      <c r="E72" s="28"/>
      <c r="F72" s="28"/>
      <c r="G72" s="28"/>
      <c r="H72" s="28"/>
      <c r="I72" s="28"/>
      <c r="J72" s="28"/>
      <c r="K72" s="28"/>
    </row>
    <row r="73" spans="1:11" s="29" customFormat="1" x14ac:dyDescent="0.3">
      <c r="A73" s="27"/>
      <c r="B73" s="28"/>
      <c r="C73" s="28"/>
      <c r="D73" s="28"/>
      <c r="E73" s="28"/>
      <c r="F73" s="28"/>
      <c r="G73" s="28"/>
      <c r="H73" s="28"/>
      <c r="I73" s="28"/>
      <c r="J73" s="28"/>
      <c r="K73" s="28"/>
    </row>
    <row r="74" spans="1:11" s="29" customFormat="1" x14ac:dyDescent="0.3">
      <c r="A74" s="27"/>
      <c r="B74" s="28"/>
      <c r="C74" s="28"/>
      <c r="D74" s="28"/>
      <c r="E74" s="28"/>
      <c r="F74" s="28"/>
      <c r="G74" s="28"/>
      <c r="H74" s="28"/>
      <c r="I74" s="28"/>
      <c r="J74" s="28"/>
      <c r="K74" s="28"/>
    </row>
    <row r="75" spans="1:11" s="29" customFormat="1" x14ac:dyDescent="0.3">
      <c r="A75" s="27"/>
      <c r="B75" s="28"/>
      <c r="C75" s="28"/>
      <c r="D75" s="28"/>
      <c r="E75" s="28"/>
      <c r="F75" s="28"/>
      <c r="G75" s="28"/>
      <c r="H75" s="28"/>
      <c r="I75" s="28"/>
      <c r="J75" s="28"/>
      <c r="K75" s="28"/>
    </row>
    <row r="76" spans="1:11" s="29" customFormat="1" x14ac:dyDescent="0.3">
      <c r="A76" s="27"/>
      <c r="B76" s="28"/>
      <c r="C76" s="28"/>
      <c r="D76" s="28"/>
      <c r="E76" s="28"/>
      <c r="F76" s="28"/>
      <c r="G76" s="28"/>
      <c r="H76" s="28"/>
      <c r="I76" s="28"/>
      <c r="J76" s="28"/>
      <c r="K76" s="28"/>
    </row>
    <row r="77" spans="1:11" s="29" customFormat="1" x14ac:dyDescent="0.3">
      <c r="A77" s="27"/>
      <c r="B77" s="28"/>
      <c r="C77" s="28"/>
      <c r="D77" s="28"/>
      <c r="E77" s="28"/>
      <c r="F77" s="28"/>
      <c r="G77" s="28"/>
      <c r="H77" s="28"/>
      <c r="I77" s="28"/>
      <c r="J77" s="28"/>
      <c r="K77" s="28"/>
    </row>
    <row r="78" spans="1:11" s="29" customFormat="1" x14ac:dyDescent="0.3">
      <c r="A78" s="27"/>
      <c r="B78" s="28"/>
      <c r="C78" s="28"/>
      <c r="D78" s="28"/>
      <c r="E78" s="28"/>
      <c r="F78" s="28"/>
      <c r="G78" s="28"/>
      <c r="H78" s="28"/>
      <c r="I78" s="28"/>
      <c r="J78" s="28"/>
      <c r="K78" s="28"/>
    </row>
    <row r="79" spans="1:11" s="29" customFormat="1" x14ac:dyDescent="0.3">
      <c r="A79" s="27"/>
      <c r="B79" s="28"/>
      <c r="C79" s="28"/>
      <c r="D79" s="28"/>
      <c r="E79" s="28"/>
      <c r="F79" s="28"/>
      <c r="G79" s="28"/>
      <c r="H79" s="28"/>
      <c r="I79" s="28"/>
      <c r="J79" s="28"/>
      <c r="K79" s="28"/>
    </row>
    <row r="80" spans="1:11" s="29" customFormat="1" x14ac:dyDescent="0.3">
      <c r="A80" s="27"/>
      <c r="B80" s="28"/>
      <c r="C80" s="28"/>
      <c r="D80" s="28"/>
      <c r="E80" s="28"/>
      <c r="F80" s="28"/>
      <c r="G80" s="28"/>
      <c r="H80" s="28"/>
      <c r="I80" s="28"/>
      <c r="J80" s="28"/>
      <c r="K80" s="28"/>
    </row>
    <row r="81" spans="1:11" s="29" customFormat="1" x14ac:dyDescent="0.3">
      <c r="A81" s="27"/>
      <c r="B81" s="28"/>
      <c r="C81" s="28"/>
      <c r="D81" s="28"/>
      <c r="E81" s="28"/>
      <c r="F81" s="28"/>
      <c r="G81" s="28"/>
      <c r="H81" s="28"/>
      <c r="I81" s="28"/>
      <c r="J81" s="28"/>
      <c r="K81" s="28"/>
    </row>
    <row r="82" spans="1:11" s="29" customFormat="1" x14ac:dyDescent="0.3">
      <c r="A82" s="27"/>
      <c r="B82" s="28"/>
      <c r="C82" s="28"/>
      <c r="D82" s="28"/>
      <c r="E82" s="28"/>
      <c r="F82" s="28"/>
      <c r="G82" s="28"/>
      <c r="H82" s="28"/>
      <c r="I82" s="28"/>
      <c r="J82" s="28"/>
      <c r="K82" s="28"/>
    </row>
    <row r="83" spans="1:11" s="29" customFormat="1" x14ac:dyDescent="0.3">
      <c r="A83" s="27"/>
      <c r="B83" s="28"/>
      <c r="C83" s="28"/>
      <c r="D83" s="28"/>
      <c r="E83" s="28"/>
      <c r="F83" s="28"/>
      <c r="G83" s="28"/>
      <c r="H83" s="28"/>
      <c r="I83" s="28"/>
      <c r="J83" s="28"/>
      <c r="K83" s="28"/>
    </row>
    <row r="84" spans="1:11" s="29" customFormat="1" x14ac:dyDescent="0.3">
      <c r="A84" s="27"/>
      <c r="B84" s="28"/>
      <c r="C84" s="28"/>
      <c r="D84" s="28"/>
      <c r="E84" s="28"/>
      <c r="F84" s="28"/>
      <c r="G84" s="28"/>
      <c r="H84" s="28"/>
      <c r="I84" s="28"/>
      <c r="J84" s="28"/>
      <c r="K84" s="28"/>
    </row>
    <row r="85" spans="1:11" s="29" customFormat="1" x14ac:dyDescent="0.3">
      <c r="A85" s="27"/>
      <c r="B85" s="28"/>
      <c r="C85" s="28"/>
      <c r="D85" s="28"/>
      <c r="E85" s="28"/>
      <c r="F85" s="28"/>
      <c r="G85" s="28"/>
      <c r="H85" s="28"/>
      <c r="I85" s="28"/>
      <c r="J85" s="28"/>
      <c r="K85" s="28"/>
    </row>
    <row r="86" spans="1:11" s="29" customFormat="1" x14ac:dyDescent="0.3">
      <c r="A86" s="27"/>
      <c r="B86" s="28"/>
      <c r="C86" s="28"/>
      <c r="D86" s="28"/>
      <c r="E86" s="28"/>
      <c r="F86" s="28"/>
      <c r="G86" s="28"/>
      <c r="H86" s="28"/>
      <c r="I86" s="28"/>
      <c r="J86" s="28"/>
      <c r="K86" s="28"/>
    </row>
    <row r="87" spans="1:11" s="29" customFormat="1" x14ac:dyDescent="0.3">
      <c r="A87" s="27"/>
      <c r="B87" s="28"/>
      <c r="C87" s="28"/>
      <c r="D87" s="28"/>
      <c r="E87" s="28"/>
      <c r="F87" s="28"/>
      <c r="G87" s="28"/>
      <c r="H87" s="28"/>
      <c r="I87" s="28"/>
      <c r="J87" s="28"/>
      <c r="K87" s="28"/>
    </row>
    <row r="88" spans="1:11" s="29" customFormat="1" x14ac:dyDescent="0.3">
      <c r="A88" s="27"/>
      <c r="B88" s="28"/>
      <c r="C88" s="28"/>
      <c r="D88" s="28"/>
      <c r="E88" s="28"/>
      <c r="F88" s="28"/>
      <c r="G88" s="28"/>
      <c r="H88" s="28"/>
      <c r="I88" s="28"/>
      <c r="J88" s="28"/>
      <c r="K88" s="28"/>
    </row>
    <row r="89" spans="1:11" s="29" customFormat="1" x14ac:dyDescent="0.3">
      <c r="A89" s="27"/>
      <c r="B89" s="28"/>
      <c r="C89" s="28"/>
      <c r="D89" s="28"/>
      <c r="E89" s="28"/>
      <c r="F89" s="28"/>
      <c r="G89" s="28"/>
      <c r="H89" s="28"/>
      <c r="I89" s="28"/>
      <c r="J89" s="28"/>
      <c r="K89" s="28"/>
    </row>
    <row r="90" spans="1:11" s="29" customFormat="1" x14ac:dyDescent="0.3">
      <c r="A90" s="27"/>
      <c r="B90" s="28"/>
      <c r="C90" s="28"/>
      <c r="D90" s="28"/>
      <c r="E90" s="28"/>
      <c r="F90" s="28"/>
      <c r="G90" s="28"/>
      <c r="H90" s="28"/>
      <c r="I90" s="28"/>
      <c r="J90" s="28"/>
      <c r="K90" s="28"/>
    </row>
    <row r="91" spans="1:11" s="29" customFormat="1" x14ac:dyDescent="0.3">
      <c r="A91" s="27"/>
      <c r="B91" s="28"/>
      <c r="C91" s="28"/>
      <c r="D91" s="28"/>
      <c r="E91" s="28"/>
      <c r="F91" s="28"/>
      <c r="G91" s="28"/>
      <c r="H91" s="28"/>
      <c r="I91" s="28"/>
      <c r="J91" s="28"/>
      <c r="K91" s="28"/>
    </row>
    <row r="92" spans="1:11" s="29" customFormat="1" x14ac:dyDescent="0.3">
      <c r="A92" s="27"/>
      <c r="B92" s="28"/>
      <c r="C92" s="28"/>
      <c r="D92" s="28"/>
      <c r="E92" s="28"/>
      <c r="F92" s="28"/>
      <c r="G92" s="28"/>
      <c r="H92" s="28"/>
      <c r="I92" s="28"/>
      <c r="J92" s="28"/>
      <c r="K92" s="28"/>
    </row>
    <row r="93" spans="1:11" s="29" customFormat="1" x14ac:dyDescent="0.3">
      <c r="A93" s="27"/>
      <c r="B93" s="28"/>
      <c r="C93" s="28"/>
      <c r="D93" s="28"/>
      <c r="E93" s="28"/>
      <c r="F93" s="28"/>
      <c r="G93" s="28"/>
      <c r="H93" s="28"/>
      <c r="I93" s="28"/>
      <c r="J93" s="28"/>
      <c r="K93" s="28"/>
    </row>
    <row r="94" spans="1:11" s="29" customFormat="1" x14ac:dyDescent="0.3">
      <c r="A94" s="27"/>
      <c r="B94" s="28"/>
      <c r="C94" s="28"/>
      <c r="D94" s="28"/>
      <c r="E94" s="28"/>
      <c r="F94" s="28"/>
      <c r="G94" s="28"/>
      <c r="H94" s="28"/>
      <c r="I94" s="28"/>
      <c r="J94" s="28"/>
      <c r="K94" s="28"/>
    </row>
    <row r="95" spans="1:11" s="29" customFormat="1" x14ac:dyDescent="0.3">
      <c r="A95" s="27"/>
      <c r="B95" s="28"/>
      <c r="C95" s="28"/>
      <c r="D95" s="28"/>
      <c r="E95" s="28"/>
      <c r="F95" s="28"/>
      <c r="G95" s="28"/>
      <c r="H95" s="28"/>
      <c r="I95" s="28"/>
      <c r="J95" s="28"/>
      <c r="K95" s="28"/>
    </row>
    <row r="96" spans="1:11" s="29" customFormat="1" x14ac:dyDescent="0.3">
      <c r="A96" s="27"/>
      <c r="B96" s="28"/>
      <c r="C96" s="28"/>
      <c r="D96" s="28"/>
      <c r="E96" s="28"/>
      <c r="F96" s="28"/>
      <c r="G96" s="28"/>
      <c r="H96" s="28"/>
      <c r="I96" s="28"/>
      <c r="J96" s="28"/>
      <c r="K96" s="28"/>
    </row>
    <row r="97" spans="1:11" s="29" customFormat="1" x14ac:dyDescent="0.3">
      <c r="A97" s="27"/>
      <c r="B97" s="28"/>
      <c r="C97" s="28"/>
      <c r="D97" s="28"/>
      <c r="E97" s="28"/>
      <c r="F97" s="28"/>
      <c r="G97" s="28"/>
      <c r="H97" s="28"/>
      <c r="I97" s="28"/>
      <c r="J97" s="28"/>
      <c r="K97" s="28"/>
    </row>
    <row r="98" spans="1:11" s="29" customFormat="1" x14ac:dyDescent="0.3">
      <c r="A98" s="27"/>
      <c r="B98" s="28"/>
      <c r="C98" s="28"/>
      <c r="D98" s="28"/>
      <c r="E98" s="28"/>
      <c r="F98" s="28"/>
      <c r="G98" s="28"/>
      <c r="H98" s="28"/>
      <c r="I98" s="28"/>
      <c r="J98" s="28"/>
      <c r="K98" s="28"/>
    </row>
    <row r="99" spans="1:11" s="29" customFormat="1" x14ac:dyDescent="0.3">
      <c r="A99" s="27"/>
      <c r="B99" s="28"/>
      <c r="C99" s="28"/>
      <c r="D99" s="28"/>
      <c r="E99" s="28"/>
      <c r="F99" s="28"/>
      <c r="G99" s="28"/>
      <c r="H99" s="28"/>
      <c r="I99" s="28"/>
      <c r="J99" s="28"/>
      <c r="K99" s="28"/>
    </row>
    <row r="100" spans="1:11" s="29" customFormat="1" x14ac:dyDescent="0.3">
      <c r="A100" s="27"/>
      <c r="B100" s="28"/>
      <c r="C100" s="28"/>
      <c r="D100" s="28"/>
      <c r="E100" s="28"/>
      <c r="F100" s="28"/>
      <c r="G100" s="28"/>
      <c r="H100" s="28"/>
      <c r="I100" s="28"/>
      <c r="J100" s="28"/>
      <c r="K100" s="28"/>
    </row>
    <row r="101" spans="1:11" s="29" customFormat="1" x14ac:dyDescent="0.3">
      <c r="A101" s="27"/>
      <c r="B101" s="28"/>
      <c r="C101" s="28"/>
      <c r="D101" s="28"/>
      <c r="E101" s="28"/>
      <c r="F101" s="28"/>
      <c r="G101" s="28"/>
      <c r="H101" s="28"/>
      <c r="I101" s="28"/>
      <c r="J101" s="28"/>
      <c r="K101" s="28"/>
    </row>
    <row r="102" spans="1:11" s="29" customFormat="1" x14ac:dyDescent="0.3">
      <c r="A102" s="27"/>
      <c r="B102" s="28"/>
      <c r="C102" s="28"/>
      <c r="D102" s="28"/>
      <c r="E102" s="28"/>
      <c r="F102" s="28"/>
      <c r="G102" s="28"/>
      <c r="H102" s="28"/>
      <c r="I102" s="28"/>
      <c r="J102" s="28"/>
      <c r="K102" s="28"/>
    </row>
    <row r="103" spans="1:11" s="29" customFormat="1" x14ac:dyDescent="0.3">
      <c r="A103" s="27"/>
      <c r="B103" s="28"/>
      <c r="C103" s="28"/>
      <c r="D103" s="28"/>
      <c r="E103" s="28"/>
      <c r="F103" s="28"/>
      <c r="G103" s="28"/>
      <c r="H103" s="28"/>
      <c r="I103" s="28"/>
      <c r="J103" s="28"/>
      <c r="K103" s="28"/>
    </row>
    <row r="104" spans="1:11" s="29" customFormat="1" x14ac:dyDescent="0.3">
      <c r="A104" s="27"/>
      <c r="B104" s="28"/>
      <c r="C104" s="28"/>
      <c r="D104" s="28"/>
      <c r="E104" s="28"/>
      <c r="F104" s="28"/>
      <c r="G104" s="28"/>
      <c r="H104" s="28"/>
      <c r="I104" s="28"/>
      <c r="J104" s="28"/>
      <c r="K104" s="28"/>
    </row>
    <row r="105" spans="1:11" s="29" customFormat="1" x14ac:dyDescent="0.3">
      <c r="A105" s="27"/>
      <c r="B105" s="28"/>
      <c r="C105" s="28"/>
      <c r="D105" s="28"/>
      <c r="E105" s="28"/>
      <c r="F105" s="28"/>
      <c r="G105" s="28"/>
      <c r="H105" s="28"/>
      <c r="I105" s="28"/>
      <c r="J105" s="28"/>
      <c r="K105" s="28"/>
    </row>
    <row r="106" spans="1:11" s="29" customFormat="1" x14ac:dyDescent="0.3">
      <c r="A106" s="27"/>
      <c r="B106" s="28"/>
      <c r="C106" s="28"/>
      <c r="D106" s="28"/>
      <c r="E106" s="28"/>
      <c r="F106" s="28"/>
      <c r="G106" s="28"/>
      <c r="H106" s="28"/>
      <c r="I106" s="28"/>
      <c r="J106" s="28"/>
      <c r="K106" s="28"/>
    </row>
    <row r="107" spans="1:11" s="29" customFormat="1" x14ac:dyDescent="0.3">
      <c r="A107" s="27"/>
      <c r="B107" s="28"/>
      <c r="C107" s="28"/>
      <c r="D107" s="28"/>
      <c r="E107" s="28"/>
      <c r="F107" s="28"/>
      <c r="G107" s="28"/>
      <c r="H107" s="28"/>
      <c r="I107" s="28"/>
      <c r="J107" s="28"/>
      <c r="K107" s="28"/>
    </row>
    <row r="108" spans="1:11" s="29" customFormat="1" x14ac:dyDescent="0.3">
      <c r="A108" s="27"/>
      <c r="B108" s="28"/>
      <c r="C108" s="28"/>
      <c r="D108" s="28"/>
      <c r="E108" s="28"/>
      <c r="F108" s="28"/>
      <c r="G108" s="28"/>
      <c r="H108" s="28"/>
      <c r="I108" s="28"/>
      <c r="J108" s="28"/>
      <c r="K108" s="28"/>
    </row>
    <row r="109" spans="1:11" s="29" customFormat="1" x14ac:dyDescent="0.3">
      <c r="A109" s="27"/>
      <c r="B109" s="28"/>
      <c r="C109" s="28"/>
      <c r="D109" s="28"/>
      <c r="E109" s="28"/>
      <c r="F109" s="28"/>
      <c r="G109" s="28"/>
      <c r="H109" s="28"/>
      <c r="I109" s="28"/>
      <c r="J109" s="28"/>
      <c r="K109" s="28"/>
    </row>
    <row r="110" spans="1:11" s="29" customFormat="1" x14ac:dyDescent="0.3">
      <c r="A110" s="27"/>
      <c r="B110" s="28"/>
      <c r="C110" s="28"/>
      <c r="D110" s="28"/>
      <c r="E110" s="28"/>
      <c r="F110" s="28"/>
      <c r="G110" s="28"/>
      <c r="H110" s="28"/>
      <c r="I110" s="28"/>
      <c r="J110" s="28"/>
      <c r="K110" s="28"/>
    </row>
    <row r="111" spans="1:11" s="29" customFormat="1" x14ac:dyDescent="0.3">
      <c r="A111" s="27"/>
      <c r="B111" s="28"/>
      <c r="C111" s="28"/>
      <c r="D111" s="28"/>
      <c r="E111" s="28"/>
      <c r="F111" s="28"/>
      <c r="G111" s="28"/>
      <c r="H111" s="28"/>
      <c r="I111" s="28"/>
      <c r="J111" s="28"/>
      <c r="K111" s="28"/>
    </row>
    <row r="112" spans="1:11" s="29" customFormat="1" x14ac:dyDescent="0.3">
      <c r="A112" s="27"/>
      <c r="B112" s="28"/>
      <c r="C112" s="28"/>
      <c r="D112" s="28"/>
      <c r="E112" s="28"/>
      <c r="F112" s="28"/>
      <c r="G112" s="28"/>
      <c r="H112" s="28"/>
      <c r="I112" s="28"/>
      <c r="J112" s="28"/>
      <c r="K112" s="28"/>
    </row>
    <row r="113" spans="1:11" s="29" customFormat="1" x14ac:dyDescent="0.3">
      <c r="A113" s="27"/>
      <c r="B113" s="28"/>
      <c r="C113" s="28"/>
      <c r="D113" s="28"/>
      <c r="E113" s="28"/>
      <c r="F113" s="28"/>
      <c r="G113" s="28"/>
      <c r="H113" s="28"/>
      <c r="I113" s="28"/>
      <c r="J113" s="28"/>
      <c r="K113" s="28"/>
    </row>
    <row r="114" spans="1:11" s="29" customFormat="1" x14ac:dyDescent="0.3">
      <c r="A114" s="27"/>
      <c r="B114" s="28"/>
      <c r="C114" s="28"/>
      <c r="D114" s="28"/>
      <c r="E114" s="28"/>
      <c r="F114" s="28"/>
      <c r="G114" s="28"/>
      <c r="H114" s="28"/>
      <c r="I114" s="28"/>
      <c r="J114" s="28"/>
      <c r="K114" s="28"/>
    </row>
    <row r="115" spans="1:11" s="29" customFormat="1" x14ac:dyDescent="0.3">
      <c r="A115" s="27"/>
      <c r="B115" s="28"/>
      <c r="C115" s="28"/>
      <c r="D115" s="28"/>
      <c r="E115" s="28"/>
      <c r="F115" s="28"/>
      <c r="G115" s="28"/>
      <c r="H115" s="28"/>
      <c r="I115" s="28"/>
      <c r="J115" s="28"/>
      <c r="K115" s="28"/>
    </row>
    <row r="116" spans="1:11" s="29" customFormat="1" x14ac:dyDescent="0.3">
      <c r="A116" s="27"/>
      <c r="B116" s="28"/>
      <c r="C116" s="28"/>
      <c r="D116" s="28"/>
      <c r="E116" s="28"/>
      <c r="F116" s="28"/>
      <c r="G116" s="28"/>
      <c r="H116" s="28"/>
      <c r="I116" s="28"/>
      <c r="J116" s="28"/>
      <c r="K116" s="28"/>
    </row>
    <row r="117" spans="1:11" s="29" customFormat="1" x14ac:dyDescent="0.3">
      <c r="A117" s="27"/>
      <c r="B117" s="28"/>
      <c r="C117" s="28"/>
      <c r="D117" s="28"/>
      <c r="E117" s="28"/>
      <c r="F117" s="28"/>
      <c r="G117" s="28"/>
      <c r="H117" s="28"/>
      <c r="I117" s="28"/>
      <c r="J117" s="28"/>
      <c r="K117" s="28"/>
    </row>
    <row r="118" spans="1:11" s="29" customFormat="1" x14ac:dyDescent="0.3">
      <c r="A118" s="27"/>
      <c r="B118" s="28"/>
      <c r="C118" s="28"/>
      <c r="D118" s="28"/>
      <c r="E118" s="28"/>
      <c r="F118" s="28"/>
      <c r="G118" s="28"/>
      <c r="H118" s="28"/>
      <c r="I118" s="28"/>
      <c r="J118" s="28"/>
      <c r="K118" s="28"/>
    </row>
    <row r="119" spans="1:11" s="29" customFormat="1" x14ac:dyDescent="0.3">
      <c r="A119" s="27"/>
      <c r="B119" s="28"/>
      <c r="C119" s="28"/>
      <c r="D119" s="28"/>
      <c r="E119" s="28"/>
      <c r="F119" s="28"/>
      <c r="G119" s="28"/>
      <c r="H119" s="28"/>
      <c r="I119" s="28"/>
      <c r="J119" s="28"/>
      <c r="K119" s="28"/>
    </row>
    <row r="120" spans="1:11" s="29" customFormat="1" x14ac:dyDescent="0.3">
      <c r="A120" s="27"/>
      <c r="B120" s="28"/>
      <c r="C120" s="28"/>
      <c r="D120" s="28"/>
      <c r="E120" s="28"/>
      <c r="F120" s="28"/>
      <c r="G120" s="28"/>
      <c r="H120" s="28"/>
      <c r="I120" s="28"/>
      <c r="J120" s="28"/>
      <c r="K120" s="28"/>
    </row>
    <row r="121" spans="1:11" s="29" customFormat="1" x14ac:dyDescent="0.3">
      <c r="A121" s="27"/>
      <c r="B121" s="28"/>
      <c r="C121" s="28"/>
      <c r="D121" s="28"/>
      <c r="E121" s="28"/>
      <c r="F121" s="28"/>
      <c r="G121" s="28"/>
      <c r="H121" s="28"/>
      <c r="I121" s="28"/>
      <c r="J121" s="28"/>
      <c r="K121" s="28"/>
    </row>
    <row r="122" spans="1:11" s="29" customFormat="1" x14ac:dyDescent="0.3">
      <c r="A122" s="27"/>
      <c r="B122" s="28"/>
      <c r="C122" s="28"/>
      <c r="D122" s="28"/>
      <c r="E122" s="28"/>
      <c r="F122" s="28"/>
      <c r="G122" s="28"/>
      <c r="H122" s="28"/>
      <c r="I122" s="28"/>
      <c r="J122" s="28"/>
      <c r="K122" s="28"/>
    </row>
    <row r="123" spans="1:11" s="29" customFormat="1" x14ac:dyDescent="0.3">
      <c r="A123" s="27"/>
      <c r="B123" s="28"/>
      <c r="C123" s="28"/>
      <c r="D123" s="28"/>
      <c r="E123" s="28"/>
      <c r="F123" s="28"/>
      <c r="G123" s="28"/>
      <c r="H123" s="28"/>
      <c r="I123" s="28"/>
      <c r="J123" s="28"/>
      <c r="K123" s="28"/>
    </row>
    <row r="124" spans="1:11" s="29" customFormat="1" x14ac:dyDescent="0.3">
      <c r="A124" s="27"/>
      <c r="B124" s="28"/>
      <c r="C124" s="28"/>
      <c r="D124" s="28"/>
      <c r="E124" s="28"/>
      <c r="F124" s="28"/>
      <c r="G124" s="28"/>
      <c r="H124" s="28"/>
      <c r="I124" s="28"/>
      <c r="J124" s="28"/>
      <c r="K124" s="28"/>
    </row>
    <row r="125" spans="1:11" s="29" customFormat="1" x14ac:dyDescent="0.3">
      <c r="A125" s="27"/>
      <c r="B125" s="28"/>
      <c r="C125" s="28"/>
      <c r="D125" s="28"/>
      <c r="E125" s="28"/>
      <c r="F125" s="28"/>
      <c r="G125" s="28"/>
      <c r="H125" s="28"/>
      <c r="I125" s="28"/>
      <c r="J125" s="28"/>
      <c r="K125" s="28"/>
    </row>
    <row r="126" spans="1:11" s="29" customFormat="1" x14ac:dyDescent="0.3">
      <c r="A126" s="27"/>
      <c r="B126" s="28"/>
      <c r="C126" s="28"/>
      <c r="D126" s="28"/>
      <c r="E126" s="28"/>
      <c r="F126" s="28"/>
      <c r="G126" s="28"/>
      <c r="H126" s="28"/>
      <c r="I126" s="28"/>
      <c r="J126" s="28"/>
      <c r="K126" s="28"/>
    </row>
    <row r="127" spans="1:11" s="29" customFormat="1" x14ac:dyDescent="0.3">
      <c r="A127" s="27"/>
      <c r="B127" s="28"/>
      <c r="C127" s="28"/>
      <c r="D127" s="28"/>
      <c r="E127" s="28"/>
      <c r="F127" s="28"/>
      <c r="G127" s="28"/>
      <c r="H127" s="28"/>
      <c r="I127" s="28"/>
      <c r="J127" s="28"/>
      <c r="K127" s="28"/>
    </row>
    <row r="128" spans="1:11" s="29" customFormat="1" x14ac:dyDescent="0.3">
      <c r="A128" s="27"/>
      <c r="B128" s="28"/>
      <c r="C128" s="28"/>
      <c r="D128" s="28"/>
      <c r="E128" s="28"/>
      <c r="F128" s="28"/>
      <c r="G128" s="28"/>
      <c r="H128" s="28"/>
      <c r="I128" s="28"/>
      <c r="J128" s="28"/>
      <c r="K128" s="28"/>
    </row>
    <row r="129" spans="1:11" s="29" customFormat="1" x14ac:dyDescent="0.3">
      <c r="A129" s="27"/>
      <c r="B129" s="28"/>
      <c r="C129" s="28"/>
      <c r="D129" s="28"/>
      <c r="E129" s="28"/>
      <c r="F129" s="28"/>
      <c r="G129" s="28"/>
      <c r="H129" s="28"/>
      <c r="I129" s="28"/>
      <c r="J129" s="28"/>
      <c r="K129" s="28"/>
    </row>
    <row r="130" spans="1:11" s="29" customFormat="1" x14ac:dyDescent="0.3">
      <c r="A130" s="27"/>
      <c r="B130" s="28"/>
      <c r="C130" s="28"/>
      <c r="D130" s="28"/>
      <c r="E130" s="28"/>
      <c r="F130" s="28"/>
      <c r="G130" s="28"/>
      <c r="H130" s="28"/>
      <c r="I130" s="28"/>
      <c r="J130" s="28"/>
      <c r="K130" s="28"/>
    </row>
    <row r="131" spans="1:11" s="29" customFormat="1" x14ac:dyDescent="0.3">
      <c r="A131" s="27"/>
      <c r="B131" s="28"/>
      <c r="C131" s="28"/>
      <c r="D131" s="28"/>
      <c r="E131" s="28"/>
      <c r="F131" s="28"/>
      <c r="G131" s="28"/>
      <c r="H131" s="28"/>
      <c r="I131" s="28"/>
      <c r="J131" s="28"/>
      <c r="K131" s="28"/>
    </row>
    <row r="132" spans="1:11" s="29" customFormat="1" x14ac:dyDescent="0.3">
      <c r="A132" s="27"/>
      <c r="B132" s="28"/>
      <c r="C132" s="28"/>
      <c r="D132" s="28"/>
      <c r="E132" s="28"/>
      <c r="F132" s="28"/>
      <c r="G132" s="28"/>
      <c r="H132" s="28"/>
      <c r="I132" s="28"/>
      <c r="J132" s="28"/>
      <c r="K132" s="28"/>
    </row>
    <row r="133" spans="1:11" s="29" customFormat="1" x14ac:dyDescent="0.3">
      <c r="A133" s="27"/>
      <c r="B133" s="28"/>
      <c r="C133" s="28"/>
      <c r="D133" s="28"/>
      <c r="E133" s="28"/>
      <c r="F133" s="28"/>
      <c r="G133" s="28"/>
      <c r="H133" s="28"/>
      <c r="I133" s="28"/>
      <c r="J133" s="28"/>
      <c r="K133" s="28"/>
    </row>
    <row r="134" spans="1:11" s="29" customFormat="1" x14ac:dyDescent="0.3">
      <c r="A134" s="27"/>
      <c r="B134" s="28"/>
      <c r="C134" s="28"/>
      <c r="D134" s="28"/>
      <c r="E134" s="28"/>
      <c r="F134" s="28"/>
      <c r="G134" s="28"/>
      <c r="H134" s="28"/>
      <c r="I134" s="28"/>
      <c r="J134" s="28"/>
      <c r="K134" s="28"/>
    </row>
    <row r="135" spans="1:11" s="29" customFormat="1" x14ac:dyDescent="0.3">
      <c r="A135" s="27"/>
      <c r="B135" s="28"/>
      <c r="C135" s="28"/>
      <c r="D135" s="28"/>
      <c r="E135" s="28"/>
      <c r="F135" s="28"/>
      <c r="G135" s="28"/>
      <c r="H135" s="28"/>
      <c r="I135" s="28"/>
      <c r="J135" s="28"/>
      <c r="K135" s="28"/>
    </row>
    <row r="136" spans="1:11" s="29" customFormat="1" x14ac:dyDescent="0.3">
      <c r="A136" s="27"/>
      <c r="B136" s="28"/>
      <c r="C136" s="28"/>
      <c r="D136" s="28"/>
      <c r="E136" s="28"/>
      <c r="F136" s="28"/>
      <c r="G136" s="28"/>
      <c r="H136" s="28"/>
      <c r="I136" s="28"/>
      <c r="J136" s="28"/>
      <c r="K136" s="28"/>
    </row>
    <row r="137" spans="1:11" s="29" customFormat="1" x14ac:dyDescent="0.3">
      <c r="A137" s="27"/>
      <c r="B137" s="28"/>
      <c r="C137" s="28"/>
      <c r="D137" s="28"/>
      <c r="E137" s="28"/>
      <c r="F137" s="28"/>
      <c r="G137" s="28"/>
      <c r="H137" s="28"/>
      <c r="I137" s="28"/>
      <c r="J137" s="28"/>
      <c r="K137" s="28"/>
    </row>
    <row r="138" spans="1:11" s="29" customFormat="1" x14ac:dyDescent="0.3">
      <c r="A138" s="27"/>
      <c r="B138" s="28"/>
      <c r="C138" s="28"/>
      <c r="D138" s="28"/>
      <c r="E138" s="28"/>
      <c r="F138" s="28"/>
      <c r="G138" s="28"/>
      <c r="H138" s="28"/>
      <c r="I138" s="28"/>
      <c r="J138" s="28"/>
      <c r="K138" s="28"/>
    </row>
    <row r="139" spans="1:11" s="29" customFormat="1" x14ac:dyDescent="0.3">
      <c r="A139" s="27"/>
      <c r="B139" s="28"/>
      <c r="C139" s="28"/>
      <c r="D139" s="28"/>
      <c r="E139" s="28"/>
      <c r="F139" s="28"/>
      <c r="G139" s="28"/>
      <c r="H139" s="28"/>
      <c r="I139" s="28"/>
      <c r="J139" s="28"/>
      <c r="K139" s="28"/>
    </row>
    <row r="140" spans="1:11" s="29" customFormat="1" x14ac:dyDescent="0.3">
      <c r="A140" s="27"/>
      <c r="B140" s="28"/>
      <c r="C140" s="28"/>
      <c r="D140" s="28"/>
      <c r="E140" s="28"/>
      <c r="F140" s="28"/>
      <c r="G140" s="28"/>
      <c r="H140" s="28"/>
      <c r="I140" s="28"/>
      <c r="J140" s="28"/>
      <c r="K140" s="28"/>
    </row>
    <row r="141" spans="1:11" s="29" customFormat="1" x14ac:dyDescent="0.3">
      <c r="A141" s="27"/>
      <c r="B141" s="28"/>
      <c r="C141" s="28"/>
      <c r="D141" s="28"/>
      <c r="E141" s="28"/>
      <c r="F141" s="28"/>
      <c r="G141" s="28"/>
      <c r="H141" s="28"/>
      <c r="I141" s="28"/>
      <c r="J141" s="28"/>
      <c r="K141" s="28"/>
    </row>
    <row r="142" spans="1:11" s="29" customFormat="1" x14ac:dyDescent="0.3">
      <c r="A142" s="27"/>
      <c r="B142" s="28"/>
      <c r="C142" s="28"/>
      <c r="D142" s="28"/>
      <c r="E142" s="28"/>
      <c r="F142" s="28"/>
      <c r="G142" s="28"/>
      <c r="H142" s="28"/>
      <c r="I142" s="28"/>
      <c r="J142" s="28"/>
      <c r="K142" s="28"/>
    </row>
    <row r="143" spans="1:11" s="29" customFormat="1" x14ac:dyDescent="0.3">
      <c r="A143" s="27"/>
      <c r="B143" s="28"/>
      <c r="C143" s="28"/>
      <c r="D143" s="28"/>
      <c r="E143" s="28"/>
      <c r="F143" s="28"/>
      <c r="G143" s="28"/>
      <c r="H143" s="28"/>
      <c r="I143" s="28"/>
      <c r="J143" s="28"/>
      <c r="K143" s="28"/>
    </row>
    <row r="144" spans="1:11" s="29" customFormat="1" x14ac:dyDescent="0.3">
      <c r="A144" s="27"/>
      <c r="B144" s="28"/>
      <c r="C144" s="28"/>
      <c r="D144" s="28"/>
      <c r="E144" s="28"/>
      <c r="F144" s="28"/>
      <c r="G144" s="28"/>
      <c r="H144" s="28"/>
      <c r="I144" s="28"/>
      <c r="J144" s="28"/>
      <c r="K144" s="28"/>
    </row>
    <row r="145" spans="1:11" s="29" customFormat="1" x14ac:dyDescent="0.3">
      <c r="A145" s="27"/>
      <c r="B145" s="28"/>
      <c r="C145" s="28"/>
      <c r="D145" s="28"/>
      <c r="E145" s="28"/>
      <c r="F145" s="28"/>
      <c r="G145" s="28"/>
      <c r="H145" s="28"/>
      <c r="I145" s="28"/>
      <c r="J145" s="28"/>
      <c r="K145" s="28"/>
    </row>
    <row r="146" spans="1:11" s="29" customFormat="1" x14ac:dyDescent="0.3">
      <c r="A146" s="27"/>
      <c r="B146" s="28"/>
      <c r="C146" s="28"/>
      <c r="D146" s="28"/>
      <c r="E146" s="28"/>
      <c r="F146" s="28"/>
      <c r="G146" s="28"/>
      <c r="H146" s="28"/>
      <c r="I146" s="28"/>
      <c r="J146" s="28"/>
      <c r="K146" s="28"/>
    </row>
    <row r="147" spans="1:11" s="29" customFormat="1" x14ac:dyDescent="0.3">
      <c r="A147" s="27"/>
      <c r="B147" s="28"/>
      <c r="C147" s="28"/>
      <c r="D147" s="28"/>
      <c r="E147" s="28"/>
      <c r="F147" s="28"/>
      <c r="G147" s="28"/>
      <c r="H147" s="28"/>
      <c r="I147" s="28"/>
      <c r="J147" s="28"/>
      <c r="K147" s="28"/>
    </row>
    <row r="148" spans="1:11" s="29" customFormat="1" x14ac:dyDescent="0.3">
      <c r="A148" s="27"/>
      <c r="B148" s="28"/>
      <c r="C148" s="28"/>
      <c r="D148" s="28"/>
      <c r="E148" s="28"/>
      <c r="F148" s="28"/>
      <c r="G148" s="28"/>
      <c r="H148" s="28"/>
      <c r="I148" s="28"/>
      <c r="J148" s="28"/>
      <c r="K148" s="28"/>
    </row>
    <row r="149" spans="1:11" s="29" customFormat="1" x14ac:dyDescent="0.3">
      <c r="A149" s="27"/>
      <c r="B149" s="28"/>
      <c r="C149" s="28"/>
      <c r="D149" s="28"/>
      <c r="E149" s="28"/>
      <c r="F149" s="28"/>
      <c r="G149" s="28"/>
      <c r="H149" s="28"/>
      <c r="I149" s="28"/>
      <c r="J149" s="28"/>
      <c r="K149" s="28"/>
    </row>
    <row r="150" spans="1:11" s="29" customFormat="1" x14ac:dyDescent="0.3">
      <c r="A150" s="27"/>
      <c r="B150" s="28"/>
      <c r="C150" s="28"/>
      <c r="D150" s="28"/>
      <c r="E150" s="28"/>
      <c r="F150" s="28"/>
      <c r="G150" s="28"/>
      <c r="H150" s="28"/>
      <c r="I150" s="28"/>
      <c r="J150" s="28"/>
      <c r="K150" s="28"/>
    </row>
    <row r="151" spans="1:11" s="29" customFormat="1" x14ac:dyDescent="0.3">
      <c r="A151" s="27"/>
      <c r="B151" s="28"/>
      <c r="C151" s="28"/>
      <c r="D151" s="28"/>
      <c r="E151" s="28"/>
      <c r="F151" s="28"/>
      <c r="G151" s="28"/>
      <c r="H151" s="28"/>
      <c r="I151" s="28"/>
      <c r="J151" s="28"/>
      <c r="K151" s="28"/>
    </row>
    <row r="152" spans="1:11" s="29" customFormat="1" x14ac:dyDescent="0.3">
      <c r="A152" s="27"/>
      <c r="B152" s="28"/>
      <c r="C152" s="28"/>
      <c r="D152" s="28"/>
      <c r="E152" s="28"/>
      <c r="F152" s="28"/>
      <c r="G152" s="28"/>
      <c r="H152" s="28"/>
      <c r="I152" s="28"/>
      <c r="J152" s="28"/>
      <c r="K152" s="28"/>
    </row>
    <row r="153" spans="1:11" s="29" customFormat="1" x14ac:dyDescent="0.3">
      <c r="A153" s="27"/>
      <c r="B153" s="28"/>
      <c r="C153" s="28"/>
      <c r="D153" s="28"/>
      <c r="E153" s="28"/>
      <c r="F153" s="28"/>
      <c r="G153" s="28"/>
      <c r="H153" s="28"/>
      <c r="I153" s="28"/>
      <c r="J153" s="28"/>
      <c r="K153" s="28"/>
    </row>
    <row r="154" spans="1:11" s="29" customFormat="1" x14ac:dyDescent="0.3">
      <c r="A154" s="27"/>
      <c r="B154" s="28"/>
      <c r="C154" s="28"/>
      <c r="D154" s="28"/>
      <c r="E154" s="28"/>
      <c r="F154" s="28"/>
      <c r="G154" s="28"/>
      <c r="H154" s="28"/>
      <c r="I154" s="28"/>
      <c r="J154" s="28"/>
      <c r="K154" s="28"/>
    </row>
    <row r="155" spans="1:11" s="29" customFormat="1" x14ac:dyDescent="0.3">
      <c r="A155" s="27"/>
      <c r="B155" s="28"/>
      <c r="C155" s="28"/>
      <c r="D155" s="28"/>
      <c r="E155" s="28"/>
      <c r="F155" s="28"/>
      <c r="G155" s="28"/>
      <c r="H155" s="28"/>
      <c r="I155" s="28"/>
      <c r="J155" s="28"/>
      <c r="K155" s="28"/>
    </row>
    <row r="156" spans="1:11" s="29" customFormat="1" x14ac:dyDescent="0.3">
      <c r="A156" s="27"/>
      <c r="B156" s="28"/>
      <c r="C156" s="28"/>
      <c r="D156" s="28"/>
      <c r="E156" s="28"/>
      <c r="F156" s="28"/>
      <c r="G156" s="28"/>
      <c r="H156" s="28"/>
      <c r="I156" s="28"/>
      <c r="J156" s="28"/>
      <c r="K156" s="28"/>
    </row>
    <row r="157" spans="1:11" s="29" customFormat="1" x14ac:dyDescent="0.3">
      <c r="A157" s="27"/>
      <c r="B157" s="28"/>
      <c r="C157" s="28"/>
      <c r="D157" s="28"/>
      <c r="E157" s="28"/>
      <c r="F157" s="28"/>
      <c r="G157" s="28"/>
      <c r="H157" s="28"/>
      <c r="I157" s="28"/>
      <c r="J157" s="28"/>
      <c r="K157" s="28"/>
    </row>
    <row r="158" spans="1:11" s="29" customFormat="1" x14ac:dyDescent="0.3">
      <c r="A158" s="27"/>
      <c r="B158" s="28"/>
      <c r="C158" s="28"/>
      <c r="D158" s="28"/>
      <c r="E158" s="28"/>
      <c r="F158" s="28"/>
      <c r="G158" s="28"/>
      <c r="H158" s="28"/>
      <c r="I158" s="28"/>
      <c r="J158" s="28"/>
      <c r="K158" s="28"/>
    </row>
    <row r="159" spans="1:11" s="29" customFormat="1" x14ac:dyDescent="0.3">
      <c r="A159" s="27"/>
      <c r="B159" s="28"/>
      <c r="C159" s="28"/>
      <c r="D159" s="28"/>
      <c r="E159" s="28"/>
      <c r="F159" s="28"/>
      <c r="G159" s="28"/>
      <c r="H159" s="28"/>
      <c r="I159" s="28"/>
      <c r="J159" s="28"/>
      <c r="K159" s="28"/>
    </row>
    <row r="160" spans="1:11" s="29" customFormat="1" x14ac:dyDescent="0.3">
      <c r="A160" s="27"/>
      <c r="B160" s="28"/>
      <c r="C160" s="28"/>
      <c r="D160" s="28"/>
      <c r="E160" s="28"/>
      <c r="F160" s="28"/>
      <c r="G160" s="28"/>
      <c r="H160" s="28"/>
      <c r="I160" s="28"/>
      <c r="J160" s="28"/>
      <c r="K160" s="28"/>
    </row>
    <row r="161" spans="1:11" s="29" customFormat="1" x14ac:dyDescent="0.3">
      <c r="A161" s="27"/>
      <c r="B161" s="28"/>
      <c r="C161" s="28"/>
      <c r="D161" s="28"/>
      <c r="E161" s="28"/>
      <c r="F161" s="28"/>
      <c r="G161" s="28"/>
      <c r="H161" s="28"/>
      <c r="I161" s="28"/>
      <c r="J161" s="28"/>
      <c r="K161" s="28"/>
    </row>
    <row r="162" spans="1:11" s="29" customFormat="1" x14ac:dyDescent="0.3">
      <c r="A162" s="27"/>
      <c r="B162" s="28"/>
      <c r="C162" s="28"/>
      <c r="D162" s="28"/>
      <c r="E162" s="28"/>
      <c r="F162" s="28"/>
      <c r="G162" s="28"/>
      <c r="H162" s="28"/>
      <c r="I162" s="28"/>
      <c r="J162" s="28"/>
      <c r="K162" s="28"/>
    </row>
  </sheetData>
  <sheetProtection formatCells="0" formatColumns="0"/>
  <mergeCells count="15">
    <mergeCell ref="B32:D32"/>
    <mergeCell ref="B33:D36"/>
    <mergeCell ref="J35:J36"/>
    <mergeCell ref="C17:F17"/>
    <mergeCell ref="B22:F22"/>
    <mergeCell ref="C24:F24"/>
    <mergeCell ref="B28:F28"/>
    <mergeCell ref="B30:F30"/>
    <mergeCell ref="B31:J31"/>
    <mergeCell ref="B15:J15"/>
    <mergeCell ref="B3:C3"/>
    <mergeCell ref="E4:I4"/>
    <mergeCell ref="J5:J7"/>
    <mergeCell ref="C9:F9"/>
    <mergeCell ref="B13:F13"/>
  </mergeCells>
  <conditionalFormatting sqref="B12">
    <cfRule type="duplicateValues" dxfId="3" priority="3"/>
  </conditionalFormatting>
  <conditionalFormatting sqref="J35:J36">
    <cfRule type="cellIs" dxfId="2" priority="1" stopIfTrue="1" operator="equal">
      <formula>"OK"</formula>
    </cfRule>
    <cfRule type="cellIs" dxfId="1" priority="2" stopIfTrue="1" operator="equal">
      <formula>"ERRO"</formula>
    </cfRule>
  </conditionalFormatting>
  <dataValidations disablePrompts="1" count="2">
    <dataValidation showDropDown="1" showInputMessage="1" showErrorMessage="1" sqref="WVL983004:WVM983004 IZ3:JA3 SV3:SW3 ACR3:ACS3 AMN3:AMO3 AWJ3:AWK3 BGF3:BGG3 BQB3:BQC3 BZX3:BZY3 CJT3:CJU3 CTP3:CTQ3 DDL3:DDM3 DNH3:DNI3 DXD3:DXE3 EGZ3:EHA3 EQV3:EQW3 FAR3:FAS3 FKN3:FKO3 FUJ3:FUK3 GEF3:GEG3 GOB3:GOC3 GXX3:GXY3 HHT3:HHU3 HRP3:HRQ3 IBL3:IBM3 ILH3:ILI3 IVD3:IVE3 JEZ3:JFA3 JOV3:JOW3 JYR3:JYS3 KIN3:KIO3 KSJ3:KSK3 LCF3:LCG3 LMB3:LMC3 LVX3:LVY3 MFT3:MFU3 MPP3:MPQ3 MZL3:MZM3 NJH3:NJI3 NTD3:NTE3 OCZ3:ODA3 OMV3:OMW3 OWR3:OWS3 PGN3:PGO3 PQJ3:PQK3 QAF3:QAG3 QKB3:QKC3 QTX3:QTY3 RDT3:RDU3 RNP3:RNQ3 RXL3:RXM3 SHH3:SHI3 SRD3:SRE3 TAZ3:TBA3 TKV3:TKW3 TUR3:TUS3 UEN3:UEO3 UOJ3:UOK3 UYF3:UYG3 VIB3:VIC3 VRX3:VRY3 WBT3:WBU3 WLP3:WLQ3 WVL3:WVM3 E65500:F65500 IZ65500:JA65500 SV65500:SW65500 ACR65500:ACS65500 AMN65500:AMO65500 AWJ65500:AWK65500 BGF65500:BGG65500 BQB65500:BQC65500 BZX65500:BZY65500 CJT65500:CJU65500 CTP65500:CTQ65500 DDL65500:DDM65500 DNH65500:DNI65500 DXD65500:DXE65500 EGZ65500:EHA65500 EQV65500:EQW65500 FAR65500:FAS65500 FKN65500:FKO65500 FUJ65500:FUK65500 GEF65500:GEG65500 GOB65500:GOC65500 GXX65500:GXY65500 HHT65500:HHU65500 HRP65500:HRQ65500 IBL65500:IBM65500 ILH65500:ILI65500 IVD65500:IVE65500 JEZ65500:JFA65500 JOV65500:JOW65500 JYR65500:JYS65500 KIN65500:KIO65500 KSJ65500:KSK65500 LCF65500:LCG65500 LMB65500:LMC65500 LVX65500:LVY65500 MFT65500:MFU65500 MPP65500:MPQ65500 MZL65500:MZM65500 NJH65500:NJI65500 NTD65500:NTE65500 OCZ65500:ODA65500 OMV65500:OMW65500 OWR65500:OWS65500 PGN65500:PGO65500 PQJ65500:PQK65500 QAF65500:QAG65500 QKB65500:QKC65500 QTX65500:QTY65500 RDT65500:RDU65500 RNP65500:RNQ65500 RXL65500:RXM65500 SHH65500:SHI65500 SRD65500:SRE65500 TAZ65500:TBA65500 TKV65500:TKW65500 TUR65500:TUS65500 UEN65500:UEO65500 UOJ65500:UOK65500 UYF65500:UYG65500 VIB65500:VIC65500 VRX65500:VRY65500 WBT65500:WBU65500 WLP65500:WLQ65500 WVL65500:WVM65500 E131036:F131036 IZ131036:JA131036 SV131036:SW131036 ACR131036:ACS131036 AMN131036:AMO131036 AWJ131036:AWK131036 BGF131036:BGG131036 BQB131036:BQC131036 BZX131036:BZY131036 CJT131036:CJU131036 CTP131036:CTQ131036 DDL131036:DDM131036 DNH131036:DNI131036 DXD131036:DXE131036 EGZ131036:EHA131036 EQV131036:EQW131036 FAR131036:FAS131036 FKN131036:FKO131036 FUJ131036:FUK131036 GEF131036:GEG131036 GOB131036:GOC131036 GXX131036:GXY131036 HHT131036:HHU131036 HRP131036:HRQ131036 IBL131036:IBM131036 ILH131036:ILI131036 IVD131036:IVE131036 JEZ131036:JFA131036 JOV131036:JOW131036 JYR131036:JYS131036 KIN131036:KIO131036 KSJ131036:KSK131036 LCF131036:LCG131036 LMB131036:LMC131036 LVX131036:LVY131036 MFT131036:MFU131036 MPP131036:MPQ131036 MZL131036:MZM131036 NJH131036:NJI131036 NTD131036:NTE131036 OCZ131036:ODA131036 OMV131036:OMW131036 OWR131036:OWS131036 PGN131036:PGO131036 PQJ131036:PQK131036 QAF131036:QAG131036 QKB131036:QKC131036 QTX131036:QTY131036 RDT131036:RDU131036 RNP131036:RNQ131036 RXL131036:RXM131036 SHH131036:SHI131036 SRD131036:SRE131036 TAZ131036:TBA131036 TKV131036:TKW131036 TUR131036:TUS131036 UEN131036:UEO131036 UOJ131036:UOK131036 UYF131036:UYG131036 VIB131036:VIC131036 VRX131036:VRY131036 WBT131036:WBU131036 WLP131036:WLQ131036 WVL131036:WVM131036 E196572:F196572 IZ196572:JA196572 SV196572:SW196572 ACR196572:ACS196572 AMN196572:AMO196572 AWJ196572:AWK196572 BGF196572:BGG196572 BQB196572:BQC196572 BZX196572:BZY196572 CJT196572:CJU196572 CTP196572:CTQ196572 DDL196572:DDM196572 DNH196572:DNI196572 DXD196572:DXE196572 EGZ196572:EHA196572 EQV196572:EQW196572 FAR196572:FAS196572 FKN196572:FKO196572 FUJ196572:FUK196572 GEF196572:GEG196572 GOB196572:GOC196572 GXX196572:GXY196572 HHT196572:HHU196572 HRP196572:HRQ196572 IBL196572:IBM196572 ILH196572:ILI196572 IVD196572:IVE196572 JEZ196572:JFA196572 JOV196572:JOW196572 JYR196572:JYS196572 KIN196572:KIO196572 KSJ196572:KSK196572 LCF196572:LCG196572 LMB196572:LMC196572 LVX196572:LVY196572 MFT196572:MFU196572 MPP196572:MPQ196572 MZL196572:MZM196572 NJH196572:NJI196572 NTD196572:NTE196572 OCZ196572:ODA196572 OMV196572:OMW196572 OWR196572:OWS196572 PGN196572:PGO196572 PQJ196572:PQK196572 QAF196572:QAG196572 QKB196572:QKC196572 QTX196572:QTY196572 RDT196572:RDU196572 RNP196572:RNQ196572 RXL196572:RXM196572 SHH196572:SHI196572 SRD196572:SRE196572 TAZ196572:TBA196572 TKV196572:TKW196572 TUR196572:TUS196572 UEN196572:UEO196572 UOJ196572:UOK196572 UYF196572:UYG196572 VIB196572:VIC196572 VRX196572:VRY196572 WBT196572:WBU196572 WLP196572:WLQ196572 WVL196572:WVM196572 E262108:F262108 IZ262108:JA262108 SV262108:SW262108 ACR262108:ACS262108 AMN262108:AMO262108 AWJ262108:AWK262108 BGF262108:BGG262108 BQB262108:BQC262108 BZX262108:BZY262108 CJT262108:CJU262108 CTP262108:CTQ262108 DDL262108:DDM262108 DNH262108:DNI262108 DXD262108:DXE262108 EGZ262108:EHA262108 EQV262108:EQW262108 FAR262108:FAS262108 FKN262108:FKO262108 FUJ262108:FUK262108 GEF262108:GEG262108 GOB262108:GOC262108 GXX262108:GXY262108 HHT262108:HHU262108 HRP262108:HRQ262108 IBL262108:IBM262108 ILH262108:ILI262108 IVD262108:IVE262108 JEZ262108:JFA262108 JOV262108:JOW262108 JYR262108:JYS262108 KIN262108:KIO262108 KSJ262108:KSK262108 LCF262108:LCG262108 LMB262108:LMC262108 LVX262108:LVY262108 MFT262108:MFU262108 MPP262108:MPQ262108 MZL262108:MZM262108 NJH262108:NJI262108 NTD262108:NTE262108 OCZ262108:ODA262108 OMV262108:OMW262108 OWR262108:OWS262108 PGN262108:PGO262108 PQJ262108:PQK262108 QAF262108:QAG262108 QKB262108:QKC262108 QTX262108:QTY262108 RDT262108:RDU262108 RNP262108:RNQ262108 RXL262108:RXM262108 SHH262108:SHI262108 SRD262108:SRE262108 TAZ262108:TBA262108 TKV262108:TKW262108 TUR262108:TUS262108 UEN262108:UEO262108 UOJ262108:UOK262108 UYF262108:UYG262108 VIB262108:VIC262108 VRX262108:VRY262108 WBT262108:WBU262108 WLP262108:WLQ262108 WVL262108:WVM262108 E327644:F327644 IZ327644:JA327644 SV327644:SW327644 ACR327644:ACS327644 AMN327644:AMO327644 AWJ327644:AWK327644 BGF327644:BGG327644 BQB327644:BQC327644 BZX327644:BZY327644 CJT327644:CJU327644 CTP327644:CTQ327644 DDL327644:DDM327644 DNH327644:DNI327644 DXD327644:DXE327644 EGZ327644:EHA327644 EQV327644:EQW327644 FAR327644:FAS327644 FKN327644:FKO327644 FUJ327644:FUK327644 GEF327644:GEG327644 GOB327644:GOC327644 GXX327644:GXY327644 HHT327644:HHU327644 HRP327644:HRQ327644 IBL327644:IBM327644 ILH327644:ILI327644 IVD327644:IVE327644 JEZ327644:JFA327644 JOV327644:JOW327644 JYR327644:JYS327644 KIN327644:KIO327644 KSJ327644:KSK327644 LCF327644:LCG327644 LMB327644:LMC327644 LVX327644:LVY327644 MFT327644:MFU327644 MPP327644:MPQ327644 MZL327644:MZM327644 NJH327644:NJI327644 NTD327644:NTE327644 OCZ327644:ODA327644 OMV327644:OMW327644 OWR327644:OWS327644 PGN327644:PGO327644 PQJ327644:PQK327644 QAF327644:QAG327644 QKB327644:QKC327644 QTX327644:QTY327644 RDT327644:RDU327644 RNP327644:RNQ327644 RXL327644:RXM327644 SHH327644:SHI327644 SRD327644:SRE327644 TAZ327644:TBA327644 TKV327644:TKW327644 TUR327644:TUS327644 UEN327644:UEO327644 UOJ327644:UOK327644 UYF327644:UYG327644 VIB327644:VIC327644 VRX327644:VRY327644 WBT327644:WBU327644 WLP327644:WLQ327644 WVL327644:WVM327644 E393180:F393180 IZ393180:JA393180 SV393180:SW393180 ACR393180:ACS393180 AMN393180:AMO393180 AWJ393180:AWK393180 BGF393180:BGG393180 BQB393180:BQC393180 BZX393180:BZY393180 CJT393180:CJU393180 CTP393180:CTQ393180 DDL393180:DDM393180 DNH393180:DNI393180 DXD393180:DXE393180 EGZ393180:EHA393180 EQV393180:EQW393180 FAR393180:FAS393180 FKN393180:FKO393180 FUJ393180:FUK393180 GEF393180:GEG393180 GOB393180:GOC393180 GXX393180:GXY393180 HHT393180:HHU393180 HRP393180:HRQ393180 IBL393180:IBM393180 ILH393180:ILI393180 IVD393180:IVE393180 JEZ393180:JFA393180 JOV393180:JOW393180 JYR393180:JYS393180 KIN393180:KIO393180 KSJ393180:KSK393180 LCF393180:LCG393180 LMB393180:LMC393180 LVX393180:LVY393180 MFT393180:MFU393180 MPP393180:MPQ393180 MZL393180:MZM393180 NJH393180:NJI393180 NTD393180:NTE393180 OCZ393180:ODA393180 OMV393180:OMW393180 OWR393180:OWS393180 PGN393180:PGO393180 PQJ393180:PQK393180 QAF393180:QAG393180 QKB393180:QKC393180 QTX393180:QTY393180 RDT393180:RDU393180 RNP393180:RNQ393180 RXL393180:RXM393180 SHH393180:SHI393180 SRD393180:SRE393180 TAZ393180:TBA393180 TKV393180:TKW393180 TUR393180:TUS393180 UEN393180:UEO393180 UOJ393180:UOK393180 UYF393180:UYG393180 VIB393180:VIC393180 VRX393180:VRY393180 WBT393180:WBU393180 WLP393180:WLQ393180 WVL393180:WVM393180 E458716:F458716 IZ458716:JA458716 SV458716:SW458716 ACR458716:ACS458716 AMN458716:AMO458716 AWJ458716:AWK458716 BGF458716:BGG458716 BQB458716:BQC458716 BZX458716:BZY458716 CJT458716:CJU458716 CTP458716:CTQ458716 DDL458716:DDM458716 DNH458716:DNI458716 DXD458716:DXE458716 EGZ458716:EHA458716 EQV458716:EQW458716 FAR458716:FAS458716 FKN458716:FKO458716 FUJ458716:FUK458716 GEF458716:GEG458716 GOB458716:GOC458716 GXX458716:GXY458716 HHT458716:HHU458716 HRP458716:HRQ458716 IBL458716:IBM458716 ILH458716:ILI458716 IVD458716:IVE458716 JEZ458716:JFA458716 JOV458716:JOW458716 JYR458716:JYS458716 KIN458716:KIO458716 KSJ458716:KSK458716 LCF458716:LCG458716 LMB458716:LMC458716 LVX458716:LVY458716 MFT458716:MFU458716 MPP458716:MPQ458716 MZL458716:MZM458716 NJH458716:NJI458716 NTD458716:NTE458716 OCZ458716:ODA458716 OMV458716:OMW458716 OWR458716:OWS458716 PGN458716:PGO458716 PQJ458716:PQK458716 QAF458716:QAG458716 QKB458716:QKC458716 QTX458716:QTY458716 RDT458716:RDU458716 RNP458716:RNQ458716 RXL458716:RXM458716 SHH458716:SHI458716 SRD458716:SRE458716 TAZ458716:TBA458716 TKV458716:TKW458716 TUR458716:TUS458716 UEN458716:UEO458716 UOJ458716:UOK458716 UYF458716:UYG458716 VIB458716:VIC458716 VRX458716:VRY458716 WBT458716:WBU458716 WLP458716:WLQ458716 WVL458716:WVM458716 E524252:F524252 IZ524252:JA524252 SV524252:SW524252 ACR524252:ACS524252 AMN524252:AMO524252 AWJ524252:AWK524252 BGF524252:BGG524252 BQB524252:BQC524252 BZX524252:BZY524252 CJT524252:CJU524252 CTP524252:CTQ524252 DDL524252:DDM524252 DNH524252:DNI524252 DXD524252:DXE524252 EGZ524252:EHA524252 EQV524252:EQW524252 FAR524252:FAS524252 FKN524252:FKO524252 FUJ524252:FUK524252 GEF524252:GEG524252 GOB524252:GOC524252 GXX524252:GXY524252 HHT524252:HHU524252 HRP524252:HRQ524252 IBL524252:IBM524252 ILH524252:ILI524252 IVD524252:IVE524252 JEZ524252:JFA524252 JOV524252:JOW524252 JYR524252:JYS524252 KIN524252:KIO524252 KSJ524252:KSK524252 LCF524252:LCG524252 LMB524252:LMC524252 LVX524252:LVY524252 MFT524252:MFU524252 MPP524252:MPQ524252 MZL524252:MZM524252 NJH524252:NJI524252 NTD524252:NTE524252 OCZ524252:ODA524252 OMV524252:OMW524252 OWR524252:OWS524252 PGN524252:PGO524252 PQJ524252:PQK524252 QAF524252:QAG524252 QKB524252:QKC524252 QTX524252:QTY524252 RDT524252:RDU524252 RNP524252:RNQ524252 RXL524252:RXM524252 SHH524252:SHI524252 SRD524252:SRE524252 TAZ524252:TBA524252 TKV524252:TKW524252 TUR524252:TUS524252 UEN524252:UEO524252 UOJ524252:UOK524252 UYF524252:UYG524252 VIB524252:VIC524252 VRX524252:VRY524252 WBT524252:WBU524252 WLP524252:WLQ524252 WVL524252:WVM524252 E589788:F589788 IZ589788:JA589788 SV589788:SW589788 ACR589788:ACS589788 AMN589788:AMO589788 AWJ589788:AWK589788 BGF589788:BGG589788 BQB589788:BQC589788 BZX589788:BZY589788 CJT589788:CJU589788 CTP589788:CTQ589788 DDL589788:DDM589788 DNH589788:DNI589788 DXD589788:DXE589788 EGZ589788:EHA589788 EQV589788:EQW589788 FAR589788:FAS589788 FKN589788:FKO589788 FUJ589788:FUK589788 GEF589788:GEG589788 GOB589788:GOC589788 GXX589788:GXY589788 HHT589788:HHU589788 HRP589788:HRQ589788 IBL589788:IBM589788 ILH589788:ILI589788 IVD589788:IVE589788 JEZ589788:JFA589788 JOV589788:JOW589788 JYR589788:JYS589788 KIN589788:KIO589788 KSJ589788:KSK589788 LCF589788:LCG589788 LMB589788:LMC589788 LVX589788:LVY589788 MFT589788:MFU589788 MPP589788:MPQ589788 MZL589788:MZM589788 NJH589788:NJI589788 NTD589788:NTE589788 OCZ589788:ODA589788 OMV589788:OMW589788 OWR589788:OWS589788 PGN589788:PGO589788 PQJ589788:PQK589788 QAF589788:QAG589788 QKB589788:QKC589788 QTX589788:QTY589788 RDT589788:RDU589788 RNP589788:RNQ589788 RXL589788:RXM589788 SHH589788:SHI589788 SRD589788:SRE589788 TAZ589788:TBA589788 TKV589788:TKW589788 TUR589788:TUS589788 UEN589788:UEO589788 UOJ589788:UOK589788 UYF589788:UYG589788 VIB589788:VIC589788 VRX589788:VRY589788 WBT589788:WBU589788 WLP589788:WLQ589788 WVL589788:WVM589788 E655324:F655324 IZ655324:JA655324 SV655324:SW655324 ACR655324:ACS655324 AMN655324:AMO655324 AWJ655324:AWK655324 BGF655324:BGG655324 BQB655324:BQC655324 BZX655324:BZY655324 CJT655324:CJU655324 CTP655324:CTQ655324 DDL655324:DDM655324 DNH655324:DNI655324 DXD655324:DXE655324 EGZ655324:EHA655324 EQV655324:EQW655324 FAR655324:FAS655324 FKN655324:FKO655324 FUJ655324:FUK655324 GEF655324:GEG655324 GOB655324:GOC655324 GXX655324:GXY655324 HHT655324:HHU655324 HRP655324:HRQ655324 IBL655324:IBM655324 ILH655324:ILI655324 IVD655324:IVE655324 JEZ655324:JFA655324 JOV655324:JOW655324 JYR655324:JYS655324 KIN655324:KIO655324 KSJ655324:KSK655324 LCF655324:LCG655324 LMB655324:LMC655324 LVX655324:LVY655324 MFT655324:MFU655324 MPP655324:MPQ655324 MZL655324:MZM655324 NJH655324:NJI655324 NTD655324:NTE655324 OCZ655324:ODA655324 OMV655324:OMW655324 OWR655324:OWS655324 PGN655324:PGO655324 PQJ655324:PQK655324 QAF655324:QAG655324 QKB655324:QKC655324 QTX655324:QTY655324 RDT655324:RDU655324 RNP655324:RNQ655324 RXL655324:RXM655324 SHH655324:SHI655324 SRD655324:SRE655324 TAZ655324:TBA655324 TKV655324:TKW655324 TUR655324:TUS655324 UEN655324:UEO655324 UOJ655324:UOK655324 UYF655324:UYG655324 VIB655324:VIC655324 VRX655324:VRY655324 WBT655324:WBU655324 WLP655324:WLQ655324 WVL655324:WVM655324 E720860:F720860 IZ720860:JA720860 SV720860:SW720860 ACR720860:ACS720860 AMN720860:AMO720860 AWJ720860:AWK720860 BGF720860:BGG720860 BQB720860:BQC720860 BZX720860:BZY720860 CJT720860:CJU720860 CTP720860:CTQ720860 DDL720860:DDM720860 DNH720860:DNI720860 DXD720860:DXE720860 EGZ720860:EHA720860 EQV720860:EQW720860 FAR720860:FAS720860 FKN720860:FKO720860 FUJ720860:FUK720860 GEF720860:GEG720860 GOB720860:GOC720860 GXX720860:GXY720860 HHT720860:HHU720860 HRP720860:HRQ720860 IBL720860:IBM720860 ILH720860:ILI720860 IVD720860:IVE720860 JEZ720860:JFA720860 JOV720860:JOW720860 JYR720860:JYS720860 KIN720860:KIO720860 KSJ720860:KSK720860 LCF720860:LCG720860 LMB720860:LMC720860 LVX720860:LVY720860 MFT720860:MFU720860 MPP720860:MPQ720860 MZL720860:MZM720860 NJH720860:NJI720860 NTD720860:NTE720860 OCZ720860:ODA720860 OMV720860:OMW720860 OWR720860:OWS720860 PGN720860:PGO720860 PQJ720860:PQK720860 QAF720860:QAG720860 QKB720860:QKC720860 QTX720860:QTY720860 RDT720860:RDU720860 RNP720860:RNQ720860 RXL720860:RXM720860 SHH720860:SHI720860 SRD720860:SRE720860 TAZ720860:TBA720860 TKV720860:TKW720860 TUR720860:TUS720860 UEN720860:UEO720860 UOJ720860:UOK720860 UYF720860:UYG720860 VIB720860:VIC720860 VRX720860:VRY720860 WBT720860:WBU720860 WLP720860:WLQ720860 WVL720860:WVM720860 E786396:F786396 IZ786396:JA786396 SV786396:SW786396 ACR786396:ACS786396 AMN786396:AMO786396 AWJ786396:AWK786396 BGF786396:BGG786396 BQB786396:BQC786396 BZX786396:BZY786396 CJT786396:CJU786396 CTP786396:CTQ786396 DDL786396:DDM786396 DNH786396:DNI786396 DXD786396:DXE786396 EGZ786396:EHA786396 EQV786396:EQW786396 FAR786396:FAS786396 FKN786396:FKO786396 FUJ786396:FUK786396 GEF786396:GEG786396 GOB786396:GOC786396 GXX786396:GXY786396 HHT786396:HHU786396 HRP786396:HRQ786396 IBL786396:IBM786396 ILH786396:ILI786396 IVD786396:IVE786396 JEZ786396:JFA786396 JOV786396:JOW786396 JYR786396:JYS786396 KIN786396:KIO786396 KSJ786396:KSK786396 LCF786396:LCG786396 LMB786396:LMC786396 LVX786396:LVY786396 MFT786396:MFU786396 MPP786396:MPQ786396 MZL786396:MZM786396 NJH786396:NJI786396 NTD786396:NTE786396 OCZ786396:ODA786396 OMV786396:OMW786396 OWR786396:OWS786396 PGN786396:PGO786396 PQJ786396:PQK786396 QAF786396:QAG786396 QKB786396:QKC786396 QTX786396:QTY786396 RDT786396:RDU786396 RNP786396:RNQ786396 RXL786396:RXM786396 SHH786396:SHI786396 SRD786396:SRE786396 TAZ786396:TBA786396 TKV786396:TKW786396 TUR786396:TUS786396 UEN786396:UEO786396 UOJ786396:UOK786396 UYF786396:UYG786396 VIB786396:VIC786396 VRX786396:VRY786396 WBT786396:WBU786396 WLP786396:WLQ786396 WVL786396:WVM786396 E851932:F851932 IZ851932:JA851932 SV851932:SW851932 ACR851932:ACS851932 AMN851932:AMO851932 AWJ851932:AWK851932 BGF851932:BGG851932 BQB851932:BQC851932 BZX851932:BZY851932 CJT851932:CJU851932 CTP851932:CTQ851932 DDL851932:DDM851932 DNH851932:DNI851932 DXD851932:DXE851932 EGZ851932:EHA851932 EQV851932:EQW851932 FAR851932:FAS851932 FKN851932:FKO851932 FUJ851932:FUK851932 GEF851932:GEG851932 GOB851932:GOC851932 GXX851932:GXY851932 HHT851932:HHU851932 HRP851932:HRQ851932 IBL851932:IBM851932 ILH851932:ILI851932 IVD851932:IVE851932 JEZ851932:JFA851932 JOV851932:JOW851932 JYR851932:JYS851932 KIN851932:KIO851932 KSJ851932:KSK851932 LCF851932:LCG851932 LMB851932:LMC851932 LVX851932:LVY851932 MFT851932:MFU851932 MPP851932:MPQ851932 MZL851932:MZM851932 NJH851932:NJI851932 NTD851932:NTE851932 OCZ851932:ODA851932 OMV851932:OMW851932 OWR851932:OWS851932 PGN851932:PGO851932 PQJ851932:PQK851932 QAF851932:QAG851932 QKB851932:QKC851932 QTX851932:QTY851932 RDT851932:RDU851932 RNP851932:RNQ851932 RXL851932:RXM851932 SHH851932:SHI851932 SRD851932:SRE851932 TAZ851932:TBA851932 TKV851932:TKW851932 TUR851932:TUS851932 UEN851932:UEO851932 UOJ851932:UOK851932 UYF851932:UYG851932 VIB851932:VIC851932 VRX851932:VRY851932 WBT851932:WBU851932 WLP851932:WLQ851932 WVL851932:WVM851932 E917468:F917468 IZ917468:JA917468 SV917468:SW917468 ACR917468:ACS917468 AMN917468:AMO917468 AWJ917468:AWK917468 BGF917468:BGG917468 BQB917468:BQC917468 BZX917468:BZY917468 CJT917468:CJU917468 CTP917468:CTQ917468 DDL917468:DDM917468 DNH917468:DNI917468 DXD917468:DXE917468 EGZ917468:EHA917468 EQV917468:EQW917468 FAR917468:FAS917468 FKN917468:FKO917468 FUJ917468:FUK917468 GEF917468:GEG917468 GOB917468:GOC917468 GXX917468:GXY917468 HHT917468:HHU917468 HRP917468:HRQ917468 IBL917468:IBM917468 ILH917468:ILI917468 IVD917468:IVE917468 JEZ917468:JFA917468 JOV917468:JOW917468 JYR917468:JYS917468 KIN917468:KIO917468 KSJ917468:KSK917468 LCF917468:LCG917468 LMB917468:LMC917468 LVX917468:LVY917468 MFT917468:MFU917468 MPP917468:MPQ917468 MZL917468:MZM917468 NJH917468:NJI917468 NTD917468:NTE917468 OCZ917468:ODA917468 OMV917468:OMW917468 OWR917468:OWS917468 PGN917468:PGO917468 PQJ917468:PQK917468 QAF917468:QAG917468 QKB917468:QKC917468 QTX917468:QTY917468 RDT917468:RDU917468 RNP917468:RNQ917468 RXL917468:RXM917468 SHH917468:SHI917468 SRD917468:SRE917468 TAZ917468:TBA917468 TKV917468:TKW917468 TUR917468:TUS917468 UEN917468:UEO917468 UOJ917468:UOK917468 UYF917468:UYG917468 VIB917468:VIC917468 VRX917468:VRY917468 WBT917468:WBU917468 WLP917468:WLQ917468 WVL917468:WVM917468 E983004:F983004 IZ983004:JA983004 SV983004:SW983004 ACR983004:ACS983004 AMN983004:AMO983004 AWJ983004:AWK983004 BGF983004:BGG983004 BQB983004:BQC983004 BZX983004:BZY983004 CJT983004:CJU983004 CTP983004:CTQ983004 DDL983004:DDM983004 DNH983004:DNI983004 DXD983004:DXE983004 EGZ983004:EHA983004 EQV983004:EQW983004 FAR983004:FAS983004 FKN983004:FKO983004 FUJ983004:FUK983004 GEF983004:GEG983004 GOB983004:GOC983004 GXX983004:GXY983004 HHT983004:HHU983004 HRP983004:HRQ983004 IBL983004:IBM983004 ILH983004:ILI983004 IVD983004:IVE983004 JEZ983004:JFA983004 JOV983004:JOW983004 JYR983004:JYS983004 KIN983004:KIO983004 KSJ983004:KSK983004 LCF983004:LCG983004 LMB983004:LMC983004 LVX983004:LVY983004 MFT983004:MFU983004 MPP983004:MPQ983004 MZL983004:MZM983004 NJH983004:NJI983004 NTD983004:NTE983004 OCZ983004:ODA983004 OMV983004:OMW983004 OWR983004:OWS983004 PGN983004:PGO983004 PQJ983004:PQK983004 QAF983004:QAG983004 QKB983004:QKC983004 QTX983004:QTY983004 RDT983004:RDU983004 RNP983004:RNQ983004 RXL983004:RXM983004 SHH983004:SHI983004 SRD983004:SRE983004 TAZ983004:TBA983004 TKV983004:TKW983004 TUR983004:TUS983004 UEN983004:UEO983004 UOJ983004:UOK983004 UYF983004:UYG983004 VIB983004:VIC983004 VRX983004:VRY983004 WBT983004:WBU983004 WLP983004:WLQ983004 E3" xr:uid="{12E13ED5-B9AA-4B13-873F-4566308BEFA6}"/>
    <dataValidation allowBlank="1" showInputMessage="1" showErrorMessage="1" promptTitle="Selecione OK ou NAO" sqref="J983053 JC983053 SY983053 ACU983053 AMQ983053 AWM983053 BGI983053 BQE983053 CAA983053 CJW983053 CTS983053 DDO983053 DNK983053 DXG983053 EHC983053 EQY983053 FAU983053 FKQ983053 FUM983053 GEI983053 GOE983053 GYA983053 HHW983053 HRS983053 IBO983053 ILK983053 IVG983053 JFC983053 JOY983053 JYU983053 KIQ983053 KSM983053 LCI983053 LME983053 LWA983053 MFW983053 MPS983053 MZO983053 NJK983053 NTG983053 ODC983053 OMY983053 OWU983053 PGQ983053 PQM983053 QAI983053 QKE983053 QUA983053 RDW983053 RNS983053 RXO983053 SHK983053 SRG983053 TBC983053 TKY983053 TUU983053 UEQ983053 UOM983053 UYI983053 VIE983053 VSA983053 WBW983053 WLS983053 WVO983053 J65549 JC65549 SY65549 ACU65549 AMQ65549 AWM65549 BGI65549 BQE65549 CAA65549 CJW65549 CTS65549 DDO65549 DNK65549 DXG65549 EHC65549 EQY65549 FAU65549 FKQ65549 FUM65549 GEI65549 GOE65549 GYA65549 HHW65549 HRS65549 IBO65549 ILK65549 IVG65549 JFC65549 JOY65549 JYU65549 KIQ65549 KSM65549 LCI65549 LME65549 LWA65549 MFW65549 MPS65549 MZO65549 NJK65549 NTG65549 ODC65549 OMY65549 OWU65549 PGQ65549 PQM65549 QAI65549 QKE65549 QUA65549 RDW65549 RNS65549 RXO65549 SHK65549 SRG65549 TBC65549 TKY65549 TUU65549 UEQ65549 UOM65549 UYI65549 VIE65549 VSA65549 WBW65549 WLS65549 WVO65549 J131085 JC131085 SY131085 ACU131085 AMQ131085 AWM131085 BGI131085 BQE131085 CAA131085 CJW131085 CTS131085 DDO131085 DNK131085 DXG131085 EHC131085 EQY131085 FAU131085 FKQ131085 FUM131085 GEI131085 GOE131085 GYA131085 HHW131085 HRS131085 IBO131085 ILK131085 IVG131085 JFC131085 JOY131085 JYU131085 KIQ131085 KSM131085 LCI131085 LME131085 LWA131085 MFW131085 MPS131085 MZO131085 NJK131085 NTG131085 ODC131085 OMY131085 OWU131085 PGQ131085 PQM131085 QAI131085 QKE131085 QUA131085 RDW131085 RNS131085 RXO131085 SHK131085 SRG131085 TBC131085 TKY131085 TUU131085 UEQ131085 UOM131085 UYI131085 VIE131085 VSA131085 WBW131085 WLS131085 WVO131085 J196621 JC196621 SY196621 ACU196621 AMQ196621 AWM196621 BGI196621 BQE196621 CAA196621 CJW196621 CTS196621 DDO196621 DNK196621 DXG196621 EHC196621 EQY196621 FAU196621 FKQ196621 FUM196621 GEI196621 GOE196621 GYA196621 HHW196621 HRS196621 IBO196621 ILK196621 IVG196621 JFC196621 JOY196621 JYU196621 KIQ196621 KSM196621 LCI196621 LME196621 LWA196621 MFW196621 MPS196621 MZO196621 NJK196621 NTG196621 ODC196621 OMY196621 OWU196621 PGQ196621 PQM196621 QAI196621 QKE196621 QUA196621 RDW196621 RNS196621 RXO196621 SHK196621 SRG196621 TBC196621 TKY196621 TUU196621 UEQ196621 UOM196621 UYI196621 VIE196621 VSA196621 WBW196621 WLS196621 WVO196621 J262157 JC262157 SY262157 ACU262157 AMQ262157 AWM262157 BGI262157 BQE262157 CAA262157 CJW262157 CTS262157 DDO262157 DNK262157 DXG262157 EHC262157 EQY262157 FAU262157 FKQ262157 FUM262157 GEI262157 GOE262157 GYA262157 HHW262157 HRS262157 IBO262157 ILK262157 IVG262157 JFC262157 JOY262157 JYU262157 KIQ262157 KSM262157 LCI262157 LME262157 LWA262157 MFW262157 MPS262157 MZO262157 NJK262157 NTG262157 ODC262157 OMY262157 OWU262157 PGQ262157 PQM262157 QAI262157 QKE262157 QUA262157 RDW262157 RNS262157 RXO262157 SHK262157 SRG262157 TBC262157 TKY262157 TUU262157 UEQ262157 UOM262157 UYI262157 VIE262157 VSA262157 WBW262157 WLS262157 WVO262157 J327693 JC327693 SY327693 ACU327693 AMQ327693 AWM327693 BGI327693 BQE327693 CAA327693 CJW327693 CTS327693 DDO327693 DNK327693 DXG327693 EHC327693 EQY327693 FAU327693 FKQ327693 FUM327693 GEI327693 GOE327693 GYA327693 HHW327693 HRS327693 IBO327693 ILK327693 IVG327693 JFC327693 JOY327693 JYU327693 KIQ327693 KSM327693 LCI327693 LME327693 LWA327693 MFW327693 MPS327693 MZO327693 NJK327693 NTG327693 ODC327693 OMY327693 OWU327693 PGQ327693 PQM327693 QAI327693 QKE327693 QUA327693 RDW327693 RNS327693 RXO327693 SHK327693 SRG327693 TBC327693 TKY327693 TUU327693 UEQ327693 UOM327693 UYI327693 VIE327693 VSA327693 WBW327693 WLS327693 WVO327693 J393229 JC393229 SY393229 ACU393229 AMQ393229 AWM393229 BGI393229 BQE393229 CAA393229 CJW393229 CTS393229 DDO393229 DNK393229 DXG393229 EHC393229 EQY393229 FAU393229 FKQ393229 FUM393229 GEI393229 GOE393229 GYA393229 HHW393229 HRS393229 IBO393229 ILK393229 IVG393229 JFC393229 JOY393229 JYU393229 KIQ393229 KSM393229 LCI393229 LME393229 LWA393229 MFW393229 MPS393229 MZO393229 NJK393229 NTG393229 ODC393229 OMY393229 OWU393229 PGQ393229 PQM393229 QAI393229 QKE393229 QUA393229 RDW393229 RNS393229 RXO393229 SHK393229 SRG393229 TBC393229 TKY393229 TUU393229 UEQ393229 UOM393229 UYI393229 VIE393229 VSA393229 WBW393229 WLS393229 WVO393229 J458765 JC458765 SY458765 ACU458765 AMQ458765 AWM458765 BGI458765 BQE458765 CAA458765 CJW458765 CTS458765 DDO458765 DNK458765 DXG458765 EHC458765 EQY458765 FAU458765 FKQ458765 FUM458765 GEI458765 GOE458765 GYA458765 HHW458765 HRS458765 IBO458765 ILK458765 IVG458765 JFC458765 JOY458765 JYU458765 KIQ458765 KSM458765 LCI458765 LME458765 LWA458765 MFW458765 MPS458765 MZO458765 NJK458765 NTG458765 ODC458765 OMY458765 OWU458765 PGQ458765 PQM458765 QAI458765 QKE458765 QUA458765 RDW458765 RNS458765 RXO458765 SHK458765 SRG458765 TBC458765 TKY458765 TUU458765 UEQ458765 UOM458765 UYI458765 VIE458765 VSA458765 WBW458765 WLS458765 WVO458765 J524301 JC524301 SY524301 ACU524301 AMQ524301 AWM524301 BGI524301 BQE524301 CAA524301 CJW524301 CTS524301 DDO524301 DNK524301 DXG524301 EHC524301 EQY524301 FAU524301 FKQ524301 FUM524301 GEI524301 GOE524301 GYA524301 HHW524301 HRS524301 IBO524301 ILK524301 IVG524301 JFC524301 JOY524301 JYU524301 KIQ524301 KSM524301 LCI524301 LME524301 LWA524301 MFW524301 MPS524301 MZO524301 NJK524301 NTG524301 ODC524301 OMY524301 OWU524301 PGQ524301 PQM524301 QAI524301 QKE524301 QUA524301 RDW524301 RNS524301 RXO524301 SHK524301 SRG524301 TBC524301 TKY524301 TUU524301 UEQ524301 UOM524301 UYI524301 VIE524301 VSA524301 WBW524301 WLS524301 WVO524301 J589837 JC589837 SY589837 ACU589837 AMQ589837 AWM589837 BGI589837 BQE589837 CAA589837 CJW589837 CTS589837 DDO589837 DNK589837 DXG589837 EHC589837 EQY589837 FAU589837 FKQ589837 FUM589837 GEI589837 GOE589837 GYA589837 HHW589837 HRS589837 IBO589837 ILK589837 IVG589837 JFC589837 JOY589837 JYU589837 KIQ589837 KSM589837 LCI589837 LME589837 LWA589837 MFW589837 MPS589837 MZO589837 NJK589837 NTG589837 ODC589837 OMY589837 OWU589837 PGQ589837 PQM589837 QAI589837 QKE589837 QUA589837 RDW589837 RNS589837 RXO589837 SHK589837 SRG589837 TBC589837 TKY589837 TUU589837 UEQ589837 UOM589837 UYI589837 VIE589837 VSA589837 WBW589837 WLS589837 WVO589837 J655373 JC655373 SY655373 ACU655373 AMQ655373 AWM655373 BGI655373 BQE655373 CAA655373 CJW655373 CTS655373 DDO655373 DNK655373 DXG655373 EHC655373 EQY655373 FAU655373 FKQ655373 FUM655373 GEI655373 GOE655373 GYA655373 HHW655373 HRS655373 IBO655373 ILK655373 IVG655373 JFC655373 JOY655373 JYU655373 KIQ655373 KSM655373 LCI655373 LME655373 LWA655373 MFW655373 MPS655373 MZO655373 NJK655373 NTG655373 ODC655373 OMY655373 OWU655373 PGQ655373 PQM655373 QAI655373 QKE655373 QUA655373 RDW655373 RNS655373 RXO655373 SHK655373 SRG655373 TBC655373 TKY655373 TUU655373 UEQ655373 UOM655373 UYI655373 VIE655373 VSA655373 WBW655373 WLS655373 WVO655373 J720909 JC720909 SY720909 ACU720909 AMQ720909 AWM720909 BGI720909 BQE720909 CAA720909 CJW720909 CTS720909 DDO720909 DNK720909 DXG720909 EHC720909 EQY720909 FAU720909 FKQ720909 FUM720909 GEI720909 GOE720909 GYA720909 HHW720909 HRS720909 IBO720909 ILK720909 IVG720909 JFC720909 JOY720909 JYU720909 KIQ720909 KSM720909 LCI720909 LME720909 LWA720909 MFW720909 MPS720909 MZO720909 NJK720909 NTG720909 ODC720909 OMY720909 OWU720909 PGQ720909 PQM720909 QAI720909 QKE720909 QUA720909 RDW720909 RNS720909 RXO720909 SHK720909 SRG720909 TBC720909 TKY720909 TUU720909 UEQ720909 UOM720909 UYI720909 VIE720909 VSA720909 WBW720909 WLS720909 WVO720909 J786445 JC786445 SY786445 ACU786445 AMQ786445 AWM786445 BGI786445 BQE786445 CAA786445 CJW786445 CTS786445 DDO786445 DNK786445 DXG786445 EHC786445 EQY786445 FAU786445 FKQ786445 FUM786445 GEI786445 GOE786445 GYA786445 HHW786445 HRS786445 IBO786445 ILK786445 IVG786445 JFC786445 JOY786445 JYU786445 KIQ786445 KSM786445 LCI786445 LME786445 LWA786445 MFW786445 MPS786445 MZO786445 NJK786445 NTG786445 ODC786445 OMY786445 OWU786445 PGQ786445 PQM786445 QAI786445 QKE786445 QUA786445 RDW786445 RNS786445 RXO786445 SHK786445 SRG786445 TBC786445 TKY786445 TUU786445 UEQ786445 UOM786445 UYI786445 VIE786445 VSA786445 WBW786445 WLS786445 WVO786445 J851981 JC851981 SY851981 ACU851981 AMQ851981 AWM851981 BGI851981 BQE851981 CAA851981 CJW851981 CTS851981 DDO851981 DNK851981 DXG851981 EHC851981 EQY851981 FAU851981 FKQ851981 FUM851981 GEI851981 GOE851981 GYA851981 HHW851981 HRS851981 IBO851981 ILK851981 IVG851981 JFC851981 JOY851981 JYU851981 KIQ851981 KSM851981 LCI851981 LME851981 LWA851981 MFW851981 MPS851981 MZO851981 NJK851981 NTG851981 ODC851981 OMY851981 OWU851981 PGQ851981 PQM851981 QAI851981 QKE851981 QUA851981 RDW851981 RNS851981 RXO851981 SHK851981 SRG851981 TBC851981 TKY851981 TUU851981 UEQ851981 UOM851981 UYI851981 VIE851981 VSA851981 WBW851981 WLS851981 WVO851981 J917517 JC917517 SY917517 ACU917517 AMQ917517 AWM917517 BGI917517 BQE917517 CAA917517 CJW917517 CTS917517 DDO917517 DNK917517 DXG917517 EHC917517 EQY917517 FAU917517 FKQ917517 FUM917517 GEI917517 GOE917517 GYA917517 HHW917517 HRS917517 IBO917517 ILK917517 IVG917517 JFC917517 JOY917517 JYU917517 KIQ917517 KSM917517 LCI917517 LME917517 LWA917517 MFW917517 MPS917517 MZO917517 NJK917517 NTG917517 ODC917517 OMY917517 OWU917517 PGQ917517 PQM917517 QAI917517 QKE917517 QUA917517 RDW917517 RNS917517 RXO917517 SHK917517 SRG917517 TBC917517 TKY917517 TUU917517 UEQ917517 UOM917517 UYI917517 VIE917517 VSA917517 WBW917517 WLS917517 WVO917517 J35 IY35 SU35 ACQ35 AMM35 AWI35 BGE35 BQA35 BZW35 CJS35 CTO35 DDK35 DNG35 DXC35 EGY35 EQU35 FAQ35 FKM35 FUI35 GEE35 GOA35 GXW35 HHS35 HRO35 IBK35 ILG35 IVC35 JEY35 JOU35 JYQ35 KIM35 KSI35 LCE35 LMA35 LVW35 MFS35 MPO35 MZK35 NJG35 NTC35 OCY35 OMU35 OWQ35 PGM35 PQI35 QAE35 QKA35 QTW35 RDS35 RNO35 RXK35 SHG35 SRC35 TAY35 TKU35 TUQ35 UEM35 UOI35 UYE35 VIA35 VRW35 WBS35 WLO35 WVK35" xr:uid="{3E7DE946-9C2C-42D5-88D3-A9BAC092E6C7}"/>
  </dataValidations>
  <printOptions horizontalCentered="1" verticalCentered="1"/>
  <pageMargins left="0.19685039370078741" right="0.19685039370078741" top="0.19685039370078741" bottom="0.19685039370078741" header="0" footer="0"/>
  <pageSetup paperSize="9" scale="6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67294-61BB-49CA-A03E-43ED782C57FD}">
  <dimension ref="A1:Q407"/>
  <sheetViews>
    <sheetView showGridLines="0" zoomScale="90" zoomScaleNormal="90" workbookViewId="0">
      <pane ySplit="7" topLeftCell="A8" activePane="bottomLeft" state="frozen"/>
      <selection pane="bottomLeft" activeCell="A408" sqref="A408:XFD1048576"/>
    </sheetView>
  </sheetViews>
  <sheetFormatPr defaultRowHeight="12" x14ac:dyDescent="0.3"/>
  <cols>
    <col min="1" max="1" width="1.09765625" style="115" customWidth="1"/>
    <col min="2" max="2" width="12.69921875" style="115" bestFit="1" customWidth="1"/>
    <col min="3" max="3" width="11.19921875" style="135" bestFit="1" customWidth="1"/>
    <col min="4" max="4" width="10" style="135" bestFit="1" customWidth="1"/>
    <col min="5" max="5" width="12.09765625" style="115" customWidth="1"/>
    <col min="6" max="6" width="39.69921875" style="115" bestFit="1" customWidth="1"/>
    <col min="7" max="7" width="14.796875" style="116" bestFit="1" customWidth="1"/>
    <col min="8" max="8" width="3.296875" style="116" bestFit="1" customWidth="1"/>
    <col min="9" max="11" width="14.796875" style="116" bestFit="1" customWidth="1"/>
    <col min="12" max="12" width="3.296875" style="116" bestFit="1" customWidth="1"/>
    <col min="13" max="13" width="15.59765625" style="139" bestFit="1" customWidth="1"/>
    <col min="14" max="14" width="14.69921875" style="139" bestFit="1" customWidth="1"/>
    <col min="15" max="15" width="10" style="115" bestFit="1" customWidth="1"/>
    <col min="16" max="16" width="8.796875" style="115"/>
    <col min="17" max="16384" width="8.796875" style="118"/>
  </cols>
  <sheetData>
    <row r="1" spans="1:16" x14ac:dyDescent="0.3">
      <c r="M1" s="138" t="s">
        <v>152</v>
      </c>
      <c r="N1" s="139">
        <f>SUMIFS($N$8:$N$407,$C$8:$C$407,$M1)</f>
        <v>53511863.949999996</v>
      </c>
    </row>
    <row r="2" spans="1:16" x14ac:dyDescent="0.3">
      <c r="M2" s="138" t="s">
        <v>153</v>
      </c>
      <c r="N2" s="139">
        <f>SUMIFS($N$8:$N$407,$C$8:$C$407,$M2)</f>
        <v>-124662411.97000015</v>
      </c>
    </row>
    <row r="3" spans="1:16" x14ac:dyDescent="0.3">
      <c r="M3" s="138" t="s">
        <v>154</v>
      </c>
      <c r="N3" s="139">
        <f>SUMIFS($N$8:$N$407,$C$8:$C$407,$M3)</f>
        <v>7940390.1899999799</v>
      </c>
    </row>
    <row r="4" spans="1:16" ht="12.5" thickBot="1" x14ac:dyDescent="0.35">
      <c r="M4" s="138" t="s">
        <v>155</v>
      </c>
      <c r="N4" s="140">
        <f>SUM(N1:N3)</f>
        <v>-63210157.830000177</v>
      </c>
    </row>
    <row r="6" spans="1:16" x14ac:dyDescent="0.3">
      <c r="M6" s="139">
        <f>SUBTOTAL(9,M8:M407)</f>
        <v>-2.7677742764353752E-8</v>
      </c>
      <c r="N6" s="139">
        <f>SUBTOTAL(9,N8:N407)</f>
        <v>-1.1916563380509615E-7</v>
      </c>
    </row>
    <row r="7" spans="1:16" s="121" customFormat="1" ht="12.5" thickBot="1" x14ac:dyDescent="0.3">
      <c r="A7" s="119"/>
      <c r="B7" s="120" t="s">
        <v>89</v>
      </c>
      <c r="C7" s="136" t="s">
        <v>156</v>
      </c>
      <c r="D7" s="136" t="s">
        <v>157</v>
      </c>
      <c r="E7" s="120" t="s">
        <v>45</v>
      </c>
      <c r="F7" s="120" t="s">
        <v>158</v>
      </c>
      <c r="G7" s="120" t="s">
        <v>212</v>
      </c>
      <c r="H7" s="120"/>
      <c r="I7" s="120" t="s">
        <v>159</v>
      </c>
      <c r="J7" s="120" t="s">
        <v>160</v>
      </c>
      <c r="K7" s="120" t="s">
        <v>213</v>
      </c>
      <c r="L7" s="120"/>
      <c r="M7" s="141" t="str">
        <f>G7</f>
        <v>31.12.25</v>
      </c>
      <c r="N7" s="141" t="str">
        <f>K7</f>
        <v>30.06.26</v>
      </c>
      <c r="O7" s="120" t="s">
        <v>86</v>
      </c>
      <c r="P7" s="119"/>
    </row>
    <row r="8" spans="1:16" s="126" customFormat="1" ht="12.5" thickTop="1" x14ac:dyDescent="0.3">
      <c r="A8" s="122"/>
      <c r="B8" s="123" t="s">
        <v>96</v>
      </c>
      <c r="C8" s="137"/>
      <c r="D8" s="135" t="str">
        <f>IF(MID(E8,10,3)="000","Sintetica","")</f>
        <v>Sintetica</v>
      </c>
      <c r="E8" s="124" t="s">
        <v>229</v>
      </c>
      <c r="F8" s="124" t="s">
        <v>161</v>
      </c>
      <c r="G8" s="125">
        <v>23463931.809999999</v>
      </c>
      <c r="H8" s="125" t="s">
        <v>162</v>
      </c>
      <c r="I8" s="125">
        <v>5841042.0300000003</v>
      </c>
      <c r="J8" s="125">
        <v>5685303.0599999996</v>
      </c>
      <c r="K8" s="125">
        <v>23619670.780000001</v>
      </c>
      <c r="L8" s="125" t="s">
        <v>162</v>
      </c>
      <c r="M8" s="139">
        <f>IF(H8="D",G8,-G8)</f>
        <v>23463931.809999999</v>
      </c>
      <c r="N8" s="139">
        <f>IF(L8="D",K8,-K8)</f>
        <v>23619670.780000001</v>
      </c>
      <c r="O8" s="122"/>
      <c r="P8" s="122"/>
    </row>
    <row r="9" spans="1:16" s="126" customFormat="1" x14ac:dyDescent="0.3">
      <c r="A9" s="122"/>
      <c r="B9" s="123" t="s">
        <v>96</v>
      </c>
      <c r="C9" s="137"/>
      <c r="D9" s="135" t="str">
        <f t="shared" ref="D9:D72" si="0">IF(MID(E9,10,3)="000","Sintetica","")</f>
        <v>Sintetica</v>
      </c>
      <c r="E9" s="124" t="s">
        <v>230</v>
      </c>
      <c r="F9" s="124" t="s">
        <v>163</v>
      </c>
      <c r="G9" s="125">
        <v>21423978.149999999</v>
      </c>
      <c r="H9" s="125" t="s">
        <v>162</v>
      </c>
      <c r="I9" s="125">
        <v>5818427.0300000003</v>
      </c>
      <c r="J9" s="125">
        <v>5630446.04</v>
      </c>
      <c r="K9" s="125">
        <v>21611959.140000001</v>
      </c>
      <c r="L9" s="125" t="s">
        <v>162</v>
      </c>
      <c r="M9" s="139">
        <f t="shared" ref="M9:M72" si="1">IF(H9="D",G9,-G9)</f>
        <v>21423978.149999999</v>
      </c>
      <c r="N9" s="139">
        <f t="shared" ref="N9:N72" si="2">IF(L9="D",K9,-K9)</f>
        <v>21611959.140000001</v>
      </c>
      <c r="O9" s="122"/>
      <c r="P9" s="122"/>
    </row>
    <row r="10" spans="1:16" s="126" customFormat="1" x14ac:dyDescent="0.3">
      <c r="A10" s="122"/>
      <c r="B10" s="123" t="s">
        <v>96</v>
      </c>
      <c r="C10" s="137"/>
      <c r="D10" s="135" t="str">
        <f t="shared" si="0"/>
        <v>Sintetica</v>
      </c>
      <c r="E10" s="124" t="s">
        <v>231</v>
      </c>
      <c r="F10" s="124" t="s">
        <v>232</v>
      </c>
      <c r="G10" s="125">
        <v>1931841.07</v>
      </c>
      <c r="H10" s="125" t="s">
        <v>162</v>
      </c>
      <c r="I10" s="125">
        <v>4018479.64</v>
      </c>
      <c r="J10" s="125">
        <v>4225853.2300000004</v>
      </c>
      <c r="K10" s="125">
        <v>1724467.48</v>
      </c>
      <c r="L10" s="125" t="s">
        <v>162</v>
      </c>
      <c r="M10" s="139">
        <f t="shared" si="1"/>
        <v>1931841.07</v>
      </c>
      <c r="N10" s="139">
        <f t="shared" si="2"/>
        <v>1724467.48</v>
      </c>
      <c r="O10" s="122"/>
      <c r="P10" s="122"/>
    </row>
    <row r="11" spans="1:16" s="126" customFormat="1" x14ac:dyDescent="0.3">
      <c r="A11" s="122"/>
      <c r="B11" s="123" t="s">
        <v>96</v>
      </c>
      <c r="C11" s="137"/>
      <c r="D11" s="135" t="str">
        <f t="shared" si="0"/>
        <v>Sintetica</v>
      </c>
      <c r="E11" s="124" t="s">
        <v>233</v>
      </c>
      <c r="F11" s="124" t="s">
        <v>234</v>
      </c>
      <c r="G11" s="125">
        <v>782820.75</v>
      </c>
      <c r="H11" s="125" t="s">
        <v>162</v>
      </c>
      <c r="I11" s="125">
        <v>4018408.11</v>
      </c>
      <c r="J11" s="125">
        <v>4225167.1399999997</v>
      </c>
      <c r="K11" s="125">
        <v>576061.72</v>
      </c>
      <c r="L11" s="125" t="s">
        <v>162</v>
      </c>
      <c r="M11" s="139">
        <f t="shared" si="1"/>
        <v>782820.75</v>
      </c>
      <c r="N11" s="139">
        <f t="shared" si="2"/>
        <v>576061.72</v>
      </c>
      <c r="O11" s="122"/>
      <c r="P11" s="122"/>
    </row>
    <row r="12" spans="1:16" x14ac:dyDescent="0.3">
      <c r="B12" s="123" t="s">
        <v>96</v>
      </c>
      <c r="C12" s="135" t="str">
        <f>IF(MID(E12,1,1)="1","Ativo",IF(MID(E12,1,1)="2","Passivo","Resultado"))</f>
        <v>Ativo</v>
      </c>
      <c r="D12" s="135" t="str">
        <f t="shared" si="0"/>
        <v/>
      </c>
      <c r="E12" s="124" t="s">
        <v>235</v>
      </c>
      <c r="F12" s="124" t="s">
        <v>236</v>
      </c>
      <c r="G12" s="125">
        <v>0</v>
      </c>
      <c r="H12" s="125"/>
      <c r="I12" s="125">
        <v>1530143.81</v>
      </c>
      <c r="J12" s="125">
        <v>1530143.81</v>
      </c>
      <c r="K12" s="125">
        <v>0</v>
      </c>
      <c r="L12" s="125"/>
      <c r="M12" s="139">
        <f t="shared" si="1"/>
        <v>0</v>
      </c>
      <c r="N12" s="139">
        <f t="shared" si="2"/>
        <v>0</v>
      </c>
    </row>
    <row r="13" spans="1:16" x14ac:dyDescent="0.3">
      <c r="B13" s="123" t="s">
        <v>96</v>
      </c>
      <c r="D13" s="135" t="str">
        <f t="shared" si="0"/>
        <v/>
      </c>
      <c r="E13" s="124" t="s">
        <v>237</v>
      </c>
      <c r="F13" s="124" t="s">
        <v>238</v>
      </c>
      <c r="G13" s="125">
        <v>72.52</v>
      </c>
      <c r="H13" s="125" t="s">
        <v>162</v>
      </c>
      <c r="I13" s="125">
        <v>673.68</v>
      </c>
      <c r="J13" s="125">
        <v>1108.8900000000001</v>
      </c>
      <c r="K13" s="125">
        <v>362.69</v>
      </c>
      <c r="L13" s="125" t="s">
        <v>165</v>
      </c>
      <c r="M13" s="139">
        <f t="shared" si="1"/>
        <v>72.52</v>
      </c>
      <c r="N13" s="139">
        <f t="shared" si="2"/>
        <v>-362.69</v>
      </c>
    </row>
    <row r="14" spans="1:16" x14ac:dyDescent="0.3">
      <c r="B14" s="123" t="s">
        <v>96</v>
      </c>
      <c r="C14" s="135" t="str">
        <f t="shared" ref="C14:C27" si="3">IF(MID(E14,1,1)="1","Ativo",IF(MID(E14,1,1)="2","Passivo","Resultado"))</f>
        <v>Ativo</v>
      </c>
      <c r="D14" s="135" t="str">
        <f t="shared" si="0"/>
        <v/>
      </c>
      <c r="E14" s="124" t="s">
        <v>239</v>
      </c>
      <c r="F14" s="124" t="s">
        <v>240</v>
      </c>
      <c r="G14" s="125">
        <v>0</v>
      </c>
      <c r="H14" s="125"/>
      <c r="I14" s="125">
        <v>30194.16</v>
      </c>
      <c r="J14" s="125">
        <v>30194.16</v>
      </c>
      <c r="K14" s="125">
        <v>0</v>
      </c>
      <c r="L14" s="125"/>
      <c r="M14" s="139">
        <f t="shared" si="1"/>
        <v>0</v>
      </c>
      <c r="N14" s="139">
        <f t="shared" si="2"/>
        <v>0</v>
      </c>
    </row>
    <row r="15" spans="1:16" x14ac:dyDescent="0.3">
      <c r="B15" s="123" t="s">
        <v>96</v>
      </c>
      <c r="C15" s="135" t="str">
        <f t="shared" si="3"/>
        <v>Ativo</v>
      </c>
      <c r="D15" s="135" t="str">
        <f t="shared" si="0"/>
        <v/>
      </c>
      <c r="E15" s="124" t="s">
        <v>241</v>
      </c>
      <c r="F15" s="124" t="s">
        <v>242</v>
      </c>
      <c r="G15" s="125">
        <v>0</v>
      </c>
      <c r="H15" s="125"/>
      <c r="I15" s="125">
        <v>76211.55</v>
      </c>
      <c r="J15" s="125">
        <v>175971.45</v>
      </c>
      <c r="K15" s="127">
        <v>99759.9</v>
      </c>
      <c r="L15" s="125" t="s">
        <v>165</v>
      </c>
      <c r="M15" s="139">
        <f t="shared" si="1"/>
        <v>0</v>
      </c>
      <c r="N15" s="139">
        <f t="shared" si="2"/>
        <v>-99759.9</v>
      </c>
    </row>
    <row r="16" spans="1:16" x14ac:dyDescent="0.3">
      <c r="B16" s="123" t="s">
        <v>96</v>
      </c>
      <c r="C16" s="135" t="str">
        <f t="shared" si="3"/>
        <v>Ativo</v>
      </c>
      <c r="D16" s="135" t="str">
        <f t="shared" si="0"/>
        <v/>
      </c>
      <c r="E16" s="124" t="s">
        <v>243</v>
      </c>
      <c r="F16" s="124" t="s">
        <v>244</v>
      </c>
      <c r="G16" s="125">
        <v>471.4</v>
      </c>
      <c r="H16" s="125" t="s">
        <v>162</v>
      </c>
      <c r="I16" s="125">
        <v>0</v>
      </c>
      <c r="J16" s="125">
        <v>0</v>
      </c>
      <c r="K16" s="125">
        <v>471.4</v>
      </c>
      <c r="L16" s="125" t="s">
        <v>162</v>
      </c>
      <c r="M16" s="139">
        <f t="shared" si="1"/>
        <v>471.4</v>
      </c>
      <c r="N16" s="139">
        <f t="shared" si="2"/>
        <v>471.4</v>
      </c>
    </row>
    <row r="17" spans="1:17" s="128" customFormat="1" x14ac:dyDescent="0.3">
      <c r="A17" s="115"/>
      <c r="B17" s="123" t="s">
        <v>96</v>
      </c>
      <c r="C17" s="135" t="str">
        <f t="shared" si="3"/>
        <v>Ativo</v>
      </c>
      <c r="D17" s="135" t="str">
        <f t="shared" si="0"/>
        <v/>
      </c>
      <c r="E17" s="124" t="s">
        <v>245</v>
      </c>
      <c r="F17" s="124" t="s">
        <v>246</v>
      </c>
      <c r="G17" s="125">
        <v>267.20999999999998</v>
      </c>
      <c r="H17" s="125" t="s">
        <v>162</v>
      </c>
      <c r="I17" s="125">
        <v>105091.29</v>
      </c>
      <c r="J17" s="125">
        <v>102592.6</v>
      </c>
      <c r="K17" s="125">
        <v>2765.9</v>
      </c>
      <c r="L17" s="125" t="s">
        <v>162</v>
      </c>
      <c r="M17" s="139">
        <f t="shared" si="1"/>
        <v>267.20999999999998</v>
      </c>
      <c r="N17" s="139">
        <f t="shared" si="2"/>
        <v>2765.9</v>
      </c>
      <c r="O17" s="115"/>
      <c r="P17" s="115"/>
      <c r="Q17" s="118"/>
    </row>
    <row r="18" spans="1:17" s="128" customFormat="1" x14ac:dyDescent="0.3">
      <c r="A18" s="115"/>
      <c r="B18" s="123" t="s">
        <v>96</v>
      </c>
      <c r="C18" s="135" t="str">
        <f t="shared" si="3"/>
        <v>Ativo</v>
      </c>
      <c r="D18" s="135" t="str">
        <f t="shared" si="0"/>
        <v/>
      </c>
      <c r="E18" s="124" t="s">
        <v>247</v>
      </c>
      <c r="F18" s="124" t="s">
        <v>248</v>
      </c>
      <c r="G18" s="125">
        <v>781880.95</v>
      </c>
      <c r="H18" s="125" t="s">
        <v>162</v>
      </c>
      <c r="I18" s="125">
        <v>153.52000000000001</v>
      </c>
      <c r="J18" s="125">
        <v>181955.06</v>
      </c>
      <c r="K18" s="125">
        <v>600079.41</v>
      </c>
      <c r="L18" s="125" t="s">
        <v>162</v>
      </c>
      <c r="M18" s="139">
        <f t="shared" si="1"/>
        <v>781880.95</v>
      </c>
      <c r="N18" s="139">
        <f t="shared" si="2"/>
        <v>600079.41</v>
      </c>
      <c r="O18" s="115"/>
      <c r="P18" s="115"/>
      <c r="Q18" s="118"/>
    </row>
    <row r="19" spans="1:17" s="128" customFormat="1" x14ac:dyDescent="0.3">
      <c r="A19" s="115"/>
      <c r="B19" s="123" t="s">
        <v>96</v>
      </c>
      <c r="C19" s="135" t="str">
        <f t="shared" si="3"/>
        <v>Ativo</v>
      </c>
      <c r="D19" s="135" t="str">
        <f t="shared" si="0"/>
        <v/>
      </c>
      <c r="E19" s="124" t="s">
        <v>249</v>
      </c>
      <c r="F19" s="124" t="s">
        <v>250</v>
      </c>
      <c r="G19" s="125">
        <v>0</v>
      </c>
      <c r="H19" s="125"/>
      <c r="I19" s="125">
        <v>1756685.2</v>
      </c>
      <c r="J19" s="125">
        <v>1757042.97</v>
      </c>
      <c r="K19" s="125">
        <v>357.77</v>
      </c>
      <c r="L19" s="125" t="s">
        <v>165</v>
      </c>
      <c r="M19" s="139">
        <f t="shared" si="1"/>
        <v>0</v>
      </c>
      <c r="N19" s="139">
        <f t="shared" si="2"/>
        <v>-357.77</v>
      </c>
      <c r="O19" s="115"/>
      <c r="P19" s="115"/>
      <c r="Q19" s="118"/>
    </row>
    <row r="20" spans="1:17" s="128" customFormat="1" x14ac:dyDescent="0.3">
      <c r="A20" s="115"/>
      <c r="B20" s="123" t="s">
        <v>96</v>
      </c>
      <c r="C20" s="135" t="str">
        <f t="shared" si="3"/>
        <v>Ativo</v>
      </c>
      <c r="D20" s="135" t="str">
        <f t="shared" si="0"/>
        <v/>
      </c>
      <c r="E20" s="124" t="s">
        <v>251</v>
      </c>
      <c r="F20" s="124" t="s">
        <v>252</v>
      </c>
      <c r="G20" s="125">
        <v>0</v>
      </c>
      <c r="H20" s="125"/>
      <c r="I20" s="125">
        <v>90880.34</v>
      </c>
      <c r="J20" s="125">
        <v>17622.29</v>
      </c>
      <c r="K20" s="125">
        <v>73258.05</v>
      </c>
      <c r="L20" s="125" t="s">
        <v>162</v>
      </c>
      <c r="M20" s="139">
        <f t="shared" si="1"/>
        <v>0</v>
      </c>
      <c r="N20" s="139">
        <f t="shared" si="2"/>
        <v>73258.05</v>
      </c>
      <c r="O20" s="115"/>
      <c r="P20" s="115"/>
      <c r="Q20" s="118"/>
    </row>
    <row r="21" spans="1:17" s="128" customFormat="1" x14ac:dyDescent="0.3">
      <c r="A21" s="115"/>
      <c r="B21" s="123" t="s">
        <v>96</v>
      </c>
      <c r="C21" s="135" t="str">
        <f t="shared" si="3"/>
        <v>Ativo</v>
      </c>
      <c r="D21" s="135" t="str">
        <f t="shared" si="0"/>
        <v/>
      </c>
      <c r="E21" s="124" t="s">
        <v>253</v>
      </c>
      <c r="F21" s="124" t="s">
        <v>254</v>
      </c>
      <c r="G21" s="125">
        <v>127.13</v>
      </c>
      <c r="H21" s="125" t="s">
        <v>162</v>
      </c>
      <c r="I21" s="125">
        <v>0</v>
      </c>
      <c r="J21" s="125">
        <v>43.79</v>
      </c>
      <c r="K21" s="125">
        <v>83.34</v>
      </c>
      <c r="L21" s="125" t="s">
        <v>162</v>
      </c>
      <c r="M21" s="139">
        <f t="shared" si="1"/>
        <v>127.13</v>
      </c>
      <c r="N21" s="139">
        <f t="shared" si="2"/>
        <v>83.34</v>
      </c>
      <c r="O21" s="115"/>
      <c r="P21" s="115"/>
      <c r="Q21" s="118"/>
    </row>
    <row r="22" spans="1:17" s="128" customFormat="1" x14ac:dyDescent="0.3">
      <c r="A22" s="115"/>
      <c r="B22" s="123" t="s">
        <v>96</v>
      </c>
      <c r="C22" s="135" t="str">
        <f t="shared" si="3"/>
        <v>Ativo</v>
      </c>
      <c r="D22" s="135" t="str">
        <f t="shared" si="0"/>
        <v/>
      </c>
      <c r="E22" s="124" t="s">
        <v>255</v>
      </c>
      <c r="F22" s="124" t="s">
        <v>256</v>
      </c>
      <c r="G22" s="125">
        <v>1.54</v>
      </c>
      <c r="H22" s="125" t="s">
        <v>162</v>
      </c>
      <c r="I22" s="125">
        <v>1734.41</v>
      </c>
      <c r="J22" s="125">
        <v>1851.97</v>
      </c>
      <c r="K22" s="125">
        <v>116.02</v>
      </c>
      <c r="L22" s="125" t="s">
        <v>165</v>
      </c>
      <c r="M22" s="139">
        <f t="shared" si="1"/>
        <v>1.54</v>
      </c>
      <c r="N22" s="139">
        <f t="shared" si="2"/>
        <v>-116.02</v>
      </c>
      <c r="O22" s="115"/>
      <c r="P22" s="115"/>
      <c r="Q22" s="118"/>
    </row>
    <row r="23" spans="1:17" s="128" customFormat="1" x14ac:dyDescent="0.3">
      <c r="A23" s="115"/>
      <c r="B23" s="123" t="s">
        <v>96</v>
      </c>
      <c r="C23" s="135" t="str">
        <f t="shared" si="3"/>
        <v>Ativo</v>
      </c>
      <c r="D23" s="135" t="str">
        <f t="shared" si="0"/>
        <v/>
      </c>
      <c r="E23" s="124" t="s">
        <v>257</v>
      </c>
      <c r="F23" s="124" t="s">
        <v>258</v>
      </c>
      <c r="G23" s="125">
        <v>0</v>
      </c>
      <c r="H23" s="125"/>
      <c r="I23" s="125">
        <v>426640.15</v>
      </c>
      <c r="J23" s="125">
        <v>426640.15</v>
      </c>
      <c r="K23" s="125">
        <v>0</v>
      </c>
      <c r="L23" s="125"/>
      <c r="M23" s="139">
        <f t="shared" si="1"/>
        <v>0</v>
      </c>
      <c r="N23" s="139">
        <f t="shared" si="2"/>
        <v>0</v>
      </c>
      <c r="O23" s="115"/>
      <c r="P23" s="115"/>
      <c r="Q23" s="118"/>
    </row>
    <row r="24" spans="1:17" s="128" customFormat="1" x14ac:dyDescent="0.3">
      <c r="A24" s="115"/>
      <c r="B24" s="123" t="s">
        <v>96</v>
      </c>
      <c r="C24" s="135" t="str">
        <f t="shared" si="3"/>
        <v>Ativo</v>
      </c>
      <c r="D24" s="135" t="str">
        <f t="shared" si="0"/>
        <v>Sintetica</v>
      </c>
      <c r="E24" s="124" t="s">
        <v>259</v>
      </c>
      <c r="F24" s="124" t="s">
        <v>260</v>
      </c>
      <c r="G24" s="125">
        <v>1149020.32</v>
      </c>
      <c r="H24" s="125" t="s">
        <v>162</v>
      </c>
      <c r="I24" s="125">
        <v>71.53</v>
      </c>
      <c r="J24" s="125">
        <v>686.09</v>
      </c>
      <c r="K24" s="125">
        <v>1148405.76</v>
      </c>
      <c r="L24" s="125" t="s">
        <v>162</v>
      </c>
      <c r="M24" s="139">
        <f t="shared" si="1"/>
        <v>1149020.32</v>
      </c>
      <c r="N24" s="139">
        <f t="shared" si="2"/>
        <v>1148405.76</v>
      </c>
      <c r="O24" s="115"/>
      <c r="P24" s="115"/>
      <c r="Q24" s="118"/>
    </row>
    <row r="25" spans="1:17" s="128" customFormat="1" x14ac:dyDescent="0.3">
      <c r="A25" s="115"/>
      <c r="B25" s="123" t="s">
        <v>96</v>
      </c>
      <c r="C25" s="135" t="str">
        <f t="shared" si="3"/>
        <v>Ativo</v>
      </c>
      <c r="D25" s="135" t="str">
        <f t="shared" si="0"/>
        <v/>
      </c>
      <c r="E25" s="124" t="s">
        <v>261</v>
      </c>
      <c r="F25" s="124" t="s">
        <v>238</v>
      </c>
      <c r="G25" s="125">
        <v>420.41</v>
      </c>
      <c r="H25" s="125" t="s">
        <v>162</v>
      </c>
      <c r="I25" s="125">
        <v>71.52</v>
      </c>
      <c r="J25" s="125">
        <v>491.93</v>
      </c>
      <c r="K25" s="125">
        <v>0</v>
      </c>
      <c r="L25" s="125"/>
      <c r="M25" s="139">
        <f t="shared" si="1"/>
        <v>420.41</v>
      </c>
      <c r="N25" s="139">
        <f t="shared" si="2"/>
        <v>0</v>
      </c>
      <c r="O25" s="115"/>
      <c r="P25" s="115"/>
      <c r="Q25" s="118"/>
    </row>
    <row r="26" spans="1:17" s="128" customFormat="1" x14ac:dyDescent="0.3">
      <c r="A26" s="115"/>
      <c r="B26" s="123" t="s">
        <v>96</v>
      </c>
      <c r="C26" s="135" t="str">
        <f t="shared" si="3"/>
        <v>Ativo</v>
      </c>
      <c r="D26" s="135" t="str">
        <f t="shared" si="0"/>
        <v/>
      </c>
      <c r="E26" s="124" t="s">
        <v>262</v>
      </c>
      <c r="F26" s="124" t="s">
        <v>263</v>
      </c>
      <c r="G26" s="125">
        <v>1148405.76</v>
      </c>
      <c r="H26" s="125" t="s">
        <v>162</v>
      </c>
      <c r="I26" s="125">
        <v>0</v>
      </c>
      <c r="J26" s="125">
        <v>0</v>
      </c>
      <c r="K26" s="125">
        <v>1148405.76</v>
      </c>
      <c r="L26" s="125" t="s">
        <v>162</v>
      </c>
      <c r="M26" s="139">
        <f t="shared" si="1"/>
        <v>1148405.76</v>
      </c>
      <c r="N26" s="139">
        <f t="shared" si="2"/>
        <v>1148405.76</v>
      </c>
      <c r="O26" s="115"/>
      <c r="P26" s="115"/>
      <c r="Q26" s="118"/>
    </row>
    <row r="27" spans="1:17" s="129" customFormat="1" x14ac:dyDescent="0.3">
      <c r="A27" s="117"/>
      <c r="B27" s="123" t="s">
        <v>96</v>
      </c>
      <c r="C27" s="135" t="str">
        <f t="shared" si="3"/>
        <v>Ativo</v>
      </c>
      <c r="D27" s="135" t="str">
        <f t="shared" si="0"/>
        <v/>
      </c>
      <c r="E27" s="124" t="s">
        <v>264</v>
      </c>
      <c r="F27" s="124" t="s">
        <v>265</v>
      </c>
      <c r="G27" s="125">
        <v>194.15</v>
      </c>
      <c r="H27" s="125" t="s">
        <v>162</v>
      </c>
      <c r="I27" s="125">
        <v>0.01</v>
      </c>
      <c r="J27" s="125">
        <v>194.16</v>
      </c>
      <c r="K27" s="125">
        <v>0</v>
      </c>
      <c r="L27" s="125"/>
      <c r="M27" s="139">
        <f t="shared" si="1"/>
        <v>194.15</v>
      </c>
      <c r="N27" s="139">
        <f t="shared" si="2"/>
        <v>0</v>
      </c>
      <c r="O27" s="122"/>
      <c r="P27" s="122"/>
    </row>
    <row r="28" spans="1:17" s="128" customFormat="1" x14ac:dyDescent="0.3">
      <c r="A28" s="115"/>
      <c r="B28" s="123" t="s">
        <v>96</v>
      </c>
      <c r="C28" s="135"/>
      <c r="D28" s="135" t="str">
        <f t="shared" si="0"/>
        <v>Sintetica</v>
      </c>
      <c r="E28" s="124" t="s">
        <v>266</v>
      </c>
      <c r="F28" s="124" t="s">
        <v>267</v>
      </c>
      <c r="G28" s="125">
        <v>10712086.33</v>
      </c>
      <c r="H28" s="125" t="s">
        <v>162</v>
      </c>
      <c r="I28" s="125">
        <v>869998.15</v>
      </c>
      <c r="J28" s="125">
        <v>749155.56</v>
      </c>
      <c r="K28" s="125">
        <v>10832928.92</v>
      </c>
      <c r="L28" s="125" t="s">
        <v>162</v>
      </c>
      <c r="M28" s="139">
        <f t="shared" si="1"/>
        <v>10712086.33</v>
      </c>
      <c r="N28" s="139">
        <f t="shared" si="2"/>
        <v>10832928.92</v>
      </c>
      <c r="O28" s="115"/>
      <c r="P28" s="115"/>
      <c r="Q28" s="118"/>
    </row>
    <row r="29" spans="1:17" s="128" customFormat="1" x14ac:dyDescent="0.3">
      <c r="A29" s="115"/>
      <c r="B29" s="123" t="s">
        <v>96</v>
      </c>
      <c r="C29" s="135" t="str">
        <f t="shared" ref="C29:C39" si="4">IF(MID(E29,1,1)="1","Ativo",IF(MID(E29,1,1)="2","Passivo","Resultado"))</f>
        <v>Ativo</v>
      </c>
      <c r="D29" s="135" t="str">
        <f t="shared" si="0"/>
        <v>Sintetica</v>
      </c>
      <c r="E29" s="124" t="s">
        <v>268</v>
      </c>
      <c r="F29" s="124" t="s">
        <v>269</v>
      </c>
      <c r="G29" s="125">
        <v>10759086.140000001</v>
      </c>
      <c r="H29" s="125" t="s">
        <v>162</v>
      </c>
      <c r="I29" s="125">
        <v>818931.59</v>
      </c>
      <c r="J29" s="125">
        <v>697830.41</v>
      </c>
      <c r="K29" s="125">
        <v>10880187.32</v>
      </c>
      <c r="L29" s="125" t="s">
        <v>162</v>
      </c>
      <c r="M29" s="139">
        <f t="shared" si="1"/>
        <v>10759086.140000001</v>
      </c>
      <c r="N29" s="139">
        <f t="shared" si="2"/>
        <v>10880187.32</v>
      </c>
      <c r="O29" s="115"/>
      <c r="P29" s="115"/>
      <c r="Q29" s="118"/>
    </row>
    <row r="30" spans="1:17" s="128" customFormat="1" x14ac:dyDescent="0.3">
      <c r="A30" s="115"/>
      <c r="B30" s="123" t="s">
        <v>96</v>
      </c>
      <c r="C30" s="135" t="str">
        <f t="shared" si="4"/>
        <v>Ativo</v>
      </c>
      <c r="D30" s="135" t="str">
        <f t="shared" si="0"/>
        <v>Sintetica</v>
      </c>
      <c r="E30" s="124" t="s">
        <v>270</v>
      </c>
      <c r="F30" s="124" t="s">
        <v>164</v>
      </c>
      <c r="G30" s="125">
        <v>10595294.23</v>
      </c>
      <c r="H30" s="125" t="s">
        <v>162</v>
      </c>
      <c r="I30" s="125">
        <v>802315.34</v>
      </c>
      <c r="J30" s="125">
        <v>681214.16</v>
      </c>
      <c r="K30" s="125">
        <v>10716395.41</v>
      </c>
      <c r="L30" s="125" t="s">
        <v>162</v>
      </c>
      <c r="M30" s="139">
        <f t="shared" si="1"/>
        <v>10595294.23</v>
      </c>
      <c r="N30" s="139">
        <f t="shared" si="2"/>
        <v>10716395.41</v>
      </c>
      <c r="O30" s="115"/>
      <c r="P30" s="115"/>
      <c r="Q30" s="118"/>
    </row>
    <row r="31" spans="1:17" s="128" customFormat="1" x14ac:dyDescent="0.3">
      <c r="A31" s="115"/>
      <c r="B31" s="123" t="s">
        <v>96</v>
      </c>
      <c r="C31" s="135" t="str">
        <f t="shared" si="4"/>
        <v>Ativo</v>
      </c>
      <c r="D31" s="135" t="str">
        <f t="shared" si="0"/>
        <v>Sintetica</v>
      </c>
      <c r="E31" s="124" t="s">
        <v>271</v>
      </c>
      <c r="F31" s="124" t="s">
        <v>272</v>
      </c>
      <c r="G31" s="125">
        <v>3518166.36</v>
      </c>
      <c r="H31" s="125" t="s">
        <v>165</v>
      </c>
      <c r="I31" s="125">
        <v>0</v>
      </c>
      <c r="J31" s="125">
        <v>0</v>
      </c>
      <c r="K31" s="125">
        <v>3518166.36</v>
      </c>
      <c r="L31" s="125" t="s">
        <v>165</v>
      </c>
      <c r="M31" s="139">
        <f t="shared" si="1"/>
        <v>-3518166.36</v>
      </c>
      <c r="N31" s="139">
        <f t="shared" si="2"/>
        <v>-3518166.36</v>
      </c>
      <c r="O31" s="115"/>
      <c r="P31" s="115"/>
      <c r="Q31" s="118"/>
    </row>
    <row r="32" spans="1:17" s="128" customFormat="1" x14ac:dyDescent="0.3">
      <c r="A32" s="115"/>
      <c r="B32" s="123" t="s">
        <v>96</v>
      </c>
      <c r="C32" s="135" t="str">
        <f t="shared" si="4"/>
        <v>Ativo</v>
      </c>
      <c r="D32" s="135" t="str">
        <f t="shared" si="0"/>
        <v>Sintetica</v>
      </c>
      <c r="E32" s="124" t="s">
        <v>273</v>
      </c>
      <c r="F32" s="124" t="s">
        <v>274</v>
      </c>
      <c r="G32" s="125">
        <v>541323.31999999995</v>
      </c>
      <c r="H32" s="125" t="s">
        <v>162</v>
      </c>
      <c r="I32" s="125">
        <v>0</v>
      </c>
      <c r="J32" s="125">
        <v>0</v>
      </c>
      <c r="K32" s="125">
        <v>541323.31999999995</v>
      </c>
      <c r="L32" s="125" t="s">
        <v>162</v>
      </c>
      <c r="M32" s="139">
        <f t="shared" si="1"/>
        <v>541323.31999999995</v>
      </c>
      <c r="N32" s="139">
        <f t="shared" si="2"/>
        <v>541323.31999999995</v>
      </c>
      <c r="O32" s="115"/>
      <c r="P32" s="115"/>
      <c r="Q32" s="118"/>
    </row>
    <row r="33" spans="1:17" s="128" customFormat="1" x14ac:dyDescent="0.3">
      <c r="A33" s="115"/>
      <c r="B33" s="123" t="s">
        <v>96</v>
      </c>
      <c r="C33" s="135" t="str">
        <f t="shared" si="4"/>
        <v>Ativo</v>
      </c>
      <c r="D33" s="135" t="str">
        <f t="shared" si="0"/>
        <v>Sintetica</v>
      </c>
      <c r="E33" s="124" t="s">
        <v>275</v>
      </c>
      <c r="F33" s="124" t="s">
        <v>276</v>
      </c>
      <c r="G33" s="125">
        <v>1260020.95</v>
      </c>
      <c r="H33" s="125" t="s">
        <v>165</v>
      </c>
      <c r="I33" s="125">
        <v>0</v>
      </c>
      <c r="J33" s="125">
        <v>0</v>
      </c>
      <c r="K33" s="125">
        <v>1260020.95</v>
      </c>
      <c r="L33" s="125" t="s">
        <v>165</v>
      </c>
      <c r="M33" s="139">
        <f t="shared" si="1"/>
        <v>-1260020.95</v>
      </c>
      <c r="N33" s="139">
        <f t="shared" si="2"/>
        <v>-1260020.95</v>
      </c>
      <c r="O33" s="115"/>
      <c r="P33" s="115"/>
      <c r="Q33" s="118"/>
    </row>
    <row r="34" spans="1:17" s="129" customFormat="1" x14ac:dyDescent="0.3">
      <c r="A34" s="117"/>
      <c r="B34" s="123" t="s">
        <v>96</v>
      </c>
      <c r="C34" s="135" t="str">
        <f t="shared" si="4"/>
        <v>Ativo</v>
      </c>
      <c r="D34" s="135" t="str">
        <f t="shared" si="0"/>
        <v>Sintetica</v>
      </c>
      <c r="E34" s="124" t="s">
        <v>277</v>
      </c>
      <c r="F34" s="124" t="s">
        <v>278</v>
      </c>
      <c r="G34" s="125">
        <v>3426105.02</v>
      </c>
      <c r="H34" s="125" t="s">
        <v>162</v>
      </c>
      <c r="I34" s="125">
        <v>0</v>
      </c>
      <c r="J34" s="125">
        <v>0</v>
      </c>
      <c r="K34" s="125">
        <v>3426105.02</v>
      </c>
      <c r="L34" s="125" t="s">
        <v>162</v>
      </c>
      <c r="M34" s="139">
        <f t="shared" si="1"/>
        <v>3426105.02</v>
      </c>
      <c r="N34" s="139">
        <f t="shared" si="2"/>
        <v>3426105.02</v>
      </c>
      <c r="O34" s="122"/>
      <c r="P34" s="122"/>
    </row>
    <row r="35" spans="1:17" s="129" customFormat="1" x14ac:dyDescent="0.3">
      <c r="A35" s="117"/>
      <c r="B35" s="123" t="s">
        <v>96</v>
      </c>
      <c r="C35" s="135" t="str">
        <f t="shared" si="4"/>
        <v>Ativo</v>
      </c>
      <c r="D35" s="135" t="str">
        <f t="shared" si="0"/>
        <v/>
      </c>
      <c r="E35" s="124" t="s">
        <v>279</v>
      </c>
      <c r="F35" s="124" t="s">
        <v>280</v>
      </c>
      <c r="G35" s="125">
        <v>433227.56</v>
      </c>
      <c r="H35" s="125" t="s">
        <v>162</v>
      </c>
      <c r="I35" s="125">
        <v>12063</v>
      </c>
      <c r="J35" s="125">
        <v>12063</v>
      </c>
      <c r="K35" s="125">
        <v>433227.56</v>
      </c>
      <c r="L35" s="125" t="s">
        <v>162</v>
      </c>
      <c r="M35" s="139">
        <f t="shared" si="1"/>
        <v>433227.56</v>
      </c>
      <c r="N35" s="139">
        <f t="shared" si="2"/>
        <v>433227.56</v>
      </c>
      <c r="O35" s="122"/>
      <c r="P35" s="122"/>
    </row>
    <row r="36" spans="1:17" s="128" customFormat="1" x14ac:dyDescent="0.3">
      <c r="A36" s="115"/>
      <c r="B36" s="123" t="s">
        <v>96</v>
      </c>
      <c r="C36" s="135" t="str">
        <f t="shared" si="4"/>
        <v>Ativo</v>
      </c>
      <c r="D36" s="135" t="str">
        <f t="shared" si="0"/>
        <v/>
      </c>
      <c r="E36" s="124" t="s">
        <v>281</v>
      </c>
      <c r="F36" s="124" t="s">
        <v>282</v>
      </c>
      <c r="G36" s="125">
        <v>1516728.75</v>
      </c>
      <c r="H36" s="125" t="s">
        <v>162</v>
      </c>
      <c r="I36" s="125">
        <v>0</v>
      </c>
      <c r="J36" s="125">
        <v>4553.25</v>
      </c>
      <c r="K36" s="125">
        <v>1512175.5</v>
      </c>
      <c r="L36" s="125" t="s">
        <v>162</v>
      </c>
      <c r="M36" s="139">
        <f t="shared" si="1"/>
        <v>1516728.75</v>
      </c>
      <c r="N36" s="139">
        <f t="shared" si="2"/>
        <v>1512175.5</v>
      </c>
      <c r="O36" s="115"/>
      <c r="P36" s="115"/>
      <c r="Q36" s="118"/>
    </row>
    <row r="37" spans="1:17" s="128" customFormat="1" x14ac:dyDescent="0.3">
      <c r="A37" s="115"/>
      <c r="B37" s="123" t="s">
        <v>96</v>
      </c>
      <c r="C37" s="135" t="str">
        <f t="shared" si="4"/>
        <v>Ativo</v>
      </c>
      <c r="D37" s="135" t="str">
        <f t="shared" si="0"/>
        <v/>
      </c>
      <c r="E37" s="124" t="s">
        <v>283</v>
      </c>
      <c r="F37" s="124" t="s">
        <v>284</v>
      </c>
      <c r="G37" s="125">
        <v>975405.43</v>
      </c>
      <c r="H37" s="125" t="s">
        <v>165</v>
      </c>
      <c r="I37" s="125">
        <v>4553.25</v>
      </c>
      <c r="J37" s="125">
        <v>0</v>
      </c>
      <c r="K37" s="125">
        <v>970852.18</v>
      </c>
      <c r="L37" s="125" t="s">
        <v>165</v>
      </c>
      <c r="M37" s="139">
        <f t="shared" si="1"/>
        <v>-975405.43</v>
      </c>
      <c r="N37" s="139">
        <f t="shared" si="2"/>
        <v>-970852.18</v>
      </c>
      <c r="O37" s="115"/>
      <c r="P37" s="115"/>
      <c r="Q37" s="118"/>
    </row>
    <row r="38" spans="1:17" s="128" customFormat="1" x14ac:dyDescent="0.3">
      <c r="A38" s="115"/>
      <c r="B38" s="123" t="s">
        <v>96</v>
      </c>
      <c r="C38" s="135" t="str">
        <f t="shared" si="4"/>
        <v>Ativo</v>
      </c>
      <c r="D38" s="135" t="str">
        <f t="shared" si="0"/>
        <v>Sintetica</v>
      </c>
      <c r="E38" s="124" t="s">
        <v>285</v>
      </c>
      <c r="F38" s="124" t="s">
        <v>286</v>
      </c>
      <c r="G38" s="125">
        <v>46999.81</v>
      </c>
      <c r="H38" s="125" t="s">
        <v>165</v>
      </c>
      <c r="I38" s="125">
        <v>51066.559999999998</v>
      </c>
      <c r="J38" s="125">
        <v>51325.15</v>
      </c>
      <c r="K38" s="125">
        <v>47258.400000000001</v>
      </c>
      <c r="L38" s="125" t="s">
        <v>165</v>
      </c>
      <c r="M38" s="139">
        <f t="shared" si="1"/>
        <v>-46999.81</v>
      </c>
      <c r="N38" s="139">
        <f t="shared" si="2"/>
        <v>-47258.400000000001</v>
      </c>
      <c r="O38" s="115"/>
      <c r="P38" s="115"/>
      <c r="Q38" s="118"/>
    </row>
    <row r="39" spans="1:17" s="128" customFormat="1" x14ac:dyDescent="0.3">
      <c r="A39" s="115"/>
      <c r="B39" s="123" t="s">
        <v>96</v>
      </c>
      <c r="C39" s="135" t="str">
        <f t="shared" si="4"/>
        <v>Ativo</v>
      </c>
      <c r="D39" s="135" t="str">
        <f t="shared" si="0"/>
        <v>Sintetica</v>
      </c>
      <c r="E39" s="124" t="s">
        <v>287</v>
      </c>
      <c r="F39" s="124" t="s">
        <v>288</v>
      </c>
      <c r="G39" s="125">
        <v>49546.52</v>
      </c>
      <c r="H39" s="125" t="s">
        <v>165</v>
      </c>
      <c r="I39" s="125">
        <v>49546.52</v>
      </c>
      <c r="J39" s="125">
        <v>50003.75</v>
      </c>
      <c r="K39" s="125">
        <v>50003.75</v>
      </c>
      <c r="L39" s="125" t="s">
        <v>165</v>
      </c>
      <c r="M39" s="139">
        <f t="shared" si="1"/>
        <v>-49546.52</v>
      </c>
      <c r="N39" s="139">
        <f t="shared" si="2"/>
        <v>-50003.75</v>
      </c>
      <c r="O39" s="115"/>
      <c r="P39" s="115"/>
      <c r="Q39" s="118"/>
    </row>
    <row r="40" spans="1:17" s="128" customFormat="1" x14ac:dyDescent="0.3">
      <c r="A40" s="115"/>
      <c r="B40" s="123" t="s">
        <v>96</v>
      </c>
      <c r="C40" s="135"/>
      <c r="D40" s="135" t="str">
        <f t="shared" si="0"/>
        <v>Sintetica</v>
      </c>
      <c r="E40" s="124" t="s">
        <v>289</v>
      </c>
      <c r="F40" s="124" t="s">
        <v>290</v>
      </c>
      <c r="G40" s="125">
        <v>303.63</v>
      </c>
      <c r="H40" s="125" t="s">
        <v>165</v>
      </c>
      <c r="I40" s="125">
        <v>303.63</v>
      </c>
      <c r="J40" s="125">
        <v>271.89</v>
      </c>
      <c r="K40" s="125">
        <v>271.89</v>
      </c>
      <c r="L40" s="125" t="s">
        <v>165</v>
      </c>
      <c r="M40" s="139">
        <f t="shared" si="1"/>
        <v>-303.63</v>
      </c>
      <c r="N40" s="139">
        <f t="shared" si="2"/>
        <v>-271.89</v>
      </c>
      <c r="O40" s="115"/>
      <c r="P40" s="115"/>
      <c r="Q40" s="118"/>
    </row>
    <row r="41" spans="1:17" s="128" customFormat="1" x14ac:dyDescent="0.3">
      <c r="A41" s="115"/>
      <c r="B41" s="123" t="s">
        <v>96</v>
      </c>
      <c r="C41" s="135"/>
      <c r="D41" s="135" t="str">
        <f t="shared" si="0"/>
        <v>Sintetica</v>
      </c>
      <c r="E41" s="124" t="s">
        <v>291</v>
      </c>
      <c r="F41" s="124" t="s">
        <v>292</v>
      </c>
      <c r="G41" s="125">
        <v>2850.34</v>
      </c>
      <c r="H41" s="125" t="s">
        <v>162</v>
      </c>
      <c r="I41" s="125">
        <v>1216.4100000000001</v>
      </c>
      <c r="J41" s="125">
        <v>1049.51</v>
      </c>
      <c r="K41" s="125">
        <v>3017.24</v>
      </c>
      <c r="L41" s="125" t="s">
        <v>162</v>
      </c>
      <c r="M41" s="139">
        <f t="shared" si="1"/>
        <v>2850.34</v>
      </c>
      <c r="N41" s="139">
        <f t="shared" si="2"/>
        <v>3017.24</v>
      </c>
      <c r="O41" s="115"/>
      <c r="P41" s="115"/>
      <c r="Q41" s="118"/>
    </row>
    <row r="42" spans="1:17" s="128" customFormat="1" x14ac:dyDescent="0.3">
      <c r="A42" s="115"/>
      <c r="B42" s="123" t="s">
        <v>96</v>
      </c>
      <c r="C42" s="135" t="str">
        <f t="shared" ref="C42:C47" si="5">IF(MID(E42,1,1)="1","Ativo",IF(MID(E42,1,1)="2","Passivo","Resultado"))</f>
        <v>Ativo</v>
      </c>
      <c r="D42" s="135" t="str">
        <f t="shared" si="0"/>
        <v>Sintetica</v>
      </c>
      <c r="E42" s="124" t="s">
        <v>293</v>
      </c>
      <c r="F42" s="124" t="s">
        <v>294</v>
      </c>
      <c r="G42" s="125">
        <v>1579453.64</v>
      </c>
      <c r="H42" s="125" t="s">
        <v>162</v>
      </c>
      <c r="I42" s="125">
        <v>450644.86</v>
      </c>
      <c r="J42" s="125">
        <v>288728.59000000003</v>
      </c>
      <c r="K42" s="125">
        <v>1741369.91</v>
      </c>
      <c r="L42" s="125" t="s">
        <v>162</v>
      </c>
      <c r="M42" s="139">
        <f t="shared" si="1"/>
        <v>1579453.64</v>
      </c>
      <c r="N42" s="139">
        <f t="shared" si="2"/>
        <v>1741369.91</v>
      </c>
      <c r="O42" s="115"/>
      <c r="P42" s="115"/>
      <c r="Q42" s="118"/>
    </row>
    <row r="43" spans="1:17" s="128" customFormat="1" x14ac:dyDescent="0.3">
      <c r="A43" s="115"/>
      <c r="B43" s="123" t="s">
        <v>96</v>
      </c>
      <c r="C43" s="135" t="str">
        <f t="shared" si="5"/>
        <v>Ativo</v>
      </c>
      <c r="D43" s="135" t="str">
        <f t="shared" si="0"/>
        <v>Sintetica</v>
      </c>
      <c r="E43" s="124" t="s">
        <v>295</v>
      </c>
      <c r="F43" s="124" t="s">
        <v>296</v>
      </c>
      <c r="G43" s="125">
        <v>1579453.64</v>
      </c>
      <c r="H43" s="125" t="s">
        <v>162</v>
      </c>
      <c r="I43" s="125">
        <v>450644.86</v>
      </c>
      <c r="J43" s="125">
        <v>288728.59000000003</v>
      </c>
      <c r="K43" s="125">
        <v>1741369.91</v>
      </c>
      <c r="L43" s="125" t="s">
        <v>162</v>
      </c>
      <c r="M43" s="139">
        <f t="shared" si="1"/>
        <v>1579453.64</v>
      </c>
      <c r="N43" s="139">
        <f t="shared" si="2"/>
        <v>1741369.91</v>
      </c>
      <c r="O43" s="115"/>
      <c r="P43" s="115"/>
      <c r="Q43" s="118"/>
    </row>
    <row r="44" spans="1:17" s="128" customFormat="1" x14ac:dyDescent="0.3">
      <c r="A44" s="115"/>
      <c r="B44" s="123" t="s">
        <v>96</v>
      </c>
      <c r="C44" s="135" t="str">
        <f t="shared" si="5"/>
        <v>Ativo</v>
      </c>
      <c r="D44" s="135" t="str">
        <f t="shared" si="0"/>
        <v>Sintetica</v>
      </c>
      <c r="E44" s="124" t="s">
        <v>297</v>
      </c>
      <c r="F44" s="124" t="s">
        <v>298</v>
      </c>
      <c r="G44" s="125">
        <v>669262.92000000004</v>
      </c>
      <c r="H44" s="125" t="s">
        <v>162</v>
      </c>
      <c r="I44" s="125">
        <v>450644.86</v>
      </c>
      <c r="J44" s="125">
        <v>288728.59000000003</v>
      </c>
      <c r="K44" s="125">
        <v>831179.19</v>
      </c>
      <c r="L44" s="125" t="s">
        <v>162</v>
      </c>
      <c r="M44" s="139">
        <f t="shared" si="1"/>
        <v>669262.92000000004</v>
      </c>
      <c r="N44" s="139">
        <f t="shared" si="2"/>
        <v>831179.19</v>
      </c>
      <c r="O44" s="115"/>
      <c r="P44" s="115"/>
      <c r="Q44" s="118"/>
    </row>
    <row r="45" spans="1:17" s="128" customFormat="1" x14ac:dyDescent="0.3">
      <c r="A45" s="115"/>
      <c r="B45" s="123" t="s">
        <v>96</v>
      </c>
      <c r="C45" s="135" t="str">
        <f t="shared" si="5"/>
        <v>Ativo</v>
      </c>
      <c r="D45" s="135" t="str">
        <f t="shared" si="0"/>
        <v>Sintetica</v>
      </c>
      <c r="E45" s="124" t="s">
        <v>299</v>
      </c>
      <c r="F45" s="124" t="s">
        <v>300</v>
      </c>
      <c r="G45" s="125">
        <v>798988.5</v>
      </c>
      <c r="H45" s="125" t="s">
        <v>162</v>
      </c>
      <c r="I45" s="125">
        <v>0</v>
      </c>
      <c r="J45" s="125">
        <v>0</v>
      </c>
      <c r="K45" s="125">
        <v>798988.5</v>
      </c>
      <c r="L45" s="125" t="s">
        <v>162</v>
      </c>
      <c r="M45" s="139">
        <f t="shared" si="1"/>
        <v>798988.5</v>
      </c>
      <c r="N45" s="139">
        <f t="shared" si="2"/>
        <v>798988.5</v>
      </c>
      <c r="O45" s="115"/>
      <c r="P45" s="115"/>
      <c r="Q45" s="118"/>
    </row>
    <row r="46" spans="1:17" s="129" customFormat="1" x14ac:dyDescent="0.3">
      <c r="A46" s="117"/>
      <c r="B46" s="123" t="s">
        <v>96</v>
      </c>
      <c r="C46" s="135" t="str">
        <f t="shared" si="5"/>
        <v>Ativo</v>
      </c>
      <c r="D46" s="135" t="str">
        <f t="shared" si="0"/>
        <v>Sintetica</v>
      </c>
      <c r="E46" s="124" t="s">
        <v>301</v>
      </c>
      <c r="F46" s="124" t="s">
        <v>302</v>
      </c>
      <c r="G46" s="125">
        <v>111202.22</v>
      </c>
      <c r="H46" s="125" t="s">
        <v>162</v>
      </c>
      <c r="I46" s="125">
        <v>0</v>
      </c>
      <c r="J46" s="125">
        <v>0</v>
      </c>
      <c r="K46" s="125">
        <v>111202.22</v>
      </c>
      <c r="L46" s="125" t="s">
        <v>162</v>
      </c>
      <c r="M46" s="139">
        <f t="shared" si="1"/>
        <v>111202.22</v>
      </c>
      <c r="N46" s="139">
        <f t="shared" si="2"/>
        <v>111202.22</v>
      </c>
      <c r="O46" s="122"/>
      <c r="P46" s="122"/>
    </row>
    <row r="47" spans="1:17" s="128" customFormat="1" x14ac:dyDescent="0.3">
      <c r="A47" s="115"/>
      <c r="B47" s="123" t="s">
        <v>96</v>
      </c>
      <c r="C47" s="135" t="str">
        <f t="shared" si="5"/>
        <v>Ativo</v>
      </c>
      <c r="D47" s="135" t="str">
        <f t="shared" si="0"/>
        <v>Sintetica</v>
      </c>
      <c r="E47" s="124" t="s">
        <v>303</v>
      </c>
      <c r="F47" s="124" t="s">
        <v>304</v>
      </c>
      <c r="G47" s="125">
        <v>2450981.5499999998</v>
      </c>
      <c r="H47" s="125" t="s">
        <v>162</v>
      </c>
      <c r="I47" s="125">
        <v>376979.7</v>
      </c>
      <c r="J47" s="125">
        <v>338308.28</v>
      </c>
      <c r="K47" s="125">
        <v>2489652.9700000002</v>
      </c>
      <c r="L47" s="125" t="s">
        <v>162</v>
      </c>
      <c r="M47" s="139">
        <f t="shared" si="1"/>
        <v>2450981.5499999998</v>
      </c>
      <c r="N47" s="139">
        <f t="shared" si="2"/>
        <v>2489652.9700000002</v>
      </c>
      <c r="O47" s="115"/>
      <c r="P47" s="115"/>
      <c r="Q47" s="118"/>
    </row>
    <row r="48" spans="1:17" s="128" customFormat="1" x14ac:dyDescent="0.3">
      <c r="A48" s="115"/>
      <c r="B48" s="123" t="s">
        <v>96</v>
      </c>
      <c r="C48" s="135"/>
      <c r="D48" s="135" t="str">
        <f t="shared" si="0"/>
        <v>Sintetica</v>
      </c>
      <c r="E48" s="124" t="s">
        <v>305</v>
      </c>
      <c r="F48" s="124" t="s">
        <v>304</v>
      </c>
      <c r="G48" s="125">
        <v>2450981.5499999998</v>
      </c>
      <c r="H48" s="125" t="s">
        <v>162</v>
      </c>
      <c r="I48" s="125">
        <v>376979.7</v>
      </c>
      <c r="J48" s="125">
        <v>338308.28</v>
      </c>
      <c r="K48" s="125">
        <v>2489652.9700000002</v>
      </c>
      <c r="L48" s="125" t="s">
        <v>162</v>
      </c>
      <c r="M48" s="139">
        <f t="shared" si="1"/>
        <v>2450981.5499999998</v>
      </c>
      <c r="N48" s="139">
        <f t="shared" si="2"/>
        <v>2489652.9700000002</v>
      </c>
      <c r="O48" s="115"/>
      <c r="P48" s="115"/>
      <c r="Q48" s="118"/>
    </row>
    <row r="49" spans="1:17" s="128" customFormat="1" x14ac:dyDescent="0.3">
      <c r="A49" s="115"/>
      <c r="B49" s="123" t="s">
        <v>96</v>
      </c>
      <c r="C49" s="135" t="str">
        <f>IF(MID(E49,1,1)="1","Ativo",IF(MID(E49,1,1)="2","Passivo","Resultado"))</f>
        <v>Ativo</v>
      </c>
      <c r="D49" s="135" t="str">
        <f t="shared" si="0"/>
        <v>Sintetica</v>
      </c>
      <c r="E49" s="124" t="s">
        <v>306</v>
      </c>
      <c r="F49" s="124" t="s">
        <v>307</v>
      </c>
      <c r="G49" s="125">
        <v>2205374.31</v>
      </c>
      <c r="H49" s="125" t="s">
        <v>162</v>
      </c>
      <c r="I49" s="125">
        <v>232242.86</v>
      </c>
      <c r="J49" s="125">
        <v>204088.99</v>
      </c>
      <c r="K49" s="125">
        <v>2233528.1800000002</v>
      </c>
      <c r="L49" s="125" t="s">
        <v>162</v>
      </c>
      <c r="M49" s="139">
        <f t="shared" si="1"/>
        <v>2205374.31</v>
      </c>
      <c r="N49" s="139">
        <f t="shared" si="2"/>
        <v>2233528.1800000002</v>
      </c>
      <c r="O49" s="115"/>
      <c r="P49" s="115"/>
      <c r="Q49" s="118"/>
    </row>
    <row r="50" spans="1:17" s="128" customFormat="1" x14ac:dyDescent="0.3">
      <c r="A50" s="115"/>
      <c r="B50" s="123" t="s">
        <v>96</v>
      </c>
      <c r="C50" s="135"/>
      <c r="D50" s="135" t="str">
        <f t="shared" si="0"/>
        <v>Sintetica</v>
      </c>
      <c r="E50" s="124" t="s">
        <v>308</v>
      </c>
      <c r="F50" s="124" t="s">
        <v>309</v>
      </c>
      <c r="G50" s="125">
        <v>49.63</v>
      </c>
      <c r="H50" s="125" t="s">
        <v>162</v>
      </c>
      <c r="I50" s="125">
        <v>0</v>
      </c>
      <c r="J50" s="125">
        <v>0</v>
      </c>
      <c r="K50" s="125">
        <v>49.63</v>
      </c>
      <c r="L50" s="125" t="s">
        <v>162</v>
      </c>
      <c r="M50" s="139">
        <f t="shared" si="1"/>
        <v>49.63</v>
      </c>
      <c r="N50" s="139">
        <f t="shared" si="2"/>
        <v>49.63</v>
      </c>
      <c r="O50" s="115"/>
      <c r="P50" s="115"/>
      <c r="Q50" s="118"/>
    </row>
    <row r="51" spans="1:17" s="129" customFormat="1" x14ac:dyDescent="0.3">
      <c r="A51" s="117"/>
      <c r="B51" s="123" t="s">
        <v>96</v>
      </c>
      <c r="C51" s="137"/>
      <c r="D51" s="135" t="str">
        <f t="shared" si="0"/>
        <v>Sintetica</v>
      </c>
      <c r="E51" s="124" t="s">
        <v>310</v>
      </c>
      <c r="F51" s="124" t="s">
        <v>311</v>
      </c>
      <c r="G51" s="125">
        <v>86374.71</v>
      </c>
      <c r="H51" s="125" t="s">
        <v>162</v>
      </c>
      <c r="I51" s="125">
        <v>0</v>
      </c>
      <c r="J51" s="125">
        <v>0</v>
      </c>
      <c r="K51" s="125">
        <v>86374.71</v>
      </c>
      <c r="L51" s="125" t="s">
        <v>162</v>
      </c>
      <c r="M51" s="139">
        <f t="shared" si="1"/>
        <v>86374.71</v>
      </c>
      <c r="N51" s="139">
        <f t="shared" si="2"/>
        <v>86374.71</v>
      </c>
      <c r="O51" s="122"/>
      <c r="P51" s="122"/>
    </row>
    <row r="52" spans="1:17" s="129" customFormat="1" x14ac:dyDescent="0.3">
      <c r="A52" s="117"/>
      <c r="B52" s="123" t="s">
        <v>96</v>
      </c>
      <c r="C52" s="135" t="str">
        <f t="shared" ref="C52:C63" si="6">IF(MID(E52,1,1)="1","Ativo",IF(MID(E52,1,1)="2","Passivo","Resultado"))</f>
        <v>Ativo</v>
      </c>
      <c r="D52" s="135" t="str">
        <f t="shared" si="0"/>
        <v>Sintetica</v>
      </c>
      <c r="E52" s="124" t="s">
        <v>312</v>
      </c>
      <c r="F52" s="124" t="s">
        <v>313</v>
      </c>
      <c r="G52" s="125">
        <v>158250</v>
      </c>
      <c r="H52" s="125" t="s">
        <v>162</v>
      </c>
      <c r="I52" s="125">
        <v>9447.34</v>
      </c>
      <c r="J52" s="125">
        <v>461.9</v>
      </c>
      <c r="K52" s="125">
        <v>167235.44</v>
      </c>
      <c r="L52" s="125" t="s">
        <v>162</v>
      </c>
      <c r="M52" s="139">
        <f t="shared" si="1"/>
        <v>158250</v>
      </c>
      <c r="N52" s="139">
        <f t="shared" si="2"/>
        <v>167235.44</v>
      </c>
      <c r="O52" s="122"/>
      <c r="P52" s="122"/>
    </row>
    <row r="53" spans="1:17" s="128" customFormat="1" x14ac:dyDescent="0.3">
      <c r="A53" s="115"/>
      <c r="B53" s="123" t="s">
        <v>96</v>
      </c>
      <c r="C53" s="135" t="str">
        <f t="shared" si="6"/>
        <v>Ativo</v>
      </c>
      <c r="D53" s="135" t="str">
        <f t="shared" si="0"/>
        <v>Sintetica</v>
      </c>
      <c r="E53" s="124" t="s">
        <v>314</v>
      </c>
      <c r="F53" s="124" t="s">
        <v>166</v>
      </c>
      <c r="G53" s="125">
        <v>382159.94</v>
      </c>
      <c r="H53" s="125" t="s">
        <v>162</v>
      </c>
      <c r="I53" s="125">
        <v>134969.5</v>
      </c>
      <c r="J53" s="125">
        <v>133675.53</v>
      </c>
      <c r="K53" s="125">
        <v>383453.91</v>
      </c>
      <c r="L53" s="125" t="s">
        <v>162</v>
      </c>
      <c r="M53" s="139">
        <f t="shared" si="1"/>
        <v>382159.94</v>
      </c>
      <c r="N53" s="139">
        <f t="shared" si="2"/>
        <v>383453.91</v>
      </c>
      <c r="O53" s="115"/>
      <c r="P53" s="115"/>
      <c r="Q53" s="118"/>
    </row>
    <row r="54" spans="1:17" s="128" customFormat="1" x14ac:dyDescent="0.3">
      <c r="A54" s="115"/>
      <c r="B54" s="123" t="s">
        <v>96</v>
      </c>
      <c r="C54" s="135" t="str">
        <f t="shared" si="6"/>
        <v>Ativo</v>
      </c>
      <c r="D54" s="135" t="str">
        <f t="shared" si="0"/>
        <v>Sintetica</v>
      </c>
      <c r="E54" s="124" t="s">
        <v>315</v>
      </c>
      <c r="F54" s="124" t="s">
        <v>167</v>
      </c>
      <c r="G54" s="125">
        <v>9367.48</v>
      </c>
      <c r="H54" s="125" t="s">
        <v>162</v>
      </c>
      <c r="I54" s="125">
        <v>320</v>
      </c>
      <c r="J54" s="125">
        <v>81.86</v>
      </c>
      <c r="K54" s="125">
        <v>9605.6200000000008</v>
      </c>
      <c r="L54" s="125" t="s">
        <v>162</v>
      </c>
      <c r="M54" s="139">
        <f t="shared" si="1"/>
        <v>9367.48</v>
      </c>
      <c r="N54" s="139">
        <f t="shared" si="2"/>
        <v>9605.6200000000008</v>
      </c>
      <c r="O54" s="115"/>
      <c r="P54" s="115"/>
      <c r="Q54" s="118"/>
    </row>
    <row r="55" spans="1:17" s="128" customFormat="1" x14ac:dyDescent="0.3">
      <c r="A55" s="115"/>
      <c r="B55" s="123" t="s">
        <v>96</v>
      </c>
      <c r="C55" s="135" t="str">
        <f t="shared" si="6"/>
        <v>Ativo</v>
      </c>
      <c r="D55" s="135" t="str">
        <f t="shared" si="0"/>
        <v/>
      </c>
      <c r="E55" s="124" t="s">
        <v>316</v>
      </c>
      <c r="F55" s="124" t="s">
        <v>317</v>
      </c>
      <c r="G55" s="125">
        <v>0.02</v>
      </c>
      <c r="H55" s="125" t="s">
        <v>162</v>
      </c>
      <c r="I55" s="125">
        <v>0</v>
      </c>
      <c r="J55" s="125">
        <v>0</v>
      </c>
      <c r="K55" s="125">
        <v>0.02</v>
      </c>
      <c r="L55" s="125" t="s">
        <v>162</v>
      </c>
      <c r="M55" s="139">
        <f t="shared" si="1"/>
        <v>0.02</v>
      </c>
      <c r="N55" s="139">
        <f t="shared" si="2"/>
        <v>0.02</v>
      </c>
      <c r="O55" s="115"/>
      <c r="P55" s="115"/>
      <c r="Q55" s="118"/>
    </row>
    <row r="56" spans="1:17" s="129" customFormat="1" x14ac:dyDescent="0.3">
      <c r="A56" s="117"/>
      <c r="B56" s="123" t="s">
        <v>96</v>
      </c>
      <c r="C56" s="135" t="str">
        <f t="shared" si="6"/>
        <v>Ativo</v>
      </c>
      <c r="D56" s="135" t="str">
        <f t="shared" si="0"/>
        <v/>
      </c>
      <c r="E56" s="124" t="s">
        <v>318</v>
      </c>
      <c r="F56" s="124" t="s">
        <v>319</v>
      </c>
      <c r="G56" s="125">
        <v>186430.43</v>
      </c>
      <c r="H56" s="125" t="s">
        <v>165</v>
      </c>
      <c r="I56" s="125">
        <v>0</v>
      </c>
      <c r="J56" s="125">
        <v>0</v>
      </c>
      <c r="K56" s="125">
        <v>186430.43</v>
      </c>
      <c r="L56" s="125" t="s">
        <v>165</v>
      </c>
      <c r="M56" s="139">
        <f t="shared" si="1"/>
        <v>-186430.43</v>
      </c>
      <c r="N56" s="139">
        <f t="shared" si="2"/>
        <v>-186430.43</v>
      </c>
      <c r="O56" s="122"/>
      <c r="P56" s="122"/>
    </row>
    <row r="57" spans="1:17" s="129" customFormat="1" x14ac:dyDescent="0.3">
      <c r="A57" s="117"/>
      <c r="B57" s="123" t="s">
        <v>96</v>
      </c>
      <c r="C57" s="135" t="str">
        <f t="shared" si="6"/>
        <v>Ativo</v>
      </c>
      <c r="D57" s="135" t="str">
        <f t="shared" si="0"/>
        <v/>
      </c>
      <c r="E57" s="124" t="s">
        <v>320</v>
      </c>
      <c r="F57" s="124" t="s">
        <v>321</v>
      </c>
      <c r="G57" s="125">
        <v>5458.24</v>
      </c>
      <c r="H57" s="125" t="s">
        <v>162</v>
      </c>
      <c r="I57" s="125">
        <v>0</v>
      </c>
      <c r="J57" s="125">
        <v>0</v>
      </c>
      <c r="K57" s="125">
        <v>5458.24</v>
      </c>
      <c r="L57" s="125" t="s">
        <v>162</v>
      </c>
      <c r="M57" s="139">
        <f t="shared" si="1"/>
        <v>5458.24</v>
      </c>
      <c r="N57" s="139">
        <f t="shared" si="2"/>
        <v>5458.24</v>
      </c>
      <c r="O57" s="122"/>
      <c r="P57" s="122"/>
    </row>
    <row r="58" spans="1:17" s="128" customFormat="1" x14ac:dyDescent="0.3">
      <c r="A58" s="115"/>
      <c r="B58" s="123" t="s">
        <v>96</v>
      </c>
      <c r="C58" s="135" t="str">
        <f t="shared" si="6"/>
        <v>Ativo</v>
      </c>
      <c r="D58" s="135" t="str">
        <f t="shared" si="0"/>
        <v/>
      </c>
      <c r="E58" s="124" t="s">
        <v>322</v>
      </c>
      <c r="F58" s="124" t="s">
        <v>323</v>
      </c>
      <c r="G58" s="125">
        <v>210462.12</v>
      </c>
      <c r="H58" s="125" t="s">
        <v>165</v>
      </c>
      <c r="I58" s="125">
        <v>0</v>
      </c>
      <c r="J58" s="125">
        <v>0</v>
      </c>
      <c r="K58" s="125">
        <v>210462.12</v>
      </c>
      <c r="L58" s="125" t="s">
        <v>165</v>
      </c>
      <c r="M58" s="139">
        <f t="shared" si="1"/>
        <v>-210462.12</v>
      </c>
      <c r="N58" s="139">
        <f t="shared" si="2"/>
        <v>-210462.12</v>
      </c>
      <c r="O58" s="115"/>
      <c r="P58" s="115"/>
      <c r="Q58" s="118"/>
    </row>
    <row r="59" spans="1:17" s="128" customFormat="1" x14ac:dyDescent="0.3">
      <c r="A59" s="115"/>
      <c r="B59" s="123" t="s">
        <v>96</v>
      </c>
      <c r="C59" s="135" t="str">
        <f t="shared" si="6"/>
        <v>Ativo</v>
      </c>
      <c r="D59" s="135" t="str">
        <f t="shared" si="0"/>
        <v/>
      </c>
      <c r="E59" s="124" t="s">
        <v>324</v>
      </c>
      <c r="F59" s="124" t="s">
        <v>325</v>
      </c>
      <c r="G59" s="125">
        <v>839.77</v>
      </c>
      <c r="H59" s="125" t="s">
        <v>162</v>
      </c>
      <c r="I59" s="125">
        <v>0</v>
      </c>
      <c r="J59" s="125">
        <v>0</v>
      </c>
      <c r="K59" s="125">
        <v>839.77</v>
      </c>
      <c r="L59" s="125" t="s">
        <v>162</v>
      </c>
      <c r="M59" s="139">
        <f t="shared" si="1"/>
        <v>839.77</v>
      </c>
      <c r="N59" s="139">
        <f t="shared" si="2"/>
        <v>839.77</v>
      </c>
      <c r="O59" s="115"/>
      <c r="P59" s="115"/>
      <c r="Q59" s="118"/>
    </row>
    <row r="60" spans="1:17" s="128" customFormat="1" x14ac:dyDescent="0.3">
      <c r="A60" s="115"/>
      <c r="B60" s="123" t="s">
        <v>96</v>
      </c>
      <c r="C60" s="135" t="str">
        <f t="shared" si="6"/>
        <v>Ativo</v>
      </c>
      <c r="D60" s="135" t="str">
        <f t="shared" si="0"/>
        <v>Sintetica</v>
      </c>
      <c r="E60" s="124" t="s">
        <v>326</v>
      </c>
      <c r="F60" s="124" t="s">
        <v>327</v>
      </c>
      <c r="G60" s="125">
        <v>4391783.0599999996</v>
      </c>
      <c r="H60" s="125" t="s">
        <v>162</v>
      </c>
      <c r="I60" s="125">
        <v>102115.32</v>
      </c>
      <c r="J60" s="125">
        <v>11400.8</v>
      </c>
      <c r="K60" s="125">
        <v>4482497.58</v>
      </c>
      <c r="L60" s="125" t="s">
        <v>162</v>
      </c>
      <c r="M60" s="139">
        <f t="shared" si="1"/>
        <v>4391783.0599999996</v>
      </c>
      <c r="N60" s="139">
        <f t="shared" si="2"/>
        <v>4482497.58</v>
      </c>
      <c r="O60" s="115"/>
      <c r="P60" s="115"/>
      <c r="Q60" s="118"/>
    </row>
    <row r="61" spans="1:17" s="128" customFormat="1" x14ac:dyDescent="0.3">
      <c r="A61" s="115"/>
      <c r="B61" s="123" t="s">
        <v>96</v>
      </c>
      <c r="C61" s="135" t="str">
        <f t="shared" si="6"/>
        <v>Ativo</v>
      </c>
      <c r="D61" s="135" t="str">
        <f t="shared" si="0"/>
        <v>Sintetica</v>
      </c>
      <c r="E61" s="124" t="s">
        <v>328</v>
      </c>
      <c r="F61" s="124" t="s">
        <v>329</v>
      </c>
      <c r="G61" s="125">
        <v>4391783.0599999996</v>
      </c>
      <c r="H61" s="125" t="s">
        <v>162</v>
      </c>
      <c r="I61" s="125">
        <v>102115.32</v>
      </c>
      <c r="J61" s="125">
        <v>11400.8</v>
      </c>
      <c r="K61" s="125">
        <v>4482497.58</v>
      </c>
      <c r="L61" s="125" t="s">
        <v>162</v>
      </c>
      <c r="M61" s="139">
        <f t="shared" si="1"/>
        <v>4391783.0599999996</v>
      </c>
      <c r="N61" s="139">
        <f t="shared" si="2"/>
        <v>4482497.58</v>
      </c>
      <c r="O61" s="115"/>
      <c r="P61" s="115"/>
      <c r="Q61" s="118"/>
    </row>
    <row r="62" spans="1:17" s="128" customFormat="1" x14ac:dyDescent="0.3">
      <c r="A62" s="115"/>
      <c r="B62" s="123" t="s">
        <v>96</v>
      </c>
      <c r="C62" s="135" t="str">
        <f t="shared" si="6"/>
        <v>Ativo</v>
      </c>
      <c r="D62" s="135" t="str">
        <f t="shared" si="0"/>
        <v>Sintetica</v>
      </c>
      <c r="E62" s="124" t="s">
        <v>330</v>
      </c>
      <c r="F62" s="124" t="s">
        <v>331</v>
      </c>
      <c r="G62" s="125">
        <v>1518065.12</v>
      </c>
      <c r="H62" s="125" t="s">
        <v>162</v>
      </c>
      <c r="I62" s="125">
        <v>36706.29</v>
      </c>
      <c r="J62" s="125">
        <v>1753.76</v>
      </c>
      <c r="K62" s="125">
        <v>1553017.65</v>
      </c>
      <c r="L62" s="125" t="s">
        <v>162</v>
      </c>
      <c r="M62" s="139">
        <f t="shared" si="1"/>
        <v>1518065.12</v>
      </c>
      <c r="N62" s="139">
        <f t="shared" si="2"/>
        <v>1553017.65</v>
      </c>
      <c r="O62" s="115"/>
      <c r="P62" s="115"/>
      <c r="Q62" s="118"/>
    </row>
    <row r="63" spans="1:17" s="128" customFormat="1" x14ac:dyDescent="0.3">
      <c r="A63" s="115"/>
      <c r="B63" s="123" t="s">
        <v>96</v>
      </c>
      <c r="C63" s="135" t="str">
        <f t="shared" si="6"/>
        <v>Ativo</v>
      </c>
      <c r="D63" s="135" t="str">
        <f t="shared" si="0"/>
        <v>Sintetica</v>
      </c>
      <c r="E63" s="124" t="s">
        <v>332</v>
      </c>
      <c r="F63" s="124" t="s">
        <v>333</v>
      </c>
      <c r="G63" s="125">
        <v>117388.41</v>
      </c>
      <c r="H63" s="125" t="s">
        <v>162</v>
      </c>
      <c r="I63" s="125">
        <v>0</v>
      </c>
      <c r="J63" s="125">
        <v>0</v>
      </c>
      <c r="K63" s="125">
        <v>117388.41</v>
      </c>
      <c r="L63" s="125" t="s">
        <v>162</v>
      </c>
      <c r="M63" s="139">
        <f t="shared" si="1"/>
        <v>117388.41</v>
      </c>
      <c r="N63" s="139">
        <f t="shared" si="2"/>
        <v>117388.41</v>
      </c>
      <c r="O63" s="115"/>
      <c r="P63" s="115"/>
      <c r="Q63" s="118"/>
    </row>
    <row r="64" spans="1:17" s="128" customFormat="1" x14ac:dyDescent="0.3">
      <c r="A64" s="115"/>
      <c r="B64" s="123" t="s">
        <v>96</v>
      </c>
      <c r="C64" s="135"/>
      <c r="D64" s="135" t="str">
        <f t="shared" si="0"/>
        <v>Sintetica</v>
      </c>
      <c r="E64" s="124" t="s">
        <v>334</v>
      </c>
      <c r="F64" s="124" t="s">
        <v>335</v>
      </c>
      <c r="G64" s="125">
        <v>467418.06</v>
      </c>
      <c r="H64" s="125" t="s">
        <v>162</v>
      </c>
      <c r="I64" s="125">
        <v>1352.23</v>
      </c>
      <c r="J64" s="125">
        <v>0</v>
      </c>
      <c r="K64" s="125">
        <v>468770.29</v>
      </c>
      <c r="L64" s="125" t="s">
        <v>162</v>
      </c>
      <c r="M64" s="139">
        <f t="shared" si="1"/>
        <v>467418.06</v>
      </c>
      <c r="N64" s="139">
        <f t="shared" si="2"/>
        <v>468770.29</v>
      </c>
      <c r="O64" s="115"/>
      <c r="P64" s="115"/>
      <c r="Q64" s="118"/>
    </row>
    <row r="65" spans="1:17" s="128" customFormat="1" x14ac:dyDescent="0.3">
      <c r="A65" s="115"/>
      <c r="B65" s="123" t="s">
        <v>96</v>
      </c>
      <c r="C65" s="135"/>
      <c r="D65" s="135" t="str">
        <f t="shared" si="0"/>
        <v>Sintetica</v>
      </c>
      <c r="E65" s="124" t="s">
        <v>336</v>
      </c>
      <c r="F65" s="124" t="s">
        <v>337</v>
      </c>
      <c r="G65" s="125">
        <v>25628.93</v>
      </c>
      <c r="H65" s="125" t="s">
        <v>162</v>
      </c>
      <c r="I65" s="125">
        <v>3346.62</v>
      </c>
      <c r="J65" s="125">
        <v>131.82</v>
      </c>
      <c r="K65" s="125">
        <v>28843.73</v>
      </c>
      <c r="L65" s="125" t="s">
        <v>162</v>
      </c>
      <c r="M65" s="139">
        <f t="shared" si="1"/>
        <v>25628.93</v>
      </c>
      <c r="N65" s="139">
        <f t="shared" si="2"/>
        <v>28843.73</v>
      </c>
      <c r="O65" s="115"/>
      <c r="P65" s="115"/>
      <c r="Q65" s="118"/>
    </row>
    <row r="66" spans="1:17" s="128" customFormat="1" x14ac:dyDescent="0.3">
      <c r="A66" s="115"/>
      <c r="B66" s="123" t="s">
        <v>96</v>
      </c>
      <c r="C66" s="135" t="str">
        <f t="shared" ref="C66:C70" si="7">IF(MID(E66,1,1)="1","Ativo",IF(MID(E66,1,1)="2","Passivo","Resultado"))</f>
        <v>Ativo</v>
      </c>
      <c r="D66" s="135" t="str">
        <f t="shared" si="0"/>
        <v>Sintetica</v>
      </c>
      <c r="E66" s="124" t="s">
        <v>338</v>
      </c>
      <c r="F66" s="124" t="s">
        <v>339</v>
      </c>
      <c r="G66" s="125">
        <v>1535037.85</v>
      </c>
      <c r="H66" s="125" t="s">
        <v>162</v>
      </c>
      <c r="I66" s="125">
        <v>15417.74</v>
      </c>
      <c r="J66" s="125">
        <v>607.17999999999995</v>
      </c>
      <c r="K66" s="125">
        <v>1549848.41</v>
      </c>
      <c r="L66" s="125" t="s">
        <v>162</v>
      </c>
      <c r="M66" s="139">
        <f t="shared" si="1"/>
        <v>1535037.85</v>
      </c>
      <c r="N66" s="139">
        <f t="shared" si="2"/>
        <v>1549848.41</v>
      </c>
      <c r="O66" s="115"/>
      <c r="P66" s="115"/>
      <c r="Q66" s="118"/>
    </row>
    <row r="67" spans="1:17" s="128" customFormat="1" x14ac:dyDescent="0.3">
      <c r="A67" s="115"/>
      <c r="B67" s="123" t="s">
        <v>96</v>
      </c>
      <c r="C67" s="135" t="str">
        <f t="shared" si="7"/>
        <v>Ativo</v>
      </c>
      <c r="D67" s="135" t="str">
        <f t="shared" si="0"/>
        <v/>
      </c>
      <c r="E67" s="124" t="s">
        <v>340</v>
      </c>
      <c r="F67" s="124" t="s">
        <v>341</v>
      </c>
      <c r="G67" s="125">
        <v>533069.74</v>
      </c>
      <c r="H67" s="125" t="s">
        <v>162</v>
      </c>
      <c r="I67" s="125">
        <v>45292.44</v>
      </c>
      <c r="J67" s="125">
        <v>8908.0400000000009</v>
      </c>
      <c r="K67" s="125">
        <v>569454.14</v>
      </c>
      <c r="L67" s="125" t="s">
        <v>162</v>
      </c>
      <c r="M67" s="139">
        <f t="shared" si="1"/>
        <v>533069.74</v>
      </c>
      <c r="N67" s="139">
        <f t="shared" si="2"/>
        <v>569454.14</v>
      </c>
      <c r="O67" s="115"/>
      <c r="P67" s="115"/>
      <c r="Q67" s="118"/>
    </row>
    <row r="68" spans="1:17" s="128" customFormat="1" x14ac:dyDescent="0.3">
      <c r="A68" s="115"/>
      <c r="B68" s="123" t="s">
        <v>96</v>
      </c>
      <c r="C68" s="135" t="str">
        <f t="shared" si="7"/>
        <v>Ativo</v>
      </c>
      <c r="D68" s="135" t="str">
        <f t="shared" si="0"/>
        <v/>
      </c>
      <c r="E68" s="124" t="s">
        <v>342</v>
      </c>
      <c r="F68" s="124" t="s">
        <v>343</v>
      </c>
      <c r="G68" s="125">
        <v>46009.21</v>
      </c>
      <c r="H68" s="125" t="s">
        <v>162</v>
      </c>
      <c r="I68" s="125">
        <v>0</v>
      </c>
      <c r="J68" s="125">
        <v>0</v>
      </c>
      <c r="K68" s="125">
        <v>46009.21</v>
      </c>
      <c r="L68" s="125" t="s">
        <v>162</v>
      </c>
      <c r="M68" s="139">
        <f t="shared" si="1"/>
        <v>46009.21</v>
      </c>
      <c r="N68" s="139">
        <f t="shared" si="2"/>
        <v>46009.21</v>
      </c>
      <c r="O68" s="115"/>
      <c r="P68" s="115"/>
      <c r="Q68" s="118"/>
    </row>
    <row r="69" spans="1:17" s="129" customFormat="1" x14ac:dyDescent="0.3">
      <c r="A69" s="117"/>
      <c r="B69" s="123" t="s">
        <v>96</v>
      </c>
      <c r="C69" s="135" t="str">
        <f t="shared" si="7"/>
        <v>Ativo</v>
      </c>
      <c r="D69" s="135" t="str">
        <f t="shared" si="0"/>
        <v/>
      </c>
      <c r="E69" s="124" t="s">
        <v>344</v>
      </c>
      <c r="F69" s="124" t="s">
        <v>345</v>
      </c>
      <c r="G69" s="125">
        <v>144281.5</v>
      </c>
      <c r="H69" s="125" t="s">
        <v>162</v>
      </c>
      <c r="I69" s="125">
        <v>0</v>
      </c>
      <c r="J69" s="125">
        <v>0</v>
      </c>
      <c r="K69" s="125">
        <v>144281.5</v>
      </c>
      <c r="L69" s="125" t="s">
        <v>162</v>
      </c>
      <c r="M69" s="139">
        <f t="shared" si="1"/>
        <v>144281.5</v>
      </c>
      <c r="N69" s="139">
        <f t="shared" si="2"/>
        <v>144281.5</v>
      </c>
      <c r="O69" s="122"/>
      <c r="P69" s="122"/>
    </row>
    <row r="70" spans="1:17" s="129" customFormat="1" x14ac:dyDescent="0.3">
      <c r="A70" s="117"/>
      <c r="B70" s="123" t="s">
        <v>96</v>
      </c>
      <c r="C70" s="135" t="str">
        <f t="shared" si="7"/>
        <v>Ativo</v>
      </c>
      <c r="D70" s="135" t="str">
        <f t="shared" si="0"/>
        <v/>
      </c>
      <c r="E70" s="124" t="s">
        <v>346</v>
      </c>
      <c r="F70" s="124" t="s">
        <v>347</v>
      </c>
      <c r="G70" s="125">
        <v>4884.24</v>
      </c>
      <c r="H70" s="125" t="s">
        <v>162</v>
      </c>
      <c r="I70" s="125">
        <v>0</v>
      </c>
      <c r="J70" s="125">
        <v>0</v>
      </c>
      <c r="K70" s="125">
        <v>4884.24</v>
      </c>
      <c r="L70" s="125" t="s">
        <v>162</v>
      </c>
      <c r="M70" s="139">
        <f t="shared" si="1"/>
        <v>4884.24</v>
      </c>
      <c r="N70" s="139">
        <f t="shared" si="2"/>
        <v>4884.24</v>
      </c>
      <c r="O70" s="122"/>
      <c r="P70" s="122"/>
    </row>
    <row r="71" spans="1:17" s="128" customFormat="1" x14ac:dyDescent="0.3">
      <c r="A71" s="115"/>
      <c r="B71" s="123" t="s">
        <v>96</v>
      </c>
      <c r="C71" s="135"/>
      <c r="D71" s="135" t="str">
        <f t="shared" si="0"/>
        <v>Sintetica</v>
      </c>
      <c r="E71" s="124" t="s">
        <v>348</v>
      </c>
      <c r="F71" s="124" t="s">
        <v>349</v>
      </c>
      <c r="G71" s="125">
        <v>357832.5</v>
      </c>
      <c r="H71" s="125" t="s">
        <v>162</v>
      </c>
      <c r="I71" s="125">
        <v>209.36</v>
      </c>
      <c r="J71" s="125">
        <v>16999.580000000002</v>
      </c>
      <c r="K71" s="125">
        <v>341042.28</v>
      </c>
      <c r="L71" s="125" t="s">
        <v>162</v>
      </c>
      <c r="M71" s="139">
        <f t="shared" si="1"/>
        <v>357832.5</v>
      </c>
      <c r="N71" s="139">
        <f t="shared" si="2"/>
        <v>341042.28</v>
      </c>
      <c r="O71" s="115"/>
      <c r="P71" s="115"/>
      <c r="Q71" s="118"/>
    </row>
    <row r="72" spans="1:17" s="128" customFormat="1" x14ac:dyDescent="0.3">
      <c r="A72" s="115"/>
      <c r="B72" s="123" t="s">
        <v>96</v>
      </c>
      <c r="C72" s="135"/>
      <c r="D72" s="135" t="str">
        <f t="shared" si="0"/>
        <v>Sintetica</v>
      </c>
      <c r="E72" s="124" t="s">
        <v>350</v>
      </c>
      <c r="F72" s="124" t="s">
        <v>351</v>
      </c>
      <c r="G72" s="125">
        <v>357832.5</v>
      </c>
      <c r="H72" s="125" t="s">
        <v>162</v>
      </c>
      <c r="I72" s="125">
        <v>209.36</v>
      </c>
      <c r="J72" s="125">
        <v>16999.580000000002</v>
      </c>
      <c r="K72" s="125">
        <v>341042.28</v>
      </c>
      <c r="L72" s="125" t="s">
        <v>162</v>
      </c>
      <c r="M72" s="139">
        <f t="shared" si="1"/>
        <v>357832.5</v>
      </c>
      <c r="N72" s="139">
        <f t="shared" si="2"/>
        <v>341042.28</v>
      </c>
      <c r="O72" s="115"/>
      <c r="P72" s="115"/>
      <c r="Q72" s="118"/>
    </row>
    <row r="73" spans="1:17" s="128" customFormat="1" x14ac:dyDescent="0.3">
      <c r="A73" s="115"/>
      <c r="B73" s="123" t="s">
        <v>96</v>
      </c>
      <c r="C73" s="135" t="str">
        <f t="shared" ref="C73:C77" si="8">IF(MID(E73,1,1)="1","Ativo",IF(MID(E73,1,1)="2","Passivo","Resultado"))</f>
        <v>Ativo</v>
      </c>
      <c r="D73" s="135" t="str">
        <f t="shared" ref="D73:D136" si="9">IF(MID(E73,10,3)="000","Sintetica","")</f>
        <v>Sintetica</v>
      </c>
      <c r="E73" s="124" t="s">
        <v>352</v>
      </c>
      <c r="F73" s="124" t="s">
        <v>353</v>
      </c>
      <c r="G73" s="125">
        <v>13165.4</v>
      </c>
      <c r="H73" s="125" t="s">
        <v>162</v>
      </c>
      <c r="I73" s="125">
        <v>209.36</v>
      </c>
      <c r="J73" s="125">
        <v>2124.9699999999998</v>
      </c>
      <c r="K73" s="125">
        <v>11249.79</v>
      </c>
      <c r="L73" s="125" t="s">
        <v>162</v>
      </c>
      <c r="M73" s="139">
        <f t="shared" ref="M73:M136" si="10">IF(H73="D",G73,-G73)</f>
        <v>13165.4</v>
      </c>
      <c r="N73" s="139">
        <f t="shared" ref="N73:N136" si="11">IF(L73="D",K73,-K73)</f>
        <v>11249.79</v>
      </c>
      <c r="O73" s="115"/>
      <c r="P73" s="115"/>
      <c r="Q73" s="118"/>
    </row>
    <row r="74" spans="1:17" s="128" customFormat="1" x14ac:dyDescent="0.3">
      <c r="A74" s="115"/>
      <c r="B74" s="123" t="s">
        <v>96</v>
      </c>
      <c r="C74" s="135" t="str">
        <f t="shared" si="8"/>
        <v>Ativo</v>
      </c>
      <c r="D74" s="135" t="str">
        <f t="shared" si="9"/>
        <v>Sintetica</v>
      </c>
      <c r="E74" s="124" t="s">
        <v>354</v>
      </c>
      <c r="F74" s="124" t="s">
        <v>355</v>
      </c>
      <c r="G74" s="125">
        <v>32043.05</v>
      </c>
      <c r="H74" s="125" t="s">
        <v>162</v>
      </c>
      <c r="I74" s="125">
        <v>0</v>
      </c>
      <c r="J74" s="125">
        <v>0</v>
      </c>
      <c r="K74" s="125">
        <v>32043.05</v>
      </c>
      <c r="L74" s="125" t="s">
        <v>162</v>
      </c>
      <c r="M74" s="139">
        <f t="shared" si="10"/>
        <v>32043.05</v>
      </c>
      <c r="N74" s="139">
        <f t="shared" si="11"/>
        <v>32043.05</v>
      </c>
      <c r="O74" s="115"/>
      <c r="P74" s="115"/>
      <c r="Q74" s="118"/>
    </row>
    <row r="75" spans="1:17" s="128" customFormat="1" x14ac:dyDescent="0.3">
      <c r="A75" s="115"/>
      <c r="B75" s="123" t="s">
        <v>96</v>
      </c>
      <c r="C75" s="135" t="str">
        <f t="shared" si="8"/>
        <v>Ativo</v>
      </c>
      <c r="D75" s="135" t="str">
        <f t="shared" si="9"/>
        <v>Sintetica</v>
      </c>
      <c r="E75" s="124" t="s">
        <v>356</v>
      </c>
      <c r="F75" s="124" t="s">
        <v>357</v>
      </c>
      <c r="G75" s="125">
        <v>399142.36</v>
      </c>
      <c r="H75" s="125" t="s">
        <v>162</v>
      </c>
      <c r="I75" s="125">
        <v>0</v>
      </c>
      <c r="J75" s="125">
        <v>0</v>
      </c>
      <c r="K75" s="125">
        <v>399142.36</v>
      </c>
      <c r="L75" s="125" t="s">
        <v>162</v>
      </c>
      <c r="M75" s="139">
        <f t="shared" si="10"/>
        <v>399142.36</v>
      </c>
      <c r="N75" s="139">
        <f t="shared" si="11"/>
        <v>399142.36</v>
      </c>
      <c r="O75" s="115"/>
      <c r="P75" s="115"/>
      <c r="Q75" s="118"/>
    </row>
    <row r="76" spans="1:17" s="128" customFormat="1" x14ac:dyDescent="0.3">
      <c r="A76" s="115"/>
      <c r="B76" s="123" t="s">
        <v>96</v>
      </c>
      <c r="C76" s="135" t="str">
        <f t="shared" si="8"/>
        <v>Ativo</v>
      </c>
      <c r="D76" s="135" t="str">
        <f t="shared" si="9"/>
        <v>Sintetica</v>
      </c>
      <c r="E76" s="124" t="s">
        <v>358</v>
      </c>
      <c r="F76" s="124" t="s">
        <v>359</v>
      </c>
      <c r="G76" s="125">
        <v>93448.93</v>
      </c>
      <c r="H76" s="125" t="s">
        <v>162</v>
      </c>
      <c r="I76" s="125">
        <v>0</v>
      </c>
      <c r="J76" s="125">
        <v>0</v>
      </c>
      <c r="K76" s="125">
        <v>93448.93</v>
      </c>
      <c r="L76" s="125" t="s">
        <v>162</v>
      </c>
      <c r="M76" s="139">
        <f t="shared" si="10"/>
        <v>93448.93</v>
      </c>
      <c r="N76" s="139">
        <f t="shared" si="11"/>
        <v>93448.93</v>
      </c>
      <c r="O76" s="115"/>
      <c r="P76" s="115"/>
      <c r="Q76" s="118"/>
    </row>
    <row r="77" spans="1:17" s="128" customFormat="1" x14ac:dyDescent="0.3">
      <c r="A77" s="115"/>
      <c r="B77" s="123" t="s">
        <v>96</v>
      </c>
      <c r="C77" s="135" t="str">
        <f t="shared" si="8"/>
        <v>Ativo</v>
      </c>
      <c r="D77" s="135" t="str">
        <f t="shared" si="9"/>
        <v>Sintetica</v>
      </c>
      <c r="E77" s="124" t="s">
        <v>360</v>
      </c>
      <c r="F77" s="124" t="s">
        <v>361</v>
      </c>
      <c r="G77" s="125">
        <v>174236.68</v>
      </c>
      <c r="H77" s="125" t="s">
        <v>165</v>
      </c>
      <c r="I77" s="125">
        <v>0</v>
      </c>
      <c r="J77" s="125">
        <v>14030.86</v>
      </c>
      <c r="K77" s="125">
        <v>188267.54</v>
      </c>
      <c r="L77" s="125" t="s">
        <v>165</v>
      </c>
      <c r="M77" s="139">
        <f t="shared" si="10"/>
        <v>-174236.68</v>
      </c>
      <c r="N77" s="139">
        <f t="shared" si="11"/>
        <v>-188267.54</v>
      </c>
      <c r="O77" s="115"/>
      <c r="P77" s="115"/>
      <c r="Q77" s="118"/>
    </row>
    <row r="78" spans="1:17" s="128" customFormat="1" x14ac:dyDescent="0.3">
      <c r="A78" s="115"/>
      <c r="B78" s="123" t="s">
        <v>96</v>
      </c>
      <c r="C78" s="135"/>
      <c r="D78" s="135" t="str">
        <f t="shared" si="9"/>
        <v/>
      </c>
      <c r="E78" s="124" t="s">
        <v>362</v>
      </c>
      <c r="F78" s="124" t="s">
        <v>363</v>
      </c>
      <c r="G78" s="125">
        <v>347.19</v>
      </c>
      <c r="H78" s="125" t="s">
        <v>162</v>
      </c>
      <c r="I78" s="125">
        <v>0</v>
      </c>
      <c r="J78" s="125">
        <v>0</v>
      </c>
      <c r="K78" s="125">
        <v>347.19</v>
      </c>
      <c r="L78" s="125" t="s">
        <v>162</v>
      </c>
      <c r="M78" s="139">
        <f t="shared" si="10"/>
        <v>347.19</v>
      </c>
      <c r="N78" s="139">
        <f t="shared" si="11"/>
        <v>347.19</v>
      </c>
      <c r="O78" s="115"/>
      <c r="P78" s="115"/>
      <c r="Q78" s="118"/>
    </row>
    <row r="79" spans="1:17" s="128" customFormat="1" x14ac:dyDescent="0.3">
      <c r="A79" s="115"/>
      <c r="B79" s="123" t="s">
        <v>96</v>
      </c>
      <c r="C79" s="135" t="str">
        <f t="shared" ref="C79:C80" si="12">IF(MID(E79,1,1)="1","Ativo",IF(MID(E79,1,1)="2","Passivo","Resultado"))</f>
        <v>Ativo</v>
      </c>
      <c r="D79" s="135" t="str">
        <f t="shared" si="9"/>
        <v/>
      </c>
      <c r="E79" s="124" t="s">
        <v>364</v>
      </c>
      <c r="F79" s="124" t="s">
        <v>365</v>
      </c>
      <c r="G79" s="125">
        <v>6077.75</v>
      </c>
      <c r="H79" s="125" t="s">
        <v>165</v>
      </c>
      <c r="I79" s="125">
        <v>0</v>
      </c>
      <c r="J79" s="125">
        <v>843.75</v>
      </c>
      <c r="K79" s="125">
        <v>6921.5</v>
      </c>
      <c r="L79" s="125" t="s">
        <v>165</v>
      </c>
      <c r="M79" s="139">
        <f t="shared" si="10"/>
        <v>-6077.75</v>
      </c>
      <c r="N79" s="139">
        <f t="shared" si="11"/>
        <v>-6921.5</v>
      </c>
      <c r="O79" s="115"/>
      <c r="P79" s="115"/>
      <c r="Q79" s="118"/>
    </row>
    <row r="80" spans="1:17" s="129" customFormat="1" x14ac:dyDescent="0.3">
      <c r="A80" s="117"/>
      <c r="B80" s="123" t="s">
        <v>96</v>
      </c>
      <c r="C80" s="135" t="str">
        <f t="shared" si="12"/>
        <v>Ativo</v>
      </c>
      <c r="D80" s="135" t="str">
        <f t="shared" si="9"/>
        <v>Sintetica</v>
      </c>
      <c r="E80" s="124" t="s">
        <v>366</v>
      </c>
      <c r="F80" s="124" t="s">
        <v>168</v>
      </c>
      <c r="G80" s="125">
        <v>2039953.66</v>
      </c>
      <c r="H80" s="125" t="s">
        <v>162</v>
      </c>
      <c r="I80" s="125">
        <v>22615</v>
      </c>
      <c r="J80" s="125">
        <v>54857.02</v>
      </c>
      <c r="K80" s="125">
        <v>2007711.64</v>
      </c>
      <c r="L80" s="125" t="s">
        <v>162</v>
      </c>
      <c r="M80" s="139">
        <f t="shared" si="10"/>
        <v>2039953.66</v>
      </c>
      <c r="N80" s="139">
        <f t="shared" si="11"/>
        <v>2007711.64</v>
      </c>
      <c r="O80" s="122"/>
      <c r="P80" s="122"/>
    </row>
    <row r="81" spans="1:17" s="129" customFormat="1" x14ac:dyDescent="0.3">
      <c r="A81" s="117"/>
      <c r="B81" s="123" t="s">
        <v>96</v>
      </c>
      <c r="C81" s="135"/>
      <c r="D81" s="135" t="str">
        <f t="shared" si="9"/>
        <v>Sintetica</v>
      </c>
      <c r="E81" s="124" t="s">
        <v>367</v>
      </c>
      <c r="F81" s="124" t="s">
        <v>169</v>
      </c>
      <c r="G81" s="125">
        <v>153703.67999999999</v>
      </c>
      <c r="H81" s="125" t="s">
        <v>162</v>
      </c>
      <c r="I81" s="125">
        <v>0</v>
      </c>
      <c r="J81" s="125">
        <v>0</v>
      </c>
      <c r="K81" s="125">
        <v>153703.67999999999</v>
      </c>
      <c r="L81" s="125" t="s">
        <v>162</v>
      </c>
      <c r="M81" s="139">
        <f t="shared" si="10"/>
        <v>153703.67999999999</v>
      </c>
      <c r="N81" s="139">
        <f t="shared" si="11"/>
        <v>153703.67999999999</v>
      </c>
      <c r="O81" s="122"/>
      <c r="P81" s="122"/>
    </row>
    <row r="82" spans="1:17" s="128" customFormat="1" x14ac:dyDescent="0.3">
      <c r="A82" s="115"/>
      <c r="B82" s="123" t="s">
        <v>96</v>
      </c>
      <c r="C82" s="135" t="str">
        <f t="shared" ref="C82:C84" si="13">IF(MID(E82,1,1)="1","Ativo",IF(MID(E82,1,1)="2","Passivo","Resultado"))</f>
        <v>Ativo</v>
      </c>
      <c r="D82" s="135" t="str">
        <f t="shared" si="9"/>
        <v>Sintetica</v>
      </c>
      <c r="E82" s="124" t="s">
        <v>368</v>
      </c>
      <c r="F82" s="124" t="s">
        <v>369</v>
      </c>
      <c r="G82" s="125">
        <v>83951.85</v>
      </c>
      <c r="H82" s="125" t="s">
        <v>162</v>
      </c>
      <c r="I82" s="125">
        <v>0</v>
      </c>
      <c r="J82" s="125">
        <v>0</v>
      </c>
      <c r="K82" s="125">
        <v>83951.85</v>
      </c>
      <c r="L82" s="125" t="s">
        <v>162</v>
      </c>
      <c r="M82" s="139">
        <f t="shared" si="10"/>
        <v>83951.85</v>
      </c>
      <c r="N82" s="139">
        <f t="shared" si="11"/>
        <v>83951.85</v>
      </c>
      <c r="O82" s="115"/>
      <c r="P82" s="115"/>
      <c r="Q82" s="118"/>
    </row>
    <row r="83" spans="1:17" s="128" customFormat="1" x14ac:dyDescent="0.3">
      <c r="A83" s="115"/>
      <c r="B83" s="123" t="s">
        <v>96</v>
      </c>
      <c r="C83" s="135" t="str">
        <f t="shared" si="13"/>
        <v>Ativo</v>
      </c>
      <c r="D83" s="135" t="str">
        <f t="shared" si="9"/>
        <v>Sintetica</v>
      </c>
      <c r="E83" s="124" t="s">
        <v>370</v>
      </c>
      <c r="F83" s="124" t="s">
        <v>371</v>
      </c>
      <c r="G83" s="125">
        <v>83951.85</v>
      </c>
      <c r="H83" s="125" t="s">
        <v>162</v>
      </c>
      <c r="I83" s="125">
        <v>0</v>
      </c>
      <c r="J83" s="125">
        <v>0</v>
      </c>
      <c r="K83" s="125">
        <v>83951.85</v>
      </c>
      <c r="L83" s="125" t="s">
        <v>162</v>
      </c>
      <c r="M83" s="139">
        <f t="shared" si="10"/>
        <v>83951.85</v>
      </c>
      <c r="N83" s="139">
        <f t="shared" si="11"/>
        <v>83951.85</v>
      </c>
      <c r="O83" s="115"/>
      <c r="P83" s="115"/>
      <c r="Q83" s="118"/>
    </row>
    <row r="84" spans="1:17" s="128" customFormat="1" x14ac:dyDescent="0.3">
      <c r="A84" s="115"/>
      <c r="B84" s="123" t="s">
        <v>96</v>
      </c>
      <c r="C84" s="135" t="str">
        <f t="shared" si="13"/>
        <v>Ativo</v>
      </c>
      <c r="D84" s="135" t="str">
        <f t="shared" si="9"/>
        <v>Sintetica</v>
      </c>
      <c r="E84" s="124" t="s">
        <v>372</v>
      </c>
      <c r="F84" s="124" t="s">
        <v>373</v>
      </c>
      <c r="G84" s="125">
        <v>69751.83</v>
      </c>
      <c r="H84" s="125" t="s">
        <v>162</v>
      </c>
      <c r="I84" s="125">
        <v>0</v>
      </c>
      <c r="J84" s="125">
        <v>0</v>
      </c>
      <c r="K84" s="125">
        <v>69751.83</v>
      </c>
      <c r="L84" s="125" t="s">
        <v>162</v>
      </c>
      <c r="M84" s="139">
        <f t="shared" si="10"/>
        <v>69751.83</v>
      </c>
      <c r="N84" s="139">
        <f t="shared" si="11"/>
        <v>69751.83</v>
      </c>
      <c r="O84" s="115"/>
      <c r="P84" s="115"/>
      <c r="Q84" s="118"/>
    </row>
    <row r="85" spans="1:17" s="128" customFormat="1" x14ac:dyDescent="0.3">
      <c r="A85" s="115"/>
      <c r="B85" s="123" t="s">
        <v>96</v>
      </c>
      <c r="C85" s="135"/>
      <c r="D85" s="135" t="str">
        <f t="shared" si="9"/>
        <v>Sintetica</v>
      </c>
      <c r="E85" s="124" t="s">
        <v>374</v>
      </c>
      <c r="F85" s="124" t="s">
        <v>375</v>
      </c>
      <c r="G85" s="125">
        <v>69751.83</v>
      </c>
      <c r="H85" s="125" t="s">
        <v>162</v>
      </c>
      <c r="I85" s="125">
        <v>0</v>
      </c>
      <c r="J85" s="125">
        <v>0</v>
      </c>
      <c r="K85" s="125">
        <v>69751.83</v>
      </c>
      <c r="L85" s="125" t="s">
        <v>162</v>
      </c>
      <c r="M85" s="139">
        <f t="shared" si="10"/>
        <v>69751.83</v>
      </c>
      <c r="N85" s="139">
        <f t="shared" si="11"/>
        <v>69751.83</v>
      </c>
      <c r="O85" s="115"/>
      <c r="P85" s="115"/>
      <c r="Q85" s="118"/>
    </row>
    <row r="86" spans="1:17" s="128" customFormat="1" x14ac:dyDescent="0.3">
      <c r="A86" s="115"/>
      <c r="B86" s="123" t="s">
        <v>96</v>
      </c>
      <c r="C86" s="135" t="str">
        <f t="shared" ref="C86:C87" si="14">IF(MID(E86,1,1)="1","Ativo",IF(MID(E86,1,1)="2","Passivo","Resultado"))</f>
        <v>Ativo</v>
      </c>
      <c r="D86" s="135" t="str">
        <f t="shared" si="9"/>
        <v>Sintetica</v>
      </c>
      <c r="E86" s="124" t="s">
        <v>376</v>
      </c>
      <c r="F86" s="124" t="s">
        <v>377</v>
      </c>
      <c r="G86" s="125">
        <v>1718276.48</v>
      </c>
      <c r="H86" s="125" t="s">
        <v>162</v>
      </c>
      <c r="I86" s="125">
        <v>22615</v>
      </c>
      <c r="J86" s="125">
        <v>54857.02</v>
      </c>
      <c r="K86" s="125">
        <v>1686034.46</v>
      </c>
      <c r="L86" s="125" t="s">
        <v>162</v>
      </c>
      <c r="M86" s="139">
        <f t="shared" si="10"/>
        <v>1718276.48</v>
      </c>
      <c r="N86" s="139">
        <f t="shared" si="11"/>
        <v>1686034.46</v>
      </c>
      <c r="O86" s="115"/>
      <c r="P86" s="115"/>
      <c r="Q86" s="118"/>
    </row>
    <row r="87" spans="1:17" s="128" customFormat="1" x14ac:dyDescent="0.3">
      <c r="A87" s="115"/>
      <c r="B87" s="123" t="s">
        <v>96</v>
      </c>
      <c r="C87" s="135" t="str">
        <f t="shared" si="14"/>
        <v>Ativo</v>
      </c>
      <c r="D87" s="135" t="str">
        <f t="shared" si="9"/>
        <v>Sintetica</v>
      </c>
      <c r="E87" s="124" t="s">
        <v>378</v>
      </c>
      <c r="F87" s="124" t="s">
        <v>379</v>
      </c>
      <c r="G87" s="125">
        <v>407582.5</v>
      </c>
      <c r="H87" s="125" t="s">
        <v>162</v>
      </c>
      <c r="I87" s="125">
        <v>22615</v>
      </c>
      <c r="J87" s="125">
        <v>0</v>
      </c>
      <c r="K87" s="125">
        <v>430197.5</v>
      </c>
      <c r="L87" s="125" t="s">
        <v>162</v>
      </c>
      <c r="M87" s="139">
        <f t="shared" si="10"/>
        <v>407582.5</v>
      </c>
      <c r="N87" s="139">
        <f t="shared" si="11"/>
        <v>430197.5</v>
      </c>
      <c r="O87" s="115"/>
      <c r="P87" s="115"/>
      <c r="Q87" s="118"/>
    </row>
    <row r="88" spans="1:17" s="128" customFormat="1" x14ac:dyDescent="0.3">
      <c r="A88" s="115"/>
      <c r="B88" s="123" t="s">
        <v>96</v>
      </c>
      <c r="C88" s="135"/>
      <c r="D88" s="135" t="str">
        <f t="shared" si="9"/>
        <v>Sintetica</v>
      </c>
      <c r="E88" s="124" t="s">
        <v>380</v>
      </c>
      <c r="F88" s="124" t="s">
        <v>381</v>
      </c>
      <c r="G88" s="125">
        <v>407582.5</v>
      </c>
      <c r="H88" s="125" t="s">
        <v>162</v>
      </c>
      <c r="I88" s="125">
        <v>22615</v>
      </c>
      <c r="J88" s="125">
        <v>0</v>
      </c>
      <c r="K88" s="125">
        <v>430197.5</v>
      </c>
      <c r="L88" s="125" t="s">
        <v>162</v>
      </c>
      <c r="M88" s="139">
        <f t="shared" si="10"/>
        <v>407582.5</v>
      </c>
      <c r="N88" s="139">
        <f t="shared" si="11"/>
        <v>430197.5</v>
      </c>
      <c r="O88" s="115"/>
      <c r="P88" s="115"/>
      <c r="Q88" s="118"/>
    </row>
    <row r="89" spans="1:17" s="129" customFormat="1" x14ac:dyDescent="0.3">
      <c r="A89" s="117"/>
      <c r="B89" s="123" t="s">
        <v>96</v>
      </c>
      <c r="C89" s="137"/>
      <c r="D89" s="135" t="str">
        <f t="shared" si="9"/>
        <v>Sintetica</v>
      </c>
      <c r="E89" s="124" t="s">
        <v>382</v>
      </c>
      <c r="F89" s="124" t="s">
        <v>383</v>
      </c>
      <c r="G89" s="125">
        <v>735121.93</v>
      </c>
      <c r="H89" s="125" t="s">
        <v>162</v>
      </c>
      <c r="I89" s="125">
        <v>0</v>
      </c>
      <c r="J89" s="125">
        <v>0</v>
      </c>
      <c r="K89" s="125">
        <v>735121.93</v>
      </c>
      <c r="L89" s="125" t="s">
        <v>162</v>
      </c>
      <c r="M89" s="139">
        <f t="shared" si="10"/>
        <v>735121.93</v>
      </c>
      <c r="N89" s="139">
        <f t="shared" si="11"/>
        <v>735121.93</v>
      </c>
      <c r="O89" s="122"/>
      <c r="P89" s="122"/>
    </row>
    <row r="90" spans="1:17" s="129" customFormat="1" x14ac:dyDescent="0.3">
      <c r="A90" s="117"/>
      <c r="B90" s="123" t="s">
        <v>96</v>
      </c>
      <c r="C90" s="135" t="str">
        <f t="shared" ref="C90:C92" si="15">IF(MID(E90,1,1)="1","Ativo",IF(MID(E90,1,1)="2","Passivo","Resultado"))</f>
        <v>Ativo</v>
      </c>
      <c r="D90" s="135" t="str">
        <f t="shared" si="9"/>
        <v>Sintetica</v>
      </c>
      <c r="E90" s="124" t="s">
        <v>384</v>
      </c>
      <c r="F90" s="124" t="s">
        <v>385</v>
      </c>
      <c r="G90" s="125">
        <v>179725.34</v>
      </c>
      <c r="H90" s="125" t="s">
        <v>162</v>
      </c>
      <c r="I90" s="125">
        <v>0</v>
      </c>
      <c r="J90" s="125">
        <v>0</v>
      </c>
      <c r="K90" s="125">
        <v>179725.34</v>
      </c>
      <c r="L90" s="125" t="s">
        <v>162</v>
      </c>
      <c r="M90" s="139">
        <f t="shared" si="10"/>
        <v>179725.34</v>
      </c>
      <c r="N90" s="139">
        <f t="shared" si="11"/>
        <v>179725.34</v>
      </c>
      <c r="O90" s="122"/>
      <c r="P90" s="122"/>
    </row>
    <row r="91" spans="1:17" s="129" customFormat="1" x14ac:dyDescent="0.3">
      <c r="A91" s="117"/>
      <c r="B91" s="123" t="s">
        <v>96</v>
      </c>
      <c r="C91" s="135" t="str">
        <f t="shared" si="15"/>
        <v>Ativo</v>
      </c>
      <c r="D91" s="135" t="str">
        <f t="shared" si="9"/>
        <v>Sintetica</v>
      </c>
      <c r="E91" s="124" t="s">
        <v>386</v>
      </c>
      <c r="F91" s="124" t="s">
        <v>170</v>
      </c>
      <c r="G91" s="125">
        <v>190926.39</v>
      </c>
      <c r="H91" s="125" t="s">
        <v>162</v>
      </c>
      <c r="I91" s="125">
        <v>0</v>
      </c>
      <c r="J91" s="125">
        <v>0</v>
      </c>
      <c r="K91" s="125">
        <v>190926.39</v>
      </c>
      <c r="L91" s="125" t="s">
        <v>162</v>
      </c>
      <c r="M91" s="139">
        <f t="shared" si="10"/>
        <v>190926.39</v>
      </c>
      <c r="N91" s="139">
        <f t="shared" si="11"/>
        <v>190926.39</v>
      </c>
      <c r="O91" s="122"/>
      <c r="P91" s="122"/>
    </row>
    <row r="92" spans="1:17" s="128" customFormat="1" x14ac:dyDescent="0.3">
      <c r="A92" s="115"/>
      <c r="B92" s="123" t="s">
        <v>96</v>
      </c>
      <c r="C92" s="135" t="str">
        <f t="shared" si="15"/>
        <v>Ativo</v>
      </c>
      <c r="D92" s="135" t="str">
        <f t="shared" si="9"/>
        <v>Sintetica</v>
      </c>
      <c r="E92" s="124" t="s">
        <v>387</v>
      </c>
      <c r="F92" s="124" t="s">
        <v>388</v>
      </c>
      <c r="G92" s="125">
        <v>158626.59</v>
      </c>
      <c r="H92" s="125" t="s">
        <v>162</v>
      </c>
      <c r="I92" s="125">
        <v>0</v>
      </c>
      <c r="J92" s="125">
        <v>0</v>
      </c>
      <c r="K92" s="125">
        <v>158626.59</v>
      </c>
      <c r="L92" s="125" t="s">
        <v>162</v>
      </c>
      <c r="M92" s="139">
        <f t="shared" si="10"/>
        <v>158626.59</v>
      </c>
      <c r="N92" s="139">
        <f t="shared" si="11"/>
        <v>158626.59</v>
      </c>
      <c r="O92" s="115"/>
      <c r="P92" s="115"/>
      <c r="Q92" s="118"/>
    </row>
    <row r="93" spans="1:17" s="129" customFormat="1" x14ac:dyDescent="0.3">
      <c r="A93" s="117"/>
      <c r="B93" s="123" t="s">
        <v>96</v>
      </c>
      <c r="C93" s="135"/>
      <c r="D93" s="135" t="str">
        <f t="shared" si="9"/>
        <v>Sintetica</v>
      </c>
      <c r="E93" s="124" t="s">
        <v>389</v>
      </c>
      <c r="F93" s="124" t="s">
        <v>171</v>
      </c>
      <c r="G93" s="125">
        <v>205843.61</v>
      </c>
      <c r="H93" s="125" t="s">
        <v>162</v>
      </c>
      <c r="I93" s="125">
        <v>0</v>
      </c>
      <c r="J93" s="125">
        <v>0</v>
      </c>
      <c r="K93" s="125">
        <v>205843.61</v>
      </c>
      <c r="L93" s="125" t="s">
        <v>162</v>
      </c>
      <c r="M93" s="139">
        <f t="shared" si="10"/>
        <v>205843.61</v>
      </c>
      <c r="N93" s="139">
        <f t="shared" si="11"/>
        <v>205843.61</v>
      </c>
      <c r="O93" s="122"/>
      <c r="P93" s="122"/>
    </row>
    <row r="94" spans="1:17" s="128" customFormat="1" x14ac:dyDescent="0.3">
      <c r="A94" s="115"/>
      <c r="B94" s="123" t="s">
        <v>96</v>
      </c>
      <c r="C94" s="135"/>
      <c r="D94" s="135" t="str">
        <f t="shared" si="9"/>
        <v>Sintetica</v>
      </c>
      <c r="E94" s="124" t="s">
        <v>390</v>
      </c>
      <c r="F94" s="124" t="s">
        <v>391</v>
      </c>
      <c r="G94" s="125">
        <v>691395.54</v>
      </c>
      <c r="H94" s="125" t="s">
        <v>162</v>
      </c>
      <c r="I94" s="125">
        <v>0</v>
      </c>
      <c r="J94" s="125">
        <v>0</v>
      </c>
      <c r="K94" s="125">
        <v>691395.54</v>
      </c>
      <c r="L94" s="125" t="s">
        <v>162</v>
      </c>
      <c r="M94" s="139">
        <f t="shared" si="10"/>
        <v>691395.54</v>
      </c>
      <c r="N94" s="139">
        <f t="shared" si="11"/>
        <v>691395.54</v>
      </c>
      <c r="O94" s="115"/>
      <c r="P94" s="115"/>
      <c r="Q94" s="118"/>
    </row>
    <row r="95" spans="1:17" s="129" customFormat="1" x14ac:dyDescent="0.3">
      <c r="A95" s="117"/>
      <c r="B95" s="123" t="s">
        <v>96</v>
      </c>
      <c r="C95" s="135"/>
      <c r="D95" s="135" t="str">
        <f t="shared" si="9"/>
        <v>Sintetica</v>
      </c>
      <c r="E95" s="124" t="s">
        <v>392</v>
      </c>
      <c r="F95" s="124" t="s">
        <v>393</v>
      </c>
      <c r="G95" s="125">
        <v>551591.21</v>
      </c>
      <c r="H95" s="125" t="s">
        <v>162</v>
      </c>
      <c r="I95" s="125">
        <v>0</v>
      </c>
      <c r="J95" s="125">
        <v>0</v>
      </c>
      <c r="K95" s="125">
        <v>551591.21</v>
      </c>
      <c r="L95" s="125" t="s">
        <v>162</v>
      </c>
      <c r="M95" s="139">
        <f t="shared" si="10"/>
        <v>551591.21</v>
      </c>
      <c r="N95" s="139">
        <f t="shared" si="11"/>
        <v>551591.21</v>
      </c>
      <c r="O95" s="122"/>
      <c r="P95" s="122"/>
    </row>
    <row r="96" spans="1:17" s="129" customFormat="1" x14ac:dyDescent="0.3">
      <c r="A96" s="117"/>
      <c r="B96" s="123" t="s">
        <v>96</v>
      </c>
      <c r="C96" s="135" t="str">
        <f t="shared" ref="C96:C97" si="16">IF(MID(E96,1,1)="1","Ativo",IF(MID(E96,1,1)="2","Passivo","Resultado"))</f>
        <v>Ativo</v>
      </c>
      <c r="D96" s="135" t="str">
        <f t="shared" si="9"/>
        <v>Sintetica</v>
      </c>
      <c r="E96" s="124" t="s">
        <v>394</v>
      </c>
      <c r="F96" s="124" t="s">
        <v>395</v>
      </c>
      <c r="G96" s="125">
        <v>139804.32999999999</v>
      </c>
      <c r="H96" s="125" t="s">
        <v>162</v>
      </c>
      <c r="I96" s="125">
        <v>0</v>
      </c>
      <c r="J96" s="125">
        <v>0</v>
      </c>
      <c r="K96" s="125">
        <v>139804.32999999999</v>
      </c>
      <c r="L96" s="125" t="s">
        <v>162</v>
      </c>
      <c r="M96" s="139">
        <f t="shared" si="10"/>
        <v>139804.32999999999</v>
      </c>
      <c r="N96" s="139">
        <f t="shared" si="11"/>
        <v>139804.32999999999</v>
      </c>
      <c r="O96" s="122"/>
      <c r="P96" s="122"/>
    </row>
    <row r="97" spans="1:17" s="128" customFormat="1" x14ac:dyDescent="0.3">
      <c r="A97" s="115"/>
      <c r="B97" s="123" t="s">
        <v>96</v>
      </c>
      <c r="C97" s="135" t="str">
        <f t="shared" si="16"/>
        <v>Ativo</v>
      </c>
      <c r="D97" s="135" t="str">
        <f t="shared" si="9"/>
        <v>Sintetica</v>
      </c>
      <c r="E97" s="124" t="s">
        <v>396</v>
      </c>
      <c r="F97" s="124" t="s">
        <v>172</v>
      </c>
      <c r="G97" s="125">
        <v>24098.400000000001</v>
      </c>
      <c r="H97" s="125" t="s">
        <v>162</v>
      </c>
      <c r="I97" s="125">
        <v>0</v>
      </c>
      <c r="J97" s="125">
        <v>0</v>
      </c>
      <c r="K97" s="125">
        <v>24098.400000000001</v>
      </c>
      <c r="L97" s="125" t="s">
        <v>162</v>
      </c>
      <c r="M97" s="139">
        <f t="shared" si="10"/>
        <v>24098.400000000001</v>
      </c>
      <c r="N97" s="139">
        <f t="shared" si="11"/>
        <v>24098.400000000001</v>
      </c>
      <c r="O97" s="115"/>
      <c r="P97" s="115"/>
      <c r="Q97" s="118"/>
    </row>
    <row r="98" spans="1:17" s="129" customFormat="1" x14ac:dyDescent="0.3">
      <c r="A98" s="117"/>
      <c r="B98" s="123" t="s">
        <v>96</v>
      </c>
      <c r="C98" s="135"/>
      <c r="D98" s="135" t="str">
        <f t="shared" si="9"/>
        <v>Sintetica</v>
      </c>
      <c r="E98" s="124" t="s">
        <v>397</v>
      </c>
      <c r="F98" s="124" t="s">
        <v>398</v>
      </c>
      <c r="G98" s="125">
        <v>24098.400000000001</v>
      </c>
      <c r="H98" s="125" t="s">
        <v>162</v>
      </c>
      <c r="I98" s="125">
        <v>0</v>
      </c>
      <c r="J98" s="125">
        <v>0</v>
      </c>
      <c r="K98" s="125">
        <v>24098.400000000001</v>
      </c>
      <c r="L98" s="125" t="s">
        <v>162</v>
      </c>
      <c r="M98" s="139">
        <f t="shared" si="10"/>
        <v>24098.400000000001</v>
      </c>
      <c r="N98" s="139">
        <f t="shared" si="11"/>
        <v>24098.400000000001</v>
      </c>
      <c r="O98" s="122"/>
      <c r="P98" s="122"/>
    </row>
    <row r="99" spans="1:17" s="128" customFormat="1" x14ac:dyDescent="0.3">
      <c r="A99" s="115"/>
      <c r="B99" s="123" t="s">
        <v>96</v>
      </c>
      <c r="C99" s="135" t="str">
        <f t="shared" ref="C99:C102" si="17">IF(MID(E99,1,1)="1","Ativo",IF(MID(E99,1,1)="2","Passivo","Resultado"))</f>
        <v>Ativo</v>
      </c>
      <c r="D99" s="135" t="str">
        <f t="shared" si="9"/>
        <v>Sintetica</v>
      </c>
      <c r="E99" s="124" t="s">
        <v>399</v>
      </c>
      <c r="F99" s="124" t="s">
        <v>400</v>
      </c>
      <c r="G99" s="125">
        <v>684105.89</v>
      </c>
      <c r="H99" s="125" t="s">
        <v>165</v>
      </c>
      <c r="I99" s="125">
        <v>0</v>
      </c>
      <c r="J99" s="125">
        <v>43308.38</v>
      </c>
      <c r="K99" s="125">
        <v>727414.27</v>
      </c>
      <c r="L99" s="125" t="s">
        <v>165</v>
      </c>
      <c r="M99" s="139">
        <f t="shared" si="10"/>
        <v>-684105.89</v>
      </c>
      <c r="N99" s="139">
        <f t="shared" si="11"/>
        <v>-727414.27</v>
      </c>
      <c r="O99" s="115"/>
      <c r="P99" s="115"/>
      <c r="Q99" s="118"/>
    </row>
    <row r="100" spans="1:17" s="128" customFormat="1" x14ac:dyDescent="0.3">
      <c r="A100" s="115"/>
      <c r="B100" s="123" t="s">
        <v>96</v>
      </c>
      <c r="C100" s="135" t="str">
        <f t="shared" si="17"/>
        <v>Ativo</v>
      </c>
      <c r="D100" s="135" t="str">
        <f t="shared" si="9"/>
        <v>Sintetica</v>
      </c>
      <c r="E100" s="124" t="s">
        <v>401</v>
      </c>
      <c r="F100" s="124" t="s">
        <v>402</v>
      </c>
      <c r="G100" s="125">
        <v>83310.710000000006</v>
      </c>
      <c r="H100" s="125" t="s">
        <v>165</v>
      </c>
      <c r="I100" s="125">
        <v>0</v>
      </c>
      <c r="J100" s="125">
        <v>25479.119999999999</v>
      </c>
      <c r="K100" s="125">
        <v>108789.83</v>
      </c>
      <c r="L100" s="125" t="s">
        <v>165</v>
      </c>
      <c r="M100" s="139">
        <f t="shared" si="10"/>
        <v>-83310.710000000006</v>
      </c>
      <c r="N100" s="139">
        <f t="shared" si="11"/>
        <v>-108789.83</v>
      </c>
      <c r="O100" s="115"/>
      <c r="P100" s="115"/>
      <c r="Q100" s="118"/>
    </row>
    <row r="101" spans="1:17" s="128" customFormat="1" x14ac:dyDescent="0.3">
      <c r="A101" s="115"/>
      <c r="B101" s="123" t="s">
        <v>96</v>
      </c>
      <c r="C101" s="135" t="str">
        <f t="shared" si="17"/>
        <v>Ativo</v>
      </c>
      <c r="D101" s="135" t="str">
        <f t="shared" si="9"/>
        <v>Sintetica</v>
      </c>
      <c r="E101" s="124" t="s">
        <v>403</v>
      </c>
      <c r="F101" s="124" t="s">
        <v>404</v>
      </c>
      <c r="G101" s="125">
        <v>53251.74</v>
      </c>
      <c r="H101" s="125" t="s">
        <v>165</v>
      </c>
      <c r="I101" s="125">
        <v>0</v>
      </c>
      <c r="J101" s="125">
        <v>3788.6</v>
      </c>
      <c r="K101" s="125">
        <v>57040.34</v>
      </c>
      <c r="L101" s="125" t="s">
        <v>165</v>
      </c>
      <c r="M101" s="139">
        <f t="shared" si="10"/>
        <v>-53251.74</v>
      </c>
      <c r="N101" s="139">
        <f t="shared" si="11"/>
        <v>-57040.34</v>
      </c>
      <c r="O101" s="115"/>
      <c r="P101" s="115"/>
      <c r="Q101" s="118"/>
    </row>
    <row r="102" spans="1:17" s="128" customFormat="1" x14ac:dyDescent="0.3">
      <c r="A102" s="115"/>
      <c r="B102" s="123" t="s">
        <v>96</v>
      </c>
      <c r="C102" s="135" t="str">
        <f t="shared" si="17"/>
        <v>Ativo</v>
      </c>
      <c r="D102" s="135" t="str">
        <f t="shared" si="9"/>
        <v>Sintetica</v>
      </c>
      <c r="E102" s="124" t="s">
        <v>405</v>
      </c>
      <c r="F102" s="124" t="s">
        <v>406</v>
      </c>
      <c r="G102" s="125">
        <v>71238.679999999993</v>
      </c>
      <c r="H102" s="125" t="s">
        <v>165</v>
      </c>
      <c r="I102" s="125">
        <v>0</v>
      </c>
      <c r="J102" s="125">
        <v>2542.23</v>
      </c>
      <c r="K102" s="125">
        <v>73780.91</v>
      </c>
      <c r="L102" s="125" t="s">
        <v>165</v>
      </c>
      <c r="M102" s="139">
        <f t="shared" si="10"/>
        <v>-71238.679999999993</v>
      </c>
      <c r="N102" s="139">
        <f t="shared" si="11"/>
        <v>-73780.91</v>
      </c>
      <c r="O102" s="115"/>
      <c r="P102" s="115"/>
      <c r="Q102" s="118"/>
    </row>
    <row r="103" spans="1:17" s="129" customFormat="1" x14ac:dyDescent="0.3">
      <c r="A103" s="117"/>
      <c r="B103" s="123" t="s">
        <v>96</v>
      </c>
      <c r="C103" s="135"/>
      <c r="D103" s="135" t="str">
        <f t="shared" si="9"/>
        <v>Sintetica</v>
      </c>
      <c r="E103" s="124" t="s">
        <v>407</v>
      </c>
      <c r="F103" s="124" t="s">
        <v>408</v>
      </c>
      <c r="G103" s="125">
        <v>8216.58</v>
      </c>
      <c r="H103" s="125" t="s">
        <v>165</v>
      </c>
      <c r="I103" s="125">
        <v>0</v>
      </c>
      <c r="J103" s="125">
        <v>2738.86</v>
      </c>
      <c r="K103" s="125">
        <v>10955.44</v>
      </c>
      <c r="L103" s="125" t="s">
        <v>165</v>
      </c>
      <c r="M103" s="139">
        <f t="shared" si="10"/>
        <v>-8216.58</v>
      </c>
      <c r="N103" s="139">
        <f t="shared" si="11"/>
        <v>-10955.44</v>
      </c>
      <c r="O103" s="122"/>
      <c r="P103" s="122"/>
    </row>
    <row r="104" spans="1:17" s="128" customFormat="1" x14ac:dyDescent="0.3">
      <c r="A104" s="115"/>
      <c r="B104" s="123" t="s">
        <v>96</v>
      </c>
      <c r="C104" s="135"/>
      <c r="D104" s="135" t="str">
        <f t="shared" si="9"/>
        <v>Sintetica</v>
      </c>
      <c r="E104" s="124" t="s">
        <v>409</v>
      </c>
      <c r="F104" s="124" t="s">
        <v>410</v>
      </c>
      <c r="G104" s="125">
        <v>384624.23</v>
      </c>
      <c r="H104" s="125" t="s">
        <v>165</v>
      </c>
      <c r="I104" s="125">
        <v>0</v>
      </c>
      <c r="J104" s="125">
        <v>3227.86</v>
      </c>
      <c r="K104" s="125">
        <v>387852.09</v>
      </c>
      <c r="L104" s="125" t="s">
        <v>165</v>
      </c>
      <c r="M104" s="139">
        <f t="shared" si="10"/>
        <v>-384624.23</v>
      </c>
      <c r="N104" s="139">
        <f t="shared" si="11"/>
        <v>-387852.09</v>
      </c>
      <c r="O104" s="115"/>
      <c r="P104" s="115"/>
      <c r="Q104" s="118"/>
    </row>
    <row r="105" spans="1:17" s="128" customFormat="1" x14ac:dyDescent="0.3">
      <c r="A105" s="115"/>
      <c r="B105" s="123" t="s">
        <v>96</v>
      </c>
      <c r="C105" s="135" t="str">
        <f t="shared" ref="C105:C119" si="18">IF(MID(E105,1,1)="1","Ativo",IF(MID(E105,1,1)="2","Passivo","Resultado"))</f>
        <v>Ativo</v>
      </c>
      <c r="D105" s="135" t="str">
        <f t="shared" si="9"/>
        <v/>
      </c>
      <c r="E105" s="124" t="s">
        <v>411</v>
      </c>
      <c r="F105" s="124" t="s">
        <v>412</v>
      </c>
      <c r="G105" s="125">
        <v>43539.87</v>
      </c>
      <c r="H105" s="125" t="s">
        <v>165</v>
      </c>
      <c r="I105" s="125">
        <v>0</v>
      </c>
      <c r="J105" s="125">
        <v>1697.44</v>
      </c>
      <c r="K105" s="125">
        <v>45237.31</v>
      </c>
      <c r="L105" s="125" t="s">
        <v>165</v>
      </c>
      <c r="M105" s="139">
        <f t="shared" si="10"/>
        <v>-43539.87</v>
      </c>
      <c r="N105" s="139">
        <f t="shared" si="11"/>
        <v>-45237.31</v>
      </c>
      <c r="O105" s="115"/>
      <c r="P105" s="115"/>
      <c r="Q105" s="118"/>
    </row>
    <row r="106" spans="1:17" s="129" customFormat="1" x14ac:dyDescent="0.3">
      <c r="A106" s="117"/>
      <c r="B106" s="123" t="s">
        <v>96</v>
      </c>
      <c r="C106" s="135" t="str">
        <f t="shared" si="18"/>
        <v>Ativo</v>
      </c>
      <c r="D106" s="135" t="str">
        <f t="shared" si="9"/>
        <v/>
      </c>
      <c r="E106" s="124" t="s">
        <v>413</v>
      </c>
      <c r="F106" s="124" t="s">
        <v>414</v>
      </c>
      <c r="G106" s="125">
        <v>39924.080000000002</v>
      </c>
      <c r="H106" s="125" t="s">
        <v>165</v>
      </c>
      <c r="I106" s="125">
        <v>0</v>
      </c>
      <c r="J106" s="125">
        <v>3834.27</v>
      </c>
      <c r="K106" s="125">
        <v>43758.35</v>
      </c>
      <c r="L106" s="125" t="s">
        <v>165</v>
      </c>
      <c r="M106" s="139">
        <f t="shared" si="10"/>
        <v>-39924.080000000002</v>
      </c>
      <c r="N106" s="139">
        <f t="shared" si="11"/>
        <v>-43758.35</v>
      </c>
      <c r="O106" s="122"/>
      <c r="P106" s="122"/>
    </row>
    <row r="107" spans="1:17" s="128" customFormat="1" x14ac:dyDescent="0.3">
      <c r="A107" s="115"/>
      <c r="B107" s="123" t="s">
        <v>96</v>
      </c>
      <c r="C107" s="135" t="str">
        <f t="shared" si="18"/>
        <v>Ativo</v>
      </c>
      <c r="D107" s="135" t="str">
        <f t="shared" si="9"/>
        <v>Sintetica</v>
      </c>
      <c r="E107" s="124" t="s">
        <v>415</v>
      </c>
      <c r="F107" s="124" t="s">
        <v>416</v>
      </c>
      <c r="G107" s="125">
        <v>692918.58</v>
      </c>
      <c r="H107" s="125" t="s">
        <v>162</v>
      </c>
      <c r="I107" s="125">
        <v>0</v>
      </c>
      <c r="J107" s="125">
        <v>0</v>
      </c>
      <c r="K107" s="125">
        <v>692918.58</v>
      </c>
      <c r="L107" s="125" t="s">
        <v>162</v>
      </c>
      <c r="M107" s="139">
        <f t="shared" si="10"/>
        <v>692918.58</v>
      </c>
      <c r="N107" s="139">
        <f t="shared" si="11"/>
        <v>692918.58</v>
      </c>
      <c r="O107" s="115"/>
      <c r="P107" s="115"/>
      <c r="Q107" s="118"/>
    </row>
    <row r="108" spans="1:17" s="129" customFormat="1" x14ac:dyDescent="0.3">
      <c r="A108" s="117"/>
      <c r="B108" s="123" t="s">
        <v>96</v>
      </c>
      <c r="C108" s="135" t="str">
        <f t="shared" si="18"/>
        <v>Ativo</v>
      </c>
      <c r="D108" s="135" t="str">
        <f t="shared" si="9"/>
        <v>Sintetica</v>
      </c>
      <c r="E108" s="124" t="s">
        <v>417</v>
      </c>
      <c r="F108" s="124" t="s">
        <v>418</v>
      </c>
      <c r="G108" s="125">
        <v>692918.58</v>
      </c>
      <c r="H108" s="125" t="s">
        <v>162</v>
      </c>
      <c r="I108" s="125">
        <v>0</v>
      </c>
      <c r="J108" s="125">
        <v>0</v>
      </c>
      <c r="K108" s="125">
        <v>692918.58</v>
      </c>
      <c r="L108" s="125" t="s">
        <v>162</v>
      </c>
      <c r="M108" s="139">
        <f t="shared" si="10"/>
        <v>692918.58</v>
      </c>
      <c r="N108" s="139">
        <f t="shared" si="11"/>
        <v>692918.58</v>
      </c>
      <c r="O108" s="122"/>
      <c r="P108" s="122"/>
    </row>
    <row r="109" spans="1:17" s="128" customFormat="1" x14ac:dyDescent="0.3">
      <c r="A109" s="115"/>
      <c r="B109" s="123" t="s">
        <v>96</v>
      </c>
      <c r="C109" s="135" t="str">
        <f t="shared" si="18"/>
        <v>Ativo</v>
      </c>
      <c r="D109" s="135" t="str">
        <f t="shared" si="9"/>
        <v>Sintetica</v>
      </c>
      <c r="E109" s="124" t="s">
        <v>419</v>
      </c>
      <c r="F109" s="124" t="s">
        <v>420</v>
      </c>
      <c r="G109" s="125">
        <v>148734.57999999999</v>
      </c>
      <c r="H109" s="125" t="s">
        <v>165</v>
      </c>
      <c r="I109" s="125">
        <v>0</v>
      </c>
      <c r="J109" s="125">
        <v>11548.64</v>
      </c>
      <c r="K109" s="125">
        <v>160283.22</v>
      </c>
      <c r="L109" s="125" t="s">
        <v>165</v>
      </c>
      <c r="M109" s="139">
        <f t="shared" si="10"/>
        <v>-148734.57999999999</v>
      </c>
      <c r="N109" s="139">
        <f t="shared" si="11"/>
        <v>-160283.22</v>
      </c>
      <c r="O109" s="115"/>
      <c r="P109" s="115"/>
      <c r="Q109" s="118"/>
    </row>
    <row r="110" spans="1:17" s="128" customFormat="1" x14ac:dyDescent="0.3">
      <c r="A110" s="115"/>
      <c r="B110" s="123" t="s">
        <v>96</v>
      </c>
      <c r="C110" s="135" t="str">
        <f t="shared" si="18"/>
        <v>Ativo</v>
      </c>
      <c r="D110" s="135" t="str">
        <f t="shared" si="9"/>
        <v>Sintetica</v>
      </c>
      <c r="E110" s="124" t="s">
        <v>421</v>
      </c>
      <c r="F110" s="124" t="s">
        <v>422</v>
      </c>
      <c r="G110" s="125">
        <v>148734.57999999999</v>
      </c>
      <c r="H110" s="125" t="s">
        <v>165</v>
      </c>
      <c r="I110" s="125">
        <v>0</v>
      </c>
      <c r="J110" s="125">
        <v>11548.64</v>
      </c>
      <c r="K110" s="125">
        <v>160283.22</v>
      </c>
      <c r="L110" s="125" t="s">
        <v>165</v>
      </c>
      <c r="M110" s="139">
        <f t="shared" si="10"/>
        <v>-148734.57999999999</v>
      </c>
      <c r="N110" s="139">
        <f t="shared" si="11"/>
        <v>-160283.22</v>
      </c>
      <c r="O110" s="115"/>
      <c r="P110" s="115"/>
      <c r="Q110" s="118"/>
    </row>
    <row r="111" spans="1:17" s="128" customFormat="1" x14ac:dyDescent="0.3">
      <c r="A111" s="115"/>
      <c r="B111" s="123" t="s">
        <v>96</v>
      </c>
      <c r="C111" s="135" t="str">
        <f t="shared" si="18"/>
        <v>Ativo</v>
      </c>
      <c r="D111" s="135" t="str">
        <f t="shared" si="9"/>
        <v>Sintetica</v>
      </c>
      <c r="E111" s="124" t="s">
        <v>423</v>
      </c>
      <c r="F111" s="124" t="s">
        <v>424</v>
      </c>
      <c r="G111" s="125">
        <v>167973.5</v>
      </c>
      <c r="H111" s="125" t="s">
        <v>162</v>
      </c>
      <c r="I111" s="125">
        <v>0</v>
      </c>
      <c r="J111" s="125">
        <v>0</v>
      </c>
      <c r="K111" s="125">
        <v>167973.5</v>
      </c>
      <c r="L111" s="125" t="s">
        <v>162</v>
      </c>
      <c r="M111" s="139">
        <f t="shared" si="10"/>
        <v>167973.5</v>
      </c>
      <c r="N111" s="139">
        <f t="shared" si="11"/>
        <v>167973.5</v>
      </c>
      <c r="O111" s="115"/>
      <c r="P111" s="115"/>
      <c r="Q111" s="118"/>
    </row>
    <row r="112" spans="1:17" s="128" customFormat="1" x14ac:dyDescent="0.3">
      <c r="A112" s="115"/>
      <c r="B112" s="123" t="s">
        <v>96</v>
      </c>
      <c r="C112" s="135" t="str">
        <f t="shared" si="18"/>
        <v>Ativo</v>
      </c>
      <c r="D112" s="135" t="str">
        <f t="shared" si="9"/>
        <v>Sintetica</v>
      </c>
      <c r="E112" s="124" t="s">
        <v>425</v>
      </c>
      <c r="F112" s="124" t="s">
        <v>426</v>
      </c>
      <c r="G112" s="125">
        <v>167973.5</v>
      </c>
      <c r="H112" s="125" t="s">
        <v>162</v>
      </c>
      <c r="I112" s="125">
        <v>0</v>
      </c>
      <c r="J112" s="125">
        <v>0</v>
      </c>
      <c r="K112" s="125">
        <v>167973.5</v>
      </c>
      <c r="L112" s="125" t="s">
        <v>162</v>
      </c>
      <c r="M112" s="139">
        <f t="shared" si="10"/>
        <v>167973.5</v>
      </c>
      <c r="N112" s="139">
        <f t="shared" si="11"/>
        <v>167973.5</v>
      </c>
      <c r="O112" s="115"/>
      <c r="P112" s="115"/>
      <c r="Q112" s="118"/>
    </row>
    <row r="113" spans="1:17" s="128" customFormat="1" x14ac:dyDescent="0.3">
      <c r="A113" s="115"/>
      <c r="B113" s="123" t="s">
        <v>96</v>
      </c>
      <c r="C113" s="135" t="str">
        <f t="shared" si="18"/>
        <v>Ativo</v>
      </c>
      <c r="D113" s="135" t="str">
        <f t="shared" si="9"/>
        <v>Sintetica</v>
      </c>
      <c r="E113" s="124" t="s">
        <v>427</v>
      </c>
      <c r="F113" s="124" t="s">
        <v>428</v>
      </c>
      <c r="G113" s="125">
        <v>167973.5</v>
      </c>
      <c r="H113" s="125" t="s">
        <v>162</v>
      </c>
      <c r="I113" s="125">
        <v>0</v>
      </c>
      <c r="J113" s="125">
        <v>0</v>
      </c>
      <c r="K113" s="125">
        <v>167973.5</v>
      </c>
      <c r="L113" s="125" t="s">
        <v>162</v>
      </c>
      <c r="M113" s="139">
        <f t="shared" si="10"/>
        <v>167973.5</v>
      </c>
      <c r="N113" s="139">
        <f t="shared" si="11"/>
        <v>167973.5</v>
      </c>
      <c r="O113" s="115"/>
      <c r="P113" s="115"/>
      <c r="Q113" s="118"/>
    </row>
    <row r="114" spans="1:17" s="128" customFormat="1" x14ac:dyDescent="0.3">
      <c r="A114" s="115"/>
      <c r="B114" s="123" t="s">
        <v>96</v>
      </c>
      <c r="C114" s="135" t="str">
        <f t="shared" si="18"/>
        <v>Passivo</v>
      </c>
      <c r="D114" s="135" t="str">
        <f t="shared" si="9"/>
        <v>Sintetica</v>
      </c>
      <c r="E114" s="124" t="s">
        <v>429</v>
      </c>
      <c r="F114" s="124" t="s">
        <v>173</v>
      </c>
      <c r="G114" s="125">
        <v>27122166.98</v>
      </c>
      <c r="H114" s="125" t="s">
        <v>165</v>
      </c>
      <c r="I114" s="125">
        <v>2602322.6800000002</v>
      </c>
      <c r="J114" s="125">
        <v>3569537.11</v>
      </c>
      <c r="K114" s="125">
        <v>28089381.41</v>
      </c>
      <c r="L114" s="125" t="s">
        <v>165</v>
      </c>
      <c r="M114" s="139">
        <f t="shared" si="10"/>
        <v>-27122166.98</v>
      </c>
      <c r="N114" s="139">
        <f t="shared" si="11"/>
        <v>-28089381.41</v>
      </c>
      <c r="O114" s="115"/>
      <c r="P114" s="115"/>
      <c r="Q114" s="118"/>
    </row>
    <row r="115" spans="1:17" s="128" customFormat="1" x14ac:dyDescent="0.3">
      <c r="A115" s="115"/>
      <c r="B115" s="123" t="s">
        <v>96</v>
      </c>
      <c r="C115" s="135" t="str">
        <f t="shared" si="18"/>
        <v>Passivo</v>
      </c>
      <c r="D115" s="135" t="str">
        <f t="shared" si="9"/>
        <v>Sintetica</v>
      </c>
      <c r="E115" s="124" t="s">
        <v>430</v>
      </c>
      <c r="F115" s="124" t="s">
        <v>174</v>
      </c>
      <c r="G115" s="125">
        <v>65660267.32</v>
      </c>
      <c r="H115" s="125" t="s">
        <v>165</v>
      </c>
      <c r="I115" s="125">
        <v>2540746.92</v>
      </c>
      <c r="J115" s="125">
        <v>3569537.11</v>
      </c>
      <c r="K115" s="125">
        <v>66689057.509999998</v>
      </c>
      <c r="L115" s="125" t="s">
        <v>165</v>
      </c>
      <c r="M115" s="139">
        <f t="shared" si="10"/>
        <v>-65660267.32</v>
      </c>
      <c r="N115" s="139">
        <f t="shared" si="11"/>
        <v>-66689057.509999998</v>
      </c>
      <c r="O115" s="115"/>
      <c r="P115" s="115"/>
      <c r="Q115" s="118"/>
    </row>
    <row r="116" spans="1:17" s="129" customFormat="1" x14ac:dyDescent="0.3">
      <c r="A116" s="117"/>
      <c r="B116" s="123" t="s">
        <v>96</v>
      </c>
      <c r="C116" s="135" t="str">
        <f t="shared" si="18"/>
        <v>Passivo</v>
      </c>
      <c r="D116" s="135" t="str">
        <f t="shared" si="9"/>
        <v>Sintetica</v>
      </c>
      <c r="E116" s="124" t="s">
        <v>431</v>
      </c>
      <c r="F116" s="124" t="s">
        <v>432</v>
      </c>
      <c r="G116" s="125">
        <v>65660267.32</v>
      </c>
      <c r="H116" s="125" t="s">
        <v>165</v>
      </c>
      <c r="I116" s="125">
        <v>2540746.92</v>
      </c>
      <c r="J116" s="125">
        <v>3569537.11</v>
      </c>
      <c r="K116" s="125">
        <v>66689057.509999998</v>
      </c>
      <c r="L116" s="125" t="s">
        <v>165</v>
      </c>
      <c r="M116" s="139">
        <f t="shared" si="10"/>
        <v>-65660267.32</v>
      </c>
      <c r="N116" s="139">
        <f t="shared" si="11"/>
        <v>-66689057.509999998</v>
      </c>
      <c r="O116" s="122"/>
      <c r="P116" s="122"/>
    </row>
    <row r="117" spans="1:17" s="128" customFormat="1" x14ac:dyDescent="0.3">
      <c r="A117" s="115"/>
      <c r="B117" s="123" t="s">
        <v>96</v>
      </c>
      <c r="C117" s="135" t="str">
        <f t="shared" si="18"/>
        <v>Passivo</v>
      </c>
      <c r="D117" s="135" t="str">
        <f t="shared" si="9"/>
        <v>Sintetica</v>
      </c>
      <c r="E117" s="124" t="s">
        <v>433</v>
      </c>
      <c r="F117" s="124" t="s">
        <v>175</v>
      </c>
      <c r="G117" s="125">
        <v>11918841.98</v>
      </c>
      <c r="H117" s="125" t="s">
        <v>165</v>
      </c>
      <c r="I117" s="125">
        <v>823701.42</v>
      </c>
      <c r="J117" s="125">
        <v>549329.76</v>
      </c>
      <c r="K117" s="125">
        <v>11644470.32</v>
      </c>
      <c r="L117" s="125" t="s">
        <v>165</v>
      </c>
      <c r="M117" s="139">
        <f t="shared" si="10"/>
        <v>-11918841.98</v>
      </c>
      <c r="N117" s="139">
        <f t="shared" si="11"/>
        <v>-11644470.32</v>
      </c>
      <c r="O117" s="115"/>
      <c r="P117" s="115"/>
      <c r="Q117" s="118"/>
    </row>
    <row r="118" spans="1:17" s="129" customFormat="1" x14ac:dyDescent="0.3">
      <c r="A118" s="117"/>
      <c r="B118" s="123" t="s">
        <v>96</v>
      </c>
      <c r="C118" s="135" t="str">
        <f t="shared" si="18"/>
        <v>Passivo</v>
      </c>
      <c r="D118" s="135" t="str">
        <f t="shared" si="9"/>
        <v>Sintetica</v>
      </c>
      <c r="E118" s="124" t="s">
        <v>434</v>
      </c>
      <c r="F118" s="124" t="s">
        <v>435</v>
      </c>
      <c r="G118" s="125">
        <v>7263672.9800000004</v>
      </c>
      <c r="H118" s="125" t="s">
        <v>165</v>
      </c>
      <c r="I118" s="125">
        <v>823701.42</v>
      </c>
      <c r="J118" s="125">
        <v>541234.25</v>
      </c>
      <c r="K118" s="125">
        <v>6981205.8099999996</v>
      </c>
      <c r="L118" s="125" t="s">
        <v>165</v>
      </c>
      <c r="M118" s="139">
        <f t="shared" si="10"/>
        <v>-7263672.9800000004</v>
      </c>
      <c r="N118" s="139">
        <f t="shared" si="11"/>
        <v>-6981205.8099999996</v>
      </c>
      <c r="O118" s="122"/>
      <c r="P118" s="122"/>
    </row>
    <row r="119" spans="1:17" s="128" customFormat="1" x14ac:dyDescent="0.3">
      <c r="A119" s="115"/>
      <c r="B119" s="123" t="s">
        <v>96</v>
      </c>
      <c r="C119" s="135" t="str">
        <f t="shared" si="18"/>
        <v>Passivo</v>
      </c>
      <c r="D119" s="135" t="str">
        <f t="shared" si="9"/>
        <v>Sintetica</v>
      </c>
      <c r="E119" s="124" t="s">
        <v>436</v>
      </c>
      <c r="F119" s="124" t="s">
        <v>437</v>
      </c>
      <c r="G119" s="125">
        <v>379466.99</v>
      </c>
      <c r="H119" s="125" t="s">
        <v>162</v>
      </c>
      <c r="I119" s="125">
        <v>0</v>
      </c>
      <c r="J119" s="125">
        <v>0</v>
      </c>
      <c r="K119" s="125">
        <v>379466.99</v>
      </c>
      <c r="L119" s="125" t="s">
        <v>162</v>
      </c>
      <c r="M119" s="139">
        <f t="shared" si="10"/>
        <v>379466.99</v>
      </c>
      <c r="N119" s="139">
        <f t="shared" si="11"/>
        <v>379466.99</v>
      </c>
      <c r="O119" s="115"/>
      <c r="P119" s="115"/>
      <c r="Q119" s="118"/>
    </row>
    <row r="120" spans="1:17" s="129" customFormat="1" x14ac:dyDescent="0.3">
      <c r="A120" s="117"/>
      <c r="B120" s="123" t="s">
        <v>96</v>
      </c>
      <c r="C120" s="137"/>
      <c r="D120" s="135" t="str">
        <f t="shared" si="9"/>
        <v>Sintetica</v>
      </c>
      <c r="E120" s="124" t="s">
        <v>438</v>
      </c>
      <c r="F120" s="124" t="s">
        <v>439</v>
      </c>
      <c r="G120" s="125">
        <v>0</v>
      </c>
      <c r="H120" s="125"/>
      <c r="I120" s="125">
        <v>0</v>
      </c>
      <c r="J120" s="125">
        <v>1000</v>
      </c>
      <c r="K120" s="125">
        <v>1000</v>
      </c>
      <c r="L120" s="125" t="s">
        <v>165</v>
      </c>
      <c r="M120" s="139">
        <f t="shared" si="10"/>
        <v>0</v>
      </c>
      <c r="N120" s="139">
        <f t="shared" si="11"/>
        <v>-1000</v>
      </c>
      <c r="O120" s="122"/>
      <c r="P120" s="122"/>
    </row>
    <row r="121" spans="1:17" s="129" customFormat="1" x14ac:dyDescent="0.3">
      <c r="A121" s="117"/>
      <c r="B121" s="123" t="s">
        <v>96</v>
      </c>
      <c r="C121" s="135"/>
      <c r="D121" s="135" t="str">
        <f t="shared" si="9"/>
        <v>Sintetica</v>
      </c>
      <c r="E121" s="124" t="s">
        <v>440</v>
      </c>
      <c r="F121" s="124" t="s">
        <v>441</v>
      </c>
      <c r="G121" s="125">
        <v>5034636</v>
      </c>
      <c r="H121" s="125" t="s">
        <v>165</v>
      </c>
      <c r="I121" s="125">
        <v>0</v>
      </c>
      <c r="J121" s="125">
        <v>7095.51</v>
      </c>
      <c r="K121" s="125">
        <v>5041731.51</v>
      </c>
      <c r="L121" s="125" t="s">
        <v>165</v>
      </c>
      <c r="M121" s="139">
        <f t="shared" si="10"/>
        <v>-5034636</v>
      </c>
      <c r="N121" s="139">
        <f t="shared" si="11"/>
        <v>-5041731.51</v>
      </c>
      <c r="O121" s="122"/>
      <c r="P121" s="122"/>
    </row>
    <row r="122" spans="1:17" s="128" customFormat="1" x14ac:dyDescent="0.3">
      <c r="A122" s="115"/>
      <c r="B122" s="123" t="s">
        <v>96</v>
      </c>
      <c r="C122" s="135" t="str">
        <f t="shared" ref="C122:C131" si="19">IF(MID(E122,1,1)="1","Ativo",IF(MID(E122,1,1)="2","Passivo","Resultado"))</f>
        <v>Passivo</v>
      </c>
      <c r="D122" s="135" t="str">
        <f t="shared" si="9"/>
        <v>Sintetica</v>
      </c>
      <c r="E122" s="124" t="s">
        <v>442</v>
      </c>
      <c r="F122" s="124" t="s">
        <v>443</v>
      </c>
      <c r="G122" s="125">
        <v>0.01</v>
      </c>
      <c r="H122" s="125" t="s">
        <v>162</v>
      </c>
      <c r="I122" s="125">
        <v>0</v>
      </c>
      <c r="J122" s="125">
        <v>0</v>
      </c>
      <c r="K122" s="125">
        <v>0.01</v>
      </c>
      <c r="L122" s="125" t="s">
        <v>162</v>
      </c>
      <c r="M122" s="139">
        <f t="shared" si="10"/>
        <v>0.01</v>
      </c>
      <c r="N122" s="139">
        <f t="shared" si="11"/>
        <v>0.01</v>
      </c>
      <c r="O122" s="115"/>
      <c r="P122" s="115"/>
      <c r="Q122" s="118"/>
    </row>
    <row r="123" spans="1:17" s="129" customFormat="1" x14ac:dyDescent="0.3">
      <c r="A123" s="117"/>
      <c r="B123" s="123" t="s">
        <v>96</v>
      </c>
      <c r="C123" s="135" t="str">
        <f t="shared" si="19"/>
        <v>Passivo</v>
      </c>
      <c r="D123" s="135" t="str">
        <f t="shared" si="9"/>
        <v>Sintetica</v>
      </c>
      <c r="E123" s="124" t="s">
        <v>444</v>
      </c>
      <c r="F123" s="124" t="s">
        <v>176</v>
      </c>
      <c r="G123" s="125">
        <v>6338823.4100000001</v>
      </c>
      <c r="H123" s="125" t="s">
        <v>165</v>
      </c>
      <c r="I123" s="125">
        <v>947442.77</v>
      </c>
      <c r="J123" s="125">
        <v>665000</v>
      </c>
      <c r="K123" s="125">
        <v>6056380.6399999997</v>
      </c>
      <c r="L123" s="125" t="s">
        <v>165</v>
      </c>
      <c r="M123" s="139">
        <f t="shared" si="10"/>
        <v>-6338823.4100000001</v>
      </c>
      <c r="N123" s="139">
        <f t="shared" si="11"/>
        <v>-6056380.6399999997</v>
      </c>
      <c r="O123" s="122"/>
      <c r="P123" s="122"/>
    </row>
    <row r="124" spans="1:17" s="129" customFormat="1" x14ac:dyDescent="0.3">
      <c r="A124" s="117"/>
      <c r="B124" s="123" t="s">
        <v>96</v>
      </c>
      <c r="C124" s="135" t="str">
        <f t="shared" si="19"/>
        <v>Passivo</v>
      </c>
      <c r="D124" s="135" t="str">
        <f t="shared" si="9"/>
        <v>Sintetica</v>
      </c>
      <c r="E124" s="124" t="s">
        <v>445</v>
      </c>
      <c r="F124" s="124" t="s">
        <v>446</v>
      </c>
      <c r="G124" s="125">
        <v>3173482.14</v>
      </c>
      <c r="H124" s="125" t="s">
        <v>165</v>
      </c>
      <c r="I124" s="125">
        <v>0</v>
      </c>
      <c r="J124" s="125">
        <v>0</v>
      </c>
      <c r="K124" s="125">
        <v>3173482.14</v>
      </c>
      <c r="L124" s="125" t="s">
        <v>165</v>
      </c>
      <c r="M124" s="139">
        <f t="shared" si="10"/>
        <v>-3173482.14</v>
      </c>
      <c r="N124" s="139">
        <f t="shared" si="11"/>
        <v>-3173482.14</v>
      </c>
      <c r="O124" s="122"/>
      <c r="P124" s="122"/>
    </row>
    <row r="125" spans="1:17" s="129" customFormat="1" x14ac:dyDescent="0.3">
      <c r="A125" s="117"/>
      <c r="B125" s="123" t="s">
        <v>96</v>
      </c>
      <c r="C125" s="135" t="str">
        <f t="shared" si="19"/>
        <v>Passivo</v>
      </c>
      <c r="D125" s="135" t="str">
        <f t="shared" si="9"/>
        <v>Sintetica</v>
      </c>
      <c r="E125" s="124" t="s">
        <v>447</v>
      </c>
      <c r="F125" s="124" t="s">
        <v>448</v>
      </c>
      <c r="G125" s="125">
        <v>1333432.6200000001</v>
      </c>
      <c r="H125" s="125" t="s">
        <v>165</v>
      </c>
      <c r="I125" s="125">
        <v>0</v>
      </c>
      <c r="J125" s="125">
        <v>0</v>
      </c>
      <c r="K125" s="125">
        <v>1333432.6200000001</v>
      </c>
      <c r="L125" s="125" t="s">
        <v>165</v>
      </c>
      <c r="M125" s="139">
        <f t="shared" si="10"/>
        <v>-1333432.6200000001</v>
      </c>
      <c r="N125" s="139">
        <f t="shared" si="11"/>
        <v>-1333432.6200000001</v>
      </c>
      <c r="O125" s="122"/>
      <c r="P125" s="122"/>
    </row>
    <row r="126" spans="1:17" s="129" customFormat="1" x14ac:dyDescent="0.3">
      <c r="A126" s="117"/>
      <c r="B126" s="123" t="s">
        <v>96</v>
      </c>
      <c r="C126" s="135" t="str">
        <f t="shared" si="19"/>
        <v>Passivo</v>
      </c>
      <c r="D126" s="135" t="str">
        <f t="shared" si="9"/>
        <v>Sintetica</v>
      </c>
      <c r="E126" s="124" t="s">
        <v>449</v>
      </c>
      <c r="F126" s="124" t="s">
        <v>450</v>
      </c>
      <c r="G126" s="125">
        <v>1623494.46</v>
      </c>
      <c r="H126" s="125" t="s">
        <v>162</v>
      </c>
      <c r="I126" s="125">
        <v>0</v>
      </c>
      <c r="J126" s="125">
        <v>0</v>
      </c>
      <c r="K126" s="125">
        <v>1623494.46</v>
      </c>
      <c r="L126" s="125" t="s">
        <v>162</v>
      </c>
      <c r="M126" s="139">
        <f t="shared" si="10"/>
        <v>1623494.46</v>
      </c>
      <c r="N126" s="139">
        <f t="shared" si="11"/>
        <v>1623494.46</v>
      </c>
      <c r="O126" s="122"/>
      <c r="P126" s="122"/>
    </row>
    <row r="127" spans="1:17" s="128" customFormat="1" x14ac:dyDescent="0.3">
      <c r="A127" s="115"/>
      <c r="B127" s="123" t="s">
        <v>96</v>
      </c>
      <c r="C127" s="135" t="str">
        <f t="shared" si="19"/>
        <v>Passivo</v>
      </c>
      <c r="D127" s="135" t="str">
        <f t="shared" si="9"/>
        <v/>
      </c>
      <c r="E127" s="124" t="s">
        <v>451</v>
      </c>
      <c r="F127" s="124" t="s">
        <v>452</v>
      </c>
      <c r="G127" s="125">
        <v>2620492.63</v>
      </c>
      <c r="H127" s="125" t="s">
        <v>165</v>
      </c>
      <c r="I127" s="125">
        <v>83333.33</v>
      </c>
      <c r="J127" s="125">
        <v>0</v>
      </c>
      <c r="K127" s="125">
        <v>2537159.2999999998</v>
      </c>
      <c r="L127" s="125" t="s">
        <v>165</v>
      </c>
      <c r="M127" s="139">
        <f t="shared" si="10"/>
        <v>-2620492.63</v>
      </c>
      <c r="N127" s="139">
        <f t="shared" si="11"/>
        <v>-2537159.2999999998</v>
      </c>
      <c r="O127" s="115"/>
      <c r="P127" s="115"/>
      <c r="Q127" s="118"/>
    </row>
    <row r="128" spans="1:17" s="128" customFormat="1" x14ac:dyDescent="0.3">
      <c r="A128" s="115"/>
      <c r="B128" s="123" t="s">
        <v>96</v>
      </c>
      <c r="C128" s="135" t="str">
        <f t="shared" si="19"/>
        <v>Passivo</v>
      </c>
      <c r="D128" s="135" t="str">
        <f t="shared" si="9"/>
        <v/>
      </c>
      <c r="E128" s="124" t="s">
        <v>453</v>
      </c>
      <c r="F128" s="124" t="s">
        <v>454</v>
      </c>
      <c r="G128" s="125">
        <v>834910.48</v>
      </c>
      <c r="H128" s="125" t="s">
        <v>165</v>
      </c>
      <c r="I128" s="125">
        <v>834910.48</v>
      </c>
      <c r="J128" s="125">
        <v>665000</v>
      </c>
      <c r="K128" s="125">
        <v>665000</v>
      </c>
      <c r="L128" s="125" t="s">
        <v>165</v>
      </c>
      <c r="M128" s="139">
        <f t="shared" si="10"/>
        <v>-834910.48</v>
      </c>
      <c r="N128" s="139">
        <f t="shared" si="11"/>
        <v>-665000</v>
      </c>
      <c r="O128" s="115"/>
      <c r="P128" s="115"/>
      <c r="Q128" s="118"/>
    </row>
    <row r="129" spans="1:17" s="128" customFormat="1" x14ac:dyDescent="0.3">
      <c r="A129" s="115"/>
      <c r="B129" s="123" t="s">
        <v>96</v>
      </c>
      <c r="C129" s="135" t="str">
        <f t="shared" si="19"/>
        <v>Passivo</v>
      </c>
      <c r="D129" s="135" t="str">
        <f t="shared" si="9"/>
        <v/>
      </c>
      <c r="E129" s="124" t="s">
        <v>455</v>
      </c>
      <c r="F129" s="124" t="s">
        <v>456</v>
      </c>
      <c r="G129" s="125">
        <v>0</v>
      </c>
      <c r="H129" s="125"/>
      <c r="I129" s="125">
        <v>29198.959999999999</v>
      </c>
      <c r="J129" s="125">
        <v>0</v>
      </c>
      <c r="K129" s="125">
        <v>29198.959999999999</v>
      </c>
      <c r="L129" s="125" t="s">
        <v>162</v>
      </c>
      <c r="M129" s="139">
        <f t="shared" si="10"/>
        <v>0</v>
      </c>
      <c r="N129" s="139">
        <f t="shared" si="11"/>
        <v>29198.959999999999</v>
      </c>
      <c r="O129" s="115"/>
      <c r="P129" s="115"/>
      <c r="Q129" s="118"/>
    </row>
    <row r="130" spans="1:17" s="128" customFormat="1" x14ac:dyDescent="0.3">
      <c r="A130" s="115"/>
      <c r="B130" s="123" t="s">
        <v>96</v>
      </c>
      <c r="C130" s="135" t="str">
        <f t="shared" si="19"/>
        <v>Passivo</v>
      </c>
      <c r="D130" s="135" t="str">
        <f t="shared" si="9"/>
        <v>Sintetica</v>
      </c>
      <c r="E130" s="124" t="s">
        <v>457</v>
      </c>
      <c r="F130" s="124" t="s">
        <v>458</v>
      </c>
      <c r="G130" s="125">
        <v>3898587.86</v>
      </c>
      <c r="H130" s="125" t="s">
        <v>165</v>
      </c>
      <c r="I130" s="125">
        <v>376631.27</v>
      </c>
      <c r="J130" s="125">
        <v>429541.13</v>
      </c>
      <c r="K130" s="125">
        <v>3951497.72</v>
      </c>
      <c r="L130" s="125" t="s">
        <v>165</v>
      </c>
      <c r="M130" s="139">
        <f t="shared" si="10"/>
        <v>-3898587.86</v>
      </c>
      <c r="N130" s="139">
        <f t="shared" si="11"/>
        <v>-3951497.72</v>
      </c>
      <c r="O130" s="115"/>
      <c r="P130" s="115"/>
      <c r="Q130" s="118"/>
    </row>
    <row r="131" spans="1:17" s="128" customFormat="1" x14ac:dyDescent="0.3">
      <c r="A131" s="115"/>
      <c r="B131" s="123" t="s">
        <v>96</v>
      </c>
      <c r="C131" s="135" t="str">
        <f t="shared" si="19"/>
        <v>Passivo</v>
      </c>
      <c r="D131" s="135" t="str">
        <f t="shared" si="9"/>
        <v>Sintetica</v>
      </c>
      <c r="E131" s="124" t="s">
        <v>459</v>
      </c>
      <c r="F131" s="124" t="s">
        <v>177</v>
      </c>
      <c r="G131" s="125">
        <v>29450.89</v>
      </c>
      <c r="H131" s="125" t="s">
        <v>162</v>
      </c>
      <c r="I131" s="125">
        <v>336323.93</v>
      </c>
      <c r="J131" s="125">
        <v>303976.71000000002</v>
      </c>
      <c r="K131" s="125">
        <v>61798.11</v>
      </c>
      <c r="L131" s="125" t="s">
        <v>162</v>
      </c>
      <c r="M131" s="139">
        <f t="shared" si="10"/>
        <v>29450.89</v>
      </c>
      <c r="N131" s="139">
        <f t="shared" si="11"/>
        <v>61798.11</v>
      </c>
      <c r="O131" s="115"/>
      <c r="P131" s="115"/>
      <c r="Q131" s="118"/>
    </row>
    <row r="132" spans="1:17" s="129" customFormat="1" x14ac:dyDescent="0.3">
      <c r="A132" s="117"/>
      <c r="B132" s="123" t="s">
        <v>96</v>
      </c>
      <c r="C132" s="135"/>
      <c r="D132" s="135" t="str">
        <f t="shared" si="9"/>
        <v>Sintetica</v>
      </c>
      <c r="E132" s="124" t="s">
        <v>460</v>
      </c>
      <c r="F132" s="124" t="s">
        <v>178</v>
      </c>
      <c r="G132" s="125">
        <v>311219.52</v>
      </c>
      <c r="H132" s="125" t="s">
        <v>165</v>
      </c>
      <c r="I132" s="125">
        <v>22746.3</v>
      </c>
      <c r="J132" s="125">
        <v>35670.75</v>
      </c>
      <c r="K132" s="125">
        <v>324143.96999999997</v>
      </c>
      <c r="L132" s="125" t="s">
        <v>165</v>
      </c>
      <c r="M132" s="139">
        <f t="shared" si="10"/>
        <v>-311219.52</v>
      </c>
      <c r="N132" s="139">
        <f t="shared" si="11"/>
        <v>-324143.96999999997</v>
      </c>
      <c r="O132" s="122"/>
      <c r="P132" s="122"/>
    </row>
    <row r="133" spans="1:17" s="128" customFormat="1" x14ac:dyDescent="0.3">
      <c r="A133" s="115"/>
      <c r="B133" s="123" t="s">
        <v>96</v>
      </c>
      <c r="C133" s="135" t="str">
        <f t="shared" ref="C133:C142" si="20">IF(MID(E133,1,1)="1","Ativo",IF(MID(E133,1,1)="2","Passivo","Resultado"))</f>
        <v>Passivo</v>
      </c>
      <c r="D133" s="135" t="str">
        <f t="shared" si="9"/>
        <v>Sintetica</v>
      </c>
      <c r="E133" s="124" t="s">
        <v>461</v>
      </c>
      <c r="F133" s="124" t="s">
        <v>462</v>
      </c>
      <c r="G133" s="125">
        <v>2930925.72</v>
      </c>
      <c r="H133" s="125" t="s">
        <v>165</v>
      </c>
      <c r="I133" s="125">
        <v>0</v>
      </c>
      <c r="J133" s="125">
        <v>48199.91</v>
      </c>
      <c r="K133" s="125">
        <v>2979125.63</v>
      </c>
      <c r="L133" s="125" t="s">
        <v>165</v>
      </c>
      <c r="M133" s="139">
        <f t="shared" si="10"/>
        <v>-2930925.72</v>
      </c>
      <c r="N133" s="139">
        <f t="shared" si="11"/>
        <v>-2979125.63</v>
      </c>
      <c r="O133" s="115"/>
      <c r="P133" s="115"/>
      <c r="Q133" s="118"/>
    </row>
    <row r="134" spans="1:17" s="128" customFormat="1" x14ac:dyDescent="0.3">
      <c r="A134" s="115"/>
      <c r="B134" s="123" t="s">
        <v>96</v>
      </c>
      <c r="C134" s="135" t="str">
        <f t="shared" si="20"/>
        <v>Passivo</v>
      </c>
      <c r="D134" s="135" t="str">
        <f t="shared" si="9"/>
        <v>Sintetica</v>
      </c>
      <c r="E134" s="124" t="s">
        <v>463</v>
      </c>
      <c r="F134" s="124" t="s">
        <v>464</v>
      </c>
      <c r="G134" s="125">
        <v>537466.06000000006</v>
      </c>
      <c r="H134" s="125" t="s">
        <v>165</v>
      </c>
      <c r="I134" s="125">
        <v>0</v>
      </c>
      <c r="J134" s="125">
        <v>22760.68</v>
      </c>
      <c r="K134" s="125">
        <v>560226.74</v>
      </c>
      <c r="L134" s="125" t="s">
        <v>165</v>
      </c>
      <c r="M134" s="139">
        <f t="shared" si="10"/>
        <v>-537466.06000000006</v>
      </c>
      <c r="N134" s="139">
        <f t="shared" si="11"/>
        <v>-560226.74</v>
      </c>
      <c r="O134" s="115"/>
      <c r="P134" s="115"/>
      <c r="Q134" s="118"/>
    </row>
    <row r="135" spans="1:17" s="128" customFormat="1" x14ac:dyDescent="0.3">
      <c r="A135" s="115"/>
      <c r="B135" s="123" t="s">
        <v>96</v>
      </c>
      <c r="C135" s="135" t="str">
        <f t="shared" si="20"/>
        <v>Passivo</v>
      </c>
      <c r="D135" s="135" t="str">
        <f t="shared" si="9"/>
        <v>Sintetica</v>
      </c>
      <c r="E135" s="124" t="s">
        <v>465</v>
      </c>
      <c r="F135" s="124" t="s">
        <v>466</v>
      </c>
      <c r="G135" s="125">
        <v>2665</v>
      </c>
      <c r="H135" s="125" t="s">
        <v>165</v>
      </c>
      <c r="I135" s="125">
        <v>0</v>
      </c>
      <c r="J135" s="125">
        <v>144</v>
      </c>
      <c r="K135" s="125">
        <v>2809</v>
      </c>
      <c r="L135" s="125" t="s">
        <v>165</v>
      </c>
      <c r="M135" s="139">
        <f t="shared" si="10"/>
        <v>-2665</v>
      </c>
      <c r="N135" s="139">
        <f t="shared" si="11"/>
        <v>-2809</v>
      </c>
      <c r="O135" s="115"/>
      <c r="P135" s="115"/>
      <c r="Q135" s="118"/>
    </row>
    <row r="136" spans="1:17" s="128" customFormat="1" x14ac:dyDescent="0.3">
      <c r="A136" s="115"/>
      <c r="B136" s="123" t="s">
        <v>96</v>
      </c>
      <c r="C136" s="135" t="str">
        <f t="shared" si="20"/>
        <v>Passivo</v>
      </c>
      <c r="D136" s="135" t="str">
        <f t="shared" si="9"/>
        <v>Sintetica</v>
      </c>
      <c r="E136" s="124" t="s">
        <v>467</v>
      </c>
      <c r="F136" s="124" t="s">
        <v>468</v>
      </c>
      <c r="G136" s="125">
        <v>1455.74</v>
      </c>
      <c r="H136" s="125" t="s">
        <v>165</v>
      </c>
      <c r="I136" s="125">
        <v>0</v>
      </c>
      <c r="J136" s="125">
        <v>0</v>
      </c>
      <c r="K136" s="125">
        <v>1455.74</v>
      </c>
      <c r="L136" s="125" t="s">
        <v>165</v>
      </c>
      <c r="M136" s="139">
        <f t="shared" si="10"/>
        <v>-1455.74</v>
      </c>
      <c r="N136" s="139">
        <f t="shared" si="11"/>
        <v>-1455.74</v>
      </c>
      <c r="O136" s="115"/>
      <c r="P136" s="115"/>
      <c r="Q136" s="118"/>
    </row>
    <row r="137" spans="1:17" s="128" customFormat="1" x14ac:dyDescent="0.3">
      <c r="A137" s="115"/>
      <c r="B137" s="123" t="s">
        <v>96</v>
      </c>
      <c r="C137" s="135" t="str">
        <f t="shared" si="20"/>
        <v>Passivo</v>
      </c>
      <c r="D137" s="135" t="str">
        <f t="shared" ref="D137:D200" si="21">IF(MID(E137,10,3)="000","Sintetica","")</f>
        <v>Sintetica</v>
      </c>
      <c r="E137" s="124" t="s">
        <v>469</v>
      </c>
      <c r="F137" s="124" t="s">
        <v>470</v>
      </c>
      <c r="G137" s="125">
        <v>44218.19</v>
      </c>
      <c r="H137" s="125" t="s">
        <v>165</v>
      </c>
      <c r="I137" s="125">
        <v>0</v>
      </c>
      <c r="J137" s="125">
        <v>1228.04</v>
      </c>
      <c r="K137" s="125">
        <v>45446.23</v>
      </c>
      <c r="L137" s="125" t="s">
        <v>165</v>
      </c>
      <c r="M137" s="139">
        <f t="shared" ref="M137:M200" si="22">IF(H137="D",G137,-G137)</f>
        <v>-44218.19</v>
      </c>
      <c r="N137" s="139">
        <f t="shared" ref="N137:N200" si="23">IF(L137="D",K137,-K137)</f>
        <v>-45446.23</v>
      </c>
      <c r="O137" s="115"/>
      <c r="P137" s="115"/>
      <c r="Q137" s="118"/>
    </row>
    <row r="138" spans="1:17" s="129" customFormat="1" x14ac:dyDescent="0.3">
      <c r="A138" s="117"/>
      <c r="B138" s="123" t="s">
        <v>96</v>
      </c>
      <c r="C138" s="135" t="str">
        <f t="shared" si="20"/>
        <v>Passivo</v>
      </c>
      <c r="D138" s="135" t="str">
        <f t="shared" si="21"/>
        <v/>
      </c>
      <c r="E138" s="124" t="s">
        <v>471</v>
      </c>
      <c r="F138" s="124" t="s">
        <v>472</v>
      </c>
      <c r="G138" s="125">
        <v>50</v>
      </c>
      <c r="H138" s="125" t="s">
        <v>162</v>
      </c>
      <c r="I138" s="125">
        <v>0</v>
      </c>
      <c r="J138" s="125">
        <v>0</v>
      </c>
      <c r="K138" s="125">
        <v>50</v>
      </c>
      <c r="L138" s="125" t="s">
        <v>162</v>
      </c>
      <c r="M138" s="139">
        <f t="shared" si="22"/>
        <v>50</v>
      </c>
      <c r="N138" s="139">
        <f t="shared" si="23"/>
        <v>50</v>
      </c>
      <c r="O138" s="122"/>
      <c r="P138" s="122"/>
    </row>
    <row r="139" spans="1:17" s="128" customFormat="1" x14ac:dyDescent="0.3">
      <c r="A139" s="115"/>
      <c r="B139" s="123" t="s">
        <v>96</v>
      </c>
      <c r="C139" s="135" t="str">
        <f t="shared" si="20"/>
        <v>Passivo</v>
      </c>
      <c r="D139" s="135" t="str">
        <f t="shared" si="21"/>
        <v/>
      </c>
      <c r="E139" s="124" t="s">
        <v>473</v>
      </c>
      <c r="F139" s="124" t="s">
        <v>179</v>
      </c>
      <c r="G139" s="125">
        <v>100138.52</v>
      </c>
      <c r="H139" s="125" t="s">
        <v>165</v>
      </c>
      <c r="I139" s="125">
        <v>17561.04</v>
      </c>
      <c r="J139" s="125">
        <v>17561.04</v>
      </c>
      <c r="K139" s="125">
        <v>100138.52</v>
      </c>
      <c r="L139" s="125" t="s">
        <v>165</v>
      </c>
      <c r="M139" s="139">
        <f t="shared" si="22"/>
        <v>-100138.52</v>
      </c>
      <c r="N139" s="139">
        <f t="shared" si="23"/>
        <v>-100138.52</v>
      </c>
      <c r="O139" s="115"/>
      <c r="P139" s="115"/>
      <c r="Q139" s="118"/>
    </row>
    <row r="140" spans="1:17" s="128" customFormat="1" x14ac:dyDescent="0.3">
      <c r="A140" s="115"/>
      <c r="B140" s="123" t="s">
        <v>96</v>
      </c>
      <c r="C140" s="135" t="str">
        <f t="shared" si="20"/>
        <v>Passivo</v>
      </c>
      <c r="D140" s="135" t="str">
        <f t="shared" si="21"/>
        <v>Sintetica</v>
      </c>
      <c r="E140" s="124" t="s">
        <v>474</v>
      </c>
      <c r="F140" s="124" t="s">
        <v>475</v>
      </c>
      <c r="G140" s="125">
        <v>841503.23</v>
      </c>
      <c r="H140" s="125" t="s">
        <v>162</v>
      </c>
      <c r="I140" s="125">
        <v>9106.5</v>
      </c>
      <c r="J140" s="125">
        <v>181448.28</v>
      </c>
      <c r="K140" s="125">
        <v>669161.44999999995</v>
      </c>
      <c r="L140" s="125" t="s">
        <v>162</v>
      </c>
      <c r="M140" s="139">
        <f t="shared" si="22"/>
        <v>841503.23</v>
      </c>
      <c r="N140" s="139">
        <f t="shared" si="23"/>
        <v>669161.44999999995</v>
      </c>
      <c r="O140" s="115"/>
      <c r="P140" s="115"/>
      <c r="Q140" s="118"/>
    </row>
    <row r="141" spans="1:17" s="128" customFormat="1" x14ac:dyDescent="0.3">
      <c r="A141" s="115"/>
      <c r="B141" s="123" t="s">
        <v>96</v>
      </c>
      <c r="C141" s="135" t="str">
        <f t="shared" si="20"/>
        <v>Passivo</v>
      </c>
      <c r="D141" s="135" t="str">
        <f t="shared" si="21"/>
        <v>Sintetica</v>
      </c>
      <c r="E141" s="124" t="s">
        <v>476</v>
      </c>
      <c r="F141" s="124" t="s">
        <v>477</v>
      </c>
      <c r="G141" s="125">
        <v>1207120.21</v>
      </c>
      <c r="H141" s="125" t="s">
        <v>162</v>
      </c>
      <c r="I141" s="125">
        <v>4553.25</v>
      </c>
      <c r="J141" s="125">
        <v>181448.28</v>
      </c>
      <c r="K141" s="125">
        <v>1030225.18</v>
      </c>
      <c r="L141" s="125" t="s">
        <v>162</v>
      </c>
      <c r="M141" s="139">
        <f t="shared" si="22"/>
        <v>1207120.21</v>
      </c>
      <c r="N141" s="139">
        <f t="shared" si="23"/>
        <v>1030225.18</v>
      </c>
      <c r="O141" s="115"/>
      <c r="P141" s="115"/>
      <c r="Q141" s="118"/>
    </row>
    <row r="142" spans="1:17" s="128" customFormat="1" x14ac:dyDescent="0.3">
      <c r="A142" s="115"/>
      <c r="B142" s="123" t="s">
        <v>96</v>
      </c>
      <c r="C142" s="135" t="str">
        <f t="shared" si="20"/>
        <v>Passivo</v>
      </c>
      <c r="D142" s="135" t="str">
        <f t="shared" si="21"/>
        <v>Sintetica</v>
      </c>
      <c r="E142" s="124" t="s">
        <v>478</v>
      </c>
      <c r="F142" s="124" t="s">
        <v>479</v>
      </c>
      <c r="G142" s="125">
        <v>365616.98</v>
      </c>
      <c r="H142" s="125" t="s">
        <v>165</v>
      </c>
      <c r="I142" s="125">
        <v>4553.25</v>
      </c>
      <c r="J142" s="125">
        <v>0</v>
      </c>
      <c r="K142" s="125">
        <v>361063.73</v>
      </c>
      <c r="L142" s="125" t="s">
        <v>165</v>
      </c>
      <c r="M142" s="139">
        <f t="shared" si="22"/>
        <v>-365616.98</v>
      </c>
      <c r="N142" s="139">
        <f t="shared" si="23"/>
        <v>-361063.73</v>
      </c>
      <c r="O142" s="115"/>
      <c r="P142" s="115"/>
      <c r="Q142" s="118"/>
    </row>
    <row r="143" spans="1:17" s="128" customFormat="1" x14ac:dyDescent="0.3">
      <c r="A143" s="115"/>
      <c r="B143" s="123" t="s">
        <v>96</v>
      </c>
      <c r="C143" s="135"/>
      <c r="D143" s="135" t="str">
        <f t="shared" si="21"/>
        <v>Sintetica</v>
      </c>
      <c r="E143" s="124" t="s">
        <v>480</v>
      </c>
      <c r="F143" s="124" t="s">
        <v>481</v>
      </c>
      <c r="G143" s="125">
        <v>613887.43999999994</v>
      </c>
      <c r="H143" s="125" t="s">
        <v>165</v>
      </c>
      <c r="I143" s="125">
        <v>66170.210000000006</v>
      </c>
      <c r="J143" s="125">
        <v>83453.740000000005</v>
      </c>
      <c r="K143" s="125">
        <v>631170.97</v>
      </c>
      <c r="L143" s="125" t="s">
        <v>165</v>
      </c>
      <c r="M143" s="139">
        <f t="shared" si="22"/>
        <v>-613887.43999999994</v>
      </c>
      <c r="N143" s="139">
        <f t="shared" si="23"/>
        <v>-631170.97</v>
      </c>
      <c r="O143" s="115"/>
      <c r="P143" s="115"/>
      <c r="Q143" s="118"/>
    </row>
    <row r="144" spans="1:17" s="128" customFormat="1" x14ac:dyDescent="0.3">
      <c r="A144" s="115"/>
      <c r="B144" s="123" t="s">
        <v>96</v>
      </c>
      <c r="C144" s="135" t="str">
        <f>IF(MID(E144,1,1)="1","Ativo",IF(MID(E144,1,1)="2","Passivo","Resultado"))</f>
        <v>Passivo</v>
      </c>
      <c r="D144" s="135" t="str">
        <f t="shared" si="21"/>
        <v>Sintetica</v>
      </c>
      <c r="E144" s="124" t="s">
        <v>482</v>
      </c>
      <c r="F144" s="124" t="s">
        <v>483</v>
      </c>
      <c r="G144" s="125">
        <v>198237.95</v>
      </c>
      <c r="H144" s="125" t="s">
        <v>165</v>
      </c>
      <c r="I144" s="125">
        <v>15963.84</v>
      </c>
      <c r="J144" s="125">
        <v>22965.02</v>
      </c>
      <c r="K144" s="125">
        <v>205239.13</v>
      </c>
      <c r="L144" s="125" t="s">
        <v>165</v>
      </c>
      <c r="M144" s="139">
        <f t="shared" si="22"/>
        <v>-198237.95</v>
      </c>
      <c r="N144" s="139">
        <f t="shared" si="23"/>
        <v>-205239.13</v>
      </c>
      <c r="O144" s="115"/>
      <c r="P144" s="115"/>
      <c r="Q144" s="118"/>
    </row>
    <row r="145" spans="1:17" s="128" customFormat="1" x14ac:dyDescent="0.3">
      <c r="A145" s="115"/>
      <c r="B145" s="123" t="s">
        <v>96</v>
      </c>
      <c r="C145" s="135"/>
      <c r="D145" s="135" t="str">
        <f t="shared" si="21"/>
        <v>Sintetica</v>
      </c>
      <c r="E145" s="124" t="s">
        <v>484</v>
      </c>
      <c r="F145" s="124" t="s">
        <v>485</v>
      </c>
      <c r="G145" s="125">
        <v>415649.49</v>
      </c>
      <c r="H145" s="125" t="s">
        <v>165</v>
      </c>
      <c r="I145" s="125">
        <v>50206.37</v>
      </c>
      <c r="J145" s="125">
        <v>60488.72</v>
      </c>
      <c r="K145" s="125">
        <v>425931.84</v>
      </c>
      <c r="L145" s="125" t="s">
        <v>165</v>
      </c>
      <c r="M145" s="139">
        <f t="shared" si="22"/>
        <v>-415649.49</v>
      </c>
      <c r="N145" s="139">
        <f t="shared" si="23"/>
        <v>-425931.84</v>
      </c>
      <c r="O145" s="115"/>
      <c r="P145" s="115"/>
      <c r="Q145" s="118"/>
    </row>
    <row r="146" spans="1:17" s="128" customFormat="1" x14ac:dyDescent="0.3">
      <c r="A146" s="115"/>
      <c r="B146" s="123" t="s">
        <v>96</v>
      </c>
      <c r="C146" s="135"/>
      <c r="D146" s="135" t="str">
        <f t="shared" si="21"/>
        <v>Sintetica</v>
      </c>
      <c r="E146" s="124" t="s">
        <v>486</v>
      </c>
      <c r="F146" s="124" t="s">
        <v>487</v>
      </c>
      <c r="G146" s="125">
        <v>4018286.52</v>
      </c>
      <c r="H146" s="125" t="s">
        <v>165</v>
      </c>
      <c r="I146" s="125">
        <v>8070.73</v>
      </c>
      <c r="J146" s="125">
        <v>111346.46</v>
      </c>
      <c r="K146" s="125">
        <v>4121562.25</v>
      </c>
      <c r="L146" s="125" t="s">
        <v>165</v>
      </c>
      <c r="M146" s="139">
        <f t="shared" si="22"/>
        <v>-4018286.52</v>
      </c>
      <c r="N146" s="139">
        <f t="shared" si="23"/>
        <v>-4121562.25</v>
      </c>
      <c r="O146" s="115"/>
      <c r="P146" s="115"/>
      <c r="Q146" s="118"/>
    </row>
    <row r="147" spans="1:17" s="128" customFormat="1" x14ac:dyDescent="0.3">
      <c r="A147" s="115"/>
      <c r="B147" s="123" t="s">
        <v>96</v>
      </c>
      <c r="C147" s="135" t="str">
        <f t="shared" ref="C147:C148" si="24">IF(MID(E147,1,1)="1","Ativo",IF(MID(E147,1,1)="2","Passivo","Resultado"))</f>
        <v>Passivo</v>
      </c>
      <c r="D147" s="135" t="str">
        <f t="shared" si="21"/>
        <v>Sintetica</v>
      </c>
      <c r="E147" s="124" t="s">
        <v>488</v>
      </c>
      <c r="F147" s="124" t="s">
        <v>180</v>
      </c>
      <c r="G147" s="125">
        <v>1640483.45</v>
      </c>
      <c r="H147" s="125" t="s">
        <v>165</v>
      </c>
      <c r="I147" s="125">
        <v>0</v>
      </c>
      <c r="J147" s="125">
        <v>33793.730000000003</v>
      </c>
      <c r="K147" s="125">
        <v>1674277.18</v>
      </c>
      <c r="L147" s="125" t="s">
        <v>165</v>
      </c>
      <c r="M147" s="139">
        <f t="shared" si="22"/>
        <v>-1640483.45</v>
      </c>
      <c r="N147" s="139">
        <f t="shared" si="23"/>
        <v>-1674277.18</v>
      </c>
      <c r="O147" s="115"/>
      <c r="P147" s="115"/>
      <c r="Q147" s="118"/>
    </row>
    <row r="148" spans="1:17" s="128" customFormat="1" x14ac:dyDescent="0.3">
      <c r="A148" s="115"/>
      <c r="B148" s="123" t="s">
        <v>96</v>
      </c>
      <c r="C148" s="135" t="str">
        <f t="shared" si="24"/>
        <v>Passivo</v>
      </c>
      <c r="D148" s="135" t="str">
        <f t="shared" si="21"/>
        <v>Sintetica</v>
      </c>
      <c r="E148" s="124" t="s">
        <v>489</v>
      </c>
      <c r="F148" s="124" t="s">
        <v>490</v>
      </c>
      <c r="G148" s="125">
        <v>423617.72</v>
      </c>
      <c r="H148" s="125" t="s">
        <v>165</v>
      </c>
      <c r="I148" s="125">
        <v>0</v>
      </c>
      <c r="J148" s="125">
        <v>0</v>
      </c>
      <c r="K148" s="125">
        <v>423617.72</v>
      </c>
      <c r="L148" s="125" t="s">
        <v>165</v>
      </c>
      <c r="M148" s="139">
        <f t="shared" si="22"/>
        <v>-423617.72</v>
      </c>
      <c r="N148" s="139">
        <f t="shared" si="23"/>
        <v>-423617.72</v>
      </c>
      <c r="O148" s="115"/>
      <c r="P148" s="115"/>
      <c r="Q148" s="118"/>
    </row>
    <row r="149" spans="1:17" s="129" customFormat="1" x14ac:dyDescent="0.3">
      <c r="A149" s="117"/>
      <c r="B149" s="123" t="s">
        <v>96</v>
      </c>
      <c r="C149" s="135"/>
      <c r="D149" s="135" t="str">
        <f t="shared" si="21"/>
        <v>Sintetica</v>
      </c>
      <c r="E149" s="124" t="s">
        <v>491</v>
      </c>
      <c r="F149" s="124" t="s">
        <v>181</v>
      </c>
      <c r="G149" s="125">
        <v>53503.64</v>
      </c>
      <c r="H149" s="125" t="s">
        <v>165</v>
      </c>
      <c r="I149" s="125">
        <v>0</v>
      </c>
      <c r="J149" s="125">
        <v>7360.08</v>
      </c>
      <c r="K149" s="125">
        <v>60863.72</v>
      </c>
      <c r="L149" s="125" t="s">
        <v>165</v>
      </c>
      <c r="M149" s="139">
        <f t="shared" si="22"/>
        <v>-53503.64</v>
      </c>
      <c r="N149" s="139">
        <f t="shared" si="23"/>
        <v>-60863.72</v>
      </c>
      <c r="O149" s="122"/>
      <c r="P149" s="122"/>
    </row>
    <row r="150" spans="1:17" s="128" customFormat="1" x14ac:dyDescent="0.3">
      <c r="A150" s="115"/>
      <c r="B150" s="123" t="s">
        <v>96</v>
      </c>
      <c r="C150" s="135" t="str">
        <f t="shared" ref="C150:C151" si="25">IF(MID(E150,1,1)="1","Ativo",IF(MID(E150,1,1)="2","Passivo","Resultado"))</f>
        <v>Passivo</v>
      </c>
      <c r="D150" s="135" t="str">
        <f t="shared" si="21"/>
        <v>Sintetica</v>
      </c>
      <c r="E150" s="124" t="s">
        <v>492</v>
      </c>
      <c r="F150" s="124" t="s">
        <v>182</v>
      </c>
      <c r="G150" s="125">
        <v>266251.94</v>
      </c>
      <c r="H150" s="125" t="s">
        <v>165</v>
      </c>
      <c r="I150" s="125">
        <v>1336.2</v>
      </c>
      <c r="J150" s="125">
        <v>9587.8700000000008</v>
      </c>
      <c r="K150" s="125">
        <v>274503.61</v>
      </c>
      <c r="L150" s="125" t="s">
        <v>165</v>
      </c>
      <c r="M150" s="139">
        <f t="shared" si="22"/>
        <v>-266251.94</v>
      </c>
      <c r="N150" s="139">
        <f t="shared" si="23"/>
        <v>-274503.61</v>
      </c>
      <c r="O150" s="115"/>
      <c r="P150" s="115"/>
      <c r="Q150" s="118"/>
    </row>
    <row r="151" spans="1:17" s="128" customFormat="1" x14ac:dyDescent="0.3">
      <c r="A151" s="115"/>
      <c r="B151" s="123" t="s">
        <v>96</v>
      </c>
      <c r="C151" s="135" t="str">
        <f t="shared" si="25"/>
        <v>Passivo</v>
      </c>
      <c r="D151" s="135" t="str">
        <f t="shared" si="21"/>
        <v>Sintetica</v>
      </c>
      <c r="E151" s="124" t="s">
        <v>493</v>
      </c>
      <c r="F151" s="124" t="s">
        <v>183</v>
      </c>
      <c r="G151" s="125">
        <v>368992.71</v>
      </c>
      <c r="H151" s="125" t="s">
        <v>165</v>
      </c>
      <c r="I151" s="125">
        <v>6154.64</v>
      </c>
      <c r="J151" s="125">
        <v>44162.8</v>
      </c>
      <c r="K151" s="125">
        <v>407000.87</v>
      </c>
      <c r="L151" s="125" t="s">
        <v>165</v>
      </c>
      <c r="M151" s="139">
        <f t="shared" si="22"/>
        <v>-368992.71</v>
      </c>
      <c r="N151" s="139">
        <f t="shared" si="23"/>
        <v>-407000.87</v>
      </c>
      <c r="O151" s="115"/>
      <c r="P151" s="115"/>
      <c r="Q151" s="118"/>
    </row>
    <row r="152" spans="1:17" s="129" customFormat="1" x14ac:dyDescent="0.3">
      <c r="A152" s="117"/>
      <c r="B152" s="123" t="s">
        <v>96</v>
      </c>
      <c r="C152" s="135"/>
      <c r="D152" s="135" t="str">
        <f t="shared" si="21"/>
        <v>Sintetica</v>
      </c>
      <c r="E152" s="124" t="s">
        <v>494</v>
      </c>
      <c r="F152" s="124" t="s">
        <v>495</v>
      </c>
      <c r="G152" s="125">
        <v>296603.87</v>
      </c>
      <c r="H152" s="125" t="s">
        <v>165</v>
      </c>
      <c r="I152" s="125">
        <v>5</v>
      </c>
      <c r="J152" s="125">
        <v>0</v>
      </c>
      <c r="K152" s="125">
        <v>296598.87</v>
      </c>
      <c r="L152" s="125" t="s">
        <v>165</v>
      </c>
      <c r="M152" s="139">
        <f t="shared" si="22"/>
        <v>-296603.87</v>
      </c>
      <c r="N152" s="139">
        <f t="shared" si="23"/>
        <v>-296598.87</v>
      </c>
      <c r="O152" s="122"/>
      <c r="P152" s="122"/>
    </row>
    <row r="153" spans="1:17" s="128" customFormat="1" x14ac:dyDescent="0.3">
      <c r="A153" s="115"/>
      <c r="B153" s="123" t="s">
        <v>96</v>
      </c>
      <c r="C153" s="135" t="str">
        <f t="shared" ref="C153:C154" si="26">IF(MID(E153,1,1)="1","Ativo",IF(MID(E153,1,1)="2","Passivo","Resultado"))</f>
        <v>Passivo</v>
      </c>
      <c r="D153" s="135" t="str">
        <f t="shared" si="21"/>
        <v>Sintetica</v>
      </c>
      <c r="E153" s="124" t="s">
        <v>496</v>
      </c>
      <c r="F153" s="124" t="s">
        <v>184</v>
      </c>
      <c r="G153" s="125">
        <v>174122.48</v>
      </c>
      <c r="H153" s="125" t="s">
        <v>165</v>
      </c>
      <c r="I153" s="125">
        <v>172.9</v>
      </c>
      <c r="J153" s="125">
        <v>1347.75</v>
      </c>
      <c r="K153" s="125">
        <v>175297.33</v>
      </c>
      <c r="L153" s="125" t="s">
        <v>165</v>
      </c>
      <c r="M153" s="139">
        <f t="shared" si="22"/>
        <v>-174122.48</v>
      </c>
      <c r="N153" s="139">
        <f t="shared" si="23"/>
        <v>-175297.33</v>
      </c>
      <c r="O153" s="115"/>
      <c r="P153" s="115"/>
      <c r="Q153" s="118"/>
    </row>
    <row r="154" spans="1:17" s="128" customFormat="1" x14ac:dyDescent="0.3">
      <c r="A154" s="115"/>
      <c r="B154" s="123" t="s">
        <v>96</v>
      </c>
      <c r="C154" s="135" t="str">
        <f t="shared" si="26"/>
        <v>Passivo</v>
      </c>
      <c r="D154" s="135" t="str">
        <f t="shared" si="21"/>
        <v/>
      </c>
      <c r="E154" s="124" t="s">
        <v>497</v>
      </c>
      <c r="F154" s="124" t="s">
        <v>498</v>
      </c>
      <c r="G154" s="125">
        <v>36335.040000000001</v>
      </c>
      <c r="H154" s="125" t="s">
        <v>162</v>
      </c>
      <c r="I154" s="125">
        <v>0</v>
      </c>
      <c r="J154" s="125">
        <v>582.44000000000005</v>
      </c>
      <c r="K154" s="125">
        <v>35752.6</v>
      </c>
      <c r="L154" s="125" t="s">
        <v>162</v>
      </c>
      <c r="M154" s="139">
        <f t="shared" si="22"/>
        <v>36335.040000000001</v>
      </c>
      <c r="N154" s="139">
        <f t="shared" si="23"/>
        <v>35752.6</v>
      </c>
      <c r="O154" s="115"/>
      <c r="P154" s="115"/>
      <c r="Q154" s="118"/>
    </row>
    <row r="155" spans="1:17" s="129" customFormat="1" x14ac:dyDescent="0.3">
      <c r="A155" s="117"/>
      <c r="B155" s="123" t="s">
        <v>96</v>
      </c>
      <c r="C155" s="135"/>
      <c r="D155" s="135" t="str">
        <f t="shared" si="21"/>
        <v/>
      </c>
      <c r="E155" s="124" t="s">
        <v>499</v>
      </c>
      <c r="F155" s="124" t="s">
        <v>500</v>
      </c>
      <c r="G155" s="125">
        <v>4559.08</v>
      </c>
      <c r="H155" s="125" t="s">
        <v>165</v>
      </c>
      <c r="I155" s="125">
        <v>401.99</v>
      </c>
      <c r="J155" s="125">
        <v>3110.32</v>
      </c>
      <c r="K155" s="125">
        <v>7267.41</v>
      </c>
      <c r="L155" s="125" t="s">
        <v>165</v>
      </c>
      <c r="M155" s="139">
        <f t="shared" si="22"/>
        <v>-4559.08</v>
      </c>
      <c r="N155" s="139">
        <f t="shared" si="23"/>
        <v>-7267.41</v>
      </c>
      <c r="O155" s="122"/>
      <c r="P155" s="122"/>
    </row>
    <row r="156" spans="1:17" s="128" customFormat="1" x14ac:dyDescent="0.3">
      <c r="A156" s="115"/>
      <c r="B156" s="123" t="s">
        <v>96</v>
      </c>
      <c r="C156" s="135" t="str">
        <f t="shared" ref="C156:C157" si="27">IF(MID(E156,1,1)="1","Ativo",IF(MID(E156,1,1)="2","Passivo","Resultado"))</f>
        <v>Passivo</v>
      </c>
      <c r="D156" s="135" t="str">
        <f t="shared" si="21"/>
        <v/>
      </c>
      <c r="E156" s="124" t="s">
        <v>501</v>
      </c>
      <c r="F156" s="124" t="s">
        <v>502</v>
      </c>
      <c r="G156" s="125">
        <v>322418.65000000002</v>
      </c>
      <c r="H156" s="125" t="s">
        <v>165</v>
      </c>
      <c r="I156" s="125">
        <v>0</v>
      </c>
      <c r="J156" s="125">
        <v>6406.82</v>
      </c>
      <c r="K156" s="125">
        <v>328825.46999999997</v>
      </c>
      <c r="L156" s="125" t="s">
        <v>165</v>
      </c>
      <c r="M156" s="139">
        <f t="shared" si="22"/>
        <v>-322418.65000000002</v>
      </c>
      <c r="N156" s="139">
        <f t="shared" si="23"/>
        <v>-328825.46999999997</v>
      </c>
      <c r="O156" s="115"/>
      <c r="P156" s="115"/>
      <c r="Q156" s="118"/>
    </row>
    <row r="157" spans="1:17" s="128" customFormat="1" x14ac:dyDescent="0.3">
      <c r="A157" s="115"/>
      <c r="B157" s="123" t="s">
        <v>96</v>
      </c>
      <c r="C157" s="135" t="str">
        <f t="shared" si="27"/>
        <v>Passivo</v>
      </c>
      <c r="D157" s="135" t="str">
        <f t="shared" si="21"/>
        <v/>
      </c>
      <c r="E157" s="124" t="s">
        <v>503</v>
      </c>
      <c r="F157" s="124" t="s">
        <v>504</v>
      </c>
      <c r="G157" s="125">
        <v>881768.69</v>
      </c>
      <c r="H157" s="125" t="s">
        <v>165</v>
      </c>
      <c r="I157" s="125">
        <v>0</v>
      </c>
      <c r="J157" s="125">
        <v>4994.6499999999996</v>
      </c>
      <c r="K157" s="125">
        <v>886763.34</v>
      </c>
      <c r="L157" s="125" t="s">
        <v>165</v>
      </c>
      <c r="M157" s="139">
        <f t="shared" si="22"/>
        <v>-881768.69</v>
      </c>
      <c r="N157" s="139">
        <f t="shared" si="23"/>
        <v>-886763.34</v>
      </c>
      <c r="O157" s="115"/>
      <c r="P157" s="115"/>
      <c r="Q157" s="118"/>
    </row>
    <row r="158" spans="1:17" s="128" customFormat="1" x14ac:dyDescent="0.3">
      <c r="A158" s="115"/>
      <c r="B158" s="123" t="s">
        <v>96</v>
      </c>
      <c r="C158" s="135"/>
      <c r="D158" s="135" t="str">
        <f t="shared" si="21"/>
        <v/>
      </c>
      <c r="E158" s="124" t="s">
        <v>505</v>
      </c>
      <c r="F158" s="124" t="s">
        <v>506</v>
      </c>
      <c r="G158" s="125">
        <v>172183.16</v>
      </c>
      <c r="H158" s="125" t="s">
        <v>162</v>
      </c>
      <c r="I158" s="125">
        <v>0</v>
      </c>
      <c r="J158" s="125">
        <v>0</v>
      </c>
      <c r="K158" s="125">
        <v>172183.16</v>
      </c>
      <c r="L158" s="125" t="s">
        <v>162</v>
      </c>
      <c r="M158" s="139">
        <f t="shared" si="22"/>
        <v>172183.16</v>
      </c>
      <c r="N158" s="139">
        <f t="shared" si="23"/>
        <v>172183.16</v>
      </c>
      <c r="O158" s="115"/>
      <c r="P158" s="115"/>
      <c r="Q158" s="118"/>
    </row>
    <row r="159" spans="1:17" s="128" customFormat="1" x14ac:dyDescent="0.3">
      <c r="A159" s="115"/>
      <c r="B159" s="123" t="s">
        <v>96</v>
      </c>
      <c r="C159" s="135"/>
      <c r="D159" s="135" t="str">
        <f t="shared" si="21"/>
        <v/>
      </c>
      <c r="E159" s="124" t="s">
        <v>507</v>
      </c>
      <c r="F159" s="124" t="s">
        <v>508</v>
      </c>
      <c r="G159" s="125">
        <v>201697.32</v>
      </c>
      <c r="H159" s="125" t="s">
        <v>162</v>
      </c>
      <c r="I159" s="125">
        <v>0</v>
      </c>
      <c r="J159" s="125">
        <v>0</v>
      </c>
      <c r="K159" s="125">
        <v>201697.32</v>
      </c>
      <c r="L159" s="125" t="s">
        <v>162</v>
      </c>
      <c r="M159" s="139">
        <f t="shared" si="22"/>
        <v>201697.32</v>
      </c>
      <c r="N159" s="139">
        <f t="shared" si="23"/>
        <v>201697.32</v>
      </c>
      <c r="O159" s="115"/>
      <c r="P159" s="115"/>
      <c r="Q159" s="118"/>
    </row>
    <row r="160" spans="1:17" s="128" customFormat="1" x14ac:dyDescent="0.3">
      <c r="A160" s="115"/>
      <c r="B160" s="123" t="s">
        <v>96</v>
      </c>
      <c r="C160" s="135" t="str">
        <f t="shared" ref="C160:C162" si="28">IF(MID(E160,1,1)="1","Ativo",IF(MID(E160,1,1)="2","Passivo","Resultado"))</f>
        <v>Passivo</v>
      </c>
      <c r="D160" s="135" t="str">
        <f t="shared" si="21"/>
        <v/>
      </c>
      <c r="E160" s="124" t="s">
        <v>509</v>
      </c>
      <c r="F160" s="124" t="s">
        <v>510</v>
      </c>
      <c r="G160" s="125">
        <v>4093.19</v>
      </c>
      <c r="H160" s="125" t="s">
        <v>162</v>
      </c>
      <c r="I160" s="125">
        <v>0</v>
      </c>
      <c r="J160" s="125">
        <v>0</v>
      </c>
      <c r="K160" s="125">
        <v>4093.19</v>
      </c>
      <c r="L160" s="125" t="s">
        <v>162</v>
      </c>
      <c r="M160" s="139">
        <f t="shared" si="22"/>
        <v>4093.19</v>
      </c>
      <c r="N160" s="139">
        <f t="shared" si="23"/>
        <v>4093.19</v>
      </c>
      <c r="O160" s="115"/>
      <c r="P160" s="115"/>
      <c r="Q160" s="118"/>
    </row>
    <row r="161" spans="1:17" s="128" customFormat="1" x14ac:dyDescent="0.3">
      <c r="A161" s="115"/>
      <c r="B161" s="123" t="s">
        <v>96</v>
      </c>
      <c r="C161" s="135" t="str">
        <f t="shared" si="28"/>
        <v>Passivo</v>
      </c>
      <c r="D161" s="135" t="str">
        <f t="shared" si="21"/>
        <v/>
      </c>
      <c r="E161" s="124" t="s">
        <v>511</v>
      </c>
      <c r="F161" s="124" t="s">
        <v>512</v>
      </c>
      <c r="G161" s="125">
        <v>273</v>
      </c>
      <c r="H161" s="125" t="s">
        <v>165</v>
      </c>
      <c r="I161" s="125">
        <v>0</v>
      </c>
      <c r="J161" s="125">
        <v>0</v>
      </c>
      <c r="K161" s="125">
        <v>273</v>
      </c>
      <c r="L161" s="125" t="s">
        <v>165</v>
      </c>
      <c r="M161" s="139">
        <f t="shared" si="22"/>
        <v>-273</v>
      </c>
      <c r="N161" s="139">
        <f t="shared" si="23"/>
        <v>-273</v>
      </c>
      <c r="O161" s="115"/>
      <c r="P161" s="115"/>
      <c r="Q161" s="118"/>
    </row>
    <row r="162" spans="1:17" s="128" customFormat="1" x14ac:dyDescent="0.3">
      <c r="A162" s="115"/>
      <c r="B162" s="123" t="s">
        <v>96</v>
      </c>
      <c r="C162" s="135" t="str">
        <f t="shared" si="28"/>
        <v>Passivo</v>
      </c>
      <c r="D162" s="135" t="str">
        <f t="shared" si="21"/>
        <v>Sintetica</v>
      </c>
      <c r="E162" s="124" t="s">
        <v>513</v>
      </c>
      <c r="F162" s="124" t="s">
        <v>514</v>
      </c>
      <c r="G162" s="125">
        <v>603235.59</v>
      </c>
      <c r="H162" s="125" t="s">
        <v>165</v>
      </c>
      <c r="I162" s="125">
        <v>32462.98</v>
      </c>
      <c r="J162" s="125">
        <v>41395.06</v>
      </c>
      <c r="K162" s="125">
        <v>612167.67000000004</v>
      </c>
      <c r="L162" s="125" t="s">
        <v>165</v>
      </c>
      <c r="M162" s="139">
        <f t="shared" si="22"/>
        <v>-603235.59</v>
      </c>
      <c r="N162" s="139">
        <f t="shared" si="23"/>
        <v>-612167.67000000004</v>
      </c>
      <c r="O162" s="115"/>
      <c r="P162" s="115"/>
      <c r="Q162" s="118"/>
    </row>
    <row r="163" spans="1:17" s="128" customFormat="1" x14ac:dyDescent="0.3">
      <c r="A163" s="115"/>
      <c r="B163" s="123" t="s">
        <v>96</v>
      </c>
      <c r="C163" s="135"/>
      <c r="D163" s="135" t="str">
        <f t="shared" si="21"/>
        <v>Sintetica</v>
      </c>
      <c r="E163" s="124" t="s">
        <v>515</v>
      </c>
      <c r="F163" s="124" t="s">
        <v>516</v>
      </c>
      <c r="G163" s="125">
        <v>216034.02</v>
      </c>
      <c r="H163" s="125" t="s">
        <v>165</v>
      </c>
      <c r="I163" s="125">
        <v>24461.01</v>
      </c>
      <c r="J163" s="125">
        <v>25318.98</v>
      </c>
      <c r="K163" s="125">
        <v>216891.99</v>
      </c>
      <c r="L163" s="125" t="s">
        <v>165</v>
      </c>
      <c r="M163" s="139">
        <f t="shared" si="22"/>
        <v>-216034.02</v>
      </c>
      <c r="N163" s="139">
        <f t="shared" si="23"/>
        <v>-216891.99</v>
      </c>
      <c r="O163" s="115"/>
      <c r="P163" s="115"/>
      <c r="Q163" s="118"/>
    </row>
    <row r="164" spans="1:17" s="128" customFormat="1" x14ac:dyDescent="0.3">
      <c r="A164" s="115"/>
      <c r="B164" s="123" t="s">
        <v>96</v>
      </c>
      <c r="C164" s="135"/>
      <c r="D164" s="135" t="str">
        <f t="shared" si="21"/>
        <v>Sintetica</v>
      </c>
      <c r="E164" s="124" t="s">
        <v>517</v>
      </c>
      <c r="F164" s="124" t="s">
        <v>518</v>
      </c>
      <c r="G164" s="125">
        <v>115451.42</v>
      </c>
      <c r="H164" s="125" t="s">
        <v>165</v>
      </c>
      <c r="I164" s="125">
        <v>2375.65</v>
      </c>
      <c r="J164" s="125">
        <v>9205.84</v>
      </c>
      <c r="K164" s="125">
        <v>122281.61</v>
      </c>
      <c r="L164" s="125" t="s">
        <v>165</v>
      </c>
      <c r="M164" s="139">
        <f t="shared" si="22"/>
        <v>-115451.42</v>
      </c>
      <c r="N164" s="139">
        <f t="shared" si="23"/>
        <v>-122281.61</v>
      </c>
      <c r="O164" s="115"/>
      <c r="P164" s="115"/>
      <c r="Q164" s="118"/>
    </row>
    <row r="165" spans="1:17" s="128" customFormat="1" x14ac:dyDescent="0.3">
      <c r="A165" s="115"/>
      <c r="B165" s="123" t="s">
        <v>96</v>
      </c>
      <c r="C165" s="135"/>
      <c r="D165" s="135" t="str">
        <f t="shared" si="21"/>
        <v>Sintetica</v>
      </c>
      <c r="E165" s="124" t="s">
        <v>519</v>
      </c>
      <c r="F165" s="124" t="s">
        <v>185</v>
      </c>
      <c r="G165" s="125">
        <v>143817.15</v>
      </c>
      <c r="H165" s="125" t="s">
        <v>165</v>
      </c>
      <c r="I165" s="125">
        <v>3719.04</v>
      </c>
      <c r="J165" s="125">
        <v>2769.82</v>
      </c>
      <c r="K165" s="125">
        <v>142867.93</v>
      </c>
      <c r="L165" s="125" t="s">
        <v>165</v>
      </c>
      <c r="M165" s="139">
        <f t="shared" si="22"/>
        <v>-143817.15</v>
      </c>
      <c r="N165" s="139">
        <f t="shared" si="23"/>
        <v>-142867.93</v>
      </c>
      <c r="O165" s="115"/>
      <c r="P165" s="115"/>
      <c r="Q165" s="118"/>
    </row>
    <row r="166" spans="1:17" s="128" customFormat="1" x14ac:dyDescent="0.3">
      <c r="A166" s="115"/>
      <c r="B166" s="123" t="s">
        <v>96</v>
      </c>
      <c r="C166" s="135"/>
      <c r="D166" s="135" t="str">
        <f t="shared" si="21"/>
        <v>Sintetica</v>
      </c>
      <c r="E166" s="124" t="s">
        <v>520</v>
      </c>
      <c r="F166" s="124" t="s">
        <v>186</v>
      </c>
      <c r="G166" s="125">
        <v>35020.160000000003</v>
      </c>
      <c r="H166" s="125" t="s">
        <v>165</v>
      </c>
      <c r="I166" s="125">
        <v>1033.05</v>
      </c>
      <c r="J166" s="125">
        <v>727.69</v>
      </c>
      <c r="K166" s="125">
        <v>34714.800000000003</v>
      </c>
      <c r="L166" s="125" t="s">
        <v>165</v>
      </c>
      <c r="M166" s="139">
        <f t="shared" si="22"/>
        <v>-35020.160000000003</v>
      </c>
      <c r="N166" s="139">
        <f t="shared" si="23"/>
        <v>-34714.800000000003</v>
      </c>
      <c r="O166" s="115"/>
      <c r="P166" s="115"/>
      <c r="Q166" s="118"/>
    </row>
    <row r="167" spans="1:17" s="128" customFormat="1" x14ac:dyDescent="0.3">
      <c r="A167" s="115"/>
      <c r="B167" s="123" t="s">
        <v>96</v>
      </c>
      <c r="C167" s="135" t="str">
        <f t="shared" ref="C167:C180" si="29">IF(MID(E167,1,1)="1","Ativo",IF(MID(E167,1,1)="2","Passivo","Resultado"))</f>
        <v>Passivo</v>
      </c>
      <c r="D167" s="135" t="str">
        <f t="shared" si="21"/>
        <v>Sintetica</v>
      </c>
      <c r="E167" s="124" t="s">
        <v>521</v>
      </c>
      <c r="F167" s="124" t="s">
        <v>187</v>
      </c>
      <c r="G167" s="125">
        <v>55275.98</v>
      </c>
      <c r="H167" s="125" t="s">
        <v>165</v>
      </c>
      <c r="I167" s="125">
        <v>684.18</v>
      </c>
      <c r="J167" s="125">
        <v>2651.29</v>
      </c>
      <c r="K167" s="125">
        <v>57243.09</v>
      </c>
      <c r="L167" s="125" t="s">
        <v>165</v>
      </c>
      <c r="M167" s="139">
        <f t="shared" si="22"/>
        <v>-55275.98</v>
      </c>
      <c r="N167" s="139">
        <f t="shared" si="23"/>
        <v>-57243.09</v>
      </c>
      <c r="O167" s="115"/>
      <c r="P167" s="115"/>
      <c r="Q167" s="118"/>
    </row>
    <row r="168" spans="1:17" s="128" customFormat="1" x14ac:dyDescent="0.3">
      <c r="A168" s="115"/>
      <c r="B168" s="123" t="s">
        <v>96</v>
      </c>
      <c r="C168" s="135" t="str">
        <f t="shared" si="29"/>
        <v>Passivo</v>
      </c>
      <c r="D168" s="135" t="str">
        <f t="shared" si="21"/>
        <v>Sintetica</v>
      </c>
      <c r="E168" s="124" t="s">
        <v>522</v>
      </c>
      <c r="F168" s="124" t="s">
        <v>188</v>
      </c>
      <c r="G168" s="125">
        <v>37636.86</v>
      </c>
      <c r="H168" s="125" t="s">
        <v>165</v>
      </c>
      <c r="I168" s="125">
        <v>190.05</v>
      </c>
      <c r="J168" s="125">
        <v>721.44</v>
      </c>
      <c r="K168" s="125">
        <v>38168.25</v>
      </c>
      <c r="L168" s="125" t="s">
        <v>165</v>
      </c>
      <c r="M168" s="139">
        <f t="shared" si="22"/>
        <v>-37636.86</v>
      </c>
      <c r="N168" s="139">
        <f t="shared" si="23"/>
        <v>-38168.25</v>
      </c>
      <c r="O168" s="115"/>
      <c r="P168" s="115"/>
      <c r="Q168" s="118"/>
    </row>
    <row r="169" spans="1:17" s="128" customFormat="1" x14ac:dyDescent="0.3">
      <c r="A169" s="115"/>
      <c r="B169" s="123" t="s">
        <v>96</v>
      </c>
      <c r="C169" s="135" t="str">
        <f t="shared" si="29"/>
        <v>Passivo</v>
      </c>
      <c r="D169" s="135" t="str">
        <f t="shared" si="21"/>
        <v>Sintetica</v>
      </c>
      <c r="E169" s="124" t="s">
        <v>523</v>
      </c>
      <c r="F169" s="124" t="s">
        <v>189</v>
      </c>
      <c r="G169" s="125">
        <v>508361.18</v>
      </c>
      <c r="H169" s="125" t="s">
        <v>165</v>
      </c>
      <c r="I169" s="125">
        <v>237958.43</v>
      </c>
      <c r="J169" s="125">
        <v>285339.17</v>
      </c>
      <c r="K169" s="125">
        <v>555741.92000000004</v>
      </c>
      <c r="L169" s="125" t="s">
        <v>165</v>
      </c>
      <c r="M169" s="139">
        <f t="shared" si="22"/>
        <v>-508361.18</v>
      </c>
      <c r="N169" s="139">
        <f t="shared" si="23"/>
        <v>-555741.92000000004</v>
      </c>
      <c r="O169" s="115"/>
      <c r="P169" s="115"/>
      <c r="Q169" s="118"/>
    </row>
    <row r="170" spans="1:17" s="128" customFormat="1" x14ac:dyDescent="0.3">
      <c r="A170" s="115"/>
      <c r="B170" s="123" t="s">
        <v>96</v>
      </c>
      <c r="C170" s="135" t="str">
        <f t="shared" si="29"/>
        <v>Passivo</v>
      </c>
      <c r="D170" s="135" t="str">
        <f t="shared" si="21"/>
        <v>Sintetica</v>
      </c>
      <c r="E170" s="124" t="s">
        <v>524</v>
      </c>
      <c r="F170" s="124" t="s">
        <v>525</v>
      </c>
      <c r="G170" s="125">
        <v>14100.91</v>
      </c>
      <c r="H170" s="125" t="s">
        <v>165</v>
      </c>
      <c r="I170" s="125">
        <v>0</v>
      </c>
      <c r="J170" s="125">
        <v>0</v>
      </c>
      <c r="K170" s="125">
        <v>14100.91</v>
      </c>
      <c r="L170" s="125" t="s">
        <v>165</v>
      </c>
      <c r="M170" s="139">
        <f t="shared" si="22"/>
        <v>-14100.91</v>
      </c>
      <c r="N170" s="139">
        <f t="shared" si="23"/>
        <v>-14100.91</v>
      </c>
      <c r="O170" s="115"/>
      <c r="P170" s="115"/>
      <c r="Q170" s="118"/>
    </row>
    <row r="171" spans="1:17" s="129" customFormat="1" x14ac:dyDescent="0.3">
      <c r="A171" s="117"/>
      <c r="B171" s="123" t="s">
        <v>96</v>
      </c>
      <c r="C171" s="135" t="str">
        <f t="shared" si="29"/>
        <v>Passivo</v>
      </c>
      <c r="D171" s="135" t="str">
        <f t="shared" si="21"/>
        <v>Sintetica</v>
      </c>
      <c r="E171" s="124" t="s">
        <v>526</v>
      </c>
      <c r="F171" s="124" t="s">
        <v>527</v>
      </c>
      <c r="G171" s="125">
        <v>174004.19</v>
      </c>
      <c r="H171" s="125" t="s">
        <v>165</v>
      </c>
      <c r="I171" s="125">
        <v>67702.350000000006</v>
      </c>
      <c r="J171" s="125">
        <v>275776.36</v>
      </c>
      <c r="K171" s="125">
        <v>382078.2</v>
      </c>
      <c r="L171" s="125" t="s">
        <v>165</v>
      </c>
      <c r="M171" s="139">
        <f t="shared" si="22"/>
        <v>-174004.19</v>
      </c>
      <c r="N171" s="139">
        <f t="shared" si="23"/>
        <v>-382078.2</v>
      </c>
      <c r="O171" s="122"/>
      <c r="P171" s="122"/>
    </row>
    <row r="172" spans="1:17" s="128" customFormat="1" x14ac:dyDescent="0.3">
      <c r="A172" s="115"/>
      <c r="B172" s="123" t="s">
        <v>96</v>
      </c>
      <c r="C172" s="135" t="str">
        <f t="shared" si="29"/>
        <v>Passivo</v>
      </c>
      <c r="D172" s="135" t="str">
        <f t="shared" si="21"/>
        <v>Sintetica</v>
      </c>
      <c r="E172" s="124" t="s">
        <v>528</v>
      </c>
      <c r="F172" s="124" t="s">
        <v>529</v>
      </c>
      <c r="G172" s="125">
        <v>320256.08</v>
      </c>
      <c r="H172" s="125" t="s">
        <v>165</v>
      </c>
      <c r="I172" s="125">
        <v>170256.08</v>
      </c>
      <c r="J172" s="125">
        <v>9562.81</v>
      </c>
      <c r="K172" s="125">
        <v>159562.81</v>
      </c>
      <c r="L172" s="125" t="s">
        <v>165</v>
      </c>
      <c r="M172" s="139">
        <f t="shared" si="22"/>
        <v>-320256.08</v>
      </c>
      <c r="N172" s="139">
        <f t="shared" si="23"/>
        <v>-159562.81</v>
      </c>
      <c r="O172" s="115"/>
      <c r="P172" s="115"/>
      <c r="Q172" s="118"/>
    </row>
    <row r="173" spans="1:17" s="128" customFormat="1" x14ac:dyDescent="0.3">
      <c r="A173" s="115"/>
      <c r="B173" s="123" t="s">
        <v>96</v>
      </c>
      <c r="C173" s="135" t="str">
        <f t="shared" si="29"/>
        <v>Passivo</v>
      </c>
      <c r="D173" s="135" t="str">
        <f t="shared" si="21"/>
        <v>Sintetica</v>
      </c>
      <c r="E173" s="124" t="s">
        <v>530</v>
      </c>
      <c r="F173" s="124" t="s">
        <v>531</v>
      </c>
      <c r="G173" s="125">
        <v>105253.96</v>
      </c>
      <c r="H173" s="125" t="s">
        <v>165</v>
      </c>
      <c r="I173" s="125">
        <v>4500</v>
      </c>
      <c r="J173" s="125">
        <v>45000</v>
      </c>
      <c r="K173" s="125">
        <v>145753.96</v>
      </c>
      <c r="L173" s="125" t="s">
        <v>165</v>
      </c>
      <c r="M173" s="139">
        <f t="shared" si="22"/>
        <v>-105253.96</v>
      </c>
      <c r="N173" s="139">
        <f t="shared" si="23"/>
        <v>-145753.96</v>
      </c>
      <c r="O173" s="115"/>
      <c r="P173" s="115"/>
      <c r="Q173" s="118"/>
    </row>
    <row r="174" spans="1:17" s="128" customFormat="1" x14ac:dyDescent="0.3">
      <c r="A174" s="115"/>
      <c r="B174" s="123" t="s">
        <v>96</v>
      </c>
      <c r="C174" s="135" t="str">
        <f t="shared" si="29"/>
        <v>Passivo</v>
      </c>
      <c r="D174" s="135" t="str">
        <f t="shared" si="21"/>
        <v>Sintetica</v>
      </c>
      <c r="E174" s="124" t="s">
        <v>532</v>
      </c>
      <c r="F174" s="124" t="s">
        <v>533</v>
      </c>
      <c r="G174" s="125">
        <v>105253.96</v>
      </c>
      <c r="H174" s="125" t="s">
        <v>165</v>
      </c>
      <c r="I174" s="125">
        <v>4500</v>
      </c>
      <c r="J174" s="125">
        <v>45000</v>
      </c>
      <c r="K174" s="125">
        <v>145753.96</v>
      </c>
      <c r="L174" s="125" t="s">
        <v>165</v>
      </c>
      <c r="M174" s="139">
        <f t="shared" si="22"/>
        <v>-105253.96</v>
      </c>
      <c r="N174" s="139">
        <f t="shared" si="23"/>
        <v>-145753.96</v>
      </c>
      <c r="O174" s="115"/>
      <c r="P174" s="115"/>
      <c r="Q174" s="118"/>
    </row>
    <row r="175" spans="1:17" s="128" customFormat="1" x14ac:dyDescent="0.3">
      <c r="A175" s="115"/>
      <c r="B175" s="123" t="s">
        <v>96</v>
      </c>
      <c r="C175" s="135" t="str">
        <f t="shared" si="29"/>
        <v>Passivo</v>
      </c>
      <c r="D175" s="135" t="str">
        <f t="shared" si="21"/>
        <v>Sintetica</v>
      </c>
      <c r="E175" s="124" t="s">
        <v>534</v>
      </c>
      <c r="F175" s="124" t="s">
        <v>535</v>
      </c>
      <c r="G175" s="125">
        <v>195031.76</v>
      </c>
      <c r="H175" s="125" t="s">
        <v>165</v>
      </c>
      <c r="I175" s="125">
        <v>0</v>
      </c>
      <c r="J175" s="125">
        <v>0</v>
      </c>
      <c r="K175" s="125">
        <v>195031.76</v>
      </c>
      <c r="L175" s="125" t="s">
        <v>165</v>
      </c>
      <c r="M175" s="139">
        <f t="shared" si="22"/>
        <v>-195031.76</v>
      </c>
      <c r="N175" s="139">
        <f t="shared" si="23"/>
        <v>-195031.76</v>
      </c>
      <c r="O175" s="115"/>
      <c r="P175" s="115"/>
      <c r="Q175" s="118"/>
    </row>
    <row r="176" spans="1:17" s="128" customFormat="1" x14ac:dyDescent="0.3">
      <c r="A176" s="115"/>
      <c r="B176" s="123" t="s">
        <v>96</v>
      </c>
      <c r="C176" s="135" t="str">
        <f t="shared" si="29"/>
        <v>Passivo</v>
      </c>
      <c r="D176" s="135" t="str">
        <f t="shared" si="21"/>
        <v>Sintetica</v>
      </c>
      <c r="E176" s="124" t="s">
        <v>536</v>
      </c>
      <c r="F176" s="124" t="s">
        <v>190</v>
      </c>
      <c r="G176" s="125">
        <v>180348.65</v>
      </c>
      <c r="H176" s="125" t="s">
        <v>165</v>
      </c>
      <c r="I176" s="125">
        <v>0</v>
      </c>
      <c r="J176" s="125">
        <v>0</v>
      </c>
      <c r="K176" s="125">
        <v>180348.65</v>
      </c>
      <c r="L176" s="125" t="s">
        <v>165</v>
      </c>
      <c r="M176" s="139">
        <f t="shared" si="22"/>
        <v>-180348.65</v>
      </c>
      <c r="N176" s="139">
        <f t="shared" si="23"/>
        <v>-180348.65</v>
      </c>
      <c r="O176" s="115"/>
      <c r="P176" s="115"/>
      <c r="Q176" s="118"/>
    </row>
    <row r="177" spans="1:17" s="128" customFormat="1" x14ac:dyDescent="0.3">
      <c r="A177" s="115"/>
      <c r="B177" s="123" t="s">
        <v>96</v>
      </c>
      <c r="C177" s="135" t="str">
        <f t="shared" si="29"/>
        <v>Passivo</v>
      </c>
      <c r="D177" s="135" t="str">
        <f t="shared" si="21"/>
        <v>Sintetica</v>
      </c>
      <c r="E177" s="124" t="s">
        <v>537</v>
      </c>
      <c r="F177" s="124" t="s">
        <v>538</v>
      </c>
      <c r="G177" s="125">
        <v>14683.11</v>
      </c>
      <c r="H177" s="125" t="s">
        <v>165</v>
      </c>
      <c r="I177" s="125">
        <v>0</v>
      </c>
      <c r="J177" s="125">
        <v>0</v>
      </c>
      <c r="K177" s="125">
        <v>14683.11</v>
      </c>
      <c r="L177" s="125" t="s">
        <v>165</v>
      </c>
      <c r="M177" s="139">
        <f t="shared" si="22"/>
        <v>-14683.11</v>
      </c>
      <c r="N177" s="139">
        <f t="shared" si="23"/>
        <v>-14683.11</v>
      </c>
      <c r="O177" s="115"/>
      <c r="P177" s="115"/>
      <c r="Q177" s="118"/>
    </row>
    <row r="178" spans="1:17" s="129" customFormat="1" x14ac:dyDescent="0.3">
      <c r="A178" s="117"/>
      <c r="B178" s="123" t="s">
        <v>96</v>
      </c>
      <c r="C178" s="135" t="str">
        <f t="shared" si="29"/>
        <v>Passivo</v>
      </c>
      <c r="D178" s="135" t="str">
        <f t="shared" si="21"/>
        <v>Sintetica</v>
      </c>
      <c r="E178" s="124" t="s">
        <v>539</v>
      </c>
      <c r="F178" s="124" t="s">
        <v>540</v>
      </c>
      <c r="G178" s="125">
        <v>34464024.520000003</v>
      </c>
      <c r="H178" s="125" t="s">
        <v>165</v>
      </c>
      <c r="I178" s="125">
        <v>34702.61</v>
      </c>
      <c r="J178" s="125">
        <v>1177683.51</v>
      </c>
      <c r="K178" s="125">
        <v>35607005.420000002</v>
      </c>
      <c r="L178" s="125" t="s">
        <v>165</v>
      </c>
      <c r="M178" s="139">
        <f t="shared" si="22"/>
        <v>-34464024.520000003</v>
      </c>
      <c r="N178" s="139">
        <f t="shared" si="23"/>
        <v>-35607005.420000002</v>
      </c>
      <c r="O178" s="122"/>
      <c r="P178" s="122"/>
    </row>
    <row r="179" spans="1:17" s="128" customFormat="1" x14ac:dyDescent="0.3">
      <c r="A179" s="115"/>
      <c r="B179" s="123" t="s">
        <v>96</v>
      </c>
      <c r="C179" s="135" t="str">
        <f t="shared" si="29"/>
        <v>Passivo</v>
      </c>
      <c r="D179" s="135" t="str">
        <f t="shared" si="21"/>
        <v>Sintetica</v>
      </c>
      <c r="E179" s="124" t="s">
        <v>541</v>
      </c>
      <c r="F179" s="124" t="s">
        <v>542</v>
      </c>
      <c r="G179" s="125">
        <v>34225002.009999998</v>
      </c>
      <c r="H179" s="125" t="s">
        <v>165</v>
      </c>
      <c r="I179" s="125">
        <v>34702.61</v>
      </c>
      <c r="J179" s="125">
        <v>1177683.51</v>
      </c>
      <c r="K179" s="125">
        <v>35367982.909999996</v>
      </c>
      <c r="L179" s="125" t="s">
        <v>165</v>
      </c>
      <c r="M179" s="139">
        <f t="shared" si="22"/>
        <v>-34225002.009999998</v>
      </c>
      <c r="N179" s="139">
        <f t="shared" si="23"/>
        <v>-35367982.909999996</v>
      </c>
      <c r="O179" s="115"/>
      <c r="P179" s="115"/>
      <c r="Q179" s="118"/>
    </row>
    <row r="180" spans="1:17" s="128" customFormat="1" x14ac:dyDescent="0.3">
      <c r="A180" s="115"/>
      <c r="B180" s="123" t="s">
        <v>96</v>
      </c>
      <c r="C180" s="135" t="str">
        <f t="shared" si="29"/>
        <v>Passivo</v>
      </c>
      <c r="D180" s="135" t="str">
        <f t="shared" si="21"/>
        <v>Sintetica</v>
      </c>
      <c r="E180" s="124" t="s">
        <v>543</v>
      </c>
      <c r="F180" s="124" t="s">
        <v>544</v>
      </c>
      <c r="G180" s="125">
        <v>239022.51</v>
      </c>
      <c r="H180" s="125" t="s">
        <v>165</v>
      </c>
      <c r="I180" s="125">
        <v>0</v>
      </c>
      <c r="J180" s="125">
        <v>0</v>
      </c>
      <c r="K180" s="125">
        <v>239022.51</v>
      </c>
      <c r="L180" s="125" t="s">
        <v>165</v>
      </c>
      <c r="M180" s="139">
        <f t="shared" si="22"/>
        <v>-239022.51</v>
      </c>
      <c r="N180" s="139">
        <f t="shared" si="23"/>
        <v>-239022.51</v>
      </c>
      <c r="O180" s="115"/>
      <c r="P180" s="115"/>
      <c r="Q180" s="118"/>
    </row>
    <row r="181" spans="1:17" s="128" customFormat="1" x14ac:dyDescent="0.3">
      <c r="A181" s="115"/>
      <c r="B181" s="123" t="s">
        <v>96</v>
      </c>
      <c r="C181" s="135"/>
      <c r="D181" s="135" t="str">
        <f t="shared" si="21"/>
        <v>Sintetica</v>
      </c>
      <c r="E181" s="124" t="s">
        <v>545</v>
      </c>
      <c r="F181" s="124" t="s">
        <v>546</v>
      </c>
      <c r="G181" s="125">
        <v>3837436.33</v>
      </c>
      <c r="H181" s="125" t="s">
        <v>165</v>
      </c>
      <c r="I181" s="125">
        <v>0</v>
      </c>
      <c r="J181" s="125">
        <v>0</v>
      </c>
      <c r="K181" s="125">
        <v>3837436.33</v>
      </c>
      <c r="L181" s="125" t="s">
        <v>165</v>
      </c>
      <c r="M181" s="139">
        <f t="shared" si="22"/>
        <v>-3837436.33</v>
      </c>
      <c r="N181" s="139">
        <f t="shared" si="23"/>
        <v>-3837436.33</v>
      </c>
      <c r="O181" s="115"/>
      <c r="P181" s="115"/>
      <c r="Q181" s="118"/>
    </row>
    <row r="182" spans="1:17" s="129" customFormat="1" x14ac:dyDescent="0.3">
      <c r="A182" s="117"/>
      <c r="B182" s="123" t="s">
        <v>96</v>
      </c>
      <c r="C182" s="135" t="str">
        <f t="shared" ref="C182:C187" si="30">IF(MID(E182,1,1)="1","Ativo",IF(MID(E182,1,1)="2","Passivo","Resultado"))</f>
        <v>Passivo</v>
      </c>
      <c r="D182" s="135" t="str">
        <f t="shared" si="21"/>
        <v>Sintetica</v>
      </c>
      <c r="E182" s="124" t="s">
        <v>547</v>
      </c>
      <c r="F182" s="124" t="s">
        <v>548</v>
      </c>
      <c r="G182" s="125">
        <v>1147137.3</v>
      </c>
      <c r="H182" s="125" t="s">
        <v>165</v>
      </c>
      <c r="I182" s="125">
        <v>0</v>
      </c>
      <c r="J182" s="125">
        <v>0</v>
      </c>
      <c r="K182" s="125">
        <v>1147137.3</v>
      </c>
      <c r="L182" s="125" t="s">
        <v>165</v>
      </c>
      <c r="M182" s="139">
        <f t="shared" si="22"/>
        <v>-1147137.3</v>
      </c>
      <c r="N182" s="139">
        <f t="shared" si="23"/>
        <v>-1147137.3</v>
      </c>
      <c r="O182" s="122"/>
      <c r="P182" s="122"/>
    </row>
    <row r="183" spans="1:17" s="128" customFormat="1" x14ac:dyDescent="0.3">
      <c r="A183" s="115"/>
      <c r="B183" s="123" t="s">
        <v>96</v>
      </c>
      <c r="C183" s="135" t="str">
        <f t="shared" si="30"/>
        <v>Passivo</v>
      </c>
      <c r="D183" s="135" t="str">
        <f t="shared" si="21"/>
        <v>Sintetica</v>
      </c>
      <c r="E183" s="124" t="s">
        <v>549</v>
      </c>
      <c r="F183" s="124" t="s">
        <v>550</v>
      </c>
      <c r="G183" s="125">
        <v>303156.47999999998</v>
      </c>
      <c r="H183" s="125" t="s">
        <v>165</v>
      </c>
      <c r="I183" s="125">
        <v>0</v>
      </c>
      <c r="J183" s="125">
        <v>0</v>
      </c>
      <c r="K183" s="125">
        <v>303156.47999999998</v>
      </c>
      <c r="L183" s="125" t="s">
        <v>165</v>
      </c>
      <c r="M183" s="139">
        <f t="shared" si="22"/>
        <v>-303156.47999999998</v>
      </c>
      <c r="N183" s="139">
        <f t="shared" si="23"/>
        <v>-303156.47999999998</v>
      </c>
      <c r="O183" s="115"/>
      <c r="P183" s="115"/>
      <c r="Q183" s="118"/>
    </row>
    <row r="184" spans="1:17" s="129" customFormat="1" x14ac:dyDescent="0.3">
      <c r="A184" s="117"/>
      <c r="B184" s="123" t="s">
        <v>96</v>
      </c>
      <c r="C184" s="135" t="str">
        <f t="shared" si="30"/>
        <v>Passivo</v>
      </c>
      <c r="D184" s="135" t="str">
        <f t="shared" si="21"/>
        <v>Sintetica</v>
      </c>
      <c r="E184" s="124" t="s">
        <v>551</v>
      </c>
      <c r="F184" s="124" t="s">
        <v>552</v>
      </c>
      <c r="G184" s="125">
        <v>2427044.5499999998</v>
      </c>
      <c r="H184" s="125" t="s">
        <v>165</v>
      </c>
      <c r="I184" s="125">
        <v>0</v>
      </c>
      <c r="J184" s="125">
        <v>0</v>
      </c>
      <c r="K184" s="125">
        <v>2427044.5499999998</v>
      </c>
      <c r="L184" s="125" t="s">
        <v>165</v>
      </c>
      <c r="M184" s="139">
        <f t="shared" si="22"/>
        <v>-2427044.5499999998</v>
      </c>
      <c r="N184" s="139">
        <f t="shared" si="23"/>
        <v>-2427044.5499999998</v>
      </c>
      <c r="O184" s="122"/>
      <c r="P184" s="122"/>
    </row>
    <row r="185" spans="1:17" s="128" customFormat="1" x14ac:dyDescent="0.3">
      <c r="A185" s="115"/>
      <c r="B185" s="123" t="s">
        <v>96</v>
      </c>
      <c r="C185" s="135" t="str">
        <f t="shared" si="30"/>
        <v>Passivo</v>
      </c>
      <c r="D185" s="135" t="str">
        <f t="shared" si="21"/>
        <v>Sintetica</v>
      </c>
      <c r="E185" s="124" t="s">
        <v>553</v>
      </c>
      <c r="F185" s="124" t="s">
        <v>554</v>
      </c>
      <c r="G185" s="125">
        <v>39902</v>
      </c>
      <c r="H185" s="125" t="s">
        <v>162</v>
      </c>
      <c r="I185" s="125">
        <v>0</v>
      </c>
      <c r="J185" s="125">
        <v>0</v>
      </c>
      <c r="K185" s="125">
        <v>39902</v>
      </c>
      <c r="L185" s="125" t="s">
        <v>162</v>
      </c>
      <c r="M185" s="139">
        <f t="shared" si="22"/>
        <v>39902</v>
      </c>
      <c r="N185" s="139">
        <f t="shared" si="23"/>
        <v>39902</v>
      </c>
      <c r="O185" s="115"/>
      <c r="P185" s="115"/>
      <c r="Q185" s="118"/>
    </row>
    <row r="186" spans="1:17" s="128" customFormat="1" x14ac:dyDescent="0.3">
      <c r="A186" s="115"/>
      <c r="B186" s="123" t="s">
        <v>96</v>
      </c>
      <c r="C186" s="135" t="str">
        <f t="shared" si="30"/>
        <v>Passivo</v>
      </c>
      <c r="D186" s="135" t="str">
        <f t="shared" si="21"/>
        <v>Sintetica</v>
      </c>
      <c r="E186" s="124" t="s">
        <v>555</v>
      </c>
      <c r="F186" s="124" t="s">
        <v>191</v>
      </c>
      <c r="G186" s="125">
        <v>2566641.98</v>
      </c>
      <c r="H186" s="125" t="s">
        <v>165</v>
      </c>
      <c r="I186" s="125">
        <v>61575.76</v>
      </c>
      <c r="J186" s="125">
        <v>0</v>
      </c>
      <c r="K186" s="125">
        <v>2505066.2200000002</v>
      </c>
      <c r="L186" s="125" t="s">
        <v>165</v>
      </c>
      <c r="M186" s="139">
        <f t="shared" si="22"/>
        <v>-2566641.98</v>
      </c>
      <c r="N186" s="139">
        <f t="shared" si="23"/>
        <v>-2505066.2200000002</v>
      </c>
      <c r="O186" s="115"/>
      <c r="P186" s="115"/>
      <c r="Q186" s="118"/>
    </row>
    <row r="187" spans="1:17" s="129" customFormat="1" x14ac:dyDescent="0.3">
      <c r="A187" s="117"/>
      <c r="B187" s="123" t="s">
        <v>96</v>
      </c>
      <c r="C187" s="135" t="str">
        <f t="shared" si="30"/>
        <v>Passivo</v>
      </c>
      <c r="D187" s="135" t="str">
        <f t="shared" si="21"/>
        <v>Sintetica</v>
      </c>
      <c r="E187" s="124" t="s">
        <v>556</v>
      </c>
      <c r="F187" s="124" t="s">
        <v>557</v>
      </c>
      <c r="G187" s="125">
        <v>2566641.98</v>
      </c>
      <c r="H187" s="125" t="s">
        <v>165</v>
      </c>
      <c r="I187" s="125">
        <v>61575.76</v>
      </c>
      <c r="J187" s="125">
        <v>0</v>
      </c>
      <c r="K187" s="125">
        <v>2505066.2200000002</v>
      </c>
      <c r="L187" s="125" t="s">
        <v>165</v>
      </c>
      <c r="M187" s="139">
        <f t="shared" si="22"/>
        <v>-2566641.98</v>
      </c>
      <c r="N187" s="139">
        <f t="shared" si="23"/>
        <v>-2505066.2200000002</v>
      </c>
      <c r="O187" s="122"/>
      <c r="P187" s="122"/>
    </row>
    <row r="188" spans="1:17" s="128" customFormat="1" x14ac:dyDescent="0.3">
      <c r="A188" s="115"/>
      <c r="B188" s="123" t="s">
        <v>96</v>
      </c>
      <c r="C188" s="135"/>
      <c r="D188" s="135" t="str">
        <f t="shared" si="21"/>
        <v>Sintetica</v>
      </c>
      <c r="E188" s="124" t="s">
        <v>558</v>
      </c>
      <c r="F188" s="124" t="s">
        <v>559</v>
      </c>
      <c r="G188" s="125">
        <v>284778.57</v>
      </c>
      <c r="H188" s="125" t="s">
        <v>162</v>
      </c>
      <c r="I188" s="125">
        <v>0</v>
      </c>
      <c r="J188" s="125">
        <v>0</v>
      </c>
      <c r="K188" s="125">
        <v>284778.57</v>
      </c>
      <c r="L188" s="125" t="s">
        <v>162</v>
      </c>
      <c r="M188" s="139">
        <f t="shared" si="22"/>
        <v>284778.57</v>
      </c>
      <c r="N188" s="139">
        <f t="shared" si="23"/>
        <v>284778.57</v>
      </c>
      <c r="O188" s="115"/>
      <c r="P188" s="115"/>
      <c r="Q188" s="118"/>
    </row>
    <row r="189" spans="1:17" s="128" customFormat="1" x14ac:dyDescent="0.3">
      <c r="A189" s="115"/>
      <c r="B189" s="123" t="s">
        <v>96</v>
      </c>
      <c r="C189" s="135"/>
      <c r="D189" s="135" t="str">
        <f t="shared" si="21"/>
        <v>Sintetica</v>
      </c>
      <c r="E189" s="124" t="s">
        <v>560</v>
      </c>
      <c r="F189" s="124" t="s">
        <v>561</v>
      </c>
      <c r="G189" s="125">
        <v>284778.57</v>
      </c>
      <c r="H189" s="125" t="s">
        <v>162</v>
      </c>
      <c r="I189" s="125">
        <v>0</v>
      </c>
      <c r="J189" s="125">
        <v>0</v>
      </c>
      <c r="K189" s="125">
        <v>284778.57</v>
      </c>
      <c r="L189" s="125" t="s">
        <v>162</v>
      </c>
      <c r="M189" s="139">
        <f t="shared" si="22"/>
        <v>284778.57</v>
      </c>
      <c r="N189" s="139">
        <f t="shared" si="23"/>
        <v>284778.57</v>
      </c>
      <c r="O189" s="115"/>
      <c r="P189" s="115"/>
      <c r="Q189" s="118"/>
    </row>
    <row r="190" spans="1:17" s="129" customFormat="1" x14ac:dyDescent="0.3">
      <c r="A190" s="117"/>
      <c r="B190" s="123" t="s">
        <v>96</v>
      </c>
      <c r="C190" s="135" t="str">
        <f t="shared" ref="C190:C191" si="31">IF(MID(E190,1,1)="1","Ativo",IF(MID(E190,1,1)="2","Passivo","Resultado"))</f>
        <v>Passivo</v>
      </c>
      <c r="D190" s="135" t="str">
        <f t="shared" si="21"/>
        <v>Sintetica</v>
      </c>
      <c r="E190" s="124" t="s">
        <v>562</v>
      </c>
      <c r="F190" s="124" t="s">
        <v>563</v>
      </c>
      <c r="G190" s="125">
        <v>2109078.2599999998</v>
      </c>
      <c r="H190" s="125" t="s">
        <v>165</v>
      </c>
      <c r="I190" s="125">
        <v>61575.76</v>
      </c>
      <c r="J190" s="125">
        <v>0</v>
      </c>
      <c r="K190" s="125">
        <v>2047502.5</v>
      </c>
      <c r="L190" s="125" t="s">
        <v>165</v>
      </c>
      <c r="M190" s="139">
        <f t="shared" si="22"/>
        <v>-2109078.2599999998</v>
      </c>
      <c r="N190" s="139">
        <f t="shared" si="23"/>
        <v>-2047502.5</v>
      </c>
      <c r="O190" s="122"/>
      <c r="P190" s="122"/>
    </row>
    <row r="191" spans="1:17" s="128" customFormat="1" x14ac:dyDescent="0.3">
      <c r="A191" s="115"/>
      <c r="B191" s="123" t="s">
        <v>96</v>
      </c>
      <c r="C191" s="135" t="str">
        <f t="shared" si="31"/>
        <v>Passivo</v>
      </c>
      <c r="D191" s="135" t="str">
        <f t="shared" si="21"/>
        <v>Sintetica</v>
      </c>
      <c r="E191" s="124" t="s">
        <v>564</v>
      </c>
      <c r="F191" s="124" t="s">
        <v>565</v>
      </c>
      <c r="G191" s="125">
        <v>632617.63</v>
      </c>
      <c r="H191" s="125" t="s">
        <v>165</v>
      </c>
      <c r="I191" s="125">
        <v>0</v>
      </c>
      <c r="J191" s="125">
        <v>0</v>
      </c>
      <c r="K191" s="125">
        <v>632617.63</v>
      </c>
      <c r="L191" s="125" t="s">
        <v>165</v>
      </c>
      <c r="M191" s="139">
        <f t="shared" si="22"/>
        <v>-632617.63</v>
      </c>
      <c r="N191" s="139">
        <f t="shared" si="23"/>
        <v>-632617.63</v>
      </c>
      <c r="O191" s="115"/>
      <c r="P191" s="115"/>
      <c r="Q191" s="118"/>
    </row>
    <row r="192" spans="1:17" s="128" customFormat="1" x14ac:dyDescent="0.3">
      <c r="A192" s="115"/>
      <c r="B192" s="123" t="s">
        <v>96</v>
      </c>
      <c r="C192" s="135"/>
      <c r="D192" s="135" t="str">
        <f t="shared" si="21"/>
        <v>Sintetica</v>
      </c>
      <c r="E192" s="124" t="s">
        <v>566</v>
      </c>
      <c r="F192" s="124" t="s">
        <v>456</v>
      </c>
      <c r="G192" s="125">
        <v>1476460.63</v>
      </c>
      <c r="H192" s="125" t="s">
        <v>165</v>
      </c>
      <c r="I192" s="125">
        <v>61575.76</v>
      </c>
      <c r="J192" s="125">
        <v>0</v>
      </c>
      <c r="K192" s="125">
        <v>1414884.87</v>
      </c>
      <c r="L192" s="125" t="s">
        <v>165</v>
      </c>
      <c r="M192" s="139">
        <f t="shared" si="22"/>
        <v>-1476460.63</v>
      </c>
      <c r="N192" s="139">
        <f t="shared" si="23"/>
        <v>-1414884.87</v>
      </c>
      <c r="O192" s="115"/>
      <c r="P192" s="115"/>
      <c r="Q192" s="118"/>
    </row>
    <row r="193" spans="1:17" s="128" customFormat="1" x14ac:dyDescent="0.3">
      <c r="A193" s="115"/>
      <c r="B193" s="123" t="s">
        <v>96</v>
      </c>
      <c r="C193" s="135"/>
      <c r="D193" s="135" t="str">
        <f t="shared" si="21"/>
        <v>Sintetica</v>
      </c>
      <c r="E193" s="124" t="s">
        <v>567</v>
      </c>
      <c r="F193" s="124" t="s">
        <v>568</v>
      </c>
      <c r="G193" s="125">
        <v>48584.63</v>
      </c>
      <c r="H193" s="125" t="s">
        <v>165</v>
      </c>
      <c r="I193" s="125">
        <v>0</v>
      </c>
      <c r="J193" s="125">
        <v>0</v>
      </c>
      <c r="K193" s="125">
        <v>48584.63</v>
      </c>
      <c r="L193" s="125" t="s">
        <v>165</v>
      </c>
      <c r="M193" s="139">
        <f t="shared" si="22"/>
        <v>-48584.63</v>
      </c>
      <c r="N193" s="139">
        <f t="shared" si="23"/>
        <v>-48584.63</v>
      </c>
      <c r="O193" s="115"/>
      <c r="P193" s="115"/>
      <c r="Q193" s="118"/>
    </row>
    <row r="194" spans="1:17" s="128" customFormat="1" x14ac:dyDescent="0.3">
      <c r="A194" s="115"/>
      <c r="B194" s="123" t="s">
        <v>96</v>
      </c>
      <c r="C194" s="135" t="str">
        <f t="shared" ref="C194:C209" si="32">IF(MID(E194,1,1)="1","Ativo",IF(MID(E194,1,1)="2","Passivo","Resultado"))</f>
        <v>Passivo</v>
      </c>
      <c r="D194" s="135" t="str">
        <f t="shared" si="21"/>
        <v>Sintetica</v>
      </c>
      <c r="E194" s="124" t="s">
        <v>569</v>
      </c>
      <c r="F194" s="124" t="s">
        <v>190</v>
      </c>
      <c r="G194" s="125">
        <v>10369.33</v>
      </c>
      <c r="H194" s="125" t="s">
        <v>162</v>
      </c>
      <c r="I194" s="125">
        <v>0</v>
      </c>
      <c r="J194" s="125">
        <v>0</v>
      </c>
      <c r="K194" s="125">
        <v>10369.33</v>
      </c>
      <c r="L194" s="125" t="s">
        <v>162</v>
      </c>
      <c r="M194" s="139">
        <f t="shared" si="22"/>
        <v>10369.33</v>
      </c>
      <c r="N194" s="139">
        <f t="shared" si="23"/>
        <v>10369.33</v>
      </c>
      <c r="O194" s="115"/>
      <c r="P194" s="115"/>
      <c r="Q194" s="118"/>
    </row>
    <row r="195" spans="1:17" s="129" customFormat="1" x14ac:dyDescent="0.3">
      <c r="A195" s="117"/>
      <c r="B195" s="123" t="s">
        <v>96</v>
      </c>
      <c r="C195" s="135" t="str">
        <f t="shared" si="32"/>
        <v>Passivo</v>
      </c>
      <c r="D195" s="135" t="str">
        <f t="shared" si="21"/>
        <v>Sintetica</v>
      </c>
      <c r="E195" s="124" t="s">
        <v>570</v>
      </c>
      <c r="F195" s="124" t="s">
        <v>571</v>
      </c>
      <c r="G195" s="125">
        <v>58953.96</v>
      </c>
      <c r="H195" s="125" t="s">
        <v>165</v>
      </c>
      <c r="I195" s="125">
        <v>0</v>
      </c>
      <c r="J195" s="125">
        <v>0</v>
      </c>
      <c r="K195" s="125">
        <v>58953.96</v>
      </c>
      <c r="L195" s="125" t="s">
        <v>165</v>
      </c>
      <c r="M195" s="139">
        <f t="shared" si="22"/>
        <v>-58953.96</v>
      </c>
      <c r="N195" s="139">
        <f t="shared" si="23"/>
        <v>-58953.96</v>
      </c>
      <c r="O195" s="122"/>
      <c r="P195" s="122"/>
    </row>
    <row r="196" spans="1:17" s="129" customFormat="1" x14ac:dyDescent="0.3">
      <c r="A196" s="117"/>
      <c r="B196" s="123" t="s">
        <v>96</v>
      </c>
      <c r="C196" s="135" t="str">
        <f t="shared" si="32"/>
        <v>Passivo</v>
      </c>
      <c r="D196" s="135" t="str">
        <f t="shared" si="21"/>
        <v>Sintetica</v>
      </c>
      <c r="E196" s="124" t="s">
        <v>572</v>
      </c>
      <c r="F196" s="124" t="s">
        <v>573</v>
      </c>
      <c r="G196" s="125">
        <v>693757.66</v>
      </c>
      <c r="H196" s="125" t="s">
        <v>165</v>
      </c>
      <c r="I196" s="125">
        <v>0</v>
      </c>
      <c r="J196" s="125">
        <v>0</v>
      </c>
      <c r="K196" s="125">
        <v>693757.66</v>
      </c>
      <c r="L196" s="125" t="s">
        <v>165</v>
      </c>
      <c r="M196" s="139">
        <f t="shared" si="22"/>
        <v>-693757.66</v>
      </c>
      <c r="N196" s="139">
        <f t="shared" si="23"/>
        <v>-693757.66</v>
      </c>
      <c r="O196" s="122"/>
      <c r="P196" s="122"/>
    </row>
    <row r="197" spans="1:17" s="129" customFormat="1" x14ac:dyDescent="0.3">
      <c r="A197" s="117"/>
      <c r="B197" s="123" t="s">
        <v>96</v>
      </c>
      <c r="C197" s="135" t="str">
        <f t="shared" si="32"/>
        <v>Passivo</v>
      </c>
      <c r="D197" s="135" t="str">
        <f t="shared" si="21"/>
        <v>Sintetica</v>
      </c>
      <c r="E197" s="124" t="s">
        <v>574</v>
      </c>
      <c r="F197" s="124" t="s">
        <v>575</v>
      </c>
      <c r="G197" s="125">
        <v>693757.66</v>
      </c>
      <c r="H197" s="125" t="s">
        <v>165</v>
      </c>
      <c r="I197" s="125">
        <v>0</v>
      </c>
      <c r="J197" s="125">
        <v>0</v>
      </c>
      <c r="K197" s="125">
        <v>693757.66</v>
      </c>
      <c r="L197" s="125" t="s">
        <v>165</v>
      </c>
      <c r="M197" s="139">
        <f t="shared" si="22"/>
        <v>-693757.66</v>
      </c>
      <c r="N197" s="139">
        <f t="shared" si="23"/>
        <v>-693757.66</v>
      </c>
      <c r="O197" s="122"/>
      <c r="P197" s="122"/>
    </row>
    <row r="198" spans="1:17" s="128" customFormat="1" x14ac:dyDescent="0.3">
      <c r="A198" s="115"/>
      <c r="B198" s="123" t="s">
        <v>96</v>
      </c>
      <c r="C198" s="135" t="str">
        <f t="shared" si="32"/>
        <v>Passivo</v>
      </c>
      <c r="D198" s="135" t="str">
        <f t="shared" si="21"/>
        <v>Sintetica</v>
      </c>
      <c r="E198" s="124" t="s">
        <v>576</v>
      </c>
      <c r="F198" s="124" t="s">
        <v>192</v>
      </c>
      <c r="G198" s="125">
        <v>41104742.32</v>
      </c>
      <c r="H198" s="125" t="s">
        <v>162</v>
      </c>
      <c r="I198" s="125">
        <v>0</v>
      </c>
      <c r="J198" s="125">
        <v>0</v>
      </c>
      <c r="K198" s="125">
        <v>41104742.32</v>
      </c>
      <c r="L198" s="125" t="s">
        <v>162</v>
      </c>
      <c r="M198" s="139">
        <f t="shared" si="22"/>
        <v>41104742.32</v>
      </c>
      <c r="N198" s="139">
        <f t="shared" si="23"/>
        <v>41104742.32</v>
      </c>
      <c r="O198" s="115"/>
      <c r="P198" s="115"/>
      <c r="Q198" s="118"/>
    </row>
    <row r="199" spans="1:17" s="129" customFormat="1" x14ac:dyDescent="0.3">
      <c r="A199" s="117"/>
      <c r="B199" s="123" t="s">
        <v>96</v>
      </c>
      <c r="C199" s="135" t="str">
        <f t="shared" si="32"/>
        <v>Passivo</v>
      </c>
      <c r="D199" s="135" t="str">
        <f t="shared" si="21"/>
        <v>Sintetica</v>
      </c>
      <c r="E199" s="124" t="s">
        <v>577</v>
      </c>
      <c r="F199" s="124" t="s">
        <v>193</v>
      </c>
      <c r="G199" s="125">
        <v>3820000</v>
      </c>
      <c r="H199" s="125" t="s">
        <v>165</v>
      </c>
      <c r="I199" s="125">
        <v>0</v>
      </c>
      <c r="J199" s="125">
        <v>0</v>
      </c>
      <c r="K199" s="125">
        <v>3820000</v>
      </c>
      <c r="L199" s="125" t="s">
        <v>165</v>
      </c>
      <c r="M199" s="139">
        <f t="shared" si="22"/>
        <v>-3820000</v>
      </c>
      <c r="N199" s="139">
        <f t="shared" si="23"/>
        <v>-3820000</v>
      </c>
      <c r="O199" s="122"/>
      <c r="P199" s="122"/>
    </row>
    <row r="200" spans="1:17" s="128" customFormat="1" x14ac:dyDescent="0.3">
      <c r="A200" s="115"/>
      <c r="B200" s="123" t="s">
        <v>96</v>
      </c>
      <c r="C200" s="135" t="str">
        <f t="shared" si="32"/>
        <v>Passivo</v>
      </c>
      <c r="D200" s="135" t="str">
        <f t="shared" si="21"/>
        <v>Sintetica</v>
      </c>
      <c r="E200" s="124" t="s">
        <v>578</v>
      </c>
      <c r="F200" s="124" t="s">
        <v>579</v>
      </c>
      <c r="G200" s="125">
        <v>3820000</v>
      </c>
      <c r="H200" s="125" t="s">
        <v>165</v>
      </c>
      <c r="I200" s="125">
        <v>0</v>
      </c>
      <c r="J200" s="125">
        <v>0</v>
      </c>
      <c r="K200" s="125">
        <v>3820000</v>
      </c>
      <c r="L200" s="125" t="s">
        <v>165</v>
      </c>
      <c r="M200" s="139">
        <f t="shared" si="22"/>
        <v>-3820000</v>
      </c>
      <c r="N200" s="139">
        <f t="shared" si="23"/>
        <v>-3820000</v>
      </c>
      <c r="O200" s="115"/>
      <c r="P200" s="115"/>
      <c r="Q200" s="118"/>
    </row>
    <row r="201" spans="1:17" s="128" customFormat="1" x14ac:dyDescent="0.3">
      <c r="A201" s="115"/>
      <c r="B201" s="123" t="s">
        <v>96</v>
      </c>
      <c r="C201" s="135" t="str">
        <f t="shared" si="32"/>
        <v>Passivo</v>
      </c>
      <c r="D201" s="135" t="str">
        <f t="shared" ref="D201:D264" si="33">IF(MID(E201,10,3)="000","Sintetica","")</f>
        <v>Sintetica</v>
      </c>
      <c r="E201" s="124" t="s">
        <v>580</v>
      </c>
      <c r="F201" s="124" t="s">
        <v>581</v>
      </c>
      <c r="G201" s="125">
        <v>1655000</v>
      </c>
      <c r="H201" s="125" t="s">
        <v>165</v>
      </c>
      <c r="I201" s="125">
        <v>0</v>
      </c>
      <c r="J201" s="125">
        <v>0</v>
      </c>
      <c r="K201" s="125">
        <v>1655000</v>
      </c>
      <c r="L201" s="125" t="s">
        <v>165</v>
      </c>
      <c r="M201" s="139">
        <f t="shared" ref="M201:M264" si="34">IF(H201="D",G201,-G201)</f>
        <v>-1655000</v>
      </c>
      <c r="N201" s="139">
        <f t="shared" ref="N201:N264" si="35">IF(L201="D",K201,-K201)</f>
        <v>-1655000</v>
      </c>
      <c r="O201" s="115"/>
      <c r="P201" s="115"/>
      <c r="Q201" s="118"/>
    </row>
    <row r="202" spans="1:17" s="129" customFormat="1" x14ac:dyDescent="0.3">
      <c r="A202" s="117"/>
      <c r="B202" s="123" t="s">
        <v>96</v>
      </c>
      <c r="C202" s="135" t="str">
        <f t="shared" si="32"/>
        <v>Passivo</v>
      </c>
      <c r="D202" s="135" t="str">
        <f t="shared" si="33"/>
        <v>Sintetica</v>
      </c>
      <c r="E202" s="124" t="s">
        <v>582</v>
      </c>
      <c r="F202" s="124" t="s">
        <v>583</v>
      </c>
      <c r="G202" s="125">
        <v>1655000</v>
      </c>
      <c r="H202" s="125" t="s">
        <v>165</v>
      </c>
      <c r="I202" s="125">
        <v>0</v>
      </c>
      <c r="J202" s="125">
        <v>0</v>
      </c>
      <c r="K202" s="125">
        <v>1655000</v>
      </c>
      <c r="L202" s="125" t="s">
        <v>165</v>
      </c>
      <c r="M202" s="139">
        <f t="shared" si="34"/>
        <v>-1655000</v>
      </c>
      <c r="N202" s="139">
        <f t="shared" si="35"/>
        <v>-1655000</v>
      </c>
      <c r="O202" s="122"/>
      <c r="P202" s="122"/>
    </row>
    <row r="203" spans="1:17" s="128" customFormat="1" x14ac:dyDescent="0.3">
      <c r="A203" s="115"/>
      <c r="B203" s="123" t="s">
        <v>96</v>
      </c>
      <c r="C203" s="135" t="str">
        <f t="shared" si="32"/>
        <v>Passivo</v>
      </c>
      <c r="D203" s="135" t="str">
        <f t="shared" si="33"/>
        <v>Sintetica</v>
      </c>
      <c r="E203" s="124" t="s">
        <v>584</v>
      </c>
      <c r="F203" s="124" t="s">
        <v>585</v>
      </c>
      <c r="G203" s="125">
        <v>510000</v>
      </c>
      <c r="H203" s="125" t="s">
        <v>165</v>
      </c>
      <c r="I203" s="125">
        <v>0</v>
      </c>
      <c r="J203" s="125">
        <v>0</v>
      </c>
      <c r="K203" s="125">
        <v>510000</v>
      </c>
      <c r="L203" s="125" t="s">
        <v>165</v>
      </c>
      <c r="M203" s="139">
        <f t="shared" si="34"/>
        <v>-510000</v>
      </c>
      <c r="N203" s="139">
        <f t="shared" si="35"/>
        <v>-510000</v>
      </c>
      <c r="O203" s="115"/>
      <c r="P203" s="115"/>
      <c r="Q203" s="118"/>
    </row>
    <row r="204" spans="1:17" s="128" customFormat="1" x14ac:dyDescent="0.3">
      <c r="A204" s="115"/>
      <c r="B204" s="123" t="s">
        <v>96</v>
      </c>
      <c r="C204" s="135" t="str">
        <f t="shared" si="32"/>
        <v>Passivo</v>
      </c>
      <c r="D204" s="135" t="str">
        <f t="shared" si="33"/>
        <v>Sintetica</v>
      </c>
      <c r="E204" s="124" t="s">
        <v>586</v>
      </c>
      <c r="F204" s="124" t="s">
        <v>587</v>
      </c>
      <c r="G204" s="125">
        <v>44924742.32</v>
      </c>
      <c r="H204" s="125" t="s">
        <v>162</v>
      </c>
      <c r="I204" s="125">
        <v>0</v>
      </c>
      <c r="J204" s="125">
        <v>0</v>
      </c>
      <c r="K204" s="125">
        <v>44924742.32</v>
      </c>
      <c r="L204" s="125" t="s">
        <v>162</v>
      </c>
      <c r="M204" s="139">
        <f t="shared" si="34"/>
        <v>44924742.32</v>
      </c>
      <c r="N204" s="139">
        <f t="shared" si="35"/>
        <v>44924742.32</v>
      </c>
      <c r="O204" s="115"/>
      <c r="P204" s="115"/>
      <c r="Q204" s="118"/>
    </row>
    <row r="205" spans="1:17" s="129" customFormat="1" x14ac:dyDescent="0.3">
      <c r="A205" s="117"/>
      <c r="B205" s="123" t="s">
        <v>96</v>
      </c>
      <c r="C205" s="135" t="str">
        <f t="shared" si="32"/>
        <v>Passivo</v>
      </c>
      <c r="D205" s="135" t="str">
        <f t="shared" si="33"/>
        <v>Sintetica</v>
      </c>
      <c r="E205" s="124" t="s">
        <v>588</v>
      </c>
      <c r="F205" s="124" t="s">
        <v>587</v>
      </c>
      <c r="G205" s="125">
        <v>44924742.32</v>
      </c>
      <c r="H205" s="125" t="s">
        <v>162</v>
      </c>
      <c r="I205" s="125">
        <v>0</v>
      </c>
      <c r="J205" s="125">
        <v>0</v>
      </c>
      <c r="K205" s="125">
        <v>44924742.32</v>
      </c>
      <c r="L205" s="125" t="s">
        <v>162</v>
      </c>
      <c r="M205" s="139">
        <f t="shared" si="34"/>
        <v>44924742.32</v>
      </c>
      <c r="N205" s="139">
        <f t="shared" si="35"/>
        <v>44924742.32</v>
      </c>
      <c r="O205" s="122"/>
      <c r="P205" s="122"/>
    </row>
    <row r="206" spans="1:17" s="128" customFormat="1" x14ac:dyDescent="0.3">
      <c r="A206" s="115"/>
      <c r="B206" s="123" t="s">
        <v>96</v>
      </c>
      <c r="C206" s="135" t="str">
        <f t="shared" si="32"/>
        <v>Passivo</v>
      </c>
      <c r="D206" s="135" t="str">
        <f t="shared" si="33"/>
        <v>Sintetica</v>
      </c>
      <c r="E206" s="124" t="s">
        <v>589</v>
      </c>
      <c r="F206" s="124" t="s">
        <v>590</v>
      </c>
      <c r="G206" s="125">
        <v>44924742.32</v>
      </c>
      <c r="H206" s="125" t="s">
        <v>162</v>
      </c>
      <c r="I206" s="125">
        <v>0</v>
      </c>
      <c r="J206" s="125">
        <v>0</v>
      </c>
      <c r="K206" s="125">
        <v>44924742.32</v>
      </c>
      <c r="L206" s="125" t="s">
        <v>162</v>
      </c>
      <c r="M206" s="139">
        <f t="shared" si="34"/>
        <v>44924742.32</v>
      </c>
      <c r="N206" s="139">
        <f t="shared" si="35"/>
        <v>44924742.32</v>
      </c>
      <c r="O206" s="115"/>
      <c r="P206" s="115"/>
      <c r="Q206" s="118"/>
    </row>
    <row r="207" spans="1:17" s="129" customFormat="1" x14ac:dyDescent="0.3">
      <c r="A207" s="117"/>
      <c r="B207" s="123" t="s">
        <v>96</v>
      </c>
      <c r="C207" s="135" t="str">
        <f t="shared" si="32"/>
        <v>Resultado</v>
      </c>
      <c r="D207" s="135" t="str">
        <f t="shared" si="33"/>
        <v>Sintetica</v>
      </c>
      <c r="E207" s="124" t="s">
        <v>591</v>
      </c>
      <c r="F207" s="124" t="s">
        <v>592</v>
      </c>
      <c r="G207" s="125">
        <v>3534230.1</v>
      </c>
      <c r="H207" s="125" t="s">
        <v>162</v>
      </c>
      <c r="I207" s="125">
        <v>423223.64</v>
      </c>
      <c r="J207" s="125">
        <v>65786.240000000005</v>
      </c>
      <c r="K207" s="125">
        <v>3891667.5</v>
      </c>
      <c r="L207" s="125" t="s">
        <v>162</v>
      </c>
      <c r="M207" s="139">
        <f t="shared" si="34"/>
        <v>3534230.1</v>
      </c>
      <c r="N207" s="139">
        <f t="shared" si="35"/>
        <v>3891667.5</v>
      </c>
      <c r="O207" s="122"/>
      <c r="P207" s="122"/>
    </row>
    <row r="208" spans="1:17" s="129" customFormat="1" x14ac:dyDescent="0.3">
      <c r="A208" s="117"/>
      <c r="B208" s="123" t="s">
        <v>96</v>
      </c>
      <c r="C208" s="135" t="str">
        <f t="shared" si="32"/>
        <v>Resultado</v>
      </c>
      <c r="D208" s="135" t="str">
        <f t="shared" si="33"/>
        <v>Sintetica</v>
      </c>
      <c r="E208" s="124" t="s">
        <v>593</v>
      </c>
      <c r="F208" s="124" t="s">
        <v>592</v>
      </c>
      <c r="G208" s="125">
        <v>3534230.1</v>
      </c>
      <c r="H208" s="125" t="s">
        <v>162</v>
      </c>
      <c r="I208" s="125">
        <v>423223.64</v>
      </c>
      <c r="J208" s="125">
        <v>65786.240000000005</v>
      </c>
      <c r="K208" s="125">
        <v>3891667.5</v>
      </c>
      <c r="L208" s="125" t="s">
        <v>162</v>
      </c>
      <c r="M208" s="139">
        <f t="shared" si="34"/>
        <v>3534230.1</v>
      </c>
      <c r="N208" s="139">
        <f t="shared" si="35"/>
        <v>3891667.5</v>
      </c>
      <c r="O208" s="122"/>
      <c r="P208" s="122"/>
    </row>
    <row r="209" spans="1:17" s="129" customFormat="1" x14ac:dyDescent="0.3">
      <c r="A209" s="117"/>
      <c r="B209" s="123" t="s">
        <v>96</v>
      </c>
      <c r="C209" s="135" t="str">
        <f t="shared" si="32"/>
        <v>Resultado</v>
      </c>
      <c r="D209" s="135" t="str">
        <f t="shared" si="33"/>
        <v>Sintetica</v>
      </c>
      <c r="E209" s="124" t="s">
        <v>594</v>
      </c>
      <c r="F209" s="124" t="s">
        <v>595</v>
      </c>
      <c r="G209" s="125">
        <v>990116.92</v>
      </c>
      <c r="H209" s="125" t="s">
        <v>162</v>
      </c>
      <c r="I209" s="125">
        <v>271186.45</v>
      </c>
      <c r="J209" s="125">
        <v>39047.14</v>
      </c>
      <c r="K209" s="125">
        <v>1222256.23</v>
      </c>
      <c r="L209" s="125" t="s">
        <v>162</v>
      </c>
      <c r="M209" s="139">
        <f t="shared" si="34"/>
        <v>990116.92</v>
      </c>
      <c r="N209" s="139">
        <f t="shared" si="35"/>
        <v>1222256.23</v>
      </c>
      <c r="O209" s="122"/>
      <c r="P209" s="122"/>
    </row>
    <row r="210" spans="1:17" s="128" customFormat="1" x14ac:dyDescent="0.3">
      <c r="A210" s="115"/>
      <c r="B210" s="123" t="s">
        <v>96</v>
      </c>
      <c r="C210" s="135"/>
      <c r="D210" s="135" t="str">
        <f t="shared" si="33"/>
        <v>Sintetica</v>
      </c>
      <c r="E210" s="124" t="s">
        <v>596</v>
      </c>
      <c r="F210" s="124" t="s">
        <v>597</v>
      </c>
      <c r="G210" s="125">
        <v>44581.02</v>
      </c>
      <c r="H210" s="125" t="s">
        <v>162</v>
      </c>
      <c r="I210" s="125">
        <v>10830</v>
      </c>
      <c r="J210" s="125">
        <v>0</v>
      </c>
      <c r="K210" s="125">
        <v>55411.02</v>
      </c>
      <c r="L210" s="125" t="s">
        <v>162</v>
      </c>
      <c r="M210" s="139">
        <f t="shared" si="34"/>
        <v>44581.02</v>
      </c>
      <c r="N210" s="139">
        <f t="shared" si="35"/>
        <v>55411.02</v>
      </c>
      <c r="O210" s="115"/>
      <c r="P210" s="115"/>
      <c r="Q210" s="118"/>
    </row>
    <row r="211" spans="1:17" s="128" customFormat="1" x14ac:dyDescent="0.3">
      <c r="A211" s="115"/>
      <c r="B211" s="123" t="s">
        <v>96</v>
      </c>
      <c r="C211" s="135" t="str">
        <f t="shared" ref="C211:C242" si="36">IF(MID(E211,1,1)="1","Ativo",IF(MID(E211,1,1)="2","Passivo","Resultado"))</f>
        <v>Resultado</v>
      </c>
      <c r="D211" s="135" t="str">
        <f t="shared" si="33"/>
        <v>Sintetica</v>
      </c>
      <c r="E211" s="124" t="s">
        <v>598</v>
      </c>
      <c r="F211" s="124" t="s">
        <v>599</v>
      </c>
      <c r="G211" s="125">
        <v>44581.02</v>
      </c>
      <c r="H211" s="125" t="s">
        <v>162</v>
      </c>
      <c r="I211" s="125">
        <v>10830</v>
      </c>
      <c r="J211" s="125">
        <v>0</v>
      </c>
      <c r="K211" s="125">
        <v>55411.02</v>
      </c>
      <c r="L211" s="125" t="s">
        <v>162</v>
      </c>
      <c r="M211" s="139">
        <f t="shared" si="34"/>
        <v>44581.02</v>
      </c>
      <c r="N211" s="139">
        <f t="shared" si="35"/>
        <v>55411.02</v>
      </c>
      <c r="O211" s="115"/>
      <c r="P211" s="115"/>
      <c r="Q211" s="118"/>
    </row>
    <row r="212" spans="1:17" s="128" customFormat="1" x14ac:dyDescent="0.3">
      <c r="A212" s="115"/>
      <c r="B212" s="123" t="s">
        <v>96</v>
      </c>
      <c r="C212" s="135" t="str">
        <f t="shared" si="36"/>
        <v>Resultado</v>
      </c>
      <c r="D212" s="135" t="str">
        <f t="shared" si="33"/>
        <v>Sintetica</v>
      </c>
      <c r="E212" s="124" t="s">
        <v>600</v>
      </c>
      <c r="F212" s="124" t="s">
        <v>601</v>
      </c>
      <c r="G212" s="125">
        <v>656851.56999999995</v>
      </c>
      <c r="H212" s="125" t="s">
        <v>162</v>
      </c>
      <c r="I212" s="125">
        <v>149860.22</v>
      </c>
      <c r="J212" s="125">
        <v>15165.08</v>
      </c>
      <c r="K212" s="125">
        <v>791546.71</v>
      </c>
      <c r="L212" s="125" t="s">
        <v>162</v>
      </c>
      <c r="M212" s="139">
        <f t="shared" si="34"/>
        <v>656851.56999999995</v>
      </c>
      <c r="N212" s="139">
        <f t="shared" si="35"/>
        <v>791546.71</v>
      </c>
      <c r="O212" s="115"/>
      <c r="P212" s="115"/>
      <c r="Q212" s="118"/>
    </row>
    <row r="213" spans="1:17" s="129" customFormat="1" x14ac:dyDescent="0.3">
      <c r="A213" s="117"/>
      <c r="B213" s="123" t="s">
        <v>96</v>
      </c>
      <c r="C213" s="135" t="str">
        <f t="shared" si="36"/>
        <v>Resultado</v>
      </c>
      <c r="D213" s="135" t="str">
        <f t="shared" si="33"/>
        <v>Sintetica</v>
      </c>
      <c r="E213" s="124" t="s">
        <v>602</v>
      </c>
      <c r="F213" s="124" t="s">
        <v>194</v>
      </c>
      <c r="G213" s="125">
        <v>253444.07</v>
      </c>
      <c r="H213" s="125" t="s">
        <v>162</v>
      </c>
      <c r="I213" s="125">
        <v>48514.01</v>
      </c>
      <c r="J213" s="125">
        <v>297.20999999999998</v>
      </c>
      <c r="K213" s="125">
        <v>301660.87</v>
      </c>
      <c r="L213" s="125" t="s">
        <v>162</v>
      </c>
      <c r="M213" s="139">
        <f t="shared" si="34"/>
        <v>253444.07</v>
      </c>
      <c r="N213" s="139">
        <f t="shared" si="35"/>
        <v>301660.87</v>
      </c>
      <c r="O213" s="122"/>
      <c r="P213" s="122"/>
    </row>
    <row r="214" spans="1:17" s="129" customFormat="1" x14ac:dyDescent="0.3">
      <c r="A214" s="117"/>
      <c r="B214" s="123" t="s">
        <v>96</v>
      </c>
      <c r="C214" s="135" t="str">
        <f t="shared" si="36"/>
        <v>Resultado</v>
      </c>
      <c r="D214" s="135" t="str">
        <f t="shared" si="33"/>
        <v>Sintetica</v>
      </c>
      <c r="E214" s="124" t="s">
        <v>603</v>
      </c>
      <c r="F214" s="124" t="s">
        <v>604</v>
      </c>
      <c r="G214" s="125">
        <v>17354.34</v>
      </c>
      <c r="H214" s="125" t="s">
        <v>162</v>
      </c>
      <c r="I214" s="125">
        <v>5049.16</v>
      </c>
      <c r="J214" s="125">
        <v>4777.2700000000004</v>
      </c>
      <c r="K214" s="125">
        <v>17626.23</v>
      </c>
      <c r="L214" s="125" t="s">
        <v>162</v>
      </c>
      <c r="M214" s="139">
        <f t="shared" si="34"/>
        <v>17354.34</v>
      </c>
      <c r="N214" s="139">
        <f t="shared" si="35"/>
        <v>17626.23</v>
      </c>
      <c r="O214" s="122"/>
      <c r="P214" s="122"/>
    </row>
    <row r="215" spans="1:17" s="128" customFormat="1" x14ac:dyDescent="0.3">
      <c r="A215" s="115"/>
      <c r="B215" s="123" t="s">
        <v>96</v>
      </c>
      <c r="C215" s="135" t="str">
        <f t="shared" si="36"/>
        <v>Resultado</v>
      </c>
      <c r="D215" s="135" t="str">
        <f t="shared" si="33"/>
        <v>Sintetica</v>
      </c>
      <c r="E215" s="124" t="s">
        <v>605</v>
      </c>
      <c r="F215" s="124" t="s">
        <v>606</v>
      </c>
      <c r="G215" s="125">
        <v>198.68</v>
      </c>
      <c r="H215" s="125" t="s">
        <v>165</v>
      </c>
      <c r="I215" s="125">
        <v>0</v>
      </c>
      <c r="J215" s="125">
        <v>0</v>
      </c>
      <c r="K215" s="125">
        <v>198.68</v>
      </c>
      <c r="L215" s="125" t="s">
        <v>165</v>
      </c>
      <c r="M215" s="139">
        <f t="shared" si="34"/>
        <v>-198.68</v>
      </c>
      <c r="N215" s="139">
        <f t="shared" si="35"/>
        <v>-198.68</v>
      </c>
      <c r="O215" s="115"/>
      <c r="P215" s="115"/>
      <c r="Q215" s="118"/>
    </row>
    <row r="216" spans="1:17" s="129" customFormat="1" x14ac:dyDescent="0.3">
      <c r="A216" s="117"/>
      <c r="B216" s="123" t="s">
        <v>96</v>
      </c>
      <c r="C216" s="135" t="str">
        <f t="shared" si="36"/>
        <v>Resultado</v>
      </c>
      <c r="D216" s="135" t="str">
        <f t="shared" si="33"/>
        <v>Sintetica</v>
      </c>
      <c r="E216" s="124" t="s">
        <v>607</v>
      </c>
      <c r="F216" s="124" t="s">
        <v>608</v>
      </c>
      <c r="G216" s="125">
        <v>5883.13</v>
      </c>
      <c r="H216" s="125" t="s">
        <v>162</v>
      </c>
      <c r="I216" s="125">
        <v>0</v>
      </c>
      <c r="J216" s="125">
        <v>0</v>
      </c>
      <c r="K216" s="125">
        <v>5883.13</v>
      </c>
      <c r="L216" s="125" t="s">
        <v>162</v>
      </c>
      <c r="M216" s="139">
        <f t="shared" si="34"/>
        <v>5883.13</v>
      </c>
      <c r="N216" s="139">
        <f t="shared" si="35"/>
        <v>5883.13</v>
      </c>
      <c r="O216" s="122"/>
      <c r="P216" s="122"/>
    </row>
    <row r="217" spans="1:17" s="129" customFormat="1" x14ac:dyDescent="0.3">
      <c r="A217" s="117"/>
      <c r="B217" s="123" t="s">
        <v>96</v>
      </c>
      <c r="C217" s="135" t="str">
        <f t="shared" si="36"/>
        <v>Resultado</v>
      </c>
      <c r="D217" s="135" t="str">
        <f t="shared" si="33"/>
        <v/>
      </c>
      <c r="E217" s="124" t="s">
        <v>609</v>
      </c>
      <c r="F217" s="124" t="s">
        <v>195</v>
      </c>
      <c r="G217" s="125">
        <v>28423.38</v>
      </c>
      <c r="H217" s="125" t="s">
        <v>162</v>
      </c>
      <c r="I217" s="125">
        <v>8788.0400000000009</v>
      </c>
      <c r="J217" s="125">
        <v>118.84</v>
      </c>
      <c r="K217" s="125">
        <v>37092.58</v>
      </c>
      <c r="L217" s="125" t="s">
        <v>162</v>
      </c>
      <c r="M217" s="139">
        <f t="shared" si="34"/>
        <v>28423.38</v>
      </c>
      <c r="N217" s="139">
        <f t="shared" si="35"/>
        <v>37092.58</v>
      </c>
      <c r="O217" s="122"/>
      <c r="P217" s="122"/>
    </row>
    <row r="218" spans="1:17" s="129" customFormat="1" x14ac:dyDescent="0.3">
      <c r="A218" s="117"/>
      <c r="B218" s="123" t="s">
        <v>96</v>
      </c>
      <c r="C218" s="135" t="str">
        <f t="shared" si="36"/>
        <v>Resultado</v>
      </c>
      <c r="D218" s="135" t="str">
        <f t="shared" si="33"/>
        <v/>
      </c>
      <c r="E218" s="124" t="s">
        <v>610</v>
      </c>
      <c r="F218" s="124" t="s">
        <v>196</v>
      </c>
      <c r="G218" s="125">
        <v>79496.679999999993</v>
      </c>
      <c r="H218" s="125" t="s">
        <v>162</v>
      </c>
      <c r="I218" s="125">
        <v>14489.31</v>
      </c>
      <c r="J218" s="125">
        <v>427.85</v>
      </c>
      <c r="K218" s="125">
        <v>93558.14</v>
      </c>
      <c r="L218" s="125" t="s">
        <v>162</v>
      </c>
      <c r="M218" s="139">
        <f t="shared" si="34"/>
        <v>79496.679999999993</v>
      </c>
      <c r="N218" s="139">
        <f t="shared" si="35"/>
        <v>93558.14</v>
      </c>
      <c r="O218" s="122"/>
      <c r="P218" s="122"/>
    </row>
    <row r="219" spans="1:17" s="129" customFormat="1" x14ac:dyDescent="0.3">
      <c r="A219" s="117"/>
      <c r="B219" s="123" t="s">
        <v>96</v>
      </c>
      <c r="C219" s="135" t="str">
        <f t="shared" si="36"/>
        <v>Resultado</v>
      </c>
      <c r="D219" s="135" t="str">
        <f t="shared" si="33"/>
        <v/>
      </c>
      <c r="E219" s="124" t="s">
        <v>611</v>
      </c>
      <c r="F219" s="124" t="s">
        <v>197</v>
      </c>
      <c r="G219" s="125">
        <v>330.04</v>
      </c>
      <c r="H219" s="125" t="s">
        <v>162</v>
      </c>
      <c r="I219" s="125">
        <v>0</v>
      </c>
      <c r="J219" s="125">
        <v>0</v>
      </c>
      <c r="K219" s="125">
        <v>330.04</v>
      </c>
      <c r="L219" s="125" t="s">
        <v>162</v>
      </c>
      <c r="M219" s="139">
        <f t="shared" si="34"/>
        <v>330.04</v>
      </c>
      <c r="N219" s="139">
        <f t="shared" si="35"/>
        <v>330.04</v>
      </c>
      <c r="O219" s="122"/>
      <c r="P219" s="122"/>
    </row>
    <row r="220" spans="1:17" s="128" customFormat="1" x14ac:dyDescent="0.3">
      <c r="A220" s="115"/>
      <c r="B220" s="123" t="s">
        <v>96</v>
      </c>
      <c r="C220" s="135" t="str">
        <f t="shared" si="36"/>
        <v>Resultado</v>
      </c>
      <c r="D220" s="135" t="str">
        <f t="shared" si="33"/>
        <v/>
      </c>
      <c r="E220" s="124" t="s">
        <v>612</v>
      </c>
      <c r="F220" s="124" t="s">
        <v>613</v>
      </c>
      <c r="G220" s="125">
        <v>65.349999999999994</v>
      </c>
      <c r="H220" s="125" t="s">
        <v>165</v>
      </c>
      <c r="I220" s="125">
        <v>0</v>
      </c>
      <c r="J220" s="125">
        <v>0</v>
      </c>
      <c r="K220" s="125">
        <v>65.349999999999994</v>
      </c>
      <c r="L220" s="125" t="s">
        <v>165</v>
      </c>
      <c r="M220" s="139">
        <f t="shared" si="34"/>
        <v>-65.349999999999994</v>
      </c>
      <c r="N220" s="139">
        <f t="shared" si="35"/>
        <v>-65.349999999999994</v>
      </c>
      <c r="O220" s="115"/>
      <c r="P220" s="115"/>
      <c r="Q220" s="118"/>
    </row>
    <row r="221" spans="1:17" s="128" customFormat="1" x14ac:dyDescent="0.3">
      <c r="A221" s="115"/>
      <c r="B221" s="123" t="s">
        <v>96</v>
      </c>
      <c r="C221" s="135" t="str">
        <f t="shared" si="36"/>
        <v>Resultado</v>
      </c>
      <c r="D221" s="135" t="str">
        <f t="shared" si="33"/>
        <v/>
      </c>
      <c r="E221" s="124" t="s">
        <v>614</v>
      </c>
      <c r="F221" s="124" t="s">
        <v>615</v>
      </c>
      <c r="G221" s="125">
        <v>32062.23</v>
      </c>
      <c r="H221" s="125" t="s">
        <v>162</v>
      </c>
      <c r="I221" s="125">
        <v>4284.67</v>
      </c>
      <c r="J221" s="125">
        <v>0</v>
      </c>
      <c r="K221" s="125">
        <v>36346.9</v>
      </c>
      <c r="L221" s="125" t="s">
        <v>162</v>
      </c>
      <c r="M221" s="139">
        <f t="shared" si="34"/>
        <v>32062.23</v>
      </c>
      <c r="N221" s="139">
        <f t="shared" si="35"/>
        <v>36346.9</v>
      </c>
      <c r="O221" s="115"/>
      <c r="P221" s="115"/>
      <c r="Q221" s="118"/>
    </row>
    <row r="222" spans="1:17" s="129" customFormat="1" x14ac:dyDescent="0.3">
      <c r="A222" s="117"/>
      <c r="B222" s="123" t="s">
        <v>96</v>
      </c>
      <c r="C222" s="135" t="str">
        <f t="shared" si="36"/>
        <v>Resultado</v>
      </c>
      <c r="D222" s="135" t="str">
        <f t="shared" si="33"/>
        <v/>
      </c>
      <c r="E222" s="124" t="s">
        <v>616</v>
      </c>
      <c r="F222" s="124" t="s">
        <v>617</v>
      </c>
      <c r="G222" s="125">
        <v>56237.18</v>
      </c>
      <c r="H222" s="125" t="s">
        <v>162</v>
      </c>
      <c r="I222" s="125">
        <v>9124.42</v>
      </c>
      <c r="J222" s="125">
        <v>0</v>
      </c>
      <c r="K222" s="125">
        <v>65361.599999999999</v>
      </c>
      <c r="L222" s="125" t="s">
        <v>162</v>
      </c>
      <c r="M222" s="139">
        <f t="shared" si="34"/>
        <v>56237.18</v>
      </c>
      <c r="N222" s="139">
        <f t="shared" si="35"/>
        <v>65361.599999999999</v>
      </c>
      <c r="O222" s="122"/>
      <c r="P222" s="122"/>
    </row>
    <row r="223" spans="1:17" s="128" customFormat="1" x14ac:dyDescent="0.3">
      <c r="A223" s="115"/>
      <c r="B223" s="123" t="s">
        <v>96</v>
      </c>
      <c r="C223" s="135" t="str">
        <f t="shared" si="36"/>
        <v>Resultado</v>
      </c>
      <c r="D223" s="135" t="str">
        <f t="shared" si="33"/>
        <v/>
      </c>
      <c r="E223" s="124" t="s">
        <v>618</v>
      </c>
      <c r="F223" s="124" t="s">
        <v>619</v>
      </c>
      <c r="G223" s="125">
        <v>115072.37</v>
      </c>
      <c r="H223" s="125" t="s">
        <v>162</v>
      </c>
      <c r="I223" s="125">
        <v>46925.05</v>
      </c>
      <c r="J223" s="125">
        <v>8993.9</v>
      </c>
      <c r="K223" s="125">
        <v>153003.51999999999</v>
      </c>
      <c r="L223" s="125" t="s">
        <v>162</v>
      </c>
      <c r="M223" s="139">
        <f t="shared" si="34"/>
        <v>115072.37</v>
      </c>
      <c r="N223" s="139">
        <f t="shared" si="35"/>
        <v>153003.51999999999</v>
      </c>
      <c r="O223" s="115"/>
      <c r="P223" s="115"/>
      <c r="Q223" s="118"/>
    </row>
    <row r="224" spans="1:17" s="128" customFormat="1" x14ac:dyDescent="0.3">
      <c r="A224" s="115"/>
      <c r="B224" s="123" t="s">
        <v>96</v>
      </c>
      <c r="C224" s="135" t="str">
        <f t="shared" si="36"/>
        <v>Resultado</v>
      </c>
      <c r="D224" s="135" t="str">
        <f t="shared" si="33"/>
        <v/>
      </c>
      <c r="E224" s="124" t="s">
        <v>620</v>
      </c>
      <c r="F224" s="124" t="s">
        <v>198</v>
      </c>
      <c r="G224" s="125">
        <v>27568.86</v>
      </c>
      <c r="H224" s="125" t="s">
        <v>162</v>
      </c>
      <c r="I224" s="125">
        <v>5189.17</v>
      </c>
      <c r="J224" s="125">
        <v>0</v>
      </c>
      <c r="K224" s="125">
        <v>32758.03</v>
      </c>
      <c r="L224" s="125" t="s">
        <v>162</v>
      </c>
      <c r="M224" s="139">
        <f t="shared" si="34"/>
        <v>27568.86</v>
      </c>
      <c r="N224" s="139">
        <f t="shared" si="35"/>
        <v>32758.03</v>
      </c>
      <c r="O224" s="115"/>
      <c r="P224" s="115"/>
      <c r="Q224" s="118"/>
    </row>
    <row r="225" spans="1:17" s="128" customFormat="1" x14ac:dyDescent="0.3">
      <c r="A225" s="115"/>
      <c r="B225" s="123" t="s">
        <v>96</v>
      </c>
      <c r="C225" s="135" t="str">
        <f t="shared" si="36"/>
        <v>Resultado</v>
      </c>
      <c r="D225" s="135" t="str">
        <f t="shared" si="33"/>
        <v/>
      </c>
      <c r="E225" s="124" t="s">
        <v>621</v>
      </c>
      <c r="F225" s="124" t="s">
        <v>185</v>
      </c>
      <c r="G225" s="125">
        <v>7590.02</v>
      </c>
      <c r="H225" s="125" t="s">
        <v>162</v>
      </c>
      <c r="I225" s="125">
        <v>1211.82</v>
      </c>
      <c r="J225" s="125">
        <v>430.44</v>
      </c>
      <c r="K225" s="125">
        <v>8371.4</v>
      </c>
      <c r="L225" s="125" t="s">
        <v>162</v>
      </c>
      <c r="M225" s="139">
        <f t="shared" si="34"/>
        <v>7590.02</v>
      </c>
      <c r="N225" s="139">
        <f t="shared" si="35"/>
        <v>8371.4</v>
      </c>
      <c r="O225" s="115"/>
      <c r="P225" s="115"/>
      <c r="Q225" s="118"/>
    </row>
    <row r="226" spans="1:17" s="128" customFormat="1" x14ac:dyDescent="0.3">
      <c r="A226" s="115"/>
      <c r="B226" s="123" t="s">
        <v>96</v>
      </c>
      <c r="C226" s="135" t="str">
        <f t="shared" si="36"/>
        <v>Resultado</v>
      </c>
      <c r="D226" s="135" t="str">
        <f t="shared" si="33"/>
        <v/>
      </c>
      <c r="E226" s="124" t="s">
        <v>622</v>
      </c>
      <c r="F226" s="124" t="s">
        <v>186</v>
      </c>
      <c r="G226" s="125">
        <v>2108.33</v>
      </c>
      <c r="H226" s="125" t="s">
        <v>162</v>
      </c>
      <c r="I226" s="125">
        <v>336.62</v>
      </c>
      <c r="J226" s="125">
        <v>119.57</v>
      </c>
      <c r="K226" s="125">
        <v>2325.38</v>
      </c>
      <c r="L226" s="125" t="s">
        <v>162</v>
      </c>
      <c r="M226" s="139">
        <f t="shared" si="34"/>
        <v>2108.33</v>
      </c>
      <c r="N226" s="139">
        <f t="shared" si="35"/>
        <v>2325.38</v>
      </c>
      <c r="O226" s="115"/>
      <c r="P226" s="115"/>
      <c r="Q226" s="118"/>
    </row>
    <row r="227" spans="1:17" s="128" customFormat="1" x14ac:dyDescent="0.3">
      <c r="A227" s="115"/>
      <c r="B227" s="123" t="s">
        <v>96</v>
      </c>
      <c r="C227" s="135" t="str">
        <f t="shared" si="36"/>
        <v>Resultado</v>
      </c>
      <c r="D227" s="135" t="str">
        <f t="shared" si="33"/>
        <v/>
      </c>
      <c r="E227" s="124" t="s">
        <v>623</v>
      </c>
      <c r="F227" s="124" t="s">
        <v>624</v>
      </c>
      <c r="G227" s="125">
        <v>23040.76</v>
      </c>
      <c r="H227" s="125" t="s">
        <v>162</v>
      </c>
      <c r="I227" s="125">
        <v>4336.0200000000004</v>
      </c>
      <c r="J227" s="125">
        <v>0</v>
      </c>
      <c r="K227" s="125">
        <v>27376.78</v>
      </c>
      <c r="L227" s="125" t="s">
        <v>162</v>
      </c>
      <c r="M227" s="139">
        <f t="shared" si="34"/>
        <v>23040.76</v>
      </c>
      <c r="N227" s="139">
        <f t="shared" si="35"/>
        <v>27376.78</v>
      </c>
      <c r="O227" s="115"/>
      <c r="P227" s="115"/>
      <c r="Q227" s="118"/>
    </row>
    <row r="228" spans="1:17" s="128" customFormat="1" x14ac:dyDescent="0.3">
      <c r="A228" s="115"/>
      <c r="B228" s="123" t="s">
        <v>96</v>
      </c>
      <c r="C228" s="135" t="str">
        <f t="shared" si="36"/>
        <v>Resultado</v>
      </c>
      <c r="D228" s="135" t="str">
        <f t="shared" si="33"/>
        <v/>
      </c>
      <c r="E228" s="124" t="s">
        <v>625</v>
      </c>
      <c r="F228" s="124" t="s">
        <v>626</v>
      </c>
      <c r="G228" s="125">
        <v>6579.75</v>
      </c>
      <c r="H228" s="125" t="s">
        <v>162</v>
      </c>
      <c r="I228" s="125">
        <v>1248.78</v>
      </c>
      <c r="J228" s="125">
        <v>0</v>
      </c>
      <c r="K228" s="125">
        <v>7828.53</v>
      </c>
      <c r="L228" s="125" t="s">
        <v>162</v>
      </c>
      <c r="M228" s="139">
        <f t="shared" si="34"/>
        <v>6579.75</v>
      </c>
      <c r="N228" s="139">
        <f t="shared" si="35"/>
        <v>7828.53</v>
      </c>
      <c r="O228" s="115"/>
      <c r="P228" s="115"/>
      <c r="Q228" s="118"/>
    </row>
    <row r="229" spans="1:17" s="128" customFormat="1" x14ac:dyDescent="0.3">
      <c r="A229" s="115"/>
      <c r="B229" s="123" t="s">
        <v>96</v>
      </c>
      <c r="C229" s="135" t="str">
        <f t="shared" si="36"/>
        <v>Resultado</v>
      </c>
      <c r="D229" s="135" t="str">
        <f t="shared" si="33"/>
        <v/>
      </c>
      <c r="E229" s="124" t="s">
        <v>627</v>
      </c>
      <c r="F229" s="124" t="s">
        <v>628</v>
      </c>
      <c r="G229" s="125">
        <v>1924.46</v>
      </c>
      <c r="H229" s="125" t="s">
        <v>162</v>
      </c>
      <c r="I229" s="125">
        <v>363.15</v>
      </c>
      <c r="J229" s="125">
        <v>0</v>
      </c>
      <c r="K229" s="125">
        <v>2287.61</v>
      </c>
      <c r="L229" s="125" t="s">
        <v>162</v>
      </c>
      <c r="M229" s="139">
        <f t="shared" si="34"/>
        <v>1924.46</v>
      </c>
      <c r="N229" s="139">
        <f t="shared" si="35"/>
        <v>2287.61</v>
      </c>
      <c r="O229" s="115"/>
      <c r="P229" s="115"/>
      <c r="Q229" s="118"/>
    </row>
    <row r="230" spans="1:17" s="128" customFormat="1" x14ac:dyDescent="0.3">
      <c r="A230" s="115"/>
      <c r="B230" s="123" t="s">
        <v>96</v>
      </c>
      <c r="C230" s="135" t="str">
        <f t="shared" si="36"/>
        <v>Resultado</v>
      </c>
      <c r="D230" s="135" t="str">
        <f t="shared" si="33"/>
        <v>Sintetica</v>
      </c>
      <c r="E230" s="124" t="s">
        <v>629</v>
      </c>
      <c r="F230" s="124" t="s">
        <v>630</v>
      </c>
      <c r="G230" s="125">
        <v>8278</v>
      </c>
      <c r="H230" s="125" t="s">
        <v>165</v>
      </c>
      <c r="I230" s="125">
        <v>0</v>
      </c>
      <c r="J230" s="125">
        <v>0</v>
      </c>
      <c r="K230" s="125">
        <v>8278</v>
      </c>
      <c r="L230" s="125" t="s">
        <v>165</v>
      </c>
      <c r="M230" s="139">
        <f t="shared" si="34"/>
        <v>-8278</v>
      </c>
      <c r="N230" s="139">
        <f t="shared" si="35"/>
        <v>-8278</v>
      </c>
      <c r="O230" s="115"/>
      <c r="P230" s="115"/>
      <c r="Q230" s="118"/>
    </row>
    <row r="231" spans="1:17" s="128" customFormat="1" x14ac:dyDescent="0.3">
      <c r="A231" s="115"/>
      <c r="B231" s="123" t="s">
        <v>96</v>
      </c>
      <c r="C231" s="135" t="str">
        <f t="shared" si="36"/>
        <v>Resultado</v>
      </c>
      <c r="D231" s="135" t="str">
        <f t="shared" si="33"/>
        <v/>
      </c>
      <c r="E231" s="124" t="s">
        <v>631</v>
      </c>
      <c r="F231" s="124" t="s">
        <v>632</v>
      </c>
      <c r="G231" s="125">
        <v>8313</v>
      </c>
      <c r="H231" s="125" t="s">
        <v>165</v>
      </c>
      <c r="I231" s="125">
        <v>0</v>
      </c>
      <c r="J231" s="125">
        <v>0</v>
      </c>
      <c r="K231" s="125">
        <v>8313</v>
      </c>
      <c r="L231" s="125" t="s">
        <v>165</v>
      </c>
      <c r="M231" s="139">
        <f t="shared" si="34"/>
        <v>-8313</v>
      </c>
      <c r="N231" s="139">
        <f t="shared" si="35"/>
        <v>-8313</v>
      </c>
      <c r="O231" s="115"/>
      <c r="P231" s="115"/>
      <c r="Q231" s="118"/>
    </row>
    <row r="232" spans="1:17" s="128" customFormat="1" x14ac:dyDescent="0.3">
      <c r="A232" s="115"/>
      <c r="B232" s="123" t="s">
        <v>96</v>
      </c>
      <c r="C232" s="135" t="str">
        <f t="shared" si="36"/>
        <v>Resultado</v>
      </c>
      <c r="D232" s="135" t="str">
        <f t="shared" si="33"/>
        <v/>
      </c>
      <c r="E232" s="124" t="s">
        <v>633</v>
      </c>
      <c r="F232" s="124" t="s">
        <v>634</v>
      </c>
      <c r="G232" s="125">
        <v>35</v>
      </c>
      <c r="H232" s="125" t="s">
        <v>162</v>
      </c>
      <c r="I232" s="125">
        <v>0</v>
      </c>
      <c r="J232" s="125">
        <v>0</v>
      </c>
      <c r="K232" s="125">
        <v>35</v>
      </c>
      <c r="L232" s="125" t="s">
        <v>162</v>
      </c>
      <c r="M232" s="139">
        <f t="shared" si="34"/>
        <v>35</v>
      </c>
      <c r="N232" s="139">
        <f t="shared" si="35"/>
        <v>35</v>
      </c>
      <c r="O232" s="115"/>
      <c r="P232" s="115"/>
      <c r="Q232" s="118"/>
    </row>
    <row r="233" spans="1:17" s="128" customFormat="1" x14ac:dyDescent="0.3">
      <c r="A233" s="115"/>
      <c r="B233" s="123" t="s">
        <v>96</v>
      </c>
      <c r="C233" s="135" t="str">
        <f t="shared" si="36"/>
        <v>Resultado</v>
      </c>
      <c r="D233" s="135" t="str">
        <f t="shared" si="33"/>
        <v>Sintetica</v>
      </c>
      <c r="E233" s="124" t="s">
        <v>635</v>
      </c>
      <c r="F233" s="124" t="s">
        <v>636</v>
      </c>
      <c r="G233" s="125">
        <v>296962.33</v>
      </c>
      <c r="H233" s="125" t="s">
        <v>162</v>
      </c>
      <c r="I233" s="125">
        <v>110496.23</v>
      </c>
      <c r="J233" s="125">
        <v>23882.06</v>
      </c>
      <c r="K233" s="125">
        <v>383576.5</v>
      </c>
      <c r="L233" s="125" t="s">
        <v>162</v>
      </c>
      <c r="M233" s="139">
        <f t="shared" si="34"/>
        <v>296962.33</v>
      </c>
      <c r="N233" s="139">
        <f t="shared" si="35"/>
        <v>383576.5</v>
      </c>
      <c r="O233" s="115"/>
      <c r="P233" s="115"/>
      <c r="Q233" s="118"/>
    </row>
    <row r="234" spans="1:17" s="128" customFormat="1" x14ac:dyDescent="0.3">
      <c r="A234" s="115"/>
      <c r="B234" s="123" t="s">
        <v>96</v>
      </c>
      <c r="C234" s="135" t="str">
        <f t="shared" si="36"/>
        <v>Resultado</v>
      </c>
      <c r="D234" s="135" t="str">
        <f t="shared" si="33"/>
        <v>Sintetica</v>
      </c>
      <c r="E234" s="124" t="s">
        <v>637</v>
      </c>
      <c r="F234" s="124" t="s">
        <v>194</v>
      </c>
      <c r="G234" s="125">
        <v>168916.17</v>
      </c>
      <c r="H234" s="125" t="s">
        <v>162</v>
      </c>
      <c r="I234" s="125">
        <v>40694.01</v>
      </c>
      <c r="J234" s="125">
        <v>41.15</v>
      </c>
      <c r="K234" s="125">
        <v>209569.03</v>
      </c>
      <c r="L234" s="125" t="s">
        <v>162</v>
      </c>
      <c r="M234" s="139">
        <f t="shared" si="34"/>
        <v>168916.17</v>
      </c>
      <c r="N234" s="139">
        <f t="shared" si="35"/>
        <v>209569.03</v>
      </c>
      <c r="O234" s="115"/>
      <c r="P234" s="115"/>
      <c r="Q234" s="118"/>
    </row>
    <row r="235" spans="1:17" s="128" customFormat="1" x14ac:dyDescent="0.3">
      <c r="A235" s="115"/>
      <c r="B235" s="123" t="s">
        <v>96</v>
      </c>
      <c r="C235" s="135" t="str">
        <f t="shared" si="36"/>
        <v>Resultado</v>
      </c>
      <c r="D235" s="135" t="str">
        <f t="shared" si="33"/>
        <v>Sintetica</v>
      </c>
      <c r="E235" s="124" t="s">
        <v>638</v>
      </c>
      <c r="F235" s="124" t="s">
        <v>604</v>
      </c>
      <c r="G235" s="125">
        <v>1289.8</v>
      </c>
      <c r="H235" s="125" t="s">
        <v>162</v>
      </c>
      <c r="I235" s="125">
        <v>11176.04</v>
      </c>
      <c r="J235" s="125">
        <v>11016.46</v>
      </c>
      <c r="K235" s="125">
        <v>1449.38</v>
      </c>
      <c r="L235" s="125" t="s">
        <v>162</v>
      </c>
      <c r="M235" s="139">
        <f t="shared" si="34"/>
        <v>1289.8</v>
      </c>
      <c r="N235" s="139">
        <f t="shared" si="35"/>
        <v>1449.38</v>
      </c>
      <c r="O235" s="115"/>
      <c r="P235" s="115"/>
      <c r="Q235" s="118"/>
    </row>
    <row r="236" spans="1:17" s="128" customFormat="1" x14ac:dyDescent="0.3">
      <c r="A236" s="115"/>
      <c r="B236" s="123" t="s">
        <v>96</v>
      </c>
      <c r="C236" s="135" t="str">
        <f t="shared" si="36"/>
        <v>Resultado</v>
      </c>
      <c r="D236" s="135" t="str">
        <f t="shared" si="33"/>
        <v>Sintetica</v>
      </c>
      <c r="E236" s="124" t="s">
        <v>639</v>
      </c>
      <c r="F236" s="124" t="s">
        <v>606</v>
      </c>
      <c r="G236" s="125">
        <v>0</v>
      </c>
      <c r="H236" s="125"/>
      <c r="I236" s="125">
        <v>2968.35</v>
      </c>
      <c r="J236" s="125">
        <v>2375.65</v>
      </c>
      <c r="K236" s="125">
        <v>592.70000000000005</v>
      </c>
      <c r="L236" s="125" t="s">
        <v>162</v>
      </c>
      <c r="M236" s="139">
        <f t="shared" si="34"/>
        <v>0</v>
      </c>
      <c r="N236" s="139">
        <f t="shared" si="35"/>
        <v>592.70000000000005</v>
      </c>
      <c r="O236" s="115"/>
      <c r="P236" s="115"/>
      <c r="Q236" s="118"/>
    </row>
    <row r="237" spans="1:17" s="128" customFormat="1" x14ac:dyDescent="0.3">
      <c r="A237" s="115"/>
      <c r="B237" s="123" t="s">
        <v>96</v>
      </c>
      <c r="C237" s="135" t="str">
        <f t="shared" si="36"/>
        <v>Resultado</v>
      </c>
      <c r="D237" s="135" t="str">
        <f t="shared" si="33"/>
        <v>Sintetica</v>
      </c>
      <c r="E237" s="124" t="s">
        <v>640</v>
      </c>
      <c r="F237" s="124" t="s">
        <v>608</v>
      </c>
      <c r="G237" s="125">
        <v>0</v>
      </c>
      <c r="H237" s="125"/>
      <c r="I237" s="125">
        <v>7745.62</v>
      </c>
      <c r="J237" s="125">
        <v>0</v>
      </c>
      <c r="K237" s="125">
        <v>7745.62</v>
      </c>
      <c r="L237" s="125" t="s">
        <v>162</v>
      </c>
      <c r="M237" s="139">
        <f t="shared" si="34"/>
        <v>0</v>
      </c>
      <c r="N237" s="139">
        <f t="shared" si="35"/>
        <v>7745.62</v>
      </c>
      <c r="O237" s="115"/>
      <c r="P237" s="115"/>
      <c r="Q237" s="118"/>
    </row>
    <row r="238" spans="1:17" s="128" customFormat="1" x14ac:dyDescent="0.3">
      <c r="A238" s="115"/>
      <c r="B238" s="123" t="s">
        <v>96</v>
      </c>
      <c r="C238" s="135" t="str">
        <f t="shared" si="36"/>
        <v>Resultado</v>
      </c>
      <c r="D238" s="135" t="str">
        <f t="shared" si="33"/>
        <v/>
      </c>
      <c r="E238" s="124" t="s">
        <v>641</v>
      </c>
      <c r="F238" s="124" t="s">
        <v>195</v>
      </c>
      <c r="G238" s="125">
        <v>13799.51</v>
      </c>
      <c r="H238" s="125" t="s">
        <v>162</v>
      </c>
      <c r="I238" s="125">
        <v>7962.64</v>
      </c>
      <c r="J238" s="125">
        <v>890.96</v>
      </c>
      <c r="K238" s="125">
        <v>20871.189999999999</v>
      </c>
      <c r="L238" s="125" t="s">
        <v>162</v>
      </c>
      <c r="M238" s="139">
        <f t="shared" si="34"/>
        <v>13799.51</v>
      </c>
      <c r="N238" s="139">
        <f t="shared" si="35"/>
        <v>20871.189999999999</v>
      </c>
      <c r="O238" s="115"/>
      <c r="P238" s="115"/>
      <c r="Q238" s="118"/>
    </row>
    <row r="239" spans="1:17" s="128" customFormat="1" x14ac:dyDescent="0.3">
      <c r="A239" s="115"/>
      <c r="B239" s="123" t="s">
        <v>96</v>
      </c>
      <c r="C239" s="135" t="str">
        <f t="shared" si="36"/>
        <v>Resultado</v>
      </c>
      <c r="D239" s="135" t="str">
        <f t="shared" si="33"/>
        <v/>
      </c>
      <c r="E239" s="124" t="s">
        <v>642</v>
      </c>
      <c r="F239" s="124" t="s">
        <v>196</v>
      </c>
      <c r="G239" s="125">
        <v>51950.37</v>
      </c>
      <c r="H239" s="125" t="s">
        <v>162</v>
      </c>
      <c r="I239" s="125">
        <v>14857.03</v>
      </c>
      <c r="J239" s="125">
        <v>3207.5</v>
      </c>
      <c r="K239" s="125">
        <v>63599.9</v>
      </c>
      <c r="L239" s="125" t="s">
        <v>162</v>
      </c>
      <c r="M239" s="139">
        <f t="shared" si="34"/>
        <v>51950.37</v>
      </c>
      <c r="N239" s="139">
        <f t="shared" si="35"/>
        <v>63599.9</v>
      </c>
      <c r="O239" s="115"/>
      <c r="P239" s="115"/>
      <c r="Q239" s="118"/>
    </row>
    <row r="240" spans="1:17" s="128" customFormat="1" x14ac:dyDescent="0.3">
      <c r="A240" s="115"/>
      <c r="B240" s="123" t="s">
        <v>96</v>
      </c>
      <c r="C240" s="135" t="str">
        <f t="shared" si="36"/>
        <v>Resultado</v>
      </c>
      <c r="D240" s="135" t="str">
        <f t="shared" si="33"/>
        <v/>
      </c>
      <c r="E240" s="124" t="s">
        <v>643</v>
      </c>
      <c r="F240" s="124" t="s">
        <v>197</v>
      </c>
      <c r="G240" s="125">
        <v>3181.5</v>
      </c>
      <c r="H240" s="125" t="s">
        <v>162</v>
      </c>
      <c r="I240" s="125">
        <v>693</v>
      </c>
      <c r="J240" s="125">
        <v>0</v>
      </c>
      <c r="K240" s="125">
        <v>3874.5</v>
      </c>
      <c r="L240" s="125" t="s">
        <v>162</v>
      </c>
      <c r="M240" s="139">
        <f t="shared" si="34"/>
        <v>3181.5</v>
      </c>
      <c r="N240" s="139">
        <f t="shared" si="35"/>
        <v>3874.5</v>
      </c>
      <c r="O240" s="115"/>
      <c r="P240" s="115"/>
      <c r="Q240" s="118"/>
    </row>
    <row r="241" spans="1:17" s="128" customFormat="1" x14ac:dyDescent="0.3">
      <c r="A241" s="115"/>
      <c r="B241" s="123" t="s">
        <v>96</v>
      </c>
      <c r="C241" s="135" t="str">
        <f t="shared" si="36"/>
        <v>Resultado</v>
      </c>
      <c r="D241" s="135" t="str">
        <f t="shared" si="33"/>
        <v/>
      </c>
      <c r="E241" s="124" t="s">
        <v>644</v>
      </c>
      <c r="F241" s="124" t="s">
        <v>615</v>
      </c>
      <c r="G241" s="125">
        <v>4098.6899999999996</v>
      </c>
      <c r="H241" s="125" t="s">
        <v>162</v>
      </c>
      <c r="I241" s="125">
        <v>4765.1499999999996</v>
      </c>
      <c r="J241" s="125">
        <v>0</v>
      </c>
      <c r="K241" s="125">
        <v>8863.84</v>
      </c>
      <c r="L241" s="125" t="s">
        <v>162</v>
      </c>
      <c r="M241" s="139">
        <f t="shared" si="34"/>
        <v>4098.6899999999996</v>
      </c>
      <c r="N241" s="139">
        <f t="shared" si="35"/>
        <v>8863.84</v>
      </c>
      <c r="O241" s="115"/>
      <c r="P241" s="115"/>
      <c r="Q241" s="118"/>
    </row>
    <row r="242" spans="1:17" s="128" customFormat="1" x14ac:dyDescent="0.3">
      <c r="A242" s="115"/>
      <c r="B242" s="123" t="s">
        <v>96</v>
      </c>
      <c r="C242" s="135" t="str">
        <f t="shared" si="36"/>
        <v>Resultado</v>
      </c>
      <c r="D242" s="135" t="str">
        <f t="shared" si="33"/>
        <v/>
      </c>
      <c r="E242" s="124" t="s">
        <v>645</v>
      </c>
      <c r="F242" s="124" t="s">
        <v>617</v>
      </c>
      <c r="G242" s="125">
        <v>8838.4500000000007</v>
      </c>
      <c r="H242" s="125" t="s">
        <v>162</v>
      </c>
      <c r="I242" s="125">
        <v>2074.29</v>
      </c>
      <c r="J242" s="125">
        <v>0</v>
      </c>
      <c r="K242" s="125">
        <v>10912.74</v>
      </c>
      <c r="L242" s="125" t="s">
        <v>162</v>
      </c>
      <c r="M242" s="139">
        <f t="shared" si="34"/>
        <v>8838.4500000000007</v>
      </c>
      <c r="N242" s="139">
        <f t="shared" si="35"/>
        <v>10912.74</v>
      </c>
      <c r="O242" s="115"/>
      <c r="P242" s="115"/>
      <c r="Q242" s="118"/>
    </row>
    <row r="243" spans="1:17" s="129" customFormat="1" x14ac:dyDescent="0.3">
      <c r="A243" s="117"/>
      <c r="B243" s="123" t="s">
        <v>96</v>
      </c>
      <c r="C243" s="135"/>
      <c r="D243" s="135" t="str">
        <f t="shared" si="33"/>
        <v/>
      </c>
      <c r="E243" s="124" t="s">
        <v>646</v>
      </c>
      <c r="F243" s="124" t="s">
        <v>202</v>
      </c>
      <c r="G243" s="125">
        <v>0</v>
      </c>
      <c r="H243" s="125"/>
      <c r="I243" s="125">
        <v>5737.83</v>
      </c>
      <c r="J243" s="125">
        <v>5737.83</v>
      </c>
      <c r="K243" s="125">
        <v>0</v>
      </c>
      <c r="L243" s="125"/>
      <c r="M243" s="139">
        <f t="shared" si="34"/>
        <v>0</v>
      </c>
      <c r="N243" s="139">
        <f t="shared" si="35"/>
        <v>0</v>
      </c>
      <c r="O243" s="122"/>
      <c r="P243" s="122"/>
    </row>
    <row r="244" spans="1:17" s="128" customFormat="1" x14ac:dyDescent="0.3">
      <c r="A244" s="115"/>
      <c r="B244" s="123" t="s">
        <v>96</v>
      </c>
      <c r="C244" s="135"/>
      <c r="D244" s="135" t="str">
        <f t="shared" si="33"/>
        <v/>
      </c>
      <c r="E244" s="124" t="s">
        <v>647</v>
      </c>
      <c r="F244" s="124" t="s">
        <v>619</v>
      </c>
      <c r="G244" s="125">
        <v>1229.1500000000001</v>
      </c>
      <c r="H244" s="125" t="s">
        <v>165</v>
      </c>
      <c r="I244" s="125">
        <v>0</v>
      </c>
      <c r="J244" s="125">
        <v>181.35</v>
      </c>
      <c r="K244" s="125">
        <v>1410.5</v>
      </c>
      <c r="L244" s="125" t="s">
        <v>165</v>
      </c>
      <c r="M244" s="139">
        <f t="shared" si="34"/>
        <v>-1229.1500000000001</v>
      </c>
      <c r="N244" s="139">
        <f t="shared" si="35"/>
        <v>-1410.5</v>
      </c>
      <c r="O244" s="115"/>
      <c r="P244" s="115"/>
      <c r="Q244" s="118"/>
    </row>
    <row r="245" spans="1:17" s="128" customFormat="1" x14ac:dyDescent="0.3">
      <c r="A245" s="115"/>
      <c r="B245" s="123" t="s">
        <v>96</v>
      </c>
      <c r="C245" s="135" t="str">
        <f t="shared" ref="C245:C253" si="37">IF(MID(E245,1,1)="1","Ativo",IF(MID(E245,1,1)="2","Passivo","Resultado"))</f>
        <v>Resultado</v>
      </c>
      <c r="D245" s="135" t="str">
        <f t="shared" si="33"/>
        <v/>
      </c>
      <c r="E245" s="124" t="s">
        <v>648</v>
      </c>
      <c r="F245" s="124" t="s">
        <v>198</v>
      </c>
      <c r="G245" s="125">
        <v>17952.099999999999</v>
      </c>
      <c r="H245" s="125" t="s">
        <v>162</v>
      </c>
      <c r="I245" s="125">
        <v>5114.97</v>
      </c>
      <c r="J245" s="125">
        <v>0</v>
      </c>
      <c r="K245" s="125">
        <v>23067.07</v>
      </c>
      <c r="L245" s="125" t="s">
        <v>162</v>
      </c>
      <c r="M245" s="139">
        <f t="shared" si="34"/>
        <v>17952.099999999999</v>
      </c>
      <c r="N245" s="139">
        <f t="shared" si="35"/>
        <v>23067.07</v>
      </c>
      <c r="O245" s="115"/>
      <c r="P245" s="115"/>
      <c r="Q245" s="118"/>
    </row>
    <row r="246" spans="1:17" s="128" customFormat="1" x14ac:dyDescent="0.3">
      <c r="A246" s="115"/>
      <c r="B246" s="123" t="s">
        <v>96</v>
      </c>
      <c r="C246" s="135" t="str">
        <f t="shared" si="37"/>
        <v>Resultado</v>
      </c>
      <c r="D246" s="135" t="str">
        <f t="shared" si="33"/>
        <v/>
      </c>
      <c r="E246" s="124" t="s">
        <v>649</v>
      </c>
      <c r="F246" s="124" t="s">
        <v>185</v>
      </c>
      <c r="G246" s="125">
        <v>5170.16</v>
      </c>
      <c r="H246" s="125" t="s">
        <v>162</v>
      </c>
      <c r="I246" s="125">
        <v>1161.1300000000001</v>
      </c>
      <c r="J246" s="125">
        <v>337.43</v>
      </c>
      <c r="K246" s="125">
        <v>5993.86</v>
      </c>
      <c r="L246" s="125" t="s">
        <v>162</v>
      </c>
      <c r="M246" s="139">
        <f t="shared" si="34"/>
        <v>5170.16</v>
      </c>
      <c r="N246" s="139">
        <f t="shared" si="35"/>
        <v>5993.86</v>
      </c>
      <c r="O246" s="115"/>
      <c r="P246" s="115"/>
      <c r="Q246" s="118"/>
    </row>
    <row r="247" spans="1:17" s="128" customFormat="1" x14ac:dyDescent="0.3">
      <c r="A247" s="115"/>
      <c r="B247" s="123" t="s">
        <v>96</v>
      </c>
      <c r="C247" s="135" t="str">
        <f t="shared" si="37"/>
        <v>Resultado</v>
      </c>
      <c r="D247" s="135" t="str">
        <f t="shared" si="33"/>
        <v/>
      </c>
      <c r="E247" s="124" t="s">
        <v>650</v>
      </c>
      <c r="F247" s="124" t="s">
        <v>186</v>
      </c>
      <c r="G247" s="125">
        <v>1380.54</v>
      </c>
      <c r="H247" s="125" t="s">
        <v>162</v>
      </c>
      <c r="I247" s="125">
        <v>308.64</v>
      </c>
      <c r="J247" s="125">
        <v>93.73</v>
      </c>
      <c r="K247" s="125">
        <v>1595.45</v>
      </c>
      <c r="L247" s="125" t="s">
        <v>162</v>
      </c>
      <c r="M247" s="139">
        <f t="shared" si="34"/>
        <v>1380.54</v>
      </c>
      <c r="N247" s="139">
        <f t="shared" si="35"/>
        <v>1595.45</v>
      </c>
      <c r="O247" s="115"/>
      <c r="P247" s="115"/>
      <c r="Q247" s="118"/>
    </row>
    <row r="248" spans="1:17" s="129" customFormat="1" x14ac:dyDescent="0.3">
      <c r="A248" s="117"/>
      <c r="B248" s="123" t="s">
        <v>96</v>
      </c>
      <c r="C248" s="135" t="str">
        <f t="shared" si="37"/>
        <v>Resultado</v>
      </c>
      <c r="D248" s="135" t="str">
        <f t="shared" si="33"/>
        <v/>
      </c>
      <c r="E248" s="124" t="s">
        <v>651</v>
      </c>
      <c r="F248" s="124" t="s">
        <v>624</v>
      </c>
      <c r="G248" s="125">
        <v>15837.98</v>
      </c>
      <c r="H248" s="125" t="s">
        <v>162</v>
      </c>
      <c r="I248" s="125">
        <v>3836.24</v>
      </c>
      <c r="J248" s="125">
        <v>0</v>
      </c>
      <c r="K248" s="125">
        <v>19674.22</v>
      </c>
      <c r="L248" s="125" t="s">
        <v>162</v>
      </c>
      <c r="M248" s="139">
        <f t="shared" si="34"/>
        <v>15837.98</v>
      </c>
      <c r="N248" s="139">
        <f t="shared" si="35"/>
        <v>19674.22</v>
      </c>
      <c r="O248" s="122"/>
      <c r="P248" s="122"/>
    </row>
    <row r="249" spans="1:17" s="128" customFormat="1" x14ac:dyDescent="0.3">
      <c r="A249" s="115"/>
      <c r="B249" s="123" t="s">
        <v>96</v>
      </c>
      <c r="C249" s="135" t="str">
        <f t="shared" si="37"/>
        <v>Resultado</v>
      </c>
      <c r="D249" s="135" t="str">
        <f t="shared" si="33"/>
        <v/>
      </c>
      <c r="E249" s="124" t="s">
        <v>652</v>
      </c>
      <c r="F249" s="124" t="s">
        <v>626</v>
      </c>
      <c r="G249" s="125">
        <v>4561.3</v>
      </c>
      <c r="H249" s="125" t="s">
        <v>162</v>
      </c>
      <c r="I249" s="125">
        <v>1104.83</v>
      </c>
      <c r="J249" s="125">
        <v>0</v>
      </c>
      <c r="K249" s="125">
        <v>5666.13</v>
      </c>
      <c r="L249" s="125" t="s">
        <v>162</v>
      </c>
      <c r="M249" s="139">
        <f t="shared" si="34"/>
        <v>4561.3</v>
      </c>
      <c r="N249" s="139">
        <f t="shared" si="35"/>
        <v>5666.13</v>
      </c>
      <c r="O249" s="115"/>
      <c r="P249" s="115"/>
      <c r="Q249" s="118"/>
    </row>
    <row r="250" spans="1:17" s="128" customFormat="1" x14ac:dyDescent="0.3">
      <c r="A250" s="115"/>
      <c r="B250" s="123" t="s">
        <v>96</v>
      </c>
      <c r="C250" s="135" t="str">
        <f t="shared" si="37"/>
        <v>Resultado</v>
      </c>
      <c r="D250" s="135" t="str">
        <f t="shared" si="33"/>
        <v/>
      </c>
      <c r="E250" s="124" t="s">
        <v>653</v>
      </c>
      <c r="F250" s="124" t="s">
        <v>628</v>
      </c>
      <c r="G250" s="125">
        <v>1214.9100000000001</v>
      </c>
      <c r="H250" s="125" t="s">
        <v>162</v>
      </c>
      <c r="I250" s="125">
        <v>296.45999999999998</v>
      </c>
      <c r="J250" s="125">
        <v>0</v>
      </c>
      <c r="K250" s="125">
        <v>1511.37</v>
      </c>
      <c r="L250" s="125" t="s">
        <v>162</v>
      </c>
      <c r="M250" s="139">
        <f t="shared" si="34"/>
        <v>1214.9100000000001</v>
      </c>
      <c r="N250" s="139">
        <f t="shared" si="35"/>
        <v>1511.37</v>
      </c>
      <c r="O250" s="115"/>
      <c r="P250" s="115"/>
      <c r="Q250" s="118"/>
    </row>
    <row r="251" spans="1:17" s="128" customFormat="1" x14ac:dyDescent="0.3">
      <c r="A251" s="115"/>
      <c r="B251" s="123" t="s">
        <v>96</v>
      </c>
      <c r="C251" s="135" t="str">
        <f t="shared" si="37"/>
        <v>Resultado</v>
      </c>
      <c r="D251" s="135" t="str">
        <f t="shared" si="33"/>
        <v>Sintetica</v>
      </c>
      <c r="E251" s="124" t="s">
        <v>654</v>
      </c>
      <c r="F251" s="124" t="s">
        <v>655</v>
      </c>
      <c r="G251" s="125">
        <v>2338107.27</v>
      </c>
      <c r="H251" s="125" t="s">
        <v>162</v>
      </c>
      <c r="I251" s="125">
        <v>152037.19</v>
      </c>
      <c r="J251" s="125">
        <v>26739.1</v>
      </c>
      <c r="K251" s="125">
        <v>2463405.36</v>
      </c>
      <c r="L251" s="125" t="s">
        <v>162</v>
      </c>
      <c r="M251" s="139">
        <f t="shared" si="34"/>
        <v>2338107.27</v>
      </c>
      <c r="N251" s="139">
        <f t="shared" si="35"/>
        <v>2463405.36</v>
      </c>
      <c r="O251" s="115"/>
      <c r="P251" s="115"/>
      <c r="Q251" s="118"/>
    </row>
    <row r="252" spans="1:17" s="128" customFormat="1" x14ac:dyDescent="0.3">
      <c r="A252" s="115"/>
      <c r="B252" s="123" t="s">
        <v>96</v>
      </c>
      <c r="C252" s="135" t="str">
        <f t="shared" si="37"/>
        <v>Resultado</v>
      </c>
      <c r="D252" s="135" t="str">
        <f t="shared" si="33"/>
        <v>Sintetica</v>
      </c>
      <c r="E252" s="124" t="s">
        <v>656</v>
      </c>
      <c r="F252" s="124" t="s">
        <v>655</v>
      </c>
      <c r="G252" s="125">
        <v>2188609.61</v>
      </c>
      <c r="H252" s="125" t="s">
        <v>162</v>
      </c>
      <c r="I252" s="125">
        <v>152037.19</v>
      </c>
      <c r="J252" s="125">
        <v>26739.1</v>
      </c>
      <c r="K252" s="125">
        <v>2313907.7000000002</v>
      </c>
      <c r="L252" s="125" t="s">
        <v>162</v>
      </c>
      <c r="M252" s="139">
        <f t="shared" si="34"/>
        <v>2188609.61</v>
      </c>
      <c r="N252" s="139">
        <f t="shared" si="35"/>
        <v>2313907.7000000002</v>
      </c>
      <c r="O252" s="115"/>
      <c r="P252" s="115"/>
      <c r="Q252" s="118"/>
    </row>
    <row r="253" spans="1:17" s="128" customFormat="1" x14ac:dyDescent="0.3">
      <c r="A253" s="115"/>
      <c r="B253" s="123" t="s">
        <v>96</v>
      </c>
      <c r="C253" s="135" t="str">
        <f t="shared" si="37"/>
        <v>Resultado</v>
      </c>
      <c r="D253" s="135" t="str">
        <f t="shared" si="33"/>
        <v>Sintetica</v>
      </c>
      <c r="E253" s="124" t="s">
        <v>657</v>
      </c>
      <c r="F253" s="124" t="s">
        <v>199</v>
      </c>
      <c r="G253" s="125">
        <v>2166491.09</v>
      </c>
      <c r="H253" s="125" t="s">
        <v>162</v>
      </c>
      <c r="I253" s="125">
        <v>133675.53</v>
      </c>
      <c r="J253" s="125">
        <v>0</v>
      </c>
      <c r="K253" s="125">
        <v>2300166.62</v>
      </c>
      <c r="L253" s="125" t="s">
        <v>162</v>
      </c>
      <c r="M253" s="139">
        <f t="shared" si="34"/>
        <v>2166491.09</v>
      </c>
      <c r="N253" s="139">
        <f t="shared" si="35"/>
        <v>2300166.62</v>
      </c>
      <c r="O253" s="115"/>
      <c r="P253" s="115"/>
      <c r="Q253" s="118"/>
    </row>
    <row r="254" spans="1:17" s="128" customFormat="1" x14ac:dyDescent="0.3">
      <c r="A254" s="115"/>
      <c r="B254" s="123" t="s">
        <v>96</v>
      </c>
      <c r="C254" s="135"/>
      <c r="D254" s="135" t="str">
        <f t="shared" si="33"/>
        <v>Sintetica</v>
      </c>
      <c r="E254" s="124" t="s">
        <v>658</v>
      </c>
      <c r="F254" s="124" t="s">
        <v>659</v>
      </c>
      <c r="G254" s="125">
        <v>24676.63</v>
      </c>
      <c r="H254" s="125" t="s">
        <v>162</v>
      </c>
      <c r="I254" s="125">
        <v>434.81</v>
      </c>
      <c r="J254" s="125">
        <v>0</v>
      </c>
      <c r="K254" s="125">
        <v>25111.439999999999</v>
      </c>
      <c r="L254" s="125" t="s">
        <v>162</v>
      </c>
      <c r="M254" s="139">
        <f t="shared" si="34"/>
        <v>24676.63</v>
      </c>
      <c r="N254" s="139">
        <f t="shared" si="35"/>
        <v>25111.439999999999</v>
      </c>
      <c r="O254" s="115"/>
      <c r="P254" s="115"/>
      <c r="Q254" s="118"/>
    </row>
    <row r="255" spans="1:17" s="128" customFormat="1" x14ac:dyDescent="0.3">
      <c r="A255" s="115"/>
      <c r="B255" s="123" t="s">
        <v>96</v>
      </c>
      <c r="C255" s="135" t="str">
        <f t="shared" ref="C255:C257" si="38">IF(MID(E255,1,1)="1","Ativo",IF(MID(E255,1,1)="2","Passivo","Resultado"))</f>
        <v>Resultado</v>
      </c>
      <c r="D255" s="135" t="str">
        <f t="shared" si="33"/>
        <v>Sintetica</v>
      </c>
      <c r="E255" s="124" t="s">
        <v>660</v>
      </c>
      <c r="F255" s="124" t="s">
        <v>661</v>
      </c>
      <c r="G255" s="125">
        <v>362879.28</v>
      </c>
      <c r="H255" s="125" t="s">
        <v>165</v>
      </c>
      <c r="I255" s="125">
        <v>0</v>
      </c>
      <c r="J255" s="125">
        <v>0</v>
      </c>
      <c r="K255" s="125">
        <v>362879.28</v>
      </c>
      <c r="L255" s="125" t="s">
        <v>165</v>
      </c>
      <c r="M255" s="139">
        <f t="shared" si="34"/>
        <v>-362879.28</v>
      </c>
      <c r="N255" s="139">
        <f t="shared" si="35"/>
        <v>-362879.28</v>
      </c>
      <c r="O255" s="115"/>
      <c r="P255" s="115"/>
      <c r="Q255" s="118"/>
    </row>
    <row r="256" spans="1:17" s="128" customFormat="1" x14ac:dyDescent="0.3">
      <c r="A256" s="115"/>
      <c r="B256" s="123" t="s">
        <v>96</v>
      </c>
      <c r="C256" s="135" t="str">
        <f t="shared" si="38"/>
        <v>Resultado</v>
      </c>
      <c r="D256" s="135" t="str">
        <f t="shared" si="33"/>
        <v>Sintetica</v>
      </c>
      <c r="E256" s="124" t="s">
        <v>662</v>
      </c>
      <c r="F256" s="124" t="s">
        <v>663</v>
      </c>
      <c r="G256" s="125">
        <v>175559.28</v>
      </c>
      <c r="H256" s="125" t="s">
        <v>162</v>
      </c>
      <c r="I256" s="125">
        <v>8364.0400000000009</v>
      </c>
      <c r="J256" s="125">
        <v>17176.29</v>
      </c>
      <c r="K256" s="125">
        <v>166747.03</v>
      </c>
      <c r="L256" s="125" t="s">
        <v>162</v>
      </c>
      <c r="M256" s="139">
        <f t="shared" si="34"/>
        <v>175559.28</v>
      </c>
      <c r="N256" s="139">
        <f t="shared" si="35"/>
        <v>166747.03</v>
      </c>
      <c r="O256" s="115"/>
      <c r="P256" s="115"/>
      <c r="Q256" s="118"/>
    </row>
    <row r="257" spans="1:17" s="128" customFormat="1" x14ac:dyDescent="0.3">
      <c r="A257" s="115"/>
      <c r="B257" s="123" t="s">
        <v>96</v>
      </c>
      <c r="C257" s="135" t="str">
        <f t="shared" si="38"/>
        <v>Resultado</v>
      </c>
      <c r="D257" s="135" t="str">
        <f t="shared" si="33"/>
        <v/>
      </c>
      <c r="E257" s="124" t="s">
        <v>664</v>
      </c>
      <c r="F257" s="124" t="s">
        <v>665</v>
      </c>
      <c r="G257" s="125">
        <v>1668.54</v>
      </c>
      <c r="H257" s="125" t="s">
        <v>165</v>
      </c>
      <c r="I257" s="125">
        <v>9562.81</v>
      </c>
      <c r="J257" s="125">
        <v>9562.81</v>
      </c>
      <c r="K257" s="125">
        <v>1668.54</v>
      </c>
      <c r="L257" s="125" t="s">
        <v>165</v>
      </c>
      <c r="M257" s="139">
        <f t="shared" si="34"/>
        <v>-1668.54</v>
      </c>
      <c r="N257" s="139">
        <f t="shared" si="35"/>
        <v>-1668.54</v>
      </c>
      <c r="O257" s="115"/>
      <c r="P257" s="115"/>
      <c r="Q257" s="118"/>
    </row>
    <row r="258" spans="1:17" s="128" customFormat="1" x14ac:dyDescent="0.3">
      <c r="A258" s="115"/>
      <c r="B258" s="123" t="s">
        <v>96</v>
      </c>
      <c r="C258" s="135"/>
      <c r="D258" s="135" t="str">
        <f t="shared" si="33"/>
        <v/>
      </c>
      <c r="E258" s="124" t="s">
        <v>666</v>
      </c>
      <c r="F258" s="124" t="s">
        <v>667</v>
      </c>
      <c r="G258" s="125">
        <v>186430.43</v>
      </c>
      <c r="H258" s="125" t="s">
        <v>162</v>
      </c>
      <c r="I258" s="125">
        <v>0</v>
      </c>
      <c r="J258" s="125">
        <v>0</v>
      </c>
      <c r="K258" s="125">
        <v>186430.43</v>
      </c>
      <c r="L258" s="125" t="s">
        <v>162</v>
      </c>
      <c r="M258" s="139">
        <f t="shared" si="34"/>
        <v>186430.43</v>
      </c>
      <c r="N258" s="139">
        <f t="shared" si="35"/>
        <v>186430.43</v>
      </c>
      <c r="O258" s="115"/>
      <c r="P258" s="115"/>
      <c r="Q258" s="118"/>
    </row>
    <row r="259" spans="1:17" s="128" customFormat="1" x14ac:dyDescent="0.3">
      <c r="A259" s="115"/>
      <c r="B259" s="123" t="s">
        <v>96</v>
      </c>
      <c r="C259" s="135"/>
      <c r="D259" s="135" t="str">
        <f t="shared" si="33"/>
        <v>Sintetica</v>
      </c>
      <c r="E259" s="124" t="s">
        <v>668</v>
      </c>
      <c r="F259" s="124" t="s">
        <v>669</v>
      </c>
      <c r="G259" s="125">
        <v>149497.66</v>
      </c>
      <c r="H259" s="125" t="s">
        <v>162</v>
      </c>
      <c r="I259" s="125">
        <v>0</v>
      </c>
      <c r="J259" s="125">
        <v>0</v>
      </c>
      <c r="K259" s="125">
        <v>149497.66</v>
      </c>
      <c r="L259" s="125" t="s">
        <v>162</v>
      </c>
      <c r="M259" s="139">
        <f t="shared" si="34"/>
        <v>149497.66</v>
      </c>
      <c r="N259" s="139">
        <f t="shared" si="35"/>
        <v>149497.66</v>
      </c>
      <c r="O259" s="115"/>
      <c r="P259" s="115"/>
      <c r="Q259" s="118"/>
    </row>
    <row r="260" spans="1:17" s="128" customFormat="1" x14ac:dyDescent="0.3">
      <c r="A260" s="115"/>
      <c r="B260" s="123" t="s">
        <v>96</v>
      </c>
      <c r="C260" s="135" t="str">
        <f t="shared" ref="C260:C265" si="39">IF(MID(E260,1,1)="1","Ativo",IF(MID(E260,1,1)="2","Passivo","Resultado"))</f>
        <v>Resultado</v>
      </c>
      <c r="D260" s="135" t="str">
        <f t="shared" si="33"/>
        <v>Sintetica</v>
      </c>
      <c r="E260" s="124" t="s">
        <v>670</v>
      </c>
      <c r="F260" s="124" t="s">
        <v>597</v>
      </c>
      <c r="G260" s="125">
        <v>409.9</v>
      </c>
      <c r="H260" s="125" t="s">
        <v>162</v>
      </c>
      <c r="I260" s="125">
        <v>0</v>
      </c>
      <c r="J260" s="125">
        <v>0</v>
      </c>
      <c r="K260" s="125">
        <v>409.9</v>
      </c>
      <c r="L260" s="125" t="s">
        <v>162</v>
      </c>
      <c r="M260" s="139">
        <f t="shared" si="34"/>
        <v>409.9</v>
      </c>
      <c r="N260" s="139">
        <f t="shared" si="35"/>
        <v>409.9</v>
      </c>
      <c r="O260" s="115"/>
      <c r="P260" s="115"/>
      <c r="Q260" s="118"/>
    </row>
    <row r="261" spans="1:17" s="128" customFormat="1" x14ac:dyDescent="0.3">
      <c r="A261" s="115"/>
      <c r="B261" s="123" t="s">
        <v>96</v>
      </c>
      <c r="C261" s="135" t="str">
        <f t="shared" si="39"/>
        <v>Resultado</v>
      </c>
      <c r="D261" s="135" t="str">
        <f t="shared" si="33"/>
        <v>Sintetica</v>
      </c>
      <c r="E261" s="124" t="s">
        <v>671</v>
      </c>
      <c r="F261" s="124" t="s">
        <v>636</v>
      </c>
      <c r="G261" s="125">
        <v>149087.76</v>
      </c>
      <c r="H261" s="125" t="s">
        <v>162</v>
      </c>
      <c r="I261" s="125">
        <v>0</v>
      </c>
      <c r="J261" s="125">
        <v>0</v>
      </c>
      <c r="K261" s="125">
        <v>149087.76</v>
      </c>
      <c r="L261" s="125" t="s">
        <v>162</v>
      </c>
      <c r="M261" s="139">
        <f t="shared" si="34"/>
        <v>149087.76</v>
      </c>
      <c r="N261" s="139">
        <f t="shared" si="35"/>
        <v>149087.76</v>
      </c>
      <c r="O261" s="115"/>
      <c r="P261" s="115"/>
      <c r="Q261" s="118"/>
    </row>
    <row r="262" spans="1:17" s="128" customFormat="1" x14ac:dyDescent="0.3">
      <c r="A262" s="115"/>
      <c r="B262" s="123" t="s">
        <v>96</v>
      </c>
      <c r="C262" s="135" t="str">
        <f t="shared" si="39"/>
        <v>Resultado</v>
      </c>
      <c r="D262" s="135" t="str">
        <f t="shared" si="33"/>
        <v>Sintetica</v>
      </c>
      <c r="E262" s="124" t="s">
        <v>672</v>
      </c>
      <c r="F262" s="124" t="s">
        <v>673</v>
      </c>
      <c r="G262" s="125">
        <v>206005.91</v>
      </c>
      <c r="H262" s="125" t="s">
        <v>162</v>
      </c>
      <c r="I262" s="125">
        <v>0</v>
      </c>
      <c r="J262" s="125">
        <v>0</v>
      </c>
      <c r="K262" s="125">
        <v>206005.91</v>
      </c>
      <c r="L262" s="125" t="s">
        <v>162</v>
      </c>
      <c r="M262" s="139">
        <f t="shared" si="34"/>
        <v>206005.91</v>
      </c>
      <c r="N262" s="139">
        <f t="shared" si="35"/>
        <v>206005.91</v>
      </c>
      <c r="O262" s="115"/>
      <c r="P262" s="115"/>
      <c r="Q262" s="118"/>
    </row>
    <row r="263" spans="1:17" s="128" customFormat="1" x14ac:dyDescent="0.3">
      <c r="A263" s="115"/>
      <c r="B263" s="123" t="s">
        <v>96</v>
      </c>
      <c r="C263" s="135" t="str">
        <f t="shared" si="39"/>
        <v>Resultado</v>
      </c>
      <c r="D263" s="135" t="str">
        <f t="shared" si="33"/>
        <v>Sintetica</v>
      </c>
      <c r="E263" s="124" t="s">
        <v>674</v>
      </c>
      <c r="F263" s="124" t="s">
        <v>673</v>
      </c>
      <c r="G263" s="125">
        <v>206005.91</v>
      </c>
      <c r="H263" s="125" t="s">
        <v>162</v>
      </c>
      <c r="I263" s="125">
        <v>0</v>
      </c>
      <c r="J263" s="125">
        <v>0</v>
      </c>
      <c r="K263" s="125">
        <v>206005.91</v>
      </c>
      <c r="L263" s="125" t="s">
        <v>162</v>
      </c>
      <c r="M263" s="139">
        <f t="shared" si="34"/>
        <v>206005.91</v>
      </c>
      <c r="N263" s="139">
        <f t="shared" si="35"/>
        <v>206005.91</v>
      </c>
      <c r="O263" s="115"/>
      <c r="P263" s="115"/>
      <c r="Q263" s="118"/>
    </row>
    <row r="264" spans="1:17" s="128" customFormat="1" x14ac:dyDescent="0.3">
      <c r="A264" s="115"/>
      <c r="B264" s="123" t="s">
        <v>96</v>
      </c>
      <c r="C264" s="135" t="str">
        <f t="shared" si="39"/>
        <v>Resultado</v>
      </c>
      <c r="D264" s="135" t="str">
        <f t="shared" si="33"/>
        <v>Sintetica</v>
      </c>
      <c r="E264" s="124" t="s">
        <v>675</v>
      </c>
      <c r="F264" s="124" t="s">
        <v>673</v>
      </c>
      <c r="G264" s="125">
        <v>206005.91</v>
      </c>
      <c r="H264" s="125" t="s">
        <v>162</v>
      </c>
      <c r="I264" s="125">
        <v>0</v>
      </c>
      <c r="J264" s="125">
        <v>0</v>
      </c>
      <c r="K264" s="125">
        <v>206005.91</v>
      </c>
      <c r="L264" s="125" t="s">
        <v>162</v>
      </c>
      <c r="M264" s="139">
        <f t="shared" si="34"/>
        <v>206005.91</v>
      </c>
      <c r="N264" s="139">
        <f t="shared" si="35"/>
        <v>206005.91</v>
      </c>
      <c r="O264" s="115"/>
      <c r="P264" s="115"/>
      <c r="Q264" s="118"/>
    </row>
    <row r="265" spans="1:17" s="128" customFormat="1" x14ac:dyDescent="0.3">
      <c r="A265" s="115"/>
      <c r="B265" s="123" t="s">
        <v>96</v>
      </c>
      <c r="C265" s="135" t="str">
        <f t="shared" si="39"/>
        <v>Resultado</v>
      </c>
      <c r="D265" s="135" t="str">
        <f t="shared" ref="D265:D328" si="40">IF(MID(E265,10,3)="000","Sintetica","")</f>
        <v>Sintetica</v>
      </c>
      <c r="E265" s="124" t="s">
        <v>676</v>
      </c>
      <c r="F265" s="124" t="s">
        <v>200</v>
      </c>
      <c r="G265" s="125">
        <v>4348395.3</v>
      </c>
      <c r="H265" s="125" t="s">
        <v>162</v>
      </c>
      <c r="I265" s="125">
        <v>2028197.21</v>
      </c>
      <c r="J265" s="125">
        <v>1109296.75</v>
      </c>
      <c r="K265" s="125">
        <v>5267295.76</v>
      </c>
      <c r="L265" s="125" t="s">
        <v>162</v>
      </c>
      <c r="M265" s="139">
        <f t="shared" ref="M265:M328" si="41">IF(H265="D",G265,-G265)</f>
        <v>4348395.3</v>
      </c>
      <c r="N265" s="139">
        <f t="shared" ref="N265:N328" si="42">IF(L265="D",K265,-K265)</f>
        <v>5267295.76</v>
      </c>
      <c r="O265" s="115"/>
      <c r="P265" s="115"/>
      <c r="Q265" s="118"/>
    </row>
    <row r="266" spans="1:17" s="128" customFormat="1" x14ac:dyDescent="0.3">
      <c r="A266" s="115"/>
      <c r="B266" s="123" t="s">
        <v>96</v>
      </c>
      <c r="C266" s="135"/>
      <c r="D266" s="135" t="str">
        <f t="shared" si="40"/>
        <v>Sintetica</v>
      </c>
      <c r="E266" s="124" t="s">
        <v>677</v>
      </c>
      <c r="F266" s="124" t="s">
        <v>678</v>
      </c>
      <c r="G266" s="125">
        <v>1019673.84</v>
      </c>
      <c r="H266" s="125" t="s">
        <v>162</v>
      </c>
      <c r="I266" s="125">
        <v>398370.21</v>
      </c>
      <c r="J266" s="125">
        <v>117189.7</v>
      </c>
      <c r="K266" s="125">
        <v>1300854.3500000001</v>
      </c>
      <c r="L266" s="125" t="s">
        <v>162</v>
      </c>
      <c r="M266" s="139">
        <f t="shared" si="41"/>
        <v>1019673.84</v>
      </c>
      <c r="N266" s="139">
        <f t="shared" si="42"/>
        <v>1300854.3500000001</v>
      </c>
      <c r="O266" s="115"/>
      <c r="P266" s="115"/>
      <c r="Q266" s="118"/>
    </row>
    <row r="267" spans="1:17" s="129" customFormat="1" x14ac:dyDescent="0.3">
      <c r="A267" s="117"/>
      <c r="B267" s="123" t="s">
        <v>96</v>
      </c>
      <c r="C267" s="135" t="str">
        <f>IF(MID(E267,1,1)="1","Ativo",IF(MID(E267,1,1)="2","Passivo","Resultado"))</f>
        <v>Resultado</v>
      </c>
      <c r="D267" s="135" t="str">
        <f t="shared" si="40"/>
        <v>Sintetica</v>
      </c>
      <c r="E267" s="124" t="s">
        <v>679</v>
      </c>
      <c r="F267" s="124" t="s">
        <v>680</v>
      </c>
      <c r="G267" s="125">
        <v>466641.49</v>
      </c>
      <c r="H267" s="125" t="s">
        <v>162</v>
      </c>
      <c r="I267" s="125">
        <v>181408.14</v>
      </c>
      <c r="J267" s="125">
        <v>44497.99</v>
      </c>
      <c r="K267" s="125">
        <v>603551.64</v>
      </c>
      <c r="L267" s="125" t="s">
        <v>162</v>
      </c>
      <c r="M267" s="139">
        <f t="shared" si="41"/>
        <v>466641.49</v>
      </c>
      <c r="N267" s="139">
        <f t="shared" si="42"/>
        <v>603551.64</v>
      </c>
      <c r="O267" s="122"/>
      <c r="P267" s="122"/>
    </row>
    <row r="268" spans="1:17" s="129" customFormat="1" x14ac:dyDescent="0.3">
      <c r="A268" s="117"/>
      <c r="B268" s="123" t="s">
        <v>96</v>
      </c>
      <c r="C268" s="137"/>
      <c r="D268" s="135" t="str">
        <f t="shared" si="40"/>
        <v>Sintetica</v>
      </c>
      <c r="E268" s="124" t="s">
        <v>681</v>
      </c>
      <c r="F268" s="124" t="s">
        <v>680</v>
      </c>
      <c r="G268" s="125">
        <v>453966.08000000002</v>
      </c>
      <c r="H268" s="125" t="s">
        <v>162</v>
      </c>
      <c r="I268" s="125">
        <v>178687.91</v>
      </c>
      <c r="J268" s="125">
        <v>44497.99</v>
      </c>
      <c r="K268" s="125">
        <v>588156</v>
      </c>
      <c r="L268" s="125" t="s">
        <v>162</v>
      </c>
      <c r="M268" s="139">
        <f t="shared" si="41"/>
        <v>453966.08000000002</v>
      </c>
      <c r="N268" s="139">
        <f t="shared" si="42"/>
        <v>588156</v>
      </c>
      <c r="O268" s="122"/>
      <c r="P268" s="122"/>
    </row>
    <row r="269" spans="1:17" s="128" customFormat="1" x14ac:dyDescent="0.3">
      <c r="A269" s="115"/>
      <c r="B269" s="123" t="s">
        <v>96</v>
      </c>
      <c r="C269" s="135"/>
      <c r="D269" s="135" t="str">
        <f t="shared" si="40"/>
        <v>Sintetica</v>
      </c>
      <c r="E269" s="124" t="s">
        <v>682</v>
      </c>
      <c r="F269" s="124" t="s">
        <v>194</v>
      </c>
      <c r="G269" s="125">
        <v>81684.12</v>
      </c>
      <c r="H269" s="125" t="s">
        <v>162</v>
      </c>
      <c r="I269" s="125">
        <v>20275.73</v>
      </c>
      <c r="J269" s="125">
        <v>0</v>
      </c>
      <c r="K269" s="125">
        <v>101959.85</v>
      </c>
      <c r="L269" s="125" t="s">
        <v>162</v>
      </c>
      <c r="M269" s="139">
        <f t="shared" si="41"/>
        <v>81684.12</v>
      </c>
      <c r="N269" s="139">
        <f t="shared" si="42"/>
        <v>101959.85</v>
      </c>
      <c r="O269" s="115"/>
      <c r="P269" s="115"/>
      <c r="Q269" s="118"/>
    </row>
    <row r="270" spans="1:17" s="128" customFormat="1" x14ac:dyDescent="0.3">
      <c r="A270" s="115"/>
      <c r="B270" s="123" t="s">
        <v>96</v>
      </c>
      <c r="C270" s="135" t="str">
        <f t="shared" ref="C270:C275" si="43">IF(MID(E270,1,1)="1","Ativo",IF(MID(E270,1,1)="2","Passivo","Resultado"))</f>
        <v>Resultado</v>
      </c>
      <c r="D270" s="135" t="str">
        <f t="shared" si="40"/>
        <v>Sintetica</v>
      </c>
      <c r="E270" s="124" t="s">
        <v>683</v>
      </c>
      <c r="F270" s="124" t="s">
        <v>483</v>
      </c>
      <c r="G270" s="125">
        <v>167986.37</v>
      </c>
      <c r="H270" s="125" t="s">
        <v>162</v>
      </c>
      <c r="I270" s="125">
        <v>22965.02</v>
      </c>
      <c r="J270" s="125">
        <v>0</v>
      </c>
      <c r="K270" s="125">
        <v>190951.39</v>
      </c>
      <c r="L270" s="125" t="s">
        <v>162</v>
      </c>
      <c r="M270" s="139">
        <f t="shared" si="41"/>
        <v>167986.37</v>
      </c>
      <c r="N270" s="139">
        <f t="shared" si="42"/>
        <v>190951.39</v>
      </c>
      <c r="O270" s="115"/>
      <c r="P270" s="115"/>
      <c r="Q270" s="118"/>
    </row>
    <row r="271" spans="1:17" s="128" customFormat="1" x14ac:dyDescent="0.3">
      <c r="A271" s="115"/>
      <c r="B271" s="123" t="s">
        <v>96</v>
      </c>
      <c r="C271" s="135" t="str">
        <f t="shared" si="43"/>
        <v>Resultado</v>
      </c>
      <c r="D271" s="135" t="str">
        <f t="shared" si="40"/>
        <v>Sintetica</v>
      </c>
      <c r="E271" s="124" t="s">
        <v>684</v>
      </c>
      <c r="F271" s="124" t="s">
        <v>604</v>
      </c>
      <c r="G271" s="125">
        <v>377.13</v>
      </c>
      <c r="H271" s="125" t="s">
        <v>162</v>
      </c>
      <c r="I271" s="125">
        <v>0</v>
      </c>
      <c r="J271" s="125">
        <v>0</v>
      </c>
      <c r="K271" s="125">
        <v>377.13</v>
      </c>
      <c r="L271" s="125" t="s">
        <v>162</v>
      </c>
      <c r="M271" s="139">
        <f t="shared" si="41"/>
        <v>377.13</v>
      </c>
      <c r="N271" s="139">
        <f t="shared" si="42"/>
        <v>377.13</v>
      </c>
      <c r="O271" s="115"/>
      <c r="P271" s="115"/>
      <c r="Q271" s="118"/>
    </row>
    <row r="272" spans="1:17" s="128" customFormat="1" x14ac:dyDescent="0.3">
      <c r="A272" s="115"/>
      <c r="B272" s="123" t="s">
        <v>96</v>
      </c>
      <c r="C272" s="135" t="str">
        <f t="shared" si="43"/>
        <v>Resultado</v>
      </c>
      <c r="D272" s="135" t="str">
        <f t="shared" si="40"/>
        <v>Sintetica</v>
      </c>
      <c r="E272" s="124" t="s">
        <v>685</v>
      </c>
      <c r="F272" s="124" t="s">
        <v>686</v>
      </c>
      <c r="G272" s="125">
        <v>29640</v>
      </c>
      <c r="H272" s="125" t="s">
        <v>162</v>
      </c>
      <c r="I272" s="125">
        <v>5400</v>
      </c>
      <c r="J272" s="125">
        <v>0</v>
      </c>
      <c r="K272" s="125">
        <v>35040</v>
      </c>
      <c r="L272" s="125" t="s">
        <v>162</v>
      </c>
      <c r="M272" s="139">
        <f t="shared" si="41"/>
        <v>29640</v>
      </c>
      <c r="N272" s="139">
        <f t="shared" si="42"/>
        <v>35040</v>
      </c>
      <c r="O272" s="115"/>
      <c r="P272" s="115"/>
      <c r="Q272" s="118"/>
    </row>
    <row r="273" spans="1:17" s="128" customFormat="1" x14ac:dyDescent="0.3">
      <c r="A273" s="115"/>
      <c r="B273" s="123" t="s">
        <v>96</v>
      </c>
      <c r="C273" s="135" t="str">
        <f t="shared" si="43"/>
        <v>Resultado</v>
      </c>
      <c r="D273" s="135" t="str">
        <f t="shared" si="40"/>
        <v/>
      </c>
      <c r="E273" s="124" t="s">
        <v>687</v>
      </c>
      <c r="F273" s="124" t="s">
        <v>195</v>
      </c>
      <c r="G273" s="125">
        <v>3542.8</v>
      </c>
      <c r="H273" s="125" t="s">
        <v>162</v>
      </c>
      <c r="I273" s="125">
        <v>700.31</v>
      </c>
      <c r="J273" s="125">
        <v>0</v>
      </c>
      <c r="K273" s="125">
        <v>4243.1099999999997</v>
      </c>
      <c r="L273" s="125" t="s">
        <v>162</v>
      </c>
      <c r="M273" s="139">
        <f t="shared" si="41"/>
        <v>3542.8</v>
      </c>
      <c r="N273" s="139">
        <f t="shared" si="42"/>
        <v>4243.1099999999997</v>
      </c>
      <c r="O273" s="115"/>
      <c r="P273" s="115"/>
      <c r="Q273" s="118"/>
    </row>
    <row r="274" spans="1:17" s="128" customFormat="1" x14ac:dyDescent="0.3">
      <c r="A274" s="115"/>
      <c r="B274" s="123" t="s">
        <v>96</v>
      </c>
      <c r="C274" s="135" t="str">
        <f t="shared" si="43"/>
        <v>Resultado</v>
      </c>
      <c r="D274" s="135" t="str">
        <f t="shared" si="40"/>
        <v/>
      </c>
      <c r="E274" s="124" t="s">
        <v>688</v>
      </c>
      <c r="F274" s="124" t="s">
        <v>196</v>
      </c>
      <c r="G274" s="125">
        <v>46496.97</v>
      </c>
      <c r="H274" s="125" t="s">
        <v>162</v>
      </c>
      <c r="I274" s="125">
        <v>7564.53</v>
      </c>
      <c r="J274" s="125">
        <v>0</v>
      </c>
      <c r="K274" s="125">
        <v>54061.5</v>
      </c>
      <c r="L274" s="125" t="s">
        <v>162</v>
      </c>
      <c r="M274" s="139">
        <f t="shared" si="41"/>
        <v>46496.97</v>
      </c>
      <c r="N274" s="139">
        <f t="shared" si="42"/>
        <v>54061.5</v>
      </c>
      <c r="O274" s="115"/>
      <c r="P274" s="115"/>
      <c r="Q274" s="118"/>
    </row>
    <row r="275" spans="1:17" s="128" customFormat="1" x14ac:dyDescent="0.3">
      <c r="A275" s="115"/>
      <c r="B275" s="123" t="s">
        <v>96</v>
      </c>
      <c r="C275" s="135" t="str">
        <f t="shared" si="43"/>
        <v>Resultado</v>
      </c>
      <c r="D275" s="135" t="str">
        <f t="shared" si="40"/>
        <v/>
      </c>
      <c r="E275" s="124" t="s">
        <v>689</v>
      </c>
      <c r="F275" s="124" t="s">
        <v>615</v>
      </c>
      <c r="G275" s="125">
        <v>2360.84</v>
      </c>
      <c r="H275" s="125" t="s">
        <v>162</v>
      </c>
      <c r="I275" s="125">
        <v>0</v>
      </c>
      <c r="J275" s="125">
        <v>0</v>
      </c>
      <c r="K275" s="125">
        <v>2360.84</v>
      </c>
      <c r="L275" s="125" t="s">
        <v>162</v>
      </c>
      <c r="M275" s="139">
        <f t="shared" si="41"/>
        <v>2360.84</v>
      </c>
      <c r="N275" s="139">
        <f t="shared" si="42"/>
        <v>2360.84</v>
      </c>
      <c r="O275" s="115"/>
      <c r="P275" s="115"/>
      <c r="Q275" s="118"/>
    </row>
    <row r="276" spans="1:17" s="129" customFormat="1" x14ac:dyDescent="0.3">
      <c r="A276" s="117"/>
      <c r="B276" s="123" t="s">
        <v>96</v>
      </c>
      <c r="C276" s="135"/>
      <c r="D276" s="135" t="str">
        <f t="shared" si="40"/>
        <v/>
      </c>
      <c r="E276" s="124" t="s">
        <v>690</v>
      </c>
      <c r="F276" s="124" t="s">
        <v>201</v>
      </c>
      <c r="G276" s="125">
        <v>7494.3</v>
      </c>
      <c r="H276" s="125" t="s">
        <v>162</v>
      </c>
      <c r="I276" s="125">
        <v>871.86</v>
      </c>
      <c r="J276" s="125">
        <v>0</v>
      </c>
      <c r="K276" s="125">
        <v>8366.16</v>
      </c>
      <c r="L276" s="125" t="s">
        <v>162</v>
      </c>
      <c r="M276" s="139">
        <f t="shared" si="41"/>
        <v>7494.3</v>
      </c>
      <c r="N276" s="139">
        <f t="shared" si="42"/>
        <v>8366.16</v>
      </c>
      <c r="O276" s="122"/>
      <c r="P276" s="122"/>
    </row>
    <row r="277" spans="1:17" s="128" customFormat="1" x14ac:dyDescent="0.3">
      <c r="A277" s="115"/>
      <c r="B277" s="123" t="s">
        <v>96</v>
      </c>
      <c r="C277" s="135"/>
      <c r="D277" s="135" t="str">
        <f t="shared" si="40"/>
        <v/>
      </c>
      <c r="E277" s="124" t="s">
        <v>691</v>
      </c>
      <c r="F277" s="124" t="s">
        <v>692</v>
      </c>
      <c r="G277" s="125">
        <v>0</v>
      </c>
      <c r="H277" s="125"/>
      <c r="I277" s="125">
        <v>48885.98</v>
      </c>
      <c r="J277" s="125">
        <v>0</v>
      </c>
      <c r="K277" s="125">
        <v>48885.98</v>
      </c>
      <c r="L277" s="125" t="s">
        <v>162</v>
      </c>
      <c r="M277" s="139">
        <f t="shared" si="41"/>
        <v>0</v>
      </c>
      <c r="N277" s="139">
        <f t="shared" si="42"/>
        <v>48885.98</v>
      </c>
      <c r="O277" s="115"/>
      <c r="P277" s="115"/>
      <c r="Q277" s="118"/>
    </row>
    <row r="278" spans="1:17" s="128" customFormat="1" x14ac:dyDescent="0.3">
      <c r="A278" s="115"/>
      <c r="B278" s="123" t="s">
        <v>96</v>
      </c>
      <c r="C278" s="135" t="str">
        <f>IF(MID(E278,1,1)="1","Ativo",IF(MID(E278,1,1)="2","Passivo","Resultado"))</f>
        <v>Resultado</v>
      </c>
      <c r="D278" s="135" t="str">
        <f t="shared" si="40"/>
        <v/>
      </c>
      <c r="E278" s="124" t="s">
        <v>693</v>
      </c>
      <c r="F278" s="124" t="s">
        <v>202</v>
      </c>
      <c r="G278" s="125">
        <v>0</v>
      </c>
      <c r="H278" s="125"/>
      <c r="I278" s="125">
        <v>44468.54</v>
      </c>
      <c r="J278" s="125">
        <v>44468.54</v>
      </c>
      <c r="K278" s="125">
        <v>0</v>
      </c>
      <c r="L278" s="125"/>
      <c r="M278" s="139">
        <f t="shared" si="41"/>
        <v>0</v>
      </c>
      <c r="N278" s="139">
        <f t="shared" si="42"/>
        <v>0</v>
      </c>
      <c r="O278" s="115"/>
      <c r="P278" s="115"/>
      <c r="Q278" s="118"/>
    </row>
    <row r="279" spans="1:17" s="129" customFormat="1" x14ac:dyDescent="0.3">
      <c r="A279" s="117"/>
      <c r="B279" s="123" t="s">
        <v>96</v>
      </c>
      <c r="C279" s="135"/>
      <c r="D279" s="135" t="str">
        <f t="shared" si="40"/>
        <v/>
      </c>
      <c r="E279" s="124" t="s">
        <v>694</v>
      </c>
      <c r="F279" s="124" t="s">
        <v>619</v>
      </c>
      <c r="G279" s="125">
        <v>721.45</v>
      </c>
      <c r="H279" s="125" t="s">
        <v>165</v>
      </c>
      <c r="I279" s="125">
        <v>4798.9399999999996</v>
      </c>
      <c r="J279" s="125">
        <v>29.45</v>
      </c>
      <c r="K279" s="125">
        <v>4048.04</v>
      </c>
      <c r="L279" s="125" t="s">
        <v>162</v>
      </c>
      <c r="M279" s="139">
        <f t="shared" si="41"/>
        <v>-721.45</v>
      </c>
      <c r="N279" s="139">
        <f t="shared" si="42"/>
        <v>4048.04</v>
      </c>
      <c r="O279" s="122"/>
      <c r="P279" s="122"/>
    </row>
    <row r="280" spans="1:17" s="129" customFormat="1" x14ac:dyDescent="0.3">
      <c r="A280" s="117"/>
      <c r="B280" s="123" t="s">
        <v>96</v>
      </c>
      <c r="C280" s="135"/>
      <c r="D280" s="135" t="str">
        <f t="shared" si="40"/>
        <v/>
      </c>
      <c r="E280" s="124" t="s">
        <v>695</v>
      </c>
      <c r="F280" s="124" t="s">
        <v>77</v>
      </c>
      <c r="G280" s="125">
        <v>113785</v>
      </c>
      <c r="H280" s="125" t="s">
        <v>162</v>
      </c>
      <c r="I280" s="125">
        <v>22757</v>
      </c>
      <c r="J280" s="125">
        <v>0</v>
      </c>
      <c r="K280" s="125">
        <v>136542</v>
      </c>
      <c r="L280" s="125" t="s">
        <v>162</v>
      </c>
      <c r="M280" s="139">
        <f t="shared" si="41"/>
        <v>113785</v>
      </c>
      <c r="N280" s="139">
        <f t="shared" si="42"/>
        <v>136542</v>
      </c>
      <c r="O280" s="122"/>
      <c r="P280" s="122"/>
    </row>
    <row r="281" spans="1:17" s="128" customFormat="1" x14ac:dyDescent="0.3">
      <c r="A281" s="115"/>
      <c r="B281" s="123" t="s">
        <v>96</v>
      </c>
      <c r="C281" s="135"/>
      <c r="D281" s="135" t="str">
        <f t="shared" si="40"/>
        <v/>
      </c>
      <c r="E281" s="124" t="s">
        <v>696</v>
      </c>
      <c r="F281" s="124" t="s">
        <v>203</v>
      </c>
      <c r="G281" s="125">
        <v>1320</v>
      </c>
      <c r="H281" s="125" t="s">
        <v>162</v>
      </c>
      <c r="I281" s="125">
        <v>0</v>
      </c>
      <c r="J281" s="125">
        <v>0</v>
      </c>
      <c r="K281" s="125">
        <v>1320</v>
      </c>
      <c r="L281" s="125" t="s">
        <v>162</v>
      </c>
      <c r="M281" s="139">
        <f t="shared" si="41"/>
        <v>1320</v>
      </c>
      <c r="N281" s="139">
        <f t="shared" si="42"/>
        <v>1320</v>
      </c>
      <c r="O281" s="115"/>
      <c r="P281" s="115"/>
      <c r="Q281" s="118"/>
    </row>
    <row r="282" spans="1:17" s="129" customFormat="1" x14ac:dyDescent="0.3">
      <c r="A282" s="117"/>
      <c r="B282" s="123" t="s">
        <v>96</v>
      </c>
      <c r="C282" s="135" t="str">
        <f t="shared" ref="C282:C287" si="44">IF(MID(E282,1,1)="1","Ativo",IF(MID(E282,1,1)="2","Passivo","Resultado"))</f>
        <v>Resultado</v>
      </c>
      <c r="D282" s="135" t="str">
        <f t="shared" si="40"/>
        <v>Sintetica</v>
      </c>
      <c r="E282" s="124" t="s">
        <v>697</v>
      </c>
      <c r="F282" s="124" t="s">
        <v>698</v>
      </c>
      <c r="G282" s="125">
        <v>12675.41</v>
      </c>
      <c r="H282" s="125" t="s">
        <v>162</v>
      </c>
      <c r="I282" s="125">
        <v>2720.23</v>
      </c>
      <c r="J282" s="125">
        <v>0</v>
      </c>
      <c r="K282" s="125">
        <v>15395.64</v>
      </c>
      <c r="L282" s="125" t="s">
        <v>162</v>
      </c>
      <c r="M282" s="139">
        <f t="shared" si="41"/>
        <v>12675.41</v>
      </c>
      <c r="N282" s="139">
        <f t="shared" si="42"/>
        <v>15395.64</v>
      </c>
      <c r="O282" s="122"/>
      <c r="P282" s="122"/>
    </row>
    <row r="283" spans="1:17" s="129" customFormat="1" x14ac:dyDescent="0.3">
      <c r="A283" s="117"/>
      <c r="B283" s="123" t="s">
        <v>96</v>
      </c>
      <c r="C283" s="135" t="str">
        <f t="shared" si="44"/>
        <v>Resultado</v>
      </c>
      <c r="D283" s="135" t="str">
        <f t="shared" si="40"/>
        <v>Sintetica</v>
      </c>
      <c r="E283" s="124" t="s">
        <v>699</v>
      </c>
      <c r="F283" s="124" t="s">
        <v>198</v>
      </c>
      <c r="G283" s="125">
        <v>4848.3999999999996</v>
      </c>
      <c r="H283" s="125" t="s">
        <v>162</v>
      </c>
      <c r="I283" s="125">
        <v>1146.44</v>
      </c>
      <c r="J283" s="125">
        <v>0</v>
      </c>
      <c r="K283" s="125">
        <v>5994.84</v>
      </c>
      <c r="L283" s="125" t="s">
        <v>162</v>
      </c>
      <c r="M283" s="139">
        <f t="shared" si="41"/>
        <v>4848.3999999999996</v>
      </c>
      <c r="N283" s="139">
        <f t="shared" si="42"/>
        <v>5994.84</v>
      </c>
      <c r="O283" s="122"/>
      <c r="P283" s="122"/>
    </row>
    <row r="284" spans="1:17" s="129" customFormat="1" x14ac:dyDescent="0.3">
      <c r="A284" s="117"/>
      <c r="B284" s="123" t="s">
        <v>96</v>
      </c>
      <c r="C284" s="135" t="str">
        <f t="shared" si="44"/>
        <v>Resultado</v>
      </c>
      <c r="D284" s="135" t="str">
        <f t="shared" si="40"/>
        <v>Sintetica</v>
      </c>
      <c r="E284" s="124" t="s">
        <v>700</v>
      </c>
      <c r="F284" s="124" t="s">
        <v>185</v>
      </c>
      <c r="G284" s="125">
        <v>1396.34</v>
      </c>
      <c r="H284" s="125" t="s">
        <v>162</v>
      </c>
      <c r="I284" s="125">
        <v>330.15</v>
      </c>
      <c r="J284" s="125">
        <v>0</v>
      </c>
      <c r="K284" s="125">
        <v>1726.49</v>
      </c>
      <c r="L284" s="125" t="s">
        <v>162</v>
      </c>
      <c r="M284" s="139">
        <f t="shared" si="41"/>
        <v>1396.34</v>
      </c>
      <c r="N284" s="139">
        <f t="shared" si="42"/>
        <v>1726.49</v>
      </c>
      <c r="O284" s="122"/>
      <c r="P284" s="122"/>
    </row>
    <row r="285" spans="1:17" s="129" customFormat="1" x14ac:dyDescent="0.3">
      <c r="A285" s="117"/>
      <c r="B285" s="123" t="s">
        <v>96</v>
      </c>
      <c r="C285" s="135" t="str">
        <f t="shared" si="44"/>
        <v>Resultado</v>
      </c>
      <c r="D285" s="135" t="str">
        <f t="shared" si="40"/>
        <v>Sintetica</v>
      </c>
      <c r="E285" s="124" t="s">
        <v>701</v>
      </c>
      <c r="F285" s="124" t="s">
        <v>186</v>
      </c>
      <c r="G285" s="125">
        <v>332.28</v>
      </c>
      <c r="H285" s="125" t="s">
        <v>162</v>
      </c>
      <c r="I285" s="125">
        <v>77.8</v>
      </c>
      <c r="J285" s="125">
        <v>0</v>
      </c>
      <c r="K285" s="125">
        <v>410.08</v>
      </c>
      <c r="L285" s="125" t="s">
        <v>162</v>
      </c>
      <c r="M285" s="139">
        <f t="shared" si="41"/>
        <v>332.28</v>
      </c>
      <c r="N285" s="139">
        <f t="shared" si="42"/>
        <v>410.08</v>
      </c>
      <c r="O285" s="122"/>
      <c r="P285" s="122"/>
    </row>
    <row r="286" spans="1:17" s="128" customFormat="1" x14ac:dyDescent="0.3">
      <c r="A286" s="115"/>
      <c r="B286" s="123" t="s">
        <v>96</v>
      </c>
      <c r="C286" s="135" t="str">
        <f t="shared" si="44"/>
        <v>Resultado</v>
      </c>
      <c r="D286" s="135" t="str">
        <f t="shared" si="40"/>
        <v>Sintetica</v>
      </c>
      <c r="E286" s="124" t="s">
        <v>702</v>
      </c>
      <c r="F286" s="124" t="s">
        <v>624</v>
      </c>
      <c r="G286" s="125">
        <v>4496.0200000000004</v>
      </c>
      <c r="H286" s="125" t="s">
        <v>162</v>
      </c>
      <c r="I286" s="125">
        <v>859.84</v>
      </c>
      <c r="J286" s="125">
        <v>0</v>
      </c>
      <c r="K286" s="125">
        <v>5355.86</v>
      </c>
      <c r="L286" s="125" t="s">
        <v>162</v>
      </c>
      <c r="M286" s="139">
        <f t="shared" si="41"/>
        <v>4496.0200000000004</v>
      </c>
      <c r="N286" s="139">
        <f t="shared" si="42"/>
        <v>5355.86</v>
      </c>
      <c r="O286" s="115"/>
      <c r="P286" s="115"/>
      <c r="Q286" s="118"/>
    </row>
    <row r="287" spans="1:17" s="128" customFormat="1" x14ac:dyDescent="0.3">
      <c r="A287" s="115"/>
      <c r="B287" s="123" t="s">
        <v>96</v>
      </c>
      <c r="C287" s="135" t="str">
        <f t="shared" si="44"/>
        <v>Resultado</v>
      </c>
      <c r="D287" s="135" t="str">
        <f t="shared" si="40"/>
        <v>Sintetica</v>
      </c>
      <c r="E287" s="124" t="s">
        <v>703</v>
      </c>
      <c r="F287" s="124" t="s">
        <v>626</v>
      </c>
      <c r="G287" s="125">
        <v>1294.83</v>
      </c>
      <c r="H287" s="125" t="s">
        <v>162</v>
      </c>
      <c r="I287" s="125">
        <v>247.64</v>
      </c>
      <c r="J287" s="125">
        <v>0</v>
      </c>
      <c r="K287" s="125">
        <v>1542.47</v>
      </c>
      <c r="L287" s="125" t="s">
        <v>162</v>
      </c>
      <c r="M287" s="139">
        <f t="shared" si="41"/>
        <v>1294.83</v>
      </c>
      <c r="N287" s="139">
        <f t="shared" si="42"/>
        <v>1542.47</v>
      </c>
      <c r="O287" s="115"/>
      <c r="P287" s="115"/>
      <c r="Q287" s="118"/>
    </row>
    <row r="288" spans="1:17" s="128" customFormat="1" x14ac:dyDescent="0.3">
      <c r="A288" s="115"/>
      <c r="B288" s="123" t="s">
        <v>96</v>
      </c>
      <c r="C288" s="135"/>
      <c r="D288" s="135" t="str">
        <f t="shared" si="40"/>
        <v>Sintetica</v>
      </c>
      <c r="E288" s="124" t="s">
        <v>704</v>
      </c>
      <c r="F288" s="124" t="s">
        <v>628</v>
      </c>
      <c r="G288" s="125">
        <v>307.54000000000002</v>
      </c>
      <c r="H288" s="125" t="s">
        <v>162</v>
      </c>
      <c r="I288" s="125">
        <v>58.36</v>
      </c>
      <c r="J288" s="125">
        <v>0</v>
      </c>
      <c r="K288" s="125">
        <v>365.9</v>
      </c>
      <c r="L288" s="125" t="s">
        <v>162</v>
      </c>
      <c r="M288" s="139">
        <f t="shared" si="41"/>
        <v>307.54000000000002</v>
      </c>
      <c r="N288" s="139">
        <f t="shared" si="42"/>
        <v>365.9</v>
      </c>
      <c r="O288" s="115"/>
      <c r="P288" s="115"/>
      <c r="Q288" s="118"/>
    </row>
    <row r="289" spans="1:17" s="128" customFormat="1" x14ac:dyDescent="0.3">
      <c r="A289" s="115"/>
      <c r="B289" s="123" t="s">
        <v>96</v>
      </c>
      <c r="C289" s="135" t="str">
        <f t="shared" ref="C289:C294" si="45">IF(MID(E289,1,1)="1","Ativo",IF(MID(E289,1,1)="2","Passivo","Resultado"))</f>
        <v>Resultado</v>
      </c>
      <c r="D289" s="135" t="str">
        <f t="shared" si="40"/>
        <v>Sintetica</v>
      </c>
      <c r="E289" s="124" t="s">
        <v>705</v>
      </c>
      <c r="F289" s="124" t="s">
        <v>706</v>
      </c>
      <c r="G289" s="125">
        <v>553032.35</v>
      </c>
      <c r="H289" s="125" t="s">
        <v>162</v>
      </c>
      <c r="I289" s="125">
        <v>216962.07</v>
      </c>
      <c r="J289" s="125">
        <v>72691.710000000006</v>
      </c>
      <c r="K289" s="125">
        <v>697302.71</v>
      </c>
      <c r="L289" s="125" t="s">
        <v>162</v>
      </c>
      <c r="M289" s="139">
        <f t="shared" si="41"/>
        <v>553032.35</v>
      </c>
      <c r="N289" s="139">
        <f t="shared" si="42"/>
        <v>697302.71</v>
      </c>
      <c r="O289" s="115"/>
      <c r="P289" s="115"/>
      <c r="Q289" s="118"/>
    </row>
    <row r="290" spans="1:17" s="128" customFormat="1" x14ac:dyDescent="0.3">
      <c r="A290" s="115"/>
      <c r="B290" s="123" t="s">
        <v>96</v>
      </c>
      <c r="C290" s="135" t="str">
        <f t="shared" si="45"/>
        <v>Resultado</v>
      </c>
      <c r="D290" s="135" t="str">
        <f t="shared" si="40"/>
        <v>Sintetica</v>
      </c>
      <c r="E290" s="124" t="s">
        <v>707</v>
      </c>
      <c r="F290" s="124" t="s">
        <v>706</v>
      </c>
      <c r="G290" s="125">
        <v>553032.35</v>
      </c>
      <c r="H290" s="125" t="s">
        <v>162</v>
      </c>
      <c r="I290" s="125">
        <v>216962.07</v>
      </c>
      <c r="J290" s="125">
        <v>72691.710000000006</v>
      </c>
      <c r="K290" s="125">
        <v>697302.71</v>
      </c>
      <c r="L290" s="125" t="s">
        <v>162</v>
      </c>
      <c r="M290" s="139">
        <f t="shared" si="41"/>
        <v>553032.35</v>
      </c>
      <c r="N290" s="139">
        <f t="shared" si="42"/>
        <v>697302.71</v>
      </c>
      <c r="O290" s="115"/>
      <c r="P290" s="115"/>
      <c r="Q290" s="118"/>
    </row>
    <row r="291" spans="1:17" s="128" customFormat="1" x14ac:dyDescent="0.3">
      <c r="A291" s="115"/>
      <c r="B291" s="123" t="s">
        <v>96</v>
      </c>
      <c r="C291" s="135" t="str">
        <f t="shared" si="45"/>
        <v>Resultado</v>
      </c>
      <c r="D291" s="135" t="str">
        <f t="shared" si="40"/>
        <v>Sintetica</v>
      </c>
      <c r="E291" s="124" t="s">
        <v>708</v>
      </c>
      <c r="F291" s="124" t="s">
        <v>709</v>
      </c>
      <c r="G291" s="125">
        <v>36185.440000000002</v>
      </c>
      <c r="H291" s="125" t="s">
        <v>162</v>
      </c>
      <c r="I291" s="125">
        <v>4123.01</v>
      </c>
      <c r="J291" s="125">
        <v>0</v>
      </c>
      <c r="K291" s="125">
        <v>40308.449999999997</v>
      </c>
      <c r="L291" s="125" t="s">
        <v>162</v>
      </c>
      <c r="M291" s="139">
        <f t="shared" si="41"/>
        <v>36185.440000000002</v>
      </c>
      <c r="N291" s="139">
        <f t="shared" si="42"/>
        <v>40308.449999999997</v>
      </c>
      <c r="O291" s="115"/>
      <c r="P291" s="115"/>
      <c r="Q291" s="118"/>
    </row>
    <row r="292" spans="1:17" s="128" customFormat="1" x14ac:dyDescent="0.3">
      <c r="A292" s="115"/>
      <c r="B292" s="123" t="s">
        <v>96</v>
      </c>
      <c r="C292" s="135" t="str">
        <f t="shared" si="45"/>
        <v>Resultado</v>
      </c>
      <c r="D292" s="135" t="str">
        <f t="shared" si="40"/>
        <v>Sintetica</v>
      </c>
      <c r="E292" s="124" t="s">
        <v>710</v>
      </c>
      <c r="F292" s="124" t="s">
        <v>711</v>
      </c>
      <c r="G292" s="125">
        <v>18954.63</v>
      </c>
      <c r="H292" s="125" t="s">
        <v>162</v>
      </c>
      <c r="I292" s="125">
        <v>21860.32</v>
      </c>
      <c r="J292" s="125">
        <v>209.36</v>
      </c>
      <c r="K292" s="125">
        <v>40605.589999999997</v>
      </c>
      <c r="L292" s="125" t="s">
        <v>162</v>
      </c>
      <c r="M292" s="139">
        <f t="shared" si="41"/>
        <v>18954.63</v>
      </c>
      <c r="N292" s="139">
        <f t="shared" si="42"/>
        <v>40605.589999999997</v>
      </c>
      <c r="O292" s="115"/>
      <c r="P292" s="115"/>
      <c r="Q292" s="118"/>
    </row>
    <row r="293" spans="1:17" s="128" customFormat="1" x14ac:dyDescent="0.3">
      <c r="A293" s="115"/>
      <c r="B293" s="123" t="s">
        <v>96</v>
      </c>
      <c r="C293" s="135" t="str">
        <f t="shared" si="45"/>
        <v>Resultado</v>
      </c>
      <c r="D293" s="135" t="str">
        <f t="shared" si="40"/>
        <v>Sintetica</v>
      </c>
      <c r="E293" s="124" t="s">
        <v>712</v>
      </c>
      <c r="F293" s="124" t="s">
        <v>713</v>
      </c>
      <c r="G293" s="125">
        <v>2793.18</v>
      </c>
      <c r="H293" s="125" t="s">
        <v>162</v>
      </c>
      <c r="I293" s="125">
        <v>288.95</v>
      </c>
      <c r="J293" s="125">
        <v>0</v>
      </c>
      <c r="K293" s="125">
        <v>3082.13</v>
      </c>
      <c r="L293" s="125" t="s">
        <v>162</v>
      </c>
      <c r="M293" s="139">
        <f t="shared" si="41"/>
        <v>2793.18</v>
      </c>
      <c r="N293" s="139">
        <f t="shared" si="42"/>
        <v>3082.13</v>
      </c>
      <c r="O293" s="115"/>
      <c r="P293" s="115"/>
      <c r="Q293" s="118"/>
    </row>
    <row r="294" spans="1:17" s="128" customFormat="1" x14ac:dyDescent="0.3">
      <c r="A294" s="115"/>
      <c r="B294" s="123" t="s">
        <v>96</v>
      </c>
      <c r="C294" s="135" t="str">
        <f t="shared" si="45"/>
        <v>Resultado</v>
      </c>
      <c r="D294" s="135" t="str">
        <f t="shared" si="40"/>
        <v>Sintetica</v>
      </c>
      <c r="E294" s="124" t="s">
        <v>714</v>
      </c>
      <c r="F294" s="124" t="s">
        <v>715</v>
      </c>
      <c r="G294" s="125">
        <v>1000</v>
      </c>
      <c r="H294" s="125" t="s">
        <v>162</v>
      </c>
      <c r="I294" s="125">
        <v>0</v>
      </c>
      <c r="J294" s="125">
        <v>0</v>
      </c>
      <c r="K294" s="125">
        <v>1000</v>
      </c>
      <c r="L294" s="125" t="s">
        <v>162</v>
      </c>
      <c r="M294" s="139">
        <f t="shared" si="41"/>
        <v>1000</v>
      </c>
      <c r="N294" s="139">
        <f t="shared" si="42"/>
        <v>1000</v>
      </c>
      <c r="O294" s="115"/>
      <c r="P294" s="115"/>
      <c r="Q294" s="118"/>
    </row>
    <row r="295" spans="1:17" s="128" customFormat="1" x14ac:dyDescent="0.3">
      <c r="A295" s="115"/>
      <c r="B295" s="123" t="s">
        <v>96</v>
      </c>
      <c r="C295" s="135"/>
      <c r="D295" s="135" t="str">
        <f t="shared" si="40"/>
        <v/>
      </c>
      <c r="E295" s="124" t="s">
        <v>716</v>
      </c>
      <c r="F295" s="124" t="s">
        <v>717</v>
      </c>
      <c r="G295" s="125">
        <v>18925.2</v>
      </c>
      <c r="H295" s="125" t="s">
        <v>162</v>
      </c>
      <c r="I295" s="125">
        <v>9200</v>
      </c>
      <c r="J295" s="125">
        <v>0</v>
      </c>
      <c r="K295" s="125">
        <v>28125.200000000001</v>
      </c>
      <c r="L295" s="125" t="s">
        <v>162</v>
      </c>
      <c r="M295" s="139">
        <f t="shared" si="41"/>
        <v>18925.2</v>
      </c>
      <c r="N295" s="139">
        <f t="shared" si="42"/>
        <v>28125.200000000001</v>
      </c>
      <c r="O295" s="115"/>
      <c r="P295" s="115"/>
      <c r="Q295" s="118"/>
    </row>
    <row r="296" spans="1:17" s="128" customFormat="1" x14ac:dyDescent="0.3">
      <c r="A296" s="115"/>
      <c r="B296" s="123" t="s">
        <v>96</v>
      </c>
      <c r="C296" s="135" t="str">
        <f t="shared" ref="C296:C312" si="46">IF(MID(E296,1,1)="1","Ativo",IF(MID(E296,1,1)="2","Passivo","Resultado"))</f>
        <v>Resultado</v>
      </c>
      <c r="D296" s="135" t="str">
        <f t="shared" si="40"/>
        <v/>
      </c>
      <c r="E296" s="124" t="s">
        <v>718</v>
      </c>
      <c r="F296" s="124" t="s">
        <v>719</v>
      </c>
      <c r="G296" s="125">
        <v>907.5</v>
      </c>
      <c r="H296" s="125" t="s">
        <v>162</v>
      </c>
      <c r="I296" s="125">
        <v>0</v>
      </c>
      <c r="J296" s="125">
        <v>0</v>
      </c>
      <c r="K296" s="125">
        <v>907.5</v>
      </c>
      <c r="L296" s="125" t="s">
        <v>162</v>
      </c>
      <c r="M296" s="139">
        <f t="shared" si="41"/>
        <v>907.5</v>
      </c>
      <c r="N296" s="139">
        <f t="shared" si="42"/>
        <v>907.5</v>
      </c>
      <c r="O296" s="115"/>
      <c r="P296" s="115"/>
      <c r="Q296" s="118"/>
    </row>
    <row r="297" spans="1:17" s="128" customFormat="1" x14ac:dyDescent="0.3">
      <c r="A297" s="115"/>
      <c r="B297" s="123" t="s">
        <v>96</v>
      </c>
      <c r="C297" s="135" t="str">
        <f t="shared" si="46"/>
        <v>Resultado</v>
      </c>
      <c r="D297" s="135" t="str">
        <f t="shared" si="40"/>
        <v/>
      </c>
      <c r="E297" s="124" t="s">
        <v>720</v>
      </c>
      <c r="F297" s="124" t="s">
        <v>721</v>
      </c>
      <c r="G297" s="125">
        <v>1691.08</v>
      </c>
      <c r="H297" s="125" t="s">
        <v>162</v>
      </c>
      <c r="I297" s="125">
        <v>1045.3800000000001</v>
      </c>
      <c r="J297" s="125">
        <v>1045.3800000000001</v>
      </c>
      <c r="K297" s="125">
        <v>1691.08</v>
      </c>
      <c r="L297" s="125" t="s">
        <v>162</v>
      </c>
      <c r="M297" s="139">
        <f t="shared" si="41"/>
        <v>1691.08</v>
      </c>
      <c r="N297" s="139">
        <f t="shared" si="42"/>
        <v>1691.08</v>
      </c>
      <c r="O297" s="115"/>
      <c r="P297" s="115"/>
      <c r="Q297" s="118"/>
    </row>
    <row r="298" spans="1:17" s="128" customFormat="1" x14ac:dyDescent="0.3">
      <c r="A298" s="115"/>
      <c r="B298" s="123" t="s">
        <v>96</v>
      </c>
      <c r="C298" s="135" t="str">
        <f t="shared" si="46"/>
        <v>Resultado</v>
      </c>
      <c r="D298" s="135" t="str">
        <f t="shared" si="40"/>
        <v/>
      </c>
      <c r="E298" s="124" t="s">
        <v>722</v>
      </c>
      <c r="F298" s="124" t="s">
        <v>204</v>
      </c>
      <c r="G298" s="125">
        <v>4971.59</v>
      </c>
      <c r="H298" s="125" t="s">
        <v>162</v>
      </c>
      <c r="I298" s="125">
        <v>2000</v>
      </c>
      <c r="J298" s="125">
        <v>0</v>
      </c>
      <c r="K298" s="125">
        <v>6971.59</v>
      </c>
      <c r="L298" s="125" t="s">
        <v>162</v>
      </c>
      <c r="M298" s="139">
        <f t="shared" si="41"/>
        <v>4971.59</v>
      </c>
      <c r="N298" s="139">
        <f t="shared" si="42"/>
        <v>6971.59</v>
      </c>
      <c r="O298" s="115"/>
      <c r="P298" s="115"/>
      <c r="Q298" s="118"/>
    </row>
    <row r="299" spans="1:17" s="128" customFormat="1" x14ac:dyDescent="0.3">
      <c r="A299" s="115"/>
      <c r="B299" s="123" t="s">
        <v>96</v>
      </c>
      <c r="C299" s="135" t="str">
        <f t="shared" si="46"/>
        <v>Resultado</v>
      </c>
      <c r="D299" s="135" t="str">
        <f t="shared" si="40"/>
        <v/>
      </c>
      <c r="E299" s="124" t="s">
        <v>723</v>
      </c>
      <c r="F299" s="124" t="s">
        <v>724</v>
      </c>
      <c r="G299" s="125">
        <v>176667.69</v>
      </c>
      <c r="H299" s="125" t="s">
        <v>162</v>
      </c>
      <c r="I299" s="125">
        <v>54857.02</v>
      </c>
      <c r="J299" s="125">
        <v>0</v>
      </c>
      <c r="K299" s="125">
        <v>231524.71</v>
      </c>
      <c r="L299" s="125" t="s">
        <v>162</v>
      </c>
      <c r="M299" s="139">
        <f t="shared" si="41"/>
        <v>176667.69</v>
      </c>
      <c r="N299" s="139">
        <f t="shared" si="42"/>
        <v>231524.71</v>
      </c>
      <c r="O299" s="115"/>
      <c r="P299" s="115"/>
      <c r="Q299" s="118"/>
    </row>
    <row r="300" spans="1:17" s="128" customFormat="1" x14ac:dyDescent="0.3">
      <c r="A300" s="115"/>
      <c r="B300" s="123" t="s">
        <v>96</v>
      </c>
      <c r="C300" s="135" t="str">
        <f t="shared" si="46"/>
        <v>Resultado</v>
      </c>
      <c r="D300" s="135" t="str">
        <f t="shared" si="40"/>
        <v/>
      </c>
      <c r="E300" s="124" t="s">
        <v>725</v>
      </c>
      <c r="F300" s="124" t="s">
        <v>726</v>
      </c>
      <c r="G300" s="125">
        <v>1054.8699999999999</v>
      </c>
      <c r="H300" s="125" t="s">
        <v>162</v>
      </c>
      <c r="I300" s="125">
        <v>0</v>
      </c>
      <c r="J300" s="125">
        <v>0</v>
      </c>
      <c r="K300" s="125">
        <v>1054.8699999999999</v>
      </c>
      <c r="L300" s="125" t="s">
        <v>162</v>
      </c>
      <c r="M300" s="139">
        <f t="shared" si="41"/>
        <v>1054.8699999999999</v>
      </c>
      <c r="N300" s="139">
        <f t="shared" si="42"/>
        <v>1054.8699999999999</v>
      </c>
      <c r="O300" s="115"/>
      <c r="P300" s="115"/>
      <c r="Q300" s="118"/>
    </row>
    <row r="301" spans="1:17" s="128" customFormat="1" x14ac:dyDescent="0.3">
      <c r="A301" s="115"/>
      <c r="B301" s="123" t="s">
        <v>96</v>
      </c>
      <c r="C301" s="135" t="str">
        <f t="shared" si="46"/>
        <v>Resultado</v>
      </c>
      <c r="D301" s="135" t="str">
        <f t="shared" si="40"/>
        <v/>
      </c>
      <c r="E301" s="124" t="s">
        <v>727</v>
      </c>
      <c r="F301" s="124" t="s">
        <v>632</v>
      </c>
      <c r="G301" s="125">
        <v>22948.89</v>
      </c>
      <c r="H301" s="125" t="s">
        <v>162</v>
      </c>
      <c r="I301" s="125">
        <v>0</v>
      </c>
      <c r="J301" s="125">
        <v>0</v>
      </c>
      <c r="K301" s="125">
        <v>22948.89</v>
      </c>
      <c r="L301" s="125" t="s">
        <v>162</v>
      </c>
      <c r="M301" s="139">
        <f t="shared" si="41"/>
        <v>22948.89</v>
      </c>
      <c r="N301" s="139">
        <f t="shared" si="42"/>
        <v>22948.89</v>
      </c>
      <c r="O301" s="115"/>
      <c r="P301" s="115"/>
      <c r="Q301" s="118"/>
    </row>
    <row r="302" spans="1:17" s="129" customFormat="1" x14ac:dyDescent="0.3">
      <c r="A302" s="117"/>
      <c r="B302" s="123" t="s">
        <v>96</v>
      </c>
      <c r="C302" s="135" t="str">
        <f t="shared" si="46"/>
        <v>Resultado</v>
      </c>
      <c r="D302" s="135" t="str">
        <f t="shared" si="40"/>
        <v/>
      </c>
      <c r="E302" s="124" t="s">
        <v>728</v>
      </c>
      <c r="F302" s="124" t="s">
        <v>729</v>
      </c>
      <c r="G302" s="125">
        <v>20613.400000000001</v>
      </c>
      <c r="H302" s="125" t="s">
        <v>162</v>
      </c>
      <c r="I302" s="125">
        <v>0</v>
      </c>
      <c r="J302" s="125">
        <v>4780</v>
      </c>
      <c r="K302" s="125">
        <v>15833.4</v>
      </c>
      <c r="L302" s="125" t="s">
        <v>162</v>
      </c>
      <c r="M302" s="139">
        <f t="shared" si="41"/>
        <v>20613.400000000001</v>
      </c>
      <c r="N302" s="139">
        <f t="shared" si="42"/>
        <v>15833.4</v>
      </c>
      <c r="O302" s="122"/>
      <c r="P302" s="122"/>
    </row>
    <row r="303" spans="1:17" s="128" customFormat="1" x14ac:dyDescent="0.3">
      <c r="A303" s="115"/>
      <c r="B303" s="123" t="s">
        <v>96</v>
      </c>
      <c r="C303" s="135" t="str">
        <f t="shared" si="46"/>
        <v>Resultado</v>
      </c>
      <c r="D303" s="135" t="str">
        <f t="shared" si="40"/>
        <v/>
      </c>
      <c r="E303" s="124" t="s">
        <v>730</v>
      </c>
      <c r="F303" s="124" t="s">
        <v>731</v>
      </c>
      <c r="G303" s="125">
        <v>90999.82</v>
      </c>
      <c r="H303" s="125" t="s">
        <v>162</v>
      </c>
      <c r="I303" s="125">
        <v>43793.93</v>
      </c>
      <c r="J303" s="125">
        <v>25591.55</v>
      </c>
      <c r="K303" s="125">
        <v>109202.2</v>
      </c>
      <c r="L303" s="125" t="s">
        <v>162</v>
      </c>
      <c r="M303" s="139">
        <f t="shared" si="41"/>
        <v>90999.82</v>
      </c>
      <c r="N303" s="139">
        <f t="shared" si="42"/>
        <v>109202.2</v>
      </c>
      <c r="O303" s="115"/>
      <c r="P303" s="115"/>
      <c r="Q303" s="118"/>
    </row>
    <row r="304" spans="1:17" s="128" customFormat="1" x14ac:dyDescent="0.3">
      <c r="A304" s="115"/>
      <c r="B304" s="123" t="s">
        <v>96</v>
      </c>
      <c r="C304" s="135" t="str">
        <f t="shared" si="46"/>
        <v>Resultado</v>
      </c>
      <c r="D304" s="135" t="str">
        <f t="shared" si="40"/>
        <v/>
      </c>
      <c r="E304" s="124" t="s">
        <v>732</v>
      </c>
      <c r="F304" s="124" t="s">
        <v>733</v>
      </c>
      <c r="G304" s="125">
        <v>5317.74</v>
      </c>
      <c r="H304" s="125" t="s">
        <v>162</v>
      </c>
      <c r="I304" s="125">
        <v>0</v>
      </c>
      <c r="J304" s="125">
        <v>0</v>
      </c>
      <c r="K304" s="125">
        <v>5317.74</v>
      </c>
      <c r="L304" s="125" t="s">
        <v>162</v>
      </c>
      <c r="M304" s="139">
        <f t="shared" si="41"/>
        <v>5317.74</v>
      </c>
      <c r="N304" s="139">
        <f t="shared" si="42"/>
        <v>5317.74</v>
      </c>
      <c r="O304" s="115"/>
      <c r="P304" s="115"/>
      <c r="Q304" s="118"/>
    </row>
    <row r="305" spans="1:17" s="128" customFormat="1" x14ac:dyDescent="0.3">
      <c r="A305" s="115"/>
      <c r="B305" s="123" t="s">
        <v>96</v>
      </c>
      <c r="C305" s="135" t="str">
        <f t="shared" si="46"/>
        <v>Resultado</v>
      </c>
      <c r="D305" s="135" t="str">
        <f t="shared" si="40"/>
        <v/>
      </c>
      <c r="E305" s="124" t="s">
        <v>734</v>
      </c>
      <c r="F305" s="124" t="s">
        <v>735</v>
      </c>
      <c r="G305" s="125">
        <v>50874.57</v>
      </c>
      <c r="H305" s="125" t="s">
        <v>162</v>
      </c>
      <c r="I305" s="125">
        <v>0</v>
      </c>
      <c r="J305" s="125">
        <v>0</v>
      </c>
      <c r="K305" s="125">
        <v>50874.57</v>
      </c>
      <c r="L305" s="125" t="s">
        <v>162</v>
      </c>
      <c r="M305" s="139">
        <f t="shared" si="41"/>
        <v>50874.57</v>
      </c>
      <c r="N305" s="139">
        <f t="shared" si="42"/>
        <v>50874.57</v>
      </c>
      <c r="O305" s="115"/>
      <c r="P305" s="115"/>
      <c r="Q305" s="118"/>
    </row>
    <row r="306" spans="1:17" s="128" customFormat="1" x14ac:dyDescent="0.3">
      <c r="A306" s="115"/>
      <c r="B306" s="123" t="s">
        <v>96</v>
      </c>
      <c r="C306" s="135" t="str">
        <f t="shared" si="46"/>
        <v>Resultado</v>
      </c>
      <c r="D306" s="135" t="str">
        <f t="shared" si="40"/>
        <v/>
      </c>
      <c r="E306" s="124" t="s">
        <v>736</v>
      </c>
      <c r="F306" s="124" t="s">
        <v>737</v>
      </c>
      <c r="G306" s="125">
        <v>14224.36</v>
      </c>
      <c r="H306" s="125" t="s">
        <v>162</v>
      </c>
      <c r="I306" s="125">
        <v>3800</v>
      </c>
      <c r="J306" s="125">
        <v>0</v>
      </c>
      <c r="K306" s="125">
        <v>18024.36</v>
      </c>
      <c r="L306" s="125" t="s">
        <v>162</v>
      </c>
      <c r="M306" s="139">
        <f t="shared" si="41"/>
        <v>14224.36</v>
      </c>
      <c r="N306" s="139">
        <f t="shared" si="42"/>
        <v>18024.36</v>
      </c>
      <c r="O306" s="115"/>
      <c r="P306" s="115"/>
      <c r="Q306" s="118"/>
    </row>
    <row r="307" spans="1:17" s="128" customFormat="1" x14ac:dyDescent="0.3">
      <c r="A307" s="115"/>
      <c r="B307" s="123" t="s">
        <v>96</v>
      </c>
      <c r="C307" s="135" t="str">
        <f t="shared" si="46"/>
        <v>Resultado</v>
      </c>
      <c r="D307" s="135" t="str">
        <f t="shared" si="40"/>
        <v/>
      </c>
      <c r="E307" s="124" t="s">
        <v>738</v>
      </c>
      <c r="F307" s="124" t="s">
        <v>739</v>
      </c>
      <c r="G307" s="125">
        <v>33.299999999999997</v>
      </c>
      <c r="H307" s="125" t="s">
        <v>162</v>
      </c>
      <c r="I307" s="125">
        <v>0</v>
      </c>
      <c r="J307" s="125">
        <v>0</v>
      </c>
      <c r="K307" s="125">
        <v>33.299999999999997</v>
      </c>
      <c r="L307" s="125" t="s">
        <v>162</v>
      </c>
      <c r="M307" s="139">
        <f t="shared" si="41"/>
        <v>33.299999999999997</v>
      </c>
      <c r="N307" s="139">
        <f t="shared" si="42"/>
        <v>33.299999999999997</v>
      </c>
      <c r="O307" s="115"/>
      <c r="P307" s="115"/>
      <c r="Q307" s="118"/>
    </row>
    <row r="308" spans="1:17" s="128" customFormat="1" x14ac:dyDescent="0.3">
      <c r="A308" s="115"/>
      <c r="B308" s="123" t="s">
        <v>96</v>
      </c>
      <c r="C308" s="135" t="str">
        <f t="shared" si="46"/>
        <v>Resultado</v>
      </c>
      <c r="D308" s="135" t="str">
        <f t="shared" si="40"/>
        <v/>
      </c>
      <c r="E308" s="124" t="s">
        <v>740</v>
      </c>
      <c r="F308" s="124" t="s">
        <v>741</v>
      </c>
      <c r="G308" s="125">
        <v>0</v>
      </c>
      <c r="H308" s="125"/>
      <c r="I308" s="125">
        <v>325.83</v>
      </c>
      <c r="J308" s="125">
        <v>0</v>
      </c>
      <c r="K308" s="125">
        <v>325.83</v>
      </c>
      <c r="L308" s="125" t="s">
        <v>162</v>
      </c>
      <c r="M308" s="139">
        <f t="shared" si="41"/>
        <v>0</v>
      </c>
      <c r="N308" s="139">
        <f t="shared" si="42"/>
        <v>325.83</v>
      </c>
      <c r="O308" s="115"/>
      <c r="P308" s="115"/>
      <c r="Q308" s="118"/>
    </row>
    <row r="309" spans="1:17" s="129" customFormat="1" x14ac:dyDescent="0.3">
      <c r="A309" s="117"/>
      <c r="B309" s="123" t="s">
        <v>96</v>
      </c>
      <c r="C309" s="135" t="str">
        <f t="shared" si="46"/>
        <v>Resultado</v>
      </c>
      <c r="D309" s="135" t="str">
        <f t="shared" si="40"/>
        <v/>
      </c>
      <c r="E309" s="124" t="s">
        <v>742</v>
      </c>
      <c r="F309" s="124" t="s">
        <v>743</v>
      </c>
      <c r="G309" s="125">
        <v>3358.85</v>
      </c>
      <c r="H309" s="125" t="s">
        <v>162</v>
      </c>
      <c r="I309" s="125">
        <v>0</v>
      </c>
      <c r="J309" s="125">
        <v>0</v>
      </c>
      <c r="K309" s="125">
        <v>3358.85</v>
      </c>
      <c r="L309" s="125" t="s">
        <v>162</v>
      </c>
      <c r="M309" s="139">
        <f t="shared" si="41"/>
        <v>3358.85</v>
      </c>
      <c r="N309" s="139">
        <f t="shared" si="42"/>
        <v>3358.85</v>
      </c>
      <c r="O309" s="122"/>
      <c r="P309" s="122"/>
    </row>
    <row r="310" spans="1:17" s="129" customFormat="1" x14ac:dyDescent="0.3">
      <c r="A310" s="117"/>
      <c r="B310" s="123" t="s">
        <v>96</v>
      </c>
      <c r="C310" s="135" t="str">
        <f t="shared" si="46"/>
        <v>Resultado</v>
      </c>
      <c r="D310" s="135" t="str">
        <f t="shared" si="40"/>
        <v/>
      </c>
      <c r="E310" s="124" t="s">
        <v>744</v>
      </c>
      <c r="F310" s="124" t="s">
        <v>745</v>
      </c>
      <c r="G310" s="125">
        <v>26981.7</v>
      </c>
      <c r="H310" s="125" t="s">
        <v>162</v>
      </c>
      <c r="I310" s="125">
        <v>1650.35</v>
      </c>
      <c r="J310" s="125">
        <v>0</v>
      </c>
      <c r="K310" s="125">
        <v>28632.05</v>
      </c>
      <c r="L310" s="125" t="s">
        <v>162</v>
      </c>
      <c r="M310" s="139">
        <f t="shared" si="41"/>
        <v>26981.7</v>
      </c>
      <c r="N310" s="139">
        <f t="shared" si="42"/>
        <v>28632.05</v>
      </c>
      <c r="O310" s="122"/>
      <c r="P310" s="122"/>
    </row>
    <row r="311" spans="1:17" s="128" customFormat="1" x14ac:dyDescent="0.3">
      <c r="A311" s="115"/>
      <c r="B311" s="123" t="s">
        <v>96</v>
      </c>
      <c r="C311" s="135" t="str">
        <f t="shared" si="46"/>
        <v>Resultado</v>
      </c>
      <c r="D311" s="135" t="str">
        <f t="shared" si="40"/>
        <v/>
      </c>
      <c r="E311" s="124" t="s">
        <v>746</v>
      </c>
      <c r="F311" s="124" t="s">
        <v>747</v>
      </c>
      <c r="G311" s="125">
        <v>12337.49</v>
      </c>
      <c r="H311" s="125" t="s">
        <v>162</v>
      </c>
      <c r="I311" s="125">
        <v>5557.94</v>
      </c>
      <c r="J311" s="125">
        <v>0</v>
      </c>
      <c r="K311" s="125">
        <v>17895.43</v>
      </c>
      <c r="L311" s="125" t="s">
        <v>162</v>
      </c>
      <c r="M311" s="139">
        <f t="shared" si="41"/>
        <v>12337.49</v>
      </c>
      <c r="N311" s="139">
        <f t="shared" si="42"/>
        <v>17895.43</v>
      </c>
      <c r="O311" s="115"/>
      <c r="P311" s="115"/>
      <c r="Q311" s="118"/>
    </row>
    <row r="312" spans="1:17" s="128" customFormat="1" x14ac:dyDescent="0.3">
      <c r="A312" s="115"/>
      <c r="B312" s="123" t="s">
        <v>96</v>
      </c>
      <c r="C312" s="135" t="str">
        <f t="shared" si="46"/>
        <v>Resultado</v>
      </c>
      <c r="D312" s="135" t="str">
        <f t="shared" si="40"/>
        <v/>
      </c>
      <c r="E312" s="124" t="s">
        <v>748</v>
      </c>
      <c r="F312" s="124" t="s">
        <v>749</v>
      </c>
      <c r="G312" s="125">
        <v>42050.11</v>
      </c>
      <c r="H312" s="125" t="s">
        <v>162</v>
      </c>
      <c r="I312" s="125">
        <v>68412.42</v>
      </c>
      <c r="J312" s="125">
        <v>41065.42</v>
      </c>
      <c r="K312" s="125">
        <v>69397.11</v>
      </c>
      <c r="L312" s="125" t="s">
        <v>162</v>
      </c>
      <c r="M312" s="139">
        <f t="shared" si="41"/>
        <v>42050.11</v>
      </c>
      <c r="N312" s="139">
        <f t="shared" si="42"/>
        <v>69397.11</v>
      </c>
      <c r="O312" s="115"/>
      <c r="P312" s="115"/>
      <c r="Q312" s="118"/>
    </row>
    <row r="313" spans="1:17" s="128" customFormat="1" x14ac:dyDescent="0.3">
      <c r="A313" s="115"/>
      <c r="B313" s="123" t="s">
        <v>96</v>
      </c>
      <c r="C313" s="135"/>
      <c r="D313" s="135" t="str">
        <f t="shared" si="40"/>
        <v/>
      </c>
      <c r="E313" s="124" t="s">
        <v>750</v>
      </c>
      <c r="F313" s="124" t="s">
        <v>751</v>
      </c>
      <c r="G313" s="125">
        <v>140.94</v>
      </c>
      <c r="H313" s="125" t="s">
        <v>162</v>
      </c>
      <c r="I313" s="125">
        <v>46.92</v>
      </c>
      <c r="J313" s="125">
        <v>0</v>
      </c>
      <c r="K313" s="125">
        <v>187.86</v>
      </c>
      <c r="L313" s="125" t="s">
        <v>162</v>
      </c>
      <c r="M313" s="139">
        <f t="shared" si="41"/>
        <v>140.94</v>
      </c>
      <c r="N313" s="139">
        <f t="shared" si="42"/>
        <v>187.86</v>
      </c>
      <c r="O313" s="115"/>
      <c r="P313" s="115"/>
      <c r="Q313" s="118"/>
    </row>
    <row r="314" spans="1:17" s="128" customFormat="1" x14ac:dyDescent="0.3">
      <c r="A314" s="115"/>
      <c r="B314" s="123" t="s">
        <v>96</v>
      </c>
      <c r="C314" s="135" t="str">
        <f>IF(MID(E314,1,1)="1","Ativo",IF(MID(E314,1,1)="2","Passivo","Resultado"))</f>
        <v>Resultado</v>
      </c>
      <c r="D314" s="135" t="str">
        <f t="shared" si="40"/>
        <v>Sintetica</v>
      </c>
      <c r="E314" s="124" t="s">
        <v>752</v>
      </c>
      <c r="F314" s="124" t="s">
        <v>205</v>
      </c>
      <c r="G314" s="125">
        <v>652908.61</v>
      </c>
      <c r="H314" s="125" t="s">
        <v>162</v>
      </c>
      <c r="I314" s="125">
        <v>269988.81</v>
      </c>
      <c r="J314" s="125">
        <v>175255.54</v>
      </c>
      <c r="K314" s="125">
        <v>747641.88</v>
      </c>
      <c r="L314" s="125" t="s">
        <v>162</v>
      </c>
      <c r="M314" s="139">
        <f t="shared" si="41"/>
        <v>652908.61</v>
      </c>
      <c r="N314" s="139">
        <f t="shared" si="42"/>
        <v>747641.88</v>
      </c>
      <c r="O314" s="115"/>
      <c r="P314" s="115"/>
      <c r="Q314" s="118"/>
    </row>
    <row r="315" spans="1:17" s="128" customFormat="1" x14ac:dyDescent="0.3">
      <c r="A315" s="115"/>
      <c r="B315" s="123" t="s">
        <v>96</v>
      </c>
      <c r="C315" s="135"/>
      <c r="D315" s="135" t="str">
        <f t="shared" si="40"/>
        <v>Sintetica</v>
      </c>
      <c r="E315" s="124" t="s">
        <v>753</v>
      </c>
      <c r="F315" s="124" t="s">
        <v>680</v>
      </c>
      <c r="G315" s="125">
        <v>232274.5</v>
      </c>
      <c r="H315" s="125" t="s">
        <v>162</v>
      </c>
      <c r="I315" s="125">
        <v>46893.81</v>
      </c>
      <c r="J315" s="125">
        <v>12.4</v>
      </c>
      <c r="K315" s="125">
        <v>279155.90999999997</v>
      </c>
      <c r="L315" s="125" t="s">
        <v>162</v>
      </c>
      <c r="M315" s="139">
        <f t="shared" si="41"/>
        <v>232274.5</v>
      </c>
      <c r="N315" s="139">
        <f t="shared" si="42"/>
        <v>279155.90999999997</v>
      </c>
      <c r="O315" s="115"/>
      <c r="P315" s="115"/>
      <c r="Q315" s="118"/>
    </row>
    <row r="316" spans="1:17" s="128" customFormat="1" x14ac:dyDescent="0.3">
      <c r="A316" s="115"/>
      <c r="B316" s="123" t="s">
        <v>96</v>
      </c>
      <c r="C316" s="135" t="str">
        <f t="shared" ref="C316:C318" si="47">IF(MID(E316,1,1)="1","Ativo",IF(MID(E316,1,1)="2","Passivo","Resultado"))</f>
        <v>Resultado</v>
      </c>
      <c r="D316" s="135" t="str">
        <f t="shared" si="40"/>
        <v>Sintetica</v>
      </c>
      <c r="E316" s="124" t="s">
        <v>754</v>
      </c>
      <c r="F316" s="124" t="s">
        <v>680</v>
      </c>
      <c r="G316" s="125">
        <v>218612.36</v>
      </c>
      <c r="H316" s="125" t="s">
        <v>162</v>
      </c>
      <c r="I316" s="125">
        <v>46363.57</v>
      </c>
      <c r="J316" s="125">
        <v>12.4</v>
      </c>
      <c r="K316" s="125">
        <v>264963.53000000003</v>
      </c>
      <c r="L316" s="125" t="s">
        <v>162</v>
      </c>
      <c r="M316" s="139">
        <f t="shared" si="41"/>
        <v>218612.36</v>
      </c>
      <c r="N316" s="139">
        <f t="shared" si="42"/>
        <v>264963.53000000003</v>
      </c>
      <c r="O316" s="115"/>
      <c r="P316" s="115"/>
      <c r="Q316" s="118"/>
    </row>
    <row r="317" spans="1:17" s="128" customFormat="1" x14ac:dyDescent="0.3">
      <c r="A317" s="115"/>
      <c r="B317" s="123" t="s">
        <v>96</v>
      </c>
      <c r="C317" s="135" t="str">
        <f t="shared" si="47"/>
        <v>Resultado</v>
      </c>
      <c r="D317" s="135" t="str">
        <f t="shared" si="40"/>
        <v>Sintetica</v>
      </c>
      <c r="E317" s="124" t="s">
        <v>755</v>
      </c>
      <c r="F317" s="124" t="s">
        <v>194</v>
      </c>
      <c r="G317" s="125">
        <v>47637.16</v>
      </c>
      <c r="H317" s="125" t="s">
        <v>162</v>
      </c>
      <c r="I317" s="125">
        <v>2474.81</v>
      </c>
      <c r="J317" s="125">
        <v>0</v>
      </c>
      <c r="K317" s="125">
        <v>50111.97</v>
      </c>
      <c r="L317" s="125" t="s">
        <v>162</v>
      </c>
      <c r="M317" s="139">
        <f t="shared" si="41"/>
        <v>47637.16</v>
      </c>
      <c r="N317" s="139">
        <f t="shared" si="42"/>
        <v>50111.97</v>
      </c>
      <c r="O317" s="115"/>
      <c r="P317" s="115"/>
      <c r="Q317" s="118"/>
    </row>
    <row r="318" spans="1:17" s="128" customFormat="1" x14ac:dyDescent="0.3">
      <c r="A318" s="115"/>
      <c r="B318" s="123" t="s">
        <v>96</v>
      </c>
      <c r="C318" s="135" t="str">
        <f t="shared" si="47"/>
        <v>Resultado</v>
      </c>
      <c r="D318" s="135" t="str">
        <f t="shared" si="40"/>
        <v>Sintetica</v>
      </c>
      <c r="E318" s="124" t="s">
        <v>756</v>
      </c>
      <c r="F318" s="124" t="s">
        <v>604</v>
      </c>
      <c r="G318" s="125">
        <v>366.98</v>
      </c>
      <c r="H318" s="125" t="s">
        <v>162</v>
      </c>
      <c r="I318" s="125">
        <v>0</v>
      </c>
      <c r="J318" s="125">
        <v>0</v>
      </c>
      <c r="K318" s="125">
        <v>366.98</v>
      </c>
      <c r="L318" s="125" t="s">
        <v>162</v>
      </c>
      <c r="M318" s="139">
        <f t="shared" si="41"/>
        <v>366.98</v>
      </c>
      <c r="N318" s="139">
        <f t="shared" si="42"/>
        <v>366.98</v>
      </c>
      <c r="O318" s="115"/>
      <c r="P318" s="115"/>
      <c r="Q318" s="118"/>
    </row>
    <row r="319" spans="1:17" s="128" customFormat="1" x14ac:dyDescent="0.3">
      <c r="A319" s="115"/>
      <c r="B319" s="123" t="s">
        <v>96</v>
      </c>
      <c r="C319" s="135"/>
      <c r="D319" s="135" t="str">
        <f t="shared" si="40"/>
        <v>Sintetica</v>
      </c>
      <c r="E319" s="124" t="s">
        <v>757</v>
      </c>
      <c r="F319" s="124" t="s">
        <v>686</v>
      </c>
      <c r="G319" s="125">
        <v>44040</v>
      </c>
      <c r="H319" s="125" t="s">
        <v>162</v>
      </c>
      <c r="I319" s="125">
        <v>9000</v>
      </c>
      <c r="J319" s="125">
        <v>0</v>
      </c>
      <c r="K319" s="125">
        <v>53040</v>
      </c>
      <c r="L319" s="125" t="s">
        <v>162</v>
      </c>
      <c r="M319" s="139">
        <f t="shared" si="41"/>
        <v>44040</v>
      </c>
      <c r="N319" s="139">
        <f t="shared" si="42"/>
        <v>53040</v>
      </c>
      <c r="O319" s="115"/>
      <c r="P319" s="115"/>
      <c r="Q319" s="118"/>
    </row>
    <row r="320" spans="1:17" s="128" customFormat="1" x14ac:dyDescent="0.3">
      <c r="A320" s="115"/>
      <c r="B320" s="123" t="s">
        <v>96</v>
      </c>
      <c r="C320" s="135" t="str">
        <f t="shared" ref="C320:C322" si="48">IF(MID(E320,1,1)="1","Ativo",IF(MID(E320,1,1)="2","Passivo","Resultado"))</f>
        <v>Resultado</v>
      </c>
      <c r="D320" s="135" t="str">
        <f t="shared" si="40"/>
        <v/>
      </c>
      <c r="E320" s="124" t="s">
        <v>758</v>
      </c>
      <c r="F320" s="124" t="s">
        <v>195</v>
      </c>
      <c r="G320" s="125">
        <v>3253.44</v>
      </c>
      <c r="H320" s="125" t="s">
        <v>162</v>
      </c>
      <c r="I320" s="125">
        <v>41.69</v>
      </c>
      <c r="J320" s="125">
        <v>0</v>
      </c>
      <c r="K320" s="125">
        <v>3295.13</v>
      </c>
      <c r="L320" s="125" t="s">
        <v>162</v>
      </c>
      <c r="M320" s="139">
        <f t="shared" si="41"/>
        <v>3253.44</v>
      </c>
      <c r="N320" s="139">
        <f t="shared" si="42"/>
        <v>3295.13</v>
      </c>
      <c r="O320" s="115"/>
      <c r="P320" s="115"/>
      <c r="Q320" s="118"/>
    </row>
    <row r="321" spans="1:17" s="128" customFormat="1" x14ac:dyDescent="0.3">
      <c r="A321" s="115"/>
      <c r="B321" s="123" t="s">
        <v>96</v>
      </c>
      <c r="C321" s="135" t="str">
        <f t="shared" si="48"/>
        <v>Resultado</v>
      </c>
      <c r="D321" s="135" t="str">
        <f t="shared" si="40"/>
        <v/>
      </c>
      <c r="E321" s="124" t="s">
        <v>759</v>
      </c>
      <c r="F321" s="124" t="s">
        <v>196</v>
      </c>
      <c r="G321" s="125">
        <v>13984.17</v>
      </c>
      <c r="H321" s="125" t="s">
        <v>162</v>
      </c>
      <c r="I321" s="125">
        <v>600.41999999999996</v>
      </c>
      <c r="J321" s="125">
        <v>0</v>
      </c>
      <c r="K321" s="125">
        <v>14584.59</v>
      </c>
      <c r="L321" s="125" t="s">
        <v>162</v>
      </c>
      <c r="M321" s="139">
        <f t="shared" si="41"/>
        <v>13984.17</v>
      </c>
      <c r="N321" s="139">
        <f t="shared" si="42"/>
        <v>14584.59</v>
      </c>
      <c r="O321" s="115"/>
      <c r="P321" s="115"/>
      <c r="Q321" s="118"/>
    </row>
    <row r="322" spans="1:17" s="128" customFormat="1" x14ac:dyDescent="0.3">
      <c r="A322" s="115"/>
      <c r="B322" s="123" t="s">
        <v>96</v>
      </c>
      <c r="C322" s="135" t="str">
        <f t="shared" si="48"/>
        <v>Resultado</v>
      </c>
      <c r="D322" s="135" t="str">
        <f t="shared" si="40"/>
        <v/>
      </c>
      <c r="E322" s="124" t="s">
        <v>760</v>
      </c>
      <c r="F322" s="124" t="s">
        <v>761</v>
      </c>
      <c r="G322" s="125">
        <v>64208.67</v>
      </c>
      <c r="H322" s="125" t="s">
        <v>162</v>
      </c>
      <c r="I322" s="125">
        <v>29499</v>
      </c>
      <c r="J322" s="125">
        <v>0</v>
      </c>
      <c r="K322" s="125">
        <v>93707.67</v>
      </c>
      <c r="L322" s="125" t="s">
        <v>162</v>
      </c>
      <c r="M322" s="139">
        <f t="shared" si="41"/>
        <v>64208.67</v>
      </c>
      <c r="N322" s="139">
        <f t="shared" si="42"/>
        <v>93707.67</v>
      </c>
      <c r="O322" s="115"/>
      <c r="P322" s="115"/>
      <c r="Q322" s="118"/>
    </row>
    <row r="323" spans="1:17" s="128" customFormat="1" x14ac:dyDescent="0.3">
      <c r="A323" s="115"/>
      <c r="B323" s="123" t="s">
        <v>96</v>
      </c>
      <c r="C323" s="135"/>
      <c r="D323" s="135" t="str">
        <f t="shared" si="40"/>
        <v/>
      </c>
      <c r="E323" s="124" t="s">
        <v>762</v>
      </c>
      <c r="F323" s="124" t="s">
        <v>197</v>
      </c>
      <c r="G323" s="125">
        <v>4431</v>
      </c>
      <c r="H323" s="125" t="s">
        <v>162</v>
      </c>
      <c r="I323" s="125">
        <v>924</v>
      </c>
      <c r="J323" s="125">
        <v>0</v>
      </c>
      <c r="K323" s="125">
        <v>5355</v>
      </c>
      <c r="L323" s="125" t="s">
        <v>162</v>
      </c>
      <c r="M323" s="139">
        <f t="shared" si="41"/>
        <v>4431</v>
      </c>
      <c r="N323" s="139">
        <f t="shared" si="42"/>
        <v>5355</v>
      </c>
      <c r="O323" s="115"/>
      <c r="P323" s="115"/>
      <c r="Q323" s="118"/>
    </row>
    <row r="324" spans="1:17" s="128" customFormat="1" x14ac:dyDescent="0.3">
      <c r="A324" s="115"/>
      <c r="B324" s="123" t="s">
        <v>96</v>
      </c>
      <c r="C324" s="135" t="str">
        <f t="shared" ref="C324:C327" si="49">IF(MID(E324,1,1)="1","Ativo",IF(MID(E324,1,1)="2","Passivo","Resultado"))</f>
        <v>Resultado</v>
      </c>
      <c r="D324" s="135" t="str">
        <f t="shared" si="40"/>
        <v/>
      </c>
      <c r="E324" s="124" t="s">
        <v>763</v>
      </c>
      <c r="F324" s="124" t="s">
        <v>613</v>
      </c>
      <c r="G324" s="125">
        <v>2015.34</v>
      </c>
      <c r="H324" s="125" t="s">
        <v>162</v>
      </c>
      <c r="I324" s="125">
        <v>1523.15</v>
      </c>
      <c r="J324" s="125">
        <v>0</v>
      </c>
      <c r="K324" s="125">
        <v>3538.49</v>
      </c>
      <c r="L324" s="125" t="s">
        <v>162</v>
      </c>
      <c r="M324" s="139">
        <f t="shared" si="41"/>
        <v>2015.34</v>
      </c>
      <c r="N324" s="139">
        <f t="shared" si="42"/>
        <v>3538.49</v>
      </c>
      <c r="O324" s="115"/>
      <c r="P324" s="115"/>
      <c r="Q324" s="118"/>
    </row>
    <row r="325" spans="1:17" s="128" customFormat="1" x14ac:dyDescent="0.3">
      <c r="A325" s="115"/>
      <c r="B325" s="123" t="s">
        <v>96</v>
      </c>
      <c r="C325" s="135" t="str">
        <f t="shared" si="49"/>
        <v>Resultado</v>
      </c>
      <c r="D325" s="135" t="str">
        <f t="shared" si="40"/>
        <v/>
      </c>
      <c r="E325" s="124" t="s">
        <v>764</v>
      </c>
      <c r="F325" s="124" t="s">
        <v>615</v>
      </c>
      <c r="G325" s="125">
        <v>164.41</v>
      </c>
      <c r="H325" s="125" t="s">
        <v>162</v>
      </c>
      <c r="I325" s="125">
        <v>0</v>
      </c>
      <c r="J325" s="125">
        <v>0</v>
      </c>
      <c r="K325" s="125">
        <v>164.41</v>
      </c>
      <c r="L325" s="125" t="s">
        <v>162</v>
      </c>
      <c r="M325" s="139">
        <f t="shared" si="41"/>
        <v>164.41</v>
      </c>
      <c r="N325" s="139">
        <f t="shared" si="42"/>
        <v>164.41</v>
      </c>
      <c r="O325" s="115"/>
      <c r="P325" s="115"/>
      <c r="Q325" s="118"/>
    </row>
    <row r="326" spans="1:17" s="128" customFormat="1" x14ac:dyDescent="0.3">
      <c r="A326" s="115"/>
      <c r="B326" s="123" t="s">
        <v>96</v>
      </c>
      <c r="C326" s="135" t="str">
        <f t="shared" si="49"/>
        <v>Resultado</v>
      </c>
      <c r="D326" s="135" t="str">
        <f t="shared" si="40"/>
        <v/>
      </c>
      <c r="E326" s="124" t="s">
        <v>765</v>
      </c>
      <c r="F326" s="124" t="s">
        <v>201</v>
      </c>
      <c r="G326" s="125">
        <v>33787.18</v>
      </c>
      <c r="H326" s="125" t="s">
        <v>162</v>
      </c>
      <c r="I326" s="125">
        <v>255.5</v>
      </c>
      <c r="J326" s="125">
        <v>0</v>
      </c>
      <c r="K326" s="125">
        <v>34042.68</v>
      </c>
      <c r="L326" s="125" t="s">
        <v>162</v>
      </c>
      <c r="M326" s="139">
        <f t="shared" si="41"/>
        <v>33787.18</v>
      </c>
      <c r="N326" s="139">
        <f t="shared" si="42"/>
        <v>34042.68</v>
      </c>
      <c r="O326" s="115"/>
      <c r="P326" s="115"/>
      <c r="Q326" s="118"/>
    </row>
    <row r="327" spans="1:17" s="128" customFormat="1" x14ac:dyDescent="0.3">
      <c r="A327" s="115"/>
      <c r="B327" s="123" t="s">
        <v>96</v>
      </c>
      <c r="C327" s="135" t="str">
        <f t="shared" si="49"/>
        <v>Resultado</v>
      </c>
      <c r="D327" s="135" t="str">
        <f t="shared" si="40"/>
        <v/>
      </c>
      <c r="E327" s="124" t="s">
        <v>766</v>
      </c>
      <c r="F327" s="124" t="s">
        <v>619</v>
      </c>
      <c r="G327" s="125">
        <v>3001.65</v>
      </c>
      <c r="H327" s="125" t="s">
        <v>162</v>
      </c>
      <c r="I327" s="125">
        <v>2045</v>
      </c>
      <c r="J327" s="125">
        <v>12.4</v>
      </c>
      <c r="K327" s="125">
        <v>5034.25</v>
      </c>
      <c r="L327" s="125" t="s">
        <v>162</v>
      </c>
      <c r="M327" s="139">
        <f t="shared" si="41"/>
        <v>3001.65</v>
      </c>
      <c r="N327" s="139">
        <f t="shared" si="42"/>
        <v>5034.25</v>
      </c>
      <c r="O327" s="115"/>
      <c r="P327" s="115"/>
      <c r="Q327" s="118"/>
    </row>
    <row r="328" spans="1:17" s="128" customFormat="1" x14ac:dyDescent="0.3">
      <c r="A328" s="115"/>
      <c r="B328" s="123" t="s">
        <v>96</v>
      </c>
      <c r="C328" s="135"/>
      <c r="D328" s="135" t="str">
        <f t="shared" si="40"/>
        <v/>
      </c>
      <c r="E328" s="124" t="s">
        <v>767</v>
      </c>
      <c r="F328" s="124" t="s">
        <v>768</v>
      </c>
      <c r="G328" s="125">
        <v>1722.36</v>
      </c>
      <c r="H328" s="125" t="s">
        <v>162</v>
      </c>
      <c r="I328" s="125">
        <v>0</v>
      </c>
      <c r="J328" s="125">
        <v>0</v>
      </c>
      <c r="K328" s="125">
        <v>1722.36</v>
      </c>
      <c r="L328" s="125" t="s">
        <v>162</v>
      </c>
      <c r="M328" s="139">
        <f t="shared" si="41"/>
        <v>1722.36</v>
      </c>
      <c r="N328" s="139">
        <f t="shared" si="42"/>
        <v>1722.36</v>
      </c>
      <c r="O328" s="115"/>
      <c r="P328" s="115"/>
      <c r="Q328" s="118"/>
    </row>
    <row r="329" spans="1:17" s="128" customFormat="1" x14ac:dyDescent="0.3">
      <c r="A329" s="115"/>
      <c r="B329" s="123" t="s">
        <v>96</v>
      </c>
      <c r="C329" s="135"/>
      <c r="D329" s="135" t="str">
        <f t="shared" ref="D329:D392" si="50">IF(MID(E329,10,3)="000","Sintetica","")</f>
        <v>Sintetica</v>
      </c>
      <c r="E329" s="124" t="s">
        <v>769</v>
      </c>
      <c r="F329" s="124" t="s">
        <v>698</v>
      </c>
      <c r="G329" s="125">
        <v>13662.14</v>
      </c>
      <c r="H329" s="125" t="s">
        <v>162</v>
      </c>
      <c r="I329" s="125">
        <v>530.24</v>
      </c>
      <c r="J329" s="125">
        <v>0</v>
      </c>
      <c r="K329" s="125">
        <v>14192.38</v>
      </c>
      <c r="L329" s="125" t="s">
        <v>162</v>
      </c>
      <c r="M329" s="139">
        <f t="shared" ref="M329:M392" si="51">IF(H329="D",G329,-G329)</f>
        <v>13662.14</v>
      </c>
      <c r="N329" s="139">
        <f t="shared" ref="N329:N392" si="52">IF(L329="D",K329,-K329)</f>
        <v>14192.38</v>
      </c>
      <c r="O329" s="115"/>
      <c r="P329" s="115"/>
      <c r="Q329" s="118"/>
    </row>
    <row r="330" spans="1:17" s="128" customFormat="1" x14ac:dyDescent="0.3">
      <c r="A330" s="115"/>
      <c r="B330" s="123" t="s">
        <v>96</v>
      </c>
      <c r="C330" s="135"/>
      <c r="D330" s="135" t="str">
        <f t="shared" si="50"/>
        <v>Sintetica</v>
      </c>
      <c r="E330" s="124" t="s">
        <v>770</v>
      </c>
      <c r="F330" s="124" t="s">
        <v>198</v>
      </c>
      <c r="G330" s="125">
        <v>5933.71</v>
      </c>
      <c r="H330" s="125" t="s">
        <v>162</v>
      </c>
      <c r="I330" s="125">
        <v>231.64</v>
      </c>
      <c r="J330" s="125">
        <v>0</v>
      </c>
      <c r="K330" s="125">
        <v>6165.35</v>
      </c>
      <c r="L330" s="125" t="s">
        <v>162</v>
      </c>
      <c r="M330" s="139">
        <f t="shared" si="51"/>
        <v>5933.71</v>
      </c>
      <c r="N330" s="139">
        <f t="shared" si="52"/>
        <v>6165.35</v>
      </c>
      <c r="O330" s="115"/>
      <c r="P330" s="115"/>
      <c r="Q330" s="118"/>
    </row>
    <row r="331" spans="1:17" s="128" customFormat="1" x14ac:dyDescent="0.3">
      <c r="A331" s="115"/>
      <c r="B331" s="123" t="s">
        <v>96</v>
      </c>
      <c r="C331" s="135" t="str">
        <f>IF(MID(E331,1,1)="1","Ativo",IF(MID(E331,1,1)="2","Passivo","Resultado"))</f>
        <v>Resultado</v>
      </c>
      <c r="D331" s="135" t="str">
        <f t="shared" si="50"/>
        <v>Sintetica</v>
      </c>
      <c r="E331" s="124" t="s">
        <v>771</v>
      </c>
      <c r="F331" s="124" t="s">
        <v>185</v>
      </c>
      <c r="G331" s="125">
        <v>1708.88</v>
      </c>
      <c r="H331" s="125" t="s">
        <v>162</v>
      </c>
      <c r="I331" s="125">
        <v>66.72</v>
      </c>
      <c r="J331" s="125">
        <v>0</v>
      </c>
      <c r="K331" s="125">
        <v>1775.6</v>
      </c>
      <c r="L331" s="125" t="s">
        <v>162</v>
      </c>
      <c r="M331" s="139">
        <f t="shared" si="51"/>
        <v>1708.88</v>
      </c>
      <c r="N331" s="139">
        <f t="shared" si="52"/>
        <v>1775.6</v>
      </c>
      <c r="O331" s="115"/>
      <c r="P331" s="115"/>
      <c r="Q331" s="118"/>
    </row>
    <row r="332" spans="1:17" s="128" customFormat="1" x14ac:dyDescent="0.3">
      <c r="A332" s="115"/>
      <c r="B332" s="123" t="s">
        <v>96</v>
      </c>
      <c r="C332" s="135"/>
      <c r="D332" s="135" t="str">
        <f t="shared" si="50"/>
        <v>Sintetica</v>
      </c>
      <c r="E332" s="124" t="s">
        <v>772</v>
      </c>
      <c r="F332" s="124" t="s">
        <v>186</v>
      </c>
      <c r="G332" s="125">
        <v>419.09</v>
      </c>
      <c r="H332" s="125" t="s">
        <v>162</v>
      </c>
      <c r="I332" s="125">
        <v>4.63</v>
      </c>
      <c r="J332" s="125">
        <v>0</v>
      </c>
      <c r="K332" s="125">
        <v>423.72</v>
      </c>
      <c r="L332" s="125" t="s">
        <v>162</v>
      </c>
      <c r="M332" s="139">
        <f t="shared" si="51"/>
        <v>419.09</v>
      </c>
      <c r="N332" s="139">
        <f t="shared" si="52"/>
        <v>423.72</v>
      </c>
      <c r="O332" s="115"/>
      <c r="P332" s="115"/>
      <c r="Q332" s="118"/>
    </row>
    <row r="333" spans="1:17" s="128" customFormat="1" x14ac:dyDescent="0.3">
      <c r="A333" s="115"/>
      <c r="B333" s="123" t="s">
        <v>96</v>
      </c>
      <c r="C333" s="135"/>
      <c r="D333" s="135" t="str">
        <f t="shared" si="50"/>
        <v>Sintetica</v>
      </c>
      <c r="E333" s="124" t="s">
        <v>773</v>
      </c>
      <c r="F333" s="124" t="s">
        <v>624</v>
      </c>
      <c r="G333" s="125">
        <v>4132.0200000000004</v>
      </c>
      <c r="H333" s="125" t="s">
        <v>162</v>
      </c>
      <c r="I333" s="125">
        <v>173.74</v>
      </c>
      <c r="J333" s="125">
        <v>0</v>
      </c>
      <c r="K333" s="125">
        <v>4305.76</v>
      </c>
      <c r="L333" s="125" t="s">
        <v>162</v>
      </c>
      <c r="M333" s="139">
        <f t="shared" si="51"/>
        <v>4132.0200000000004</v>
      </c>
      <c r="N333" s="139">
        <f t="shared" si="52"/>
        <v>4305.76</v>
      </c>
      <c r="O333" s="115"/>
      <c r="P333" s="115"/>
      <c r="Q333" s="118"/>
    </row>
    <row r="334" spans="1:17" s="128" customFormat="1" x14ac:dyDescent="0.3">
      <c r="A334" s="115"/>
      <c r="B334" s="123" t="s">
        <v>96</v>
      </c>
      <c r="C334" s="135" t="str">
        <f t="shared" ref="C334:C335" si="53">IF(MID(E334,1,1)="1","Ativo",IF(MID(E334,1,1)="2","Passivo","Resultado"))</f>
        <v>Resultado</v>
      </c>
      <c r="D334" s="135" t="str">
        <f t="shared" si="50"/>
        <v>Sintetica</v>
      </c>
      <c r="E334" s="124" t="s">
        <v>774</v>
      </c>
      <c r="F334" s="124" t="s">
        <v>626</v>
      </c>
      <c r="G334" s="125">
        <v>1190.01</v>
      </c>
      <c r="H334" s="125" t="s">
        <v>162</v>
      </c>
      <c r="I334" s="125">
        <v>50.04</v>
      </c>
      <c r="J334" s="125">
        <v>0</v>
      </c>
      <c r="K334" s="125">
        <v>1240.05</v>
      </c>
      <c r="L334" s="125" t="s">
        <v>162</v>
      </c>
      <c r="M334" s="139">
        <f t="shared" si="51"/>
        <v>1190.01</v>
      </c>
      <c r="N334" s="139">
        <f t="shared" si="52"/>
        <v>1240.05</v>
      </c>
      <c r="O334" s="115"/>
      <c r="P334" s="115"/>
      <c r="Q334" s="118"/>
    </row>
    <row r="335" spans="1:17" s="128" customFormat="1" x14ac:dyDescent="0.3">
      <c r="A335" s="115"/>
      <c r="B335" s="123" t="s">
        <v>96</v>
      </c>
      <c r="C335" s="135" t="str">
        <f t="shared" si="53"/>
        <v>Resultado</v>
      </c>
      <c r="D335" s="135" t="str">
        <f t="shared" si="50"/>
        <v>Sintetica</v>
      </c>
      <c r="E335" s="124" t="s">
        <v>775</v>
      </c>
      <c r="F335" s="124" t="s">
        <v>628</v>
      </c>
      <c r="G335" s="125">
        <v>278.43</v>
      </c>
      <c r="H335" s="125" t="s">
        <v>162</v>
      </c>
      <c r="I335" s="125">
        <v>3.47</v>
      </c>
      <c r="J335" s="125">
        <v>0</v>
      </c>
      <c r="K335" s="125">
        <v>281.89999999999998</v>
      </c>
      <c r="L335" s="125" t="s">
        <v>162</v>
      </c>
      <c r="M335" s="139">
        <f t="shared" si="51"/>
        <v>278.43</v>
      </c>
      <c r="N335" s="139">
        <f t="shared" si="52"/>
        <v>281.89999999999998</v>
      </c>
      <c r="O335" s="115"/>
      <c r="P335" s="115"/>
      <c r="Q335" s="118"/>
    </row>
    <row r="336" spans="1:17" s="128" customFormat="1" x14ac:dyDescent="0.3">
      <c r="A336" s="115"/>
      <c r="B336" s="123" t="s">
        <v>96</v>
      </c>
      <c r="C336" s="135"/>
      <c r="D336" s="135" t="str">
        <f t="shared" si="50"/>
        <v>Sintetica</v>
      </c>
      <c r="E336" s="124" t="s">
        <v>776</v>
      </c>
      <c r="F336" s="124" t="s">
        <v>777</v>
      </c>
      <c r="G336" s="125">
        <v>399565.39</v>
      </c>
      <c r="H336" s="125" t="s">
        <v>162</v>
      </c>
      <c r="I336" s="125">
        <v>212983.27</v>
      </c>
      <c r="J336" s="125">
        <v>175243.14</v>
      </c>
      <c r="K336" s="125">
        <v>437305.52</v>
      </c>
      <c r="L336" s="125" t="s">
        <v>162</v>
      </c>
      <c r="M336" s="139">
        <f t="shared" si="51"/>
        <v>399565.39</v>
      </c>
      <c r="N336" s="139">
        <f t="shared" si="52"/>
        <v>437305.52</v>
      </c>
      <c r="O336" s="115"/>
      <c r="P336" s="115"/>
      <c r="Q336" s="118"/>
    </row>
    <row r="337" spans="1:17" s="128" customFormat="1" x14ac:dyDescent="0.3">
      <c r="A337" s="115"/>
      <c r="B337" s="123" t="s">
        <v>96</v>
      </c>
      <c r="C337" s="135"/>
      <c r="D337" s="135" t="str">
        <f t="shared" si="50"/>
        <v>Sintetica</v>
      </c>
      <c r="E337" s="124" t="s">
        <v>778</v>
      </c>
      <c r="F337" s="124" t="s">
        <v>777</v>
      </c>
      <c r="G337" s="125">
        <v>399565.39</v>
      </c>
      <c r="H337" s="125" t="s">
        <v>162</v>
      </c>
      <c r="I337" s="125">
        <v>212983.27</v>
      </c>
      <c r="J337" s="125">
        <v>175243.14</v>
      </c>
      <c r="K337" s="125">
        <v>437305.52</v>
      </c>
      <c r="L337" s="125" t="s">
        <v>162</v>
      </c>
      <c r="M337" s="139">
        <f t="shared" si="51"/>
        <v>399565.39</v>
      </c>
      <c r="N337" s="139">
        <f t="shared" si="52"/>
        <v>437305.52</v>
      </c>
      <c r="O337" s="115"/>
      <c r="P337" s="115"/>
      <c r="Q337" s="118"/>
    </row>
    <row r="338" spans="1:17" s="128" customFormat="1" x14ac:dyDescent="0.3">
      <c r="A338" s="115"/>
      <c r="B338" s="123" t="s">
        <v>96</v>
      </c>
      <c r="C338" s="135" t="str">
        <f>IF(MID(E338,1,1)="1","Ativo",IF(MID(E338,1,1)="2","Passivo","Resultado"))</f>
        <v>Resultado</v>
      </c>
      <c r="D338" s="135" t="str">
        <f t="shared" si="50"/>
        <v>Sintetica</v>
      </c>
      <c r="E338" s="124" t="s">
        <v>779</v>
      </c>
      <c r="F338" s="124" t="s">
        <v>780</v>
      </c>
      <c r="G338" s="125">
        <v>109240.65</v>
      </c>
      <c r="H338" s="125" t="s">
        <v>162</v>
      </c>
      <c r="I338" s="125">
        <v>22950</v>
      </c>
      <c r="J338" s="125">
        <v>864.87</v>
      </c>
      <c r="K338" s="125">
        <v>131325.78</v>
      </c>
      <c r="L338" s="125" t="s">
        <v>162</v>
      </c>
      <c r="M338" s="139">
        <f t="shared" si="51"/>
        <v>109240.65</v>
      </c>
      <c r="N338" s="139">
        <f t="shared" si="52"/>
        <v>131325.78</v>
      </c>
      <c r="O338" s="115"/>
      <c r="P338" s="115"/>
      <c r="Q338" s="118"/>
    </row>
    <row r="339" spans="1:17" s="128" customFormat="1" x14ac:dyDescent="0.3">
      <c r="A339" s="115"/>
      <c r="B339" s="123" t="s">
        <v>96</v>
      </c>
      <c r="C339" s="135"/>
      <c r="D339" s="135" t="str">
        <f t="shared" si="50"/>
        <v>Sintetica</v>
      </c>
      <c r="E339" s="124" t="s">
        <v>781</v>
      </c>
      <c r="F339" s="124" t="s">
        <v>782</v>
      </c>
      <c r="G339" s="125">
        <v>153193.26999999999</v>
      </c>
      <c r="H339" s="125" t="s">
        <v>162</v>
      </c>
      <c r="I339" s="125">
        <v>190033.27</v>
      </c>
      <c r="J339" s="125">
        <v>160693.26999999999</v>
      </c>
      <c r="K339" s="125">
        <v>182533.27</v>
      </c>
      <c r="L339" s="125" t="s">
        <v>162</v>
      </c>
      <c r="M339" s="139">
        <f t="shared" si="51"/>
        <v>153193.26999999999</v>
      </c>
      <c r="N339" s="139">
        <f t="shared" si="52"/>
        <v>182533.27</v>
      </c>
      <c r="O339" s="115"/>
      <c r="P339" s="115"/>
      <c r="Q339" s="118"/>
    </row>
    <row r="340" spans="1:17" s="128" customFormat="1" x14ac:dyDescent="0.3">
      <c r="A340" s="115"/>
      <c r="B340" s="123" t="s">
        <v>96</v>
      </c>
      <c r="C340" s="135"/>
      <c r="D340" s="135" t="str">
        <f t="shared" si="50"/>
        <v>Sintetica</v>
      </c>
      <c r="E340" s="124" t="s">
        <v>783</v>
      </c>
      <c r="F340" s="124" t="s">
        <v>784</v>
      </c>
      <c r="G340" s="125">
        <v>36124.839999999997</v>
      </c>
      <c r="H340" s="125" t="s">
        <v>165</v>
      </c>
      <c r="I340" s="125">
        <v>0</v>
      </c>
      <c r="J340" s="125">
        <v>13685</v>
      </c>
      <c r="K340" s="125">
        <v>49809.84</v>
      </c>
      <c r="L340" s="125" t="s">
        <v>165</v>
      </c>
      <c r="M340" s="139">
        <f t="shared" si="51"/>
        <v>-36124.839999999997</v>
      </c>
      <c r="N340" s="139">
        <f t="shared" si="52"/>
        <v>-49809.84</v>
      </c>
      <c r="O340" s="115"/>
      <c r="P340" s="115"/>
      <c r="Q340" s="118"/>
    </row>
    <row r="341" spans="1:17" s="129" customFormat="1" x14ac:dyDescent="0.3">
      <c r="A341" s="117"/>
      <c r="B341" s="123" t="s">
        <v>96</v>
      </c>
      <c r="C341" s="135" t="str">
        <f t="shared" ref="C341:C343" si="54">IF(MID(E341,1,1)="1","Ativo",IF(MID(E341,1,1)="2","Passivo","Resultado"))</f>
        <v>Resultado</v>
      </c>
      <c r="D341" s="135" t="str">
        <f t="shared" si="50"/>
        <v>Sintetica</v>
      </c>
      <c r="E341" s="124" t="s">
        <v>785</v>
      </c>
      <c r="F341" s="124" t="s">
        <v>786</v>
      </c>
      <c r="G341" s="125">
        <v>173256.31</v>
      </c>
      <c r="H341" s="125" t="s">
        <v>162</v>
      </c>
      <c r="I341" s="125">
        <v>0</v>
      </c>
      <c r="J341" s="125">
        <v>0</v>
      </c>
      <c r="K341" s="125">
        <v>173256.31</v>
      </c>
      <c r="L341" s="125" t="s">
        <v>162</v>
      </c>
      <c r="M341" s="139">
        <f t="shared" si="51"/>
        <v>173256.31</v>
      </c>
      <c r="N341" s="139">
        <f t="shared" si="52"/>
        <v>173256.31</v>
      </c>
      <c r="O341" s="122"/>
      <c r="P341" s="122"/>
    </row>
    <row r="342" spans="1:17" s="129" customFormat="1" x14ac:dyDescent="0.3">
      <c r="A342" s="117"/>
      <c r="B342" s="123" t="s">
        <v>96</v>
      </c>
      <c r="C342" s="135" t="str">
        <f t="shared" si="54"/>
        <v>Resultado</v>
      </c>
      <c r="D342" s="135" t="str">
        <f t="shared" si="50"/>
        <v>Sintetica</v>
      </c>
      <c r="E342" s="124" t="s">
        <v>787</v>
      </c>
      <c r="F342" s="124" t="s">
        <v>788</v>
      </c>
      <c r="G342" s="125">
        <v>21068.720000000001</v>
      </c>
      <c r="H342" s="125" t="s">
        <v>162</v>
      </c>
      <c r="I342" s="125">
        <v>10111.73</v>
      </c>
      <c r="J342" s="125">
        <v>0</v>
      </c>
      <c r="K342" s="125">
        <v>31180.45</v>
      </c>
      <c r="L342" s="125" t="s">
        <v>162</v>
      </c>
      <c r="M342" s="139">
        <f t="shared" si="51"/>
        <v>21068.720000000001</v>
      </c>
      <c r="N342" s="139">
        <f t="shared" si="52"/>
        <v>31180.45</v>
      </c>
      <c r="O342" s="122"/>
      <c r="P342" s="122"/>
    </row>
    <row r="343" spans="1:17" s="129" customFormat="1" x14ac:dyDescent="0.3">
      <c r="A343" s="117"/>
      <c r="B343" s="123" t="s">
        <v>96</v>
      </c>
      <c r="C343" s="135" t="str">
        <f t="shared" si="54"/>
        <v>Resultado</v>
      </c>
      <c r="D343" s="135" t="str">
        <f t="shared" si="50"/>
        <v>Sintetica</v>
      </c>
      <c r="E343" s="124" t="s">
        <v>789</v>
      </c>
      <c r="F343" s="124" t="s">
        <v>788</v>
      </c>
      <c r="G343" s="125">
        <v>21068.720000000001</v>
      </c>
      <c r="H343" s="125" t="s">
        <v>162</v>
      </c>
      <c r="I343" s="125">
        <v>10111.73</v>
      </c>
      <c r="J343" s="125">
        <v>0</v>
      </c>
      <c r="K343" s="125">
        <v>31180.45</v>
      </c>
      <c r="L343" s="125" t="s">
        <v>162</v>
      </c>
      <c r="M343" s="139">
        <f t="shared" si="51"/>
        <v>21068.720000000001</v>
      </c>
      <c r="N343" s="139">
        <f t="shared" si="52"/>
        <v>31180.45</v>
      </c>
      <c r="O343" s="122"/>
      <c r="P343" s="122"/>
    </row>
    <row r="344" spans="1:17" s="128" customFormat="1" x14ac:dyDescent="0.3">
      <c r="A344" s="115"/>
      <c r="B344" s="123" t="s">
        <v>96</v>
      </c>
      <c r="C344" s="135"/>
      <c r="D344" s="135" t="str">
        <f t="shared" si="50"/>
        <v>Sintetica</v>
      </c>
      <c r="E344" s="124" t="s">
        <v>790</v>
      </c>
      <c r="F344" s="124" t="s">
        <v>791</v>
      </c>
      <c r="G344" s="125">
        <v>1697</v>
      </c>
      <c r="H344" s="125" t="s">
        <v>162</v>
      </c>
      <c r="I344" s="125">
        <v>0</v>
      </c>
      <c r="J344" s="125">
        <v>0</v>
      </c>
      <c r="K344" s="125">
        <v>1697</v>
      </c>
      <c r="L344" s="125" t="s">
        <v>162</v>
      </c>
      <c r="M344" s="139">
        <f t="shared" si="51"/>
        <v>1697</v>
      </c>
      <c r="N344" s="139">
        <f t="shared" si="52"/>
        <v>1697</v>
      </c>
      <c r="O344" s="115"/>
      <c r="P344" s="115"/>
      <c r="Q344" s="118"/>
    </row>
    <row r="345" spans="1:17" s="128" customFormat="1" x14ac:dyDescent="0.3">
      <c r="A345" s="115"/>
      <c r="B345" s="123" t="s">
        <v>96</v>
      </c>
      <c r="C345" s="135"/>
      <c r="D345" s="135" t="str">
        <f t="shared" si="50"/>
        <v>Sintetica</v>
      </c>
      <c r="E345" s="124" t="s">
        <v>792</v>
      </c>
      <c r="F345" s="124" t="s">
        <v>793</v>
      </c>
      <c r="G345" s="125">
        <v>19371.72</v>
      </c>
      <c r="H345" s="125" t="s">
        <v>162</v>
      </c>
      <c r="I345" s="125">
        <v>10111.73</v>
      </c>
      <c r="J345" s="125">
        <v>0</v>
      </c>
      <c r="K345" s="125">
        <v>29483.45</v>
      </c>
      <c r="L345" s="125" t="s">
        <v>162</v>
      </c>
      <c r="M345" s="139">
        <f t="shared" si="51"/>
        <v>19371.72</v>
      </c>
      <c r="N345" s="139">
        <f t="shared" si="52"/>
        <v>29483.45</v>
      </c>
      <c r="O345" s="115"/>
      <c r="P345" s="115"/>
      <c r="Q345" s="118"/>
    </row>
    <row r="346" spans="1:17" s="128" customFormat="1" x14ac:dyDescent="0.3">
      <c r="A346" s="115"/>
      <c r="B346" s="123" t="s">
        <v>96</v>
      </c>
      <c r="C346" s="135" t="str">
        <f t="shared" ref="C346:C347" si="55">IF(MID(E346,1,1)="1","Ativo",IF(MID(E346,1,1)="2","Passivo","Resultado"))</f>
        <v>Resultado</v>
      </c>
      <c r="D346" s="135" t="str">
        <f t="shared" si="50"/>
        <v>Sintetica</v>
      </c>
      <c r="E346" s="124" t="s">
        <v>794</v>
      </c>
      <c r="F346" s="124" t="s">
        <v>206</v>
      </c>
      <c r="G346" s="125">
        <v>161000</v>
      </c>
      <c r="H346" s="125" t="s">
        <v>162</v>
      </c>
      <c r="I346" s="125">
        <v>45000</v>
      </c>
      <c r="J346" s="125">
        <v>4500</v>
      </c>
      <c r="K346" s="125">
        <v>201500</v>
      </c>
      <c r="L346" s="125" t="s">
        <v>162</v>
      </c>
      <c r="M346" s="139">
        <f t="shared" si="51"/>
        <v>161000</v>
      </c>
      <c r="N346" s="139">
        <f t="shared" si="52"/>
        <v>201500</v>
      </c>
      <c r="O346" s="115"/>
      <c r="P346" s="115"/>
      <c r="Q346" s="118"/>
    </row>
    <row r="347" spans="1:17" s="128" customFormat="1" x14ac:dyDescent="0.3">
      <c r="A347" s="115"/>
      <c r="B347" s="123" t="s">
        <v>96</v>
      </c>
      <c r="C347" s="135" t="str">
        <f t="shared" si="55"/>
        <v>Resultado</v>
      </c>
      <c r="D347" s="135" t="str">
        <f t="shared" si="50"/>
        <v>Sintetica</v>
      </c>
      <c r="E347" s="124" t="s">
        <v>795</v>
      </c>
      <c r="F347" s="124" t="s">
        <v>206</v>
      </c>
      <c r="G347" s="125">
        <v>161000</v>
      </c>
      <c r="H347" s="125" t="s">
        <v>162</v>
      </c>
      <c r="I347" s="125">
        <v>45000</v>
      </c>
      <c r="J347" s="125">
        <v>4500</v>
      </c>
      <c r="K347" s="125">
        <v>201500</v>
      </c>
      <c r="L347" s="125" t="s">
        <v>162</v>
      </c>
      <c r="M347" s="139">
        <f t="shared" si="51"/>
        <v>161000</v>
      </c>
      <c r="N347" s="139">
        <f t="shared" si="52"/>
        <v>201500</v>
      </c>
      <c r="O347" s="115"/>
      <c r="P347" s="115"/>
      <c r="Q347" s="118"/>
    </row>
    <row r="348" spans="1:17" s="128" customFormat="1" x14ac:dyDescent="0.3">
      <c r="A348" s="115"/>
      <c r="B348" s="123" t="s">
        <v>96</v>
      </c>
      <c r="C348" s="135"/>
      <c r="D348" s="135" t="str">
        <f t="shared" si="50"/>
        <v>Sintetica</v>
      </c>
      <c r="E348" s="124" t="s">
        <v>796</v>
      </c>
      <c r="F348" s="124" t="s">
        <v>797</v>
      </c>
      <c r="G348" s="125">
        <v>150000</v>
      </c>
      <c r="H348" s="125" t="s">
        <v>162</v>
      </c>
      <c r="I348" s="125">
        <v>0</v>
      </c>
      <c r="J348" s="125">
        <v>0</v>
      </c>
      <c r="K348" s="125">
        <v>150000</v>
      </c>
      <c r="L348" s="125" t="s">
        <v>162</v>
      </c>
      <c r="M348" s="139">
        <f t="shared" si="51"/>
        <v>150000</v>
      </c>
      <c r="N348" s="139">
        <f t="shared" si="52"/>
        <v>150000</v>
      </c>
      <c r="O348" s="115"/>
      <c r="P348" s="115"/>
      <c r="Q348" s="118"/>
    </row>
    <row r="349" spans="1:17" s="128" customFormat="1" x14ac:dyDescent="0.3">
      <c r="A349" s="115"/>
      <c r="B349" s="123" t="s">
        <v>96</v>
      </c>
      <c r="C349" s="135"/>
      <c r="D349" s="135" t="str">
        <f t="shared" si="50"/>
        <v>Sintetica</v>
      </c>
      <c r="E349" s="124" t="s">
        <v>798</v>
      </c>
      <c r="F349" s="124" t="s">
        <v>207</v>
      </c>
      <c r="G349" s="125">
        <v>150000</v>
      </c>
      <c r="H349" s="125" t="s">
        <v>162</v>
      </c>
      <c r="I349" s="125">
        <v>0</v>
      </c>
      <c r="J349" s="125">
        <v>0</v>
      </c>
      <c r="K349" s="125">
        <v>150000</v>
      </c>
      <c r="L349" s="125" t="s">
        <v>162</v>
      </c>
      <c r="M349" s="139">
        <f t="shared" si="51"/>
        <v>150000</v>
      </c>
      <c r="N349" s="139">
        <f t="shared" si="52"/>
        <v>150000</v>
      </c>
      <c r="O349" s="115"/>
      <c r="P349" s="115"/>
      <c r="Q349" s="118"/>
    </row>
    <row r="350" spans="1:17" s="128" customFormat="1" x14ac:dyDescent="0.3">
      <c r="A350" s="115"/>
      <c r="B350" s="123" t="s">
        <v>96</v>
      </c>
      <c r="C350" s="135"/>
      <c r="D350" s="135" t="str">
        <f t="shared" si="50"/>
        <v>Sintetica</v>
      </c>
      <c r="E350" s="124" t="s">
        <v>799</v>
      </c>
      <c r="F350" s="124" t="s">
        <v>531</v>
      </c>
      <c r="G350" s="125">
        <v>11000</v>
      </c>
      <c r="H350" s="125" t="s">
        <v>162</v>
      </c>
      <c r="I350" s="125">
        <v>45000</v>
      </c>
      <c r="J350" s="125">
        <v>4500</v>
      </c>
      <c r="K350" s="125">
        <v>51500</v>
      </c>
      <c r="L350" s="125" t="s">
        <v>162</v>
      </c>
      <c r="M350" s="139">
        <f t="shared" si="51"/>
        <v>11000</v>
      </c>
      <c r="N350" s="139">
        <f t="shared" si="52"/>
        <v>51500</v>
      </c>
      <c r="O350" s="115"/>
      <c r="P350" s="115"/>
      <c r="Q350" s="118"/>
    </row>
    <row r="351" spans="1:17" s="128" customFormat="1" x14ac:dyDescent="0.3">
      <c r="A351" s="115"/>
      <c r="B351" s="123" t="s">
        <v>96</v>
      </c>
      <c r="C351" s="135"/>
      <c r="D351" s="135" t="str">
        <f t="shared" si="50"/>
        <v>Sintetica</v>
      </c>
      <c r="E351" s="124" t="s">
        <v>800</v>
      </c>
      <c r="F351" s="124" t="s">
        <v>533</v>
      </c>
      <c r="G351" s="125">
        <v>11000</v>
      </c>
      <c r="H351" s="125" t="s">
        <v>162</v>
      </c>
      <c r="I351" s="125">
        <v>45000</v>
      </c>
      <c r="J351" s="125">
        <v>4500</v>
      </c>
      <c r="K351" s="125">
        <v>51500</v>
      </c>
      <c r="L351" s="125" t="s">
        <v>162</v>
      </c>
      <c r="M351" s="139">
        <f t="shared" si="51"/>
        <v>11000</v>
      </c>
      <c r="N351" s="139">
        <f t="shared" si="52"/>
        <v>51500</v>
      </c>
      <c r="O351" s="115"/>
      <c r="P351" s="115"/>
      <c r="Q351" s="118"/>
    </row>
    <row r="352" spans="1:17" s="128" customFormat="1" x14ac:dyDescent="0.3">
      <c r="A352" s="115"/>
      <c r="B352" s="123" t="s">
        <v>96</v>
      </c>
      <c r="C352" s="135" t="str">
        <f t="shared" ref="C352:C356" si="56">IF(MID(E352,1,1)="1","Ativo",IF(MID(E352,1,1)="2","Passivo","Resultado"))</f>
        <v>Resultado</v>
      </c>
      <c r="D352" s="135" t="str">
        <f t="shared" si="50"/>
        <v>Sintetica</v>
      </c>
      <c r="E352" s="124" t="s">
        <v>801</v>
      </c>
      <c r="F352" s="124" t="s">
        <v>802</v>
      </c>
      <c r="G352" s="125">
        <v>6537.74</v>
      </c>
      <c r="H352" s="125" t="s">
        <v>162</v>
      </c>
      <c r="I352" s="125">
        <v>39622.49</v>
      </c>
      <c r="J352" s="125">
        <v>38327.67</v>
      </c>
      <c r="K352" s="125">
        <v>7832.56</v>
      </c>
      <c r="L352" s="125" t="s">
        <v>162</v>
      </c>
      <c r="M352" s="139">
        <f t="shared" si="51"/>
        <v>6537.74</v>
      </c>
      <c r="N352" s="139">
        <f t="shared" si="52"/>
        <v>7832.56</v>
      </c>
      <c r="O352" s="115"/>
      <c r="P352" s="115"/>
      <c r="Q352" s="118"/>
    </row>
    <row r="353" spans="1:17" s="128" customFormat="1" x14ac:dyDescent="0.3">
      <c r="A353" s="115"/>
      <c r="B353" s="123" t="s">
        <v>96</v>
      </c>
      <c r="C353" s="135" t="str">
        <f t="shared" si="56"/>
        <v>Resultado</v>
      </c>
      <c r="D353" s="135" t="str">
        <f t="shared" si="50"/>
        <v>Sintetica</v>
      </c>
      <c r="E353" s="124" t="s">
        <v>803</v>
      </c>
      <c r="F353" s="124" t="s">
        <v>802</v>
      </c>
      <c r="G353" s="125">
        <v>6537.74</v>
      </c>
      <c r="H353" s="125" t="s">
        <v>162</v>
      </c>
      <c r="I353" s="125">
        <v>39622.49</v>
      </c>
      <c r="J353" s="125">
        <v>38327.67</v>
      </c>
      <c r="K353" s="125">
        <v>7832.56</v>
      </c>
      <c r="L353" s="125" t="s">
        <v>162</v>
      </c>
      <c r="M353" s="139">
        <f t="shared" si="51"/>
        <v>6537.74</v>
      </c>
      <c r="N353" s="139">
        <f t="shared" si="52"/>
        <v>7832.56</v>
      </c>
      <c r="O353" s="115"/>
      <c r="P353" s="115"/>
      <c r="Q353" s="118"/>
    </row>
    <row r="354" spans="1:17" s="128" customFormat="1" x14ac:dyDescent="0.3">
      <c r="A354" s="115"/>
      <c r="B354" s="123" t="s">
        <v>96</v>
      </c>
      <c r="C354" s="135" t="str">
        <f t="shared" si="56"/>
        <v>Resultado</v>
      </c>
      <c r="D354" s="135" t="str">
        <f t="shared" si="50"/>
        <v>Sintetica</v>
      </c>
      <c r="E354" s="124" t="s">
        <v>804</v>
      </c>
      <c r="F354" s="124" t="s">
        <v>802</v>
      </c>
      <c r="G354" s="125">
        <v>6537.74</v>
      </c>
      <c r="H354" s="125" t="s">
        <v>162</v>
      </c>
      <c r="I354" s="125">
        <v>39622.49</v>
      </c>
      <c r="J354" s="125">
        <v>38327.67</v>
      </c>
      <c r="K354" s="125">
        <v>7832.56</v>
      </c>
      <c r="L354" s="125" t="s">
        <v>162</v>
      </c>
      <c r="M354" s="139">
        <f t="shared" si="51"/>
        <v>6537.74</v>
      </c>
      <c r="N354" s="139">
        <f t="shared" si="52"/>
        <v>7832.56</v>
      </c>
      <c r="O354" s="115"/>
      <c r="P354" s="115"/>
      <c r="Q354" s="118"/>
    </row>
    <row r="355" spans="1:17" s="128" customFormat="1" x14ac:dyDescent="0.3">
      <c r="A355" s="115"/>
      <c r="B355" s="123" t="s">
        <v>96</v>
      </c>
      <c r="C355" s="135" t="str">
        <f t="shared" si="56"/>
        <v>Resultado</v>
      </c>
      <c r="D355" s="135" t="str">
        <f t="shared" si="50"/>
        <v>Sintetica</v>
      </c>
      <c r="E355" s="124" t="s">
        <v>805</v>
      </c>
      <c r="F355" s="124" t="s">
        <v>806</v>
      </c>
      <c r="G355" s="125">
        <v>2970</v>
      </c>
      <c r="H355" s="125" t="s">
        <v>162</v>
      </c>
      <c r="I355" s="125">
        <v>0</v>
      </c>
      <c r="J355" s="125">
        <v>0</v>
      </c>
      <c r="K355" s="125">
        <v>2970</v>
      </c>
      <c r="L355" s="125" t="s">
        <v>162</v>
      </c>
      <c r="M355" s="139">
        <f t="shared" si="51"/>
        <v>2970</v>
      </c>
      <c r="N355" s="139">
        <f t="shared" si="52"/>
        <v>2970</v>
      </c>
      <c r="O355" s="115"/>
      <c r="P355" s="115"/>
      <c r="Q355" s="118"/>
    </row>
    <row r="356" spans="1:17" s="128" customFormat="1" x14ac:dyDescent="0.3">
      <c r="A356" s="115"/>
      <c r="B356" s="123" t="s">
        <v>96</v>
      </c>
      <c r="C356" s="135" t="str">
        <f t="shared" si="56"/>
        <v>Resultado</v>
      </c>
      <c r="D356" s="135" t="str">
        <f t="shared" si="50"/>
        <v>Sintetica</v>
      </c>
      <c r="E356" s="124" t="s">
        <v>807</v>
      </c>
      <c r="F356" s="124" t="s">
        <v>208</v>
      </c>
      <c r="G356" s="125">
        <v>18286.46</v>
      </c>
      <c r="H356" s="125" t="s">
        <v>162</v>
      </c>
      <c r="I356" s="125">
        <v>1890.77</v>
      </c>
      <c r="J356" s="125">
        <v>322.87</v>
      </c>
      <c r="K356" s="125">
        <v>19854.36</v>
      </c>
      <c r="L356" s="125" t="s">
        <v>162</v>
      </c>
      <c r="M356" s="139">
        <f t="shared" si="51"/>
        <v>18286.46</v>
      </c>
      <c r="N356" s="139">
        <f t="shared" si="52"/>
        <v>19854.36</v>
      </c>
      <c r="O356" s="115"/>
      <c r="P356" s="115"/>
      <c r="Q356" s="118"/>
    </row>
    <row r="357" spans="1:17" s="128" customFormat="1" x14ac:dyDescent="0.3">
      <c r="A357" s="115"/>
      <c r="B357" s="123" t="s">
        <v>96</v>
      </c>
      <c r="C357" s="135"/>
      <c r="D357" s="135" t="str">
        <f t="shared" si="50"/>
        <v/>
      </c>
      <c r="E357" s="124" t="s">
        <v>808</v>
      </c>
      <c r="F357" s="124" t="s">
        <v>809</v>
      </c>
      <c r="G357" s="125">
        <v>22244.880000000001</v>
      </c>
      <c r="H357" s="125" t="s">
        <v>165</v>
      </c>
      <c r="I357" s="125">
        <v>37731.72</v>
      </c>
      <c r="J357" s="125">
        <v>38004.800000000003</v>
      </c>
      <c r="K357" s="125">
        <v>22517.96</v>
      </c>
      <c r="L357" s="125" t="s">
        <v>165</v>
      </c>
      <c r="M357" s="139">
        <f t="shared" si="51"/>
        <v>-22244.880000000001</v>
      </c>
      <c r="N357" s="139">
        <f t="shared" si="52"/>
        <v>-22517.96</v>
      </c>
      <c r="O357" s="115"/>
      <c r="P357" s="115"/>
      <c r="Q357" s="118"/>
    </row>
    <row r="358" spans="1:17" s="128" customFormat="1" x14ac:dyDescent="0.3">
      <c r="A358" s="115"/>
      <c r="B358" s="123" t="s">
        <v>96</v>
      </c>
      <c r="C358" s="135" t="str">
        <f t="shared" ref="C358:C359" si="57">IF(MID(E358,1,1)="1","Ativo",IF(MID(E358,1,1)="2","Passivo","Resultado"))</f>
        <v>Resultado</v>
      </c>
      <c r="D358" s="135" t="str">
        <f t="shared" si="50"/>
        <v/>
      </c>
      <c r="E358" s="124" t="s">
        <v>810</v>
      </c>
      <c r="F358" s="124" t="s">
        <v>811</v>
      </c>
      <c r="G358" s="125">
        <v>7526.16</v>
      </c>
      <c r="H358" s="125" t="s">
        <v>162</v>
      </c>
      <c r="I358" s="125">
        <v>0</v>
      </c>
      <c r="J358" s="125">
        <v>0</v>
      </c>
      <c r="K358" s="125">
        <v>7526.16</v>
      </c>
      <c r="L358" s="125" t="s">
        <v>162</v>
      </c>
      <c r="M358" s="139">
        <f t="shared" si="51"/>
        <v>7526.16</v>
      </c>
      <c r="N358" s="139">
        <f t="shared" si="52"/>
        <v>7526.16</v>
      </c>
      <c r="O358" s="115"/>
      <c r="P358" s="115"/>
      <c r="Q358" s="118"/>
    </row>
    <row r="359" spans="1:17" s="128" customFormat="1" x14ac:dyDescent="0.3">
      <c r="A359" s="115"/>
      <c r="B359" s="123" t="s">
        <v>96</v>
      </c>
      <c r="C359" s="135" t="str">
        <f t="shared" si="57"/>
        <v>Resultado</v>
      </c>
      <c r="D359" s="135" t="str">
        <f t="shared" si="50"/>
        <v>Sintetica</v>
      </c>
      <c r="E359" s="124" t="s">
        <v>812</v>
      </c>
      <c r="F359" s="124" t="s">
        <v>209</v>
      </c>
      <c r="G359" s="125">
        <v>2508275.11</v>
      </c>
      <c r="H359" s="125" t="s">
        <v>162</v>
      </c>
      <c r="I359" s="125">
        <v>1275215.7</v>
      </c>
      <c r="J359" s="125">
        <v>774023.84</v>
      </c>
      <c r="K359" s="125">
        <v>3009466.97</v>
      </c>
      <c r="L359" s="125" t="s">
        <v>162</v>
      </c>
      <c r="M359" s="139">
        <f t="shared" si="51"/>
        <v>2508275.11</v>
      </c>
      <c r="N359" s="139">
        <f t="shared" si="52"/>
        <v>3009466.97</v>
      </c>
      <c r="O359" s="115"/>
      <c r="P359" s="115"/>
      <c r="Q359" s="118"/>
    </row>
    <row r="360" spans="1:17" s="129" customFormat="1" x14ac:dyDescent="0.3">
      <c r="A360" s="117"/>
      <c r="B360" s="123" t="s">
        <v>96</v>
      </c>
      <c r="C360" s="135"/>
      <c r="D360" s="135" t="str">
        <f t="shared" si="50"/>
        <v>Sintetica</v>
      </c>
      <c r="E360" s="124" t="s">
        <v>813</v>
      </c>
      <c r="F360" s="124" t="s">
        <v>209</v>
      </c>
      <c r="G360" s="125">
        <v>2508275.11</v>
      </c>
      <c r="H360" s="125" t="s">
        <v>162</v>
      </c>
      <c r="I360" s="125">
        <v>1275215.7</v>
      </c>
      <c r="J360" s="125">
        <v>774023.84</v>
      </c>
      <c r="K360" s="125">
        <v>3009466.97</v>
      </c>
      <c r="L360" s="125" t="s">
        <v>162</v>
      </c>
      <c r="M360" s="139">
        <f t="shared" si="51"/>
        <v>2508275.11</v>
      </c>
      <c r="N360" s="139">
        <f t="shared" si="52"/>
        <v>3009466.97</v>
      </c>
      <c r="O360" s="122"/>
      <c r="P360" s="122"/>
    </row>
    <row r="361" spans="1:17" s="128" customFormat="1" x14ac:dyDescent="0.3">
      <c r="A361" s="115"/>
      <c r="B361" s="123" t="s">
        <v>96</v>
      </c>
      <c r="C361" s="135"/>
      <c r="D361" s="135" t="str">
        <f t="shared" si="50"/>
        <v>Sintetica</v>
      </c>
      <c r="E361" s="124" t="s">
        <v>814</v>
      </c>
      <c r="F361" s="124" t="s">
        <v>209</v>
      </c>
      <c r="G361" s="125">
        <v>2508275.11</v>
      </c>
      <c r="H361" s="125" t="s">
        <v>162</v>
      </c>
      <c r="I361" s="125">
        <v>1275215.7</v>
      </c>
      <c r="J361" s="125">
        <v>774023.84</v>
      </c>
      <c r="K361" s="125">
        <v>3009466.97</v>
      </c>
      <c r="L361" s="125" t="s">
        <v>162</v>
      </c>
      <c r="M361" s="139">
        <f t="shared" si="51"/>
        <v>2508275.11</v>
      </c>
      <c r="N361" s="139">
        <f t="shared" si="52"/>
        <v>3009466.97</v>
      </c>
      <c r="O361" s="115"/>
      <c r="P361" s="115"/>
      <c r="Q361" s="118"/>
    </row>
    <row r="362" spans="1:17" s="128" customFormat="1" x14ac:dyDescent="0.3">
      <c r="A362" s="115"/>
      <c r="B362" s="123" t="s">
        <v>96</v>
      </c>
      <c r="C362" s="135"/>
      <c r="D362" s="135" t="str">
        <f t="shared" si="50"/>
        <v>Sintetica</v>
      </c>
      <c r="E362" s="124" t="s">
        <v>815</v>
      </c>
      <c r="F362" s="124" t="s">
        <v>816</v>
      </c>
      <c r="G362" s="125">
        <v>684236.14</v>
      </c>
      <c r="H362" s="125" t="s">
        <v>162</v>
      </c>
      <c r="I362" s="125">
        <v>9505.89</v>
      </c>
      <c r="J362" s="125">
        <v>3971.34</v>
      </c>
      <c r="K362" s="125">
        <v>689770.69</v>
      </c>
      <c r="L362" s="125" t="s">
        <v>162</v>
      </c>
      <c r="M362" s="139">
        <f t="shared" si="51"/>
        <v>684236.14</v>
      </c>
      <c r="N362" s="139">
        <f t="shared" si="52"/>
        <v>689770.69</v>
      </c>
      <c r="O362" s="115"/>
      <c r="P362" s="115"/>
      <c r="Q362" s="118"/>
    </row>
    <row r="363" spans="1:17" s="128" customFormat="1" x14ac:dyDescent="0.3">
      <c r="A363" s="115"/>
      <c r="B363" s="123" t="s">
        <v>96</v>
      </c>
      <c r="C363" s="135" t="str">
        <f>IF(MID(E363,1,1)="1","Ativo",IF(MID(E363,1,1)="2","Passivo","Resultado"))</f>
        <v>Resultado</v>
      </c>
      <c r="D363" s="135" t="str">
        <f t="shared" si="50"/>
        <v>Sintetica</v>
      </c>
      <c r="E363" s="124" t="s">
        <v>817</v>
      </c>
      <c r="F363" s="124" t="s">
        <v>818</v>
      </c>
      <c r="G363" s="125">
        <v>619643.46</v>
      </c>
      <c r="H363" s="125" t="s">
        <v>165</v>
      </c>
      <c r="I363" s="125">
        <v>793204.88</v>
      </c>
      <c r="J363" s="125">
        <v>770052.5</v>
      </c>
      <c r="K363" s="125">
        <v>596491.07999999996</v>
      </c>
      <c r="L363" s="125" t="s">
        <v>165</v>
      </c>
      <c r="M363" s="139">
        <f t="shared" si="51"/>
        <v>-619643.46</v>
      </c>
      <c r="N363" s="139">
        <f t="shared" si="52"/>
        <v>-596491.07999999996</v>
      </c>
      <c r="O363" s="115"/>
      <c r="P363" s="115"/>
      <c r="Q363" s="118"/>
    </row>
    <row r="364" spans="1:17" s="128" customFormat="1" x14ac:dyDescent="0.3">
      <c r="A364" s="115"/>
      <c r="B364" s="123" t="s">
        <v>96</v>
      </c>
      <c r="C364" s="135"/>
      <c r="D364" s="135" t="str">
        <f t="shared" si="50"/>
        <v/>
      </c>
      <c r="E364" s="124" t="s">
        <v>819</v>
      </c>
      <c r="F364" s="124" t="s">
        <v>820</v>
      </c>
      <c r="G364" s="125">
        <v>971552.85</v>
      </c>
      <c r="H364" s="125" t="s">
        <v>162</v>
      </c>
      <c r="I364" s="125">
        <v>147424.03</v>
      </c>
      <c r="J364" s="125">
        <v>0</v>
      </c>
      <c r="K364" s="125">
        <v>1118976.8799999999</v>
      </c>
      <c r="L364" s="125" t="s">
        <v>162</v>
      </c>
      <c r="M364" s="139">
        <f t="shared" si="51"/>
        <v>971552.85</v>
      </c>
      <c r="N364" s="139">
        <f t="shared" si="52"/>
        <v>1118976.8799999999</v>
      </c>
      <c r="O364" s="115"/>
      <c r="P364" s="115"/>
      <c r="Q364" s="118"/>
    </row>
    <row r="365" spans="1:17" s="128" customFormat="1" x14ac:dyDescent="0.3">
      <c r="A365" s="115"/>
      <c r="B365" s="123" t="s">
        <v>96</v>
      </c>
      <c r="C365" s="135"/>
      <c r="D365" s="135" t="str">
        <f t="shared" si="50"/>
        <v/>
      </c>
      <c r="E365" s="124" t="s">
        <v>821</v>
      </c>
      <c r="F365" s="124" t="s">
        <v>822</v>
      </c>
      <c r="G365" s="125">
        <v>1472129.58</v>
      </c>
      <c r="H365" s="125" t="s">
        <v>162</v>
      </c>
      <c r="I365" s="125">
        <v>325080.90000000002</v>
      </c>
      <c r="J365" s="125">
        <v>0</v>
      </c>
      <c r="K365" s="125">
        <v>1797210.48</v>
      </c>
      <c r="L365" s="125" t="s">
        <v>162</v>
      </c>
      <c r="M365" s="139">
        <f t="shared" si="51"/>
        <v>1472129.58</v>
      </c>
      <c r="N365" s="139">
        <f t="shared" si="52"/>
        <v>1797210.48</v>
      </c>
      <c r="O365" s="115"/>
      <c r="P365" s="115"/>
      <c r="Q365" s="118"/>
    </row>
    <row r="366" spans="1:17" s="128" customFormat="1" x14ac:dyDescent="0.3">
      <c r="A366" s="115"/>
      <c r="B366" s="123" t="s">
        <v>96</v>
      </c>
      <c r="C366" s="135" t="str">
        <f t="shared" ref="C366:C373" si="58">IF(MID(E366,1,1)="1","Ativo",IF(MID(E366,1,1)="2","Passivo","Resultado"))</f>
        <v>Resultado</v>
      </c>
      <c r="D366" s="135" t="str">
        <f t="shared" si="50"/>
        <v>Sintetica</v>
      </c>
      <c r="E366" s="124" t="s">
        <v>823</v>
      </c>
      <c r="F366" s="124" t="s">
        <v>824</v>
      </c>
      <c r="G366" s="125">
        <v>4224390.2300000004</v>
      </c>
      <c r="H366" s="125" t="s">
        <v>165</v>
      </c>
      <c r="I366" s="125">
        <v>847284.14</v>
      </c>
      <c r="J366" s="125">
        <v>1312146.54</v>
      </c>
      <c r="K366" s="125">
        <v>4689252.63</v>
      </c>
      <c r="L366" s="125" t="s">
        <v>165</v>
      </c>
      <c r="M366" s="139">
        <f t="shared" si="51"/>
        <v>-4224390.2300000004</v>
      </c>
      <c r="N366" s="139">
        <f t="shared" si="52"/>
        <v>-4689252.63</v>
      </c>
      <c r="O366" s="115"/>
      <c r="P366" s="115"/>
      <c r="Q366" s="118"/>
    </row>
    <row r="367" spans="1:17" s="129" customFormat="1" x14ac:dyDescent="0.3">
      <c r="A367" s="117"/>
      <c r="B367" s="123" t="s">
        <v>96</v>
      </c>
      <c r="C367" s="135" t="str">
        <f t="shared" si="58"/>
        <v>Resultado</v>
      </c>
      <c r="D367" s="135" t="str">
        <f t="shared" si="50"/>
        <v>Sintetica</v>
      </c>
      <c r="E367" s="124" t="s">
        <v>825</v>
      </c>
      <c r="F367" s="124" t="s">
        <v>826</v>
      </c>
      <c r="G367" s="125">
        <v>2166162.2799999998</v>
      </c>
      <c r="H367" s="125" t="s">
        <v>165</v>
      </c>
      <c r="I367" s="125">
        <v>61387.15</v>
      </c>
      <c r="J367" s="125">
        <v>224965.74</v>
      </c>
      <c r="K367" s="125">
        <v>2329740.87</v>
      </c>
      <c r="L367" s="125" t="s">
        <v>165</v>
      </c>
      <c r="M367" s="139">
        <f t="shared" si="51"/>
        <v>-2166162.2799999998</v>
      </c>
      <c r="N367" s="139">
        <f t="shared" si="52"/>
        <v>-2329740.87</v>
      </c>
      <c r="O367" s="122"/>
      <c r="P367" s="122"/>
    </row>
    <row r="368" spans="1:17" s="129" customFormat="1" x14ac:dyDescent="0.3">
      <c r="A368" s="117"/>
      <c r="B368" s="123" t="s">
        <v>96</v>
      </c>
      <c r="C368" s="135" t="str">
        <f t="shared" si="58"/>
        <v>Resultado</v>
      </c>
      <c r="D368" s="135" t="str">
        <f t="shared" si="50"/>
        <v>Sintetica</v>
      </c>
      <c r="E368" s="124" t="s">
        <v>827</v>
      </c>
      <c r="F368" s="124" t="s">
        <v>828</v>
      </c>
      <c r="G368" s="125">
        <v>2166162.2799999998</v>
      </c>
      <c r="H368" s="125" t="s">
        <v>165</v>
      </c>
      <c r="I368" s="125">
        <v>61387.15</v>
      </c>
      <c r="J368" s="125">
        <v>224965.74</v>
      </c>
      <c r="K368" s="125">
        <v>2329740.87</v>
      </c>
      <c r="L368" s="125" t="s">
        <v>165</v>
      </c>
      <c r="M368" s="139">
        <f t="shared" si="51"/>
        <v>-2166162.2799999998</v>
      </c>
      <c r="N368" s="139">
        <f t="shared" si="52"/>
        <v>-2329740.87</v>
      </c>
      <c r="O368" s="122"/>
      <c r="P368" s="122"/>
    </row>
    <row r="369" spans="1:17" s="128" customFormat="1" x14ac:dyDescent="0.3">
      <c r="A369" s="115"/>
      <c r="B369" s="123" t="s">
        <v>96</v>
      </c>
      <c r="C369" s="135" t="str">
        <f t="shared" si="58"/>
        <v>Resultado</v>
      </c>
      <c r="D369" s="135" t="str">
        <f t="shared" si="50"/>
        <v>Sintetica</v>
      </c>
      <c r="E369" s="124" t="s">
        <v>829</v>
      </c>
      <c r="F369" s="124" t="s">
        <v>830</v>
      </c>
      <c r="G369" s="125">
        <v>2912627.38</v>
      </c>
      <c r="H369" s="125" t="s">
        <v>165</v>
      </c>
      <c r="I369" s="125">
        <v>0</v>
      </c>
      <c r="J369" s="125">
        <v>224965.74</v>
      </c>
      <c r="K369" s="125">
        <v>3137593.12</v>
      </c>
      <c r="L369" s="125" t="s">
        <v>165</v>
      </c>
      <c r="M369" s="139">
        <f t="shared" si="51"/>
        <v>-2912627.38</v>
      </c>
      <c r="N369" s="139">
        <f t="shared" si="52"/>
        <v>-3137593.12</v>
      </c>
      <c r="O369" s="115"/>
      <c r="P369" s="115"/>
      <c r="Q369" s="118"/>
    </row>
    <row r="370" spans="1:17" s="128" customFormat="1" x14ac:dyDescent="0.3">
      <c r="A370" s="115"/>
      <c r="B370" s="123" t="s">
        <v>96</v>
      </c>
      <c r="C370" s="135" t="str">
        <f t="shared" si="58"/>
        <v>Resultado</v>
      </c>
      <c r="D370" s="135" t="str">
        <f t="shared" si="50"/>
        <v>Sintetica</v>
      </c>
      <c r="E370" s="124" t="s">
        <v>831</v>
      </c>
      <c r="F370" s="124" t="s">
        <v>832</v>
      </c>
      <c r="G370" s="125">
        <v>2912627.38</v>
      </c>
      <c r="H370" s="125" t="s">
        <v>165</v>
      </c>
      <c r="I370" s="125">
        <v>0</v>
      </c>
      <c r="J370" s="125">
        <v>224965.74</v>
      </c>
      <c r="K370" s="125">
        <v>3137593.12</v>
      </c>
      <c r="L370" s="125" t="s">
        <v>165</v>
      </c>
      <c r="M370" s="139">
        <f t="shared" si="51"/>
        <v>-2912627.38</v>
      </c>
      <c r="N370" s="139">
        <f t="shared" si="52"/>
        <v>-3137593.12</v>
      </c>
      <c r="O370" s="115"/>
      <c r="P370" s="115"/>
      <c r="Q370" s="118"/>
    </row>
    <row r="371" spans="1:17" s="128" customFormat="1" x14ac:dyDescent="0.3">
      <c r="A371" s="115"/>
      <c r="B371" s="123" t="s">
        <v>96</v>
      </c>
      <c r="C371" s="135" t="str">
        <f t="shared" si="58"/>
        <v>Resultado</v>
      </c>
      <c r="D371" s="135" t="str">
        <f t="shared" si="50"/>
        <v>Sintetica</v>
      </c>
      <c r="E371" s="124" t="s">
        <v>833</v>
      </c>
      <c r="F371" s="124" t="s">
        <v>834</v>
      </c>
      <c r="G371" s="125">
        <v>746464.1</v>
      </c>
      <c r="H371" s="125" t="s">
        <v>162</v>
      </c>
      <c r="I371" s="125">
        <v>61387.15</v>
      </c>
      <c r="J371" s="125">
        <v>0</v>
      </c>
      <c r="K371" s="125">
        <v>807851.25</v>
      </c>
      <c r="L371" s="125" t="s">
        <v>162</v>
      </c>
      <c r="M371" s="139">
        <f t="shared" si="51"/>
        <v>746464.1</v>
      </c>
      <c r="N371" s="139">
        <f t="shared" si="52"/>
        <v>807851.25</v>
      </c>
      <c r="O371" s="115"/>
      <c r="P371" s="115"/>
      <c r="Q371" s="118"/>
    </row>
    <row r="372" spans="1:17" s="128" customFormat="1" x14ac:dyDescent="0.3">
      <c r="A372" s="115"/>
      <c r="B372" s="123" t="s">
        <v>96</v>
      </c>
      <c r="C372" s="135" t="str">
        <f t="shared" si="58"/>
        <v>Resultado</v>
      </c>
      <c r="D372" s="135" t="str">
        <f t="shared" si="50"/>
        <v>Sintetica</v>
      </c>
      <c r="E372" s="124" t="s">
        <v>835</v>
      </c>
      <c r="F372" s="124" t="s">
        <v>836</v>
      </c>
      <c r="G372" s="125">
        <v>343838.07</v>
      </c>
      <c r="H372" s="125" t="s">
        <v>162</v>
      </c>
      <c r="I372" s="125">
        <v>33461.29</v>
      </c>
      <c r="J372" s="125">
        <v>0</v>
      </c>
      <c r="K372" s="125">
        <v>377299.36</v>
      </c>
      <c r="L372" s="125" t="s">
        <v>162</v>
      </c>
      <c r="M372" s="139">
        <f t="shared" si="51"/>
        <v>343838.07</v>
      </c>
      <c r="N372" s="139">
        <f t="shared" si="52"/>
        <v>377299.36</v>
      </c>
      <c r="O372" s="115"/>
      <c r="P372" s="115"/>
      <c r="Q372" s="118"/>
    </row>
    <row r="373" spans="1:17" s="128" customFormat="1" x14ac:dyDescent="0.3">
      <c r="A373" s="115"/>
      <c r="B373" s="123" t="s">
        <v>96</v>
      </c>
      <c r="C373" s="135" t="str">
        <f t="shared" si="58"/>
        <v>Resultado</v>
      </c>
      <c r="D373" s="135" t="str">
        <f t="shared" si="50"/>
        <v>Sintetica</v>
      </c>
      <c r="E373" s="124" t="s">
        <v>837</v>
      </c>
      <c r="F373" s="124" t="s">
        <v>838</v>
      </c>
      <c r="G373" s="125">
        <v>51785.87</v>
      </c>
      <c r="H373" s="125" t="s">
        <v>162</v>
      </c>
      <c r="I373" s="125">
        <v>7350.01</v>
      </c>
      <c r="J373" s="125">
        <v>0</v>
      </c>
      <c r="K373" s="125">
        <v>59135.88</v>
      </c>
      <c r="L373" s="125" t="s">
        <v>162</v>
      </c>
      <c r="M373" s="139">
        <f t="shared" si="51"/>
        <v>51785.87</v>
      </c>
      <c r="N373" s="139">
        <f t="shared" si="52"/>
        <v>59135.88</v>
      </c>
      <c r="O373" s="115"/>
      <c r="P373" s="115"/>
      <c r="Q373" s="118"/>
    </row>
    <row r="374" spans="1:17" s="129" customFormat="1" x14ac:dyDescent="0.3">
      <c r="A374" s="117"/>
      <c r="B374" s="123" t="s">
        <v>96</v>
      </c>
      <c r="C374" s="135"/>
      <c r="D374" s="135" t="str">
        <f t="shared" si="50"/>
        <v>Sintetica</v>
      </c>
      <c r="E374" s="124" t="s">
        <v>839</v>
      </c>
      <c r="F374" s="124" t="s">
        <v>840</v>
      </c>
      <c r="G374" s="125">
        <v>31919.42</v>
      </c>
      <c r="H374" s="125" t="s">
        <v>162</v>
      </c>
      <c r="I374" s="125">
        <v>2779.28</v>
      </c>
      <c r="J374" s="125">
        <v>0</v>
      </c>
      <c r="K374" s="125">
        <v>34698.699999999997</v>
      </c>
      <c r="L374" s="125" t="s">
        <v>162</v>
      </c>
      <c r="M374" s="139">
        <f t="shared" si="51"/>
        <v>31919.42</v>
      </c>
      <c r="N374" s="139">
        <f t="shared" si="52"/>
        <v>34698.699999999997</v>
      </c>
      <c r="O374" s="122"/>
      <c r="P374" s="122"/>
    </row>
    <row r="375" spans="1:17" s="129" customFormat="1" x14ac:dyDescent="0.3">
      <c r="A375" s="117"/>
      <c r="B375" s="123" t="s">
        <v>96</v>
      </c>
      <c r="C375" s="135"/>
      <c r="D375" s="135" t="str">
        <f t="shared" si="50"/>
        <v>Sintetica</v>
      </c>
      <c r="E375" s="124" t="s">
        <v>841</v>
      </c>
      <c r="F375" s="124" t="s">
        <v>842</v>
      </c>
      <c r="G375" s="125">
        <v>147029.07</v>
      </c>
      <c r="H375" s="125" t="s">
        <v>162</v>
      </c>
      <c r="I375" s="125">
        <v>12801.92</v>
      </c>
      <c r="J375" s="125">
        <v>0</v>
      </c>
      <c r="K375" s="125">
        <v>159830.99</v>
      </c>
      <c r="L375" s="125" t="s">
        <v>162</v>
      </c>
      <c r="M375" s="139">
        <f t="shared" si="51"/>
        <v>147029.07</v>
      </c>
      <c r="N375" s="139">
        <f t="shared" si="52"/>
        <v>159830.99</v>
      </c>
      <c r="O375" s="122"/>
      <c r="P375" s="122"/>
    </row>
    <row r="376" spans="1:17" s="128" customFormat="1" x14ac:dyDescent="0.3">
      <c r="A376" s="115"/>
      <c r="B376" s="123" t="s">
        <v>96</v>
      </c>
      <c r="C376" s="135"/>
      <c r="D376" s="135" t="str">
        <f t="shared" si="50"/>
        <v>Sintetica</v>
      </c>
      <c r="E376" s="124" t="s">
        <v>843</v>
      </c>
      <c r="F376" s="124" t="s">
        <v>844</v>
      </c>
      <c r="G376" s="125">
        <v>18095.419999999998</v>
      </c>
      <c r="H376" s="125" t="s">
        <v>162</v>
      </c>
      <c r="I376" s="125">
        <v>0</v>
      </c>
      <c r="J376" s="125">
        <v>0</v>
      </c>
      <c r="K376" s="125">
        <v>18095.419999999998</v>
      </c>
      <c r="L376" s="125" t="s">
        <v>162</v>
      </c>
      <c r="M376" s="139">
        <f t="shared" si="51"/>
        <v>18095.419999999998</v>
      </c>
      <c r="N376" s="139">
        <f t="shared" si="52"/>
        <v>18095.419999999998</v>
      </c>
      <c r="O376" s="115"/>
      <c r="P376" s="115"/>
      <c r="Q376" s="118"/>
    </row>
    <row r="377" spans="1:17" s="128" customFormat="1" x14ac:dyDescent="0.3">
      <c r="A377" s="115"/>
      <c r="B377" s="123" t="s">
        <v>96</v>
      </c>
      <c r="C377" s="135"/>
      <c r="D377" s="135" t="str">
        <f t="shared" si="50"/>
        <v>Sintetica</v>
      </c>
      <c r="E377" s="124" t="s">
        <v>845</v>
      </c>
      <c r="F377" s="124" t="s">
        <v>846</v>
      </c>
      <c r="G377" s="125">
        <v>150738.67000000001</v>
      </c>
      <c r="H377" s="125" t="s">
        <v>162</v>
      </c>
      <c r="I377" s="125">
        <v>4994.6499999999996</v>
      </c>
      <c r="J377" s="125">
        <v>0</v>
      </c>
      <c r="K377" s="125">
        <v>155733.32</v>
      </c>
      <c r="L377" s="125" t="s">
        <v>162</v>
      </c>
      <c r="M377" s="139">
        <f t="shared" si="51"/>
        <v>150738.67000000001</v>
      </c>
      <c r="N377" s="139">
        <f t="shared" si="52"/>
        <v>155733.32</v>
      </c>
      <c r="O377" s="115"/>
      <c r="P377" s="115"/>
      <c r="Q377" s="118"/>
    </row>
    <row r="378" spans="1:17" s="129" customFormat="1" x14ac:dyDescent="0.3">
      <c r="A378" s="117"/>
      <c r="B378" s="123" t="s">
        <v>96</v>
      </c>
      <c r="C378" s="135" t="str">
        <f t="shared" ref="C378:C404" si="59">IF(MID(E378,1,1)="1","Ativo",IF(MID(E378,1,1)="2","Passivo","Resultado"))</f>
        <v>Resultado</v>
      </c>
      <c r="D378" s="135" t="str">
        <f t="shared" si="50"/>
        <v>Sintetica</v>
      </c>
      <c r="E378" s="124" t="s">
        <v>847</v>
      </c>
      <c r="F378" s="124" t="s">
        <v>848</v>
      </c>
      <c r="G378" s="125">
        <v>3057.58</v>
      </c>
      <c r="H378" s="125" t="s">
        <v>162</v>
      </c>
      <c r="I378" s="125">
        <v>0</v>
      </c>
      <c r="J378" s="125">
        <v>0</v>
      </c>
      <c r="K378" s="125">
        <v>3057.58</v>
      </c>
      <c r="L378" s="125" t="s">
        <v>162</v>
      </c>
      <c r="M378" s="139">
        <f t="shared" si="51"/>
        <v>3057.58</v>
      </c>
      <c r="N378" s="139">
        <f t="shared" si="52"/>
        <v>3057.58</v>
      </c>
      <c r="O378" s="122"/>
      <c r="P378" s="122"/>
    </row>
    <row r="379" spans="1:17" s="129" customFormat="1" x14ac:dyDescent="0.3">
      <c r="A379" s="117"/>
      <c r="B379" s="123" t="s">
        <v>96</v>
      </c>
      <c r="C379" s="135" t="str">
        <f t="shared" si="59"/>
        <v>Resultado</v>
      </c>
      <c r="D379" s="135" t="str">
        <f t="shared" si="50"/>
        <v>Sintetica</v>
      </c>
      <c r="E379" s="124" t="s">
        <v>849</v>
      </c>
      <c r="F379" s="124" t="s">
        <v>850</v>
      </c>
      <c r="G379" s="125">
        <v>1</v>
      </c>
      <c r="H379" s="125" t="s">
        <v>162</v>
      </c>
      <c r="I379" s="125">
        <v>0</v>
      </c>
      <c r="J379" s="125">
        <v>0</v>
      </c>
      <c r="K379" s="125">
        <v>1</v>
      </c>
      <c r="L379" s="125" t="s">
        <v>162</v>
      </c>
      <c r="M379" s="139">
        <f t="shared" si="51"/>
        <v>1</v>
      </c>
      <c r="N379" s="139">
        <f t="shared" si="52"/>
        <v>1</v>
      </c>
      <c r="O379" s="122"/>
      <c r="P379" s="122"/>
    </row>
    <row r="380" spans="1:17" s="129" customFormat="1" x14ac:dyDescent="0.3">
      <c r="A380" s="117"/>
      <c r="B380" s="123" t="s">
        <v>96</v>
      </c>
      <c r="C380" s="135" t="str">
        <f t="shared" si="59"/>
        <v>Resultado</v>
      </c>
      <c r="D380" s="135" t="str">
        <f t="shared" si="50"/>
        <v>Sintetica</v>
      </c>
      <c r="E380" s="124" t="s">
        <v>851</v>
      </c>
      <c r="F380" s="124" t="s">
        <v>852</v>
      </c>
      <c r="G380" s="125">
        <v>1</v>
      </c>
      <c r="H380" s="125" t="s">
        <v>162</v>
      </c>
      <c r="I380" s="125">
        <v>0</v>
      </c>
      <c r="J380" s="125">
        <v>0</v>
      </c>
      <c r="K380" s="125">
        <v>1</v>
      </c>
      <c r="L380" s="125" t="s">
        <v>162</v>
      </c>
      <c r="M380" s="139">
        <f t="shared" si="51"/>
        <v>1</v>
      </c>
      <c r="N380" s="139">
        <f t="shared" si="52"/>
        <v>1</v>
      </c>
      <c r="O380" s="122"/>
      <c r="P380" s="122"/>
    </row>
    <row r="381" spans="1:17" s="128" customFormat="1" x14ac:dyDescent="0.3">
      <c r="A381" s="115"/>
      <c r="B381" s="123" t="s">
        <v>96</v>
      </c>
      <c r="C381" s="135" t="str">
        <f t="shared" si="59"/>
        <v>Resultado</v>
      </c>
      <c r="D381" s="135" t="str">
        <f t="shared" si="50"/>
        <v>Sintetica</v>
      </c>
      <c r="E381" s="124" t="s">
        <v>853</v>
      </c>
      <c r="F381" s="124" t="s">
        <v>854</v>
      </c>
      <c r="G381" s="125">
        <v>1491.02</v>
      </c>
      <c r="H381" s="125" t="s">
        <v>165</v>
      </c>
      <c r="I381" s="125">
        <v>0</v>
      </c>
      <c r="J381" s="125">
        <v>0</v>
      </c>
      <c r="K381" s="125">
        <v>1491.02</v>
      </c>
      <c r="L381" s="125" t="s">
        <v>165</v>
      </c>
      <c r="M381" s="139">
        <f t="shared" si="51"/>
        <v>-1491.02</v>
      </c>
      <c r="N381" s="139">
        <f t="shared" si="52"/>
        <v>-1491.02</v>
      </c>
      <c r="O381" s="115"/>
      <c r="P381" s="115"/>
      <c r="Q381" s="118"/>
    </row>
    <row r="382" spans="1:17" s="128" customFormat="1" x14ac:dyDescent="0.3">
      <c r="A382" s="115"/>
      <c r="B382" s="123" t="s">
        <v>96</v>
      </c>
      <c r="C382" s="135" t="str">
        <f t="shared" si="59"/>
        <v>Resultado</v>
      </c>
      <c r="D382" s="135" t="str">
        <f t="shared" si="50"/>
        <v>Sintetica</v>
      </c>
      <c r="E382" s="124" t="s">
        <v>855</v>
      </c>
      <c r="F382" s="124" t="s">
        <v>856</v>
      </c>
      <c r="G382" s="125">
        <v>1491.02</v>
      </c>
      <c r="H382" s="125" t="s">
        <v>165</v>
      </c>
      <c r="I382" s="125">
        <v>0</v>
      </c>
      <c r="J382" s="125">
        <v>0</v>
      </c>
      <c r="K382" s="125">
        <v>1491.02</v>
      </c>
      <c r="L382" s="125" t="s">
        <v>165</v>
      </c>
      <c r="M382" s="139">
        <f t="shared" si="51"/>
        <v>-1491.02</v>
      </c>
      <c r="N382" s="139">
        <f t="shared" si="52"/>
        <v>-1491.02</v>
      </c>
      <c r="O382" s="115"/>
      <c r="P382" s="115"/>
      <c r="Q382" s="118"/>
    </row>
    <row r="383" spans="1:17" s="129" customFormat="1" x14ac:dyDescent="0.3">
      <c r="A383" s="117"/>
      <c r="B383" s="123" t="s">
        <v>96</v>
      </c>
      <c r="C383" s="135" t="str">
        <f t="shared" si="59"/>
        <v>Resultado</v>
      </c>
      <c r="D383" s="135" t="str">
        <f t="shared" si="50"/>
        <v>Sintetica</v>
      </c>
      <c r="E383" s="124" t="s">
        <v>857</v>
      </c>
      <c r="F383" s="124" t="s">
        <v>834</v>
      </c>
      <c r="G383" s="125">
        <v>1491.02</v>
      </c>
      <c r="H383" s="125" t="s">
        <v>165</v>
      </c>
      <c r="I383" s="125">
        <v>0</v>
      </c>
      <c r="J383" s="125">
        <v>0</v>
      </c>
      <c r="K383" s="125">
        <v>1491.02</v>
      </c>
      <c r="L383" s="125" t="s">
        <v>165</v>
      </c>
      <c r="M383" s="139">
        <f t="shared" si="51"/>
        <v>-1491.02</v>
      </c>
      <c r="N383" s="139">
        <f t="shared" si="52"/>
        <v>-1491.02</v>
      </c>
      <c r="O383" s="122"/>
      <c r="P383" s="122"/>
    </row>
    <row r="384" spans="1:17" s="128" customFormat="1" x14ac:dyDescent="0.3">
      <c r="A384" s="115"/>
      <c r="B384" s="123" t="s">
        <v>96</v>
      </c>
      <c r="C384" s="135" t="str">
        <f t="shared" si="59"/>
        <v>Resultado</v>
      </c>
      <c r="D384" s="135" t="str">
        <f t="shared" si="50"/>
        <v>Sintetica</v>
      </c>
      <c r="E384" s="124" t="s">
        <v>858</v>
      </c>
      <c r="F384" s="124" t="s">
        <v>859</v>
      </c>
      <c r="G384" s="125">
        <v>1491.02</v>
      </c>
      <c r="H384" s="125" t="s">
        <v>165</v>
      </c>
      <c r="I384" s="125">
        <v>0</v>
      </c>
      <c r="J384" s="125">
        <v>0</v>
      </c>
      <c r="K384" s="125">
        <v>1491.02</v>
      </c>
      <c r="L384" s="125" t="s">
        <v>165</v>
      </c>
      <c r="M384" s="139">
        <f t="shared" si="51"/>
        <v>-1491.02</v>
      </c>
      <c r="N384" s="139">
        <f t="shared" si="52"/>
        <v>-1491.02</v>
      </c>
      <c r="O384" s="115"/>
      <c r="P384" s="115"/>
      <c r="Q384" s="118"/>
    </row>
    <row r="385" spans="1:17" s="129" customFormat="1" x14ac:dyDescent="0.3">
      <c r="A385" s="117"/>
      <c r="B385" s="123" t="s">
        <v>96</v>
      </c>
      <c r="C385" s="135" t="str">
        <f t="shared" si="59"/>
        <v>Resultado</v>
      </c>
      <c r="D385" s="135" t="str">
        <f t="shared" si="50"/>
        <v>Sintetica</v>
      </c>
      <c r="E385" s="124" t="s">
        <v>860</v>
      </c>
      <c r="F385" s="124" t="s">
        <v>861</v>
      </c>
      <c r="G385" s="125">
        <v>1884488.62</v>
      </c>
      <c r="H385" s="125" t="s">
        <v>165</v>
      </c>
      <c r="I385" s="125">
        <v>119078.96</v>
      </c>
      <c r="J385" s="125">
        <v>419245.32</v>
      </c>
      <c r="K385" s="125">
        <v>2184654.98</v>
      </c>
      <c r="L385" s="125" t="s">
        <v>165</v>
      </c>
      <c r="M385" s="139">
        <f t="shared" si="51"/>
        <v>-1884488.62</v>
      </c>
      <c r="N385" s="139">
        <f t="shared" si="52"/>
        <v>-2184654.98</v>
      </c>
      <c r="O385" s="122"/>
      <c r="P385" s="122"/>
    </row>
    <row r="386" spans="1:17" s="129" customFormat="1" x14ac:dyDescent="0.3">
      <c r="A386" s="117"/>
      <c r="B386" s="123" t="s">
        <v>96</v>
      </c>
      <c r="C386" s="135" t="str">
        <f t="shared" si="59"/>
        <v>Resultado</v>
      </c>
      <c r="D386" s="135" t="str">
        <f t="shared" si="50"/>
        <v>Sintetica</v>
      </c>
      <c r="E386" s="124" t="s">
        <v>862</v>
      </c>
      <c r="F386" s="124" t="s">
        <v>863</v>
      </c>
      <c r="G386" s="125">
        <v>1884488.62</v>
      </c>
      <c r="H386" s="125" t="s">
        <v>165</v>
      </c>
      <c r="I386" s="125">
        <v>119078.96</v>
      </c>
      <c r="J386" s="125">
        <v>419245.32</v>
      </c>
      <c r="K386" s="125">
        <v>2184654.98</v>
      </c>
      <c r="L386" s="125" t="s">
        <v>165</v>
      </c>
      <c r="M386" s="139">
        <f t="shared" si="51"/>
        <v>-1884488.62</v>
      </c>
      <c r="N386" s="139">
        <f t="shared" si="52"/>
        <v>-2184654.98</v>
      </c>
      <c r="O386" s="122"/>
      <c r="P386" s="122"/>
    </row>
    <row r="387" spans="1:17" s="129" customFormat="1" x14ac:dyDescent="0.3">
      <c r="A387" s="117"/>
      <c r="B387" s="123" t="s">
        <v>96</v>
      </c>
      <c r="C387" s="135" t="str">
        <f t="shared" si="59"/>
        <v>Resultado</v>
      </c>
      <c r="D387" s="135" t="str">
        <f t="shared" si="50"/>
        <v>Sintetica</v>
      </c>
      <c r="E387" s="124" t="s">
        <v>864</v>
      </c>
      <c r="F387" s="124" t="s">
        <v>865</v>
      </c>
      <c r="G387" s="125">
        <v>2116440.64</v>
      </c>
      <c r="H387" s="125" t="s">
        <v>165</v>
      </c>
      <c r="I387" s="125">
        <v>80982.179999999993</v>
      </c>
      <c r="J387" s="125">
        <v>411749.48</v>
      </c>
      <c r="K387" s="125">
        <v>2447207.94</v>
      </c>
      <c r="L387" s="125" t="s">
        <v>165</v>
      </c>
      <c r="M387" s="139">
        <f t="shared" si="51"/>
        <v>-2116440.64</v>
      </c>
      <c r="N387" s="139">
        <f t="shared" si="52"/>
        <v>-2447207.94</v>
      </c>
      <c r="O387" s="122"/>
      <c r="P387" s="122"/>
    </row>
    <row r="388" spans="1:17" s="128" customFormat="1" x14ac:dyDescent="0.3">
      <c r="A388" s="115"/>
      <c r="B388" s="123" t="s">
        <v>96</v>
      </c>
      <c r="C388" s="135" t="str">
        <f t="shared" si="59"/>
        <v>Resultado</v>
      </c>
      <c r="D388" s="135" t="str">
        <f t="shared" si="50"/>
        <v>Sintetica</v>
      </c>
      <c r="E388" s="124" t="s">
        <v>866</v>
      </c>
      <c r="F388" s="124" t="s">
        <v>865</v>
      </c>
      <c r="G388" s="125">
        <v>2116440.64</v>
      </c>
      <c r="H388" s="125" t="s">
        <v>165</v>
      </c>
      <c r="I388" s="125">
        <v>80982.179999999993</v>
      </c>
      <c r="J388" s="125">
        <v>411749.48</v>
      </c>
      <c r="K388" s="125">
        <v>2447207.94</v>
      </c>
      <c r="L388" s="125" t="s">
        <v>165</v>
      </c>
      <c r="M388" s="139">
        <f t="shared" si="51"/>
        <v>-2116440.64</v>
      </c>
      <c r="N388" s="139">
        <f t="shared" si="52"/>
        <v>-2447207.94</v>
      </c>
      <c r="O388" s="115"/>
      <c r="P388" s="115"/>
      <c r="Q388" s="118"/>
    </row>
    <row r="389" spans="1:17" s="128" customFormat="1" x14ac:dyDescent="0.3">
      <c r="A389" s="115"/>
      <c r="B389" s="123" t="s">
        <v>96</v>
      </c>
      <c r="C389" s="135" t="str">
        <f t="shared" si="59"/>
        <v>Resultado</v>
      </c>
      <c r="D389" s="135" t="str">
        <f t="shared" si="50"/>
        <v>Sintetica</v>
      </c>
      <c r="E389" s="124" t="s">
        <v>867</v>
      </c>
      <c r="F389" s="124" t="s">
        <v>834</v>
      </c>
      <c r="G389" s="125">
        <v>231952.02</v>
      </c>
      <c r="H389" s="125" t="s">
        <v>162</v>
      </c>
      <c r="I389" s="125">
        <v>38096.78</v>
      </c>
      <c r="J389" s="125">
        <v>7495.84</v>
      </c>
      <c r="K389" s="125">
        <v>262552.96000000002</v>
      </c>
      <c r="L389" s="125" t="s">
        <v>162</v>
      </c>
      <c r="M389" s="139">
        <f t="shared" si="51"/>
        <v>231952.02</v>
      </c>
      <c r="N389" s="139">
        <f t="shared" si="52"/>
        <v>262552.96000000002</v>
      </c>
      <c r="O389" s="115"/>
      <c r="P389" s="115"/>
      <c r="Q389" s="118"/>
    </row>
    <row r="390" spans="1:17" s="128" customFormat="1" x14ac:dyDescent="0.3">
      <c r="A390" s="115"/>
      <c r="B390" s="123" t="s">
        <v>96</v>
      </c>
      <c r="C390" s="135" t="str">
        <f t="shared" si="59"/>
        <v>Resultado</v>
      </c>
      <c r="D390" s="135" t="str">
        <f t="shared" si="50"/>
        <v>Sintetica</v>
      </c>
      <c r="E390" s="124" t="s">
        <v>868</v>
      </c>
      <c r="F390" s="124" t="s">
        <v>869</v>
      </c>
      <c r="G390" s="125">
        <v>36182</v>
      </c>
      <c r="H390" s="125" t="s">
        <v>162</v>
      </c>
      <c r="I390" s="125">
        <v>10</v>
      </c>
      <c r="J390" s="125">
        <v>5</v>
      </c>
      <c r="K390" s="125">
        <v>36187</v>
      </c>
      <c r="L390" s="125" t="s">
        <v>162</v>
      </c>
      <c r="M390" s="139">
        <f t="shared" si="51"/>
        <v>36182</v>
      </c>
      <c r="N390" s="139">
        <f t="shared" si="52"/>
        <v>36187</v>
      </c>
      <c r="O390" s="115"/>
      <c r="P390" s="115"/>
      <c r="Q390" s="118"/>
    </row>
    <row r="391" spans="1:17" s="129" customFormat="1" x14ac:dyDescent="0.3">
      <c r="A391" s="117"/>
      <c r="B391" s="123" t="s">
        <v>96</v>
      </c>
      <c r="C391" s="135" t="str">
        <f t="shared" si="59"/>
        <v>Resultado</v>
      </c>
      <c r="D391" s="135" t="str">
        <f t="shared" si="50"/>
        <v>Sintetica</v>
      </c>
      <c r="E391" s="124" t="s">
        <v>870</v>
      </c>
      <c r="F391" s="124" t="s">
        <v>871</v>
      </c>
      <c r="G391" s="125">
        <v>34920.870000000003</v>
      </c>
      <c r="H391" s="125" t="s">
        <v>162</v>
      </c>
      <c r="I391" s="125">
        <v>6793.84</v>
      </c>
      <c r="J391" s="125">
        <v>1336.2</v>
      </c>
      <c r="K391" s="125">
        <v>40378.51</v>
      </c>
      <c r="L391" s="125" t="s">
        <v>162</v>
      </c>
      <c r="M391" s="139">
        <f t="shared" si="51"/>
        <v>34920.870000000003</v>
      </c>
      <c r="N391" s="139">
        <f t="shared" si="52"/>
        <v>40378.51</v>
      </c>
      <c r="O391" s="122"/>
      <c r="P391" s="122"/>
    </row>
    <row r="392" spans="1:17" s="129" customFormat="1" x14ac:dyDescent="0.3">
      <c r="A392" s="117"/>
      <c r="B392" s="123" t="s">
        <v>96</v>
      </c>
      <c r="C392" s="135" t="str">
        <f t="shared" si="59"/>
        <v>Resultado</v>
      </c>
      <c r="D392" s="135" t="str">
        <f t="shared" si="50"/>
        <v>Sintetica</v>
      </c>
      <c r="E392" s="124" t="s">
        <v>872</v>
      </c>
      <c r="F392" s="124" t="s">
        <v>873</v>
      </c>
      <c r="G392" s="125">
        <v>160849.15</v>
      </c>
      <c r="H392" s="125" t="s">
        <v>162</v>
      </c>
      <c r="I392" s="125">
        <v>31292.94</v>
      </c>
      <c r="J392" s="125">
        <v>6154.64</v>
      </c>
      <c r="K392" s="125">
        <v>185987.45</v>
      </c>
      <c r="L392" s="125" t="s">
        <v>162</v>
      </c>
      <c r="M392" s="139">
        <f t="shared" si="51"/>
        <v>160849.15</v>
      </c>
      <c r="N392" s="139">
        <f t="shared" si="52"/>
        <v>185987.45</v>
      </c>
      <c r="O392" s="122"/>
      <c r="P392" s="122"/>
    </row>
    <row r="393" spans="1:17" s="129" customFormat="1" x14ac:dyDescent="0.3">
      <c r="A393" s="117"/>
      <c r="B393" s="123" t="s">
        <v>96</v>
      </c>
      <c r="C393" s="135" t="str">
        <f t="shared" si="59"/>
        <v>Resultado</v>
      </c>
      <c r="D393" s="135" t="str">
        <f t="shared" ref="D393:D407" si="60">IF(MID(E393,10,3)="000","Sintetica","")</f>
        <v>Sintetica</v>
      </c>
      <c r="E393" s="124" t="s">
        <v>874</v>
      </c>
      <c r="F393" s="124" t="s">
        <v>210</v>
      </c>
      <c r="G393" s="125">
        <v>89806.58</v>
      </c>
      <c r="H393" s="125" t="s">
        <v>165</v>
      </c>
      <c r="I393" s="125">
        <v>666818.03</v>
      </c>
      <c r="J393" s="125">
        <v>666666</v>
      </c>
      <c r="K393" s="125">
        <v>89654.55</v>
      </c>
      <c r="L393" s="125" t="s">
        <v>165</v>
      </c>
      <c r="M393" s="139">
        <f t="shared" ref="M393:M407" si="61">IF(H393="D",G393,-G393)</f>
        <v>-89806.58</v>
      </c>
      <c r="N393" s="139">
        <f t="shared" ref="N393:N407" si="62">IF(L393="D",K393,-K393)</f>
        <v>-89654.55</v>
      </c>
      <c r="O393" s="122"/>
      <c r="P393" s="122"/>
    </row>
    <row r="394" spans="1:17" s="128" customFormat="1" x14ac:dyDescent="0.3">
      <c r="A394" s="115"/>
      <c r="B394" s="123" t="s">
        <v>96</v>
      </c>
      <c r="C394" s="135" t="str">
        <f t="shared" si="59"/>
        <v>Resultado</v>
      </c>
      <c r="D394" s="135" t="str">
        <f t="shared" si="60"/>
        <v>Sintetica</v>
      </c>
      <c r="E394" s="124" t="s">
        <v>875</v>
      </c>
      <c r="F394" s="124" t="s">
        <v>210</v>
      </c>
      <c r="G394" s="125">
        <v>89806.58</v>
      </c>
      <c r="H394" s="125" t="s">
        <v>165</v>
      </c>
      <c r="I394" s="125">
        <v>666818.03</v>
      </c>
      <c r="J394" s="125">
        <v>666666</v>
      </c>
      <c r="K394" s="125">
        <v>89654.55</v>
      </c>
      <c r="L394" s="125" t="s">
        <v>165</v>
      </c>
      <c r="M394" s="139">
        <f t="shared" si="61"/>
        <v>-89806.58</v>
      </c>
      <c r="N394" s="139">
        <f t="shared" si="62"/>
        <v>-89654.55</v>
      </c>
      <c r="O394" s="115"/>
      <c r="P394" s="115"/>
      <c r="Q394" s="118"/>
    </row>
    <row r="395" spans="1:17" s="128" customFormat="1" x14ac:dyDescent="0.3">
      <c r="A395" s="115"/>
      <c r="B395" s="123" t="s">
        <v>96</v>
      </c>
      <c r="C395" s="135" t="str">
        <f t="shared" si="59"/>
        <v>Resultado</v>
      </c>
      <c r="D395" s="135" t="str">
        <f t="shared" si="60"/>
        <v>Sintetica</v>
      </c>
      <c r="E395" s="124" t="s">
        <v>876</v>
      </c>
      <c r="F395" s="124" t="s">
        <v>210</v>
      </c>
      <c r="G395" s="125">
        <v>89806.58</v>
      </c>
      <c r="H395" s="125" t="s">
        <v>165</v>
      </c>
      <c r="I395" s="125">
        <v>666818.03</v>
      </c>
      <c r="J395" s="125">
        <v>666666</v>
      </c>
      <c r="K395" s="125">
        <v>89654.55</v>
      </c>
      <c r="L395" s="125" t="s">
        <v>165</v>
      </c>
      <c r="M395" s="139">
        <f t="shared" si="61"/>
        <v>-89806.58</v>
      </c>
      <c r="N395" s="139">
        <f t="shared" si="62"/>
        <v>-89654.55</v>
      </c>
      <c r="O395" s="115"/>
      <c r="P395" s="115"/>
      <c r="Q395" s="118"/>
    </row>
    <row r="396" spans="1:17" s="128" customFormat="1" x14ac:dyDescent="0.3">
      <c r="A396" s="115"/>
      <c r="B396" s="123" t="s">
        <v>96</v>
      </c>
      <c r="C396" s="135" t="str">
        <f t="shared" si="59"/>
        <v>Resultado</v>
      </c>
      <c r="D396" s="135" t="str">
        <f t="shared" si="60"/>
        <v>Sintetica</v>
      </c>
      <c r="E396" s="124" t="s">
        <v>877</v>
      </c>
      <c r="F396" s="124" t="s">
        <v>211</v>
      </c>
      <c r="G396" s="125">
        <v>49254.04</v>
      </c>
      <c r="H396" s="125" t="s">
        <v>165</v>
      </c>
      <c r="I396" s="125">
        <v>665139.1</v>
      </c>
      <c r="J396" s="125">
        <v>665278.19999999995</v>
      </c>
      <c r="K396" s="125">
        <v>49393.14</v>
      </c>
      <c r="L396" s="125" t="s">
        <v>165</v>
      </c>
      <c r="M396" s="139">
        <f t="shared" si="61"/>
        <v>-49254.04</v>
      </c>
      <c r="N396" s="139">
        <f t="shared" si="62"/>
        <v>-49393.14</v>
      </c>
      <c r="O396" s="115"/>
      <c r="P396" s="115"/>
      <c r="Q396" s="118"/>
    </row>
    <row r="397" spans="1:17" s="128" customFormat="1" x14ac:dyDescent="0.3">
      <c r="A397" s="115"/>
      <c r="B397" s="123" t="s">
        <v>96</v>
      </c>
      <c r="C397" s="135" t="str">
        <f t="shared" si="59"/>
        <v>Resultado</v>
      </c>
      <c r="D397" s="135" t="str">
        <f t="shared" si="60"/>
        <v>Sintetica</v>
      </c>
      <c r="E397" s="124" t="s">
        <v>878</v>
      </c>
      <c r="F397" s="124" t="s">
        <v>879</v>
      </c>
      <c r="G397" s="125">
        <v>36557.879999999997</v>
      </c>
      <c r="H397" s="125" t="s">
        <v>165</v>
      </c>
      <c r="I397" s="125">
        <v>1678.93</v>
      </c>
      <c r="J397" s="125">
        <v>1387.77</v>
      </c>
      <c r="K397" s="125">
        <v>36266.720000000001</v>
      </c>
      <c r="L397" s="125" t="s">
        <v>165</v>
      </c>
      <c r="M397" s="139">
        <f t="shared" si="61"/>
        <v>-36557.879999999997</v>
      </c>
      <c r="N397" s="139">
        <f t="shared" si="62"/>
        <v>-36266.720000000001</v>
      </c>
      <c r="O397" s="115"/>
      <c r="P397" s="115"/>
      <c r="Q397" s="118"/>
    </row>
    <row r="398" spans="1:17" s="128" customFormat="1" x14ac:dyDescent="0.3">
      <c r="A398" s="115"/>
      <c r="B398" s="123" t="s">
        <v>96</v>
      </c>
      <c r="C398" s="135" t="str">
        <f t="shared" si="59"/>
        <v>Resultado</v>
      </c>
      <c r="D398" s="135" t="str">
        <f t="shared" si="60"/>
        <v>Sintetica</v>
      </c>
      <c r="E398" s="124" t="s">
        <v>880</v>
      </c>
      <c r="F398" s="124" t="s">
        <v>881</v>
      </c>
      <c r="G398" s="125">
        <v>9223.5</v>
      </c>
      <c r="H398" s="125" t="s">
        <v>165</v>
      </c>
      <c r="I398" s="125">
        <v>0</v>
      </c>
      <c r="J398" s="125">
        <v>0.03</v>
      </c>
      <c r="K398" s="125">
        <v>9223.5300000000007</v>
      </c>
      <c r="L398" s="125" t="s">
        <v>165</v>
      </c>
      <c r="M398" s="139">
        <f t="shared" si="61"/>
        <v>-9223.5</v>
      </c>
      <c r="N398" s="139">
        <f t="shared" si="62"/>
        <v>-9223.5300000000007</v>
      </c>
      <c r="O398" s="115"/>
      <c r="P398" s="115"/>
      <c r="Q398" s="118"/>
    </row>
    <row r="399" spans="1:17" s="128" customFormat="1" x14ac:dyDescent="0.3">
      <c r="A399" s="115"/>
      <c r="B399" s="123" t="s">
        <v>96</v>
      </c>
      <c r="C399" s="135" t="str">
        <f t="shared" si="59"/>
        <v>Resultado</v>
      </c>
      <c r="D399" s="135" t="str">
        <f t="shared" si="60"/>
        <v>Sintetica</v>
      </c>
      <c r="E399" s="124" t="s">
        <v>882</v>
      </c>
      <c r="F399" s="124" t="s">
        <v>883</v>
      </c>
      <c r="G399" s="125">
        <v>762.17</v>
      </c>
      <c r="H399" s="125" t="s">
        <v>162</v>
      </c>
      <c r="I399" s="125">
        <v>0</v>
      </c>
      <c r="J399" s="125">
        <v>0</v>
      </c>
      <c r="K399" s="125">
        <v>762.17</v>
      </c>
      <c r="L399" s="125" t="s">
        <v>162</v>
      </c>
      <c r="M399" s="139">
        <f t="shared" si="61"/>
        <v>762.17</v>
      </c>
      <c r="N399" s="139">
        <f t="shared" si="62"/>
        <v>762.17</v>
      </c>
      <c r="O399" s="115"/>
      <c r="P399" s="115"/>
      <c r="Q399" s="118"/>
    </row>
    <row r="400" spans="1:17" s="128" customFormat="1" x14ac:dyDescent="0.3">
      <c r="A400" s="115"/>
      <c r="B400" s="123" t="s">
        <v>96</v>
      </c>
      <c r="C400" s="135" t="str">
        <f t="shared" si="59"/>
        <v>Resultado</v>
      </c>
      <c r="D400" s="135" t="str">
        <f t="shared" si="60"/>
        <v>Sintetica</v>
      </c>
      <c r="E400" s="124" t="s">
        <v>884</v>
      </c>
      <c r="F400" s="124" t="s">
        <v>885</v>
      </c>
      <c r="G400" s="125">
        <v>4466.67</v>
      </c>
      <c r="H400" s="125" t="s">
        <v>162</v>
      </c>
      <c r="I400" s="125">
        <v>0</v>
      </c>
      <c r="J400" s="125">
        <v>0</v>
      </c>
      <c r="K400" s="125">
        <v>4466.67</v>
      </c>
      <c r="L400" s="125" t="s">
        <v>162</v>
      </c>
      <c r="M400" s="139">
        <f t="shared" si="61"/>
        <v>4466.67</v>
      </c>
      <c r="N400" s="139">
        <f t="shared" si="62"/>
        <v>4466.67</v>
      </c>
      <c r="O400" s="115"/>
      <c r="P400" s="115"/>
      <c r="Q400" s="118"/>
    </row>
    <row r="401" spans="1:17" s="128" customFormat="1" x14ac:dyDescent="0.3">
      <c r="A401" s="115"/>
      <c r="B401" s="123" t="s">
        <v>96</v>
      </c>
      <c r="C401" s="135" t="str">
        <f t="shared" si="59"/>
        <v>Resultado</v>
      </c>
      <c r="D401" s="135" t="str">
        <f t="shared" si="60"/>
        <v>Sintetica</v>
      </c>
      <c r="E401" s="124" t="s">
        <v>886</v>
      </c>
      <c r="F401" s="124" t="s">
        <v>887</v>
      </c>
      <c r="G401" s="125">
        <v>82441.73</v>
      </c>
      <c r="H401" s="125" t="s">
        <v>165</v>
      </c>
      <c r="I401" s="125">
        <v>0</v>
      </c>
      <c r="J401" s="125">
        <v>1269.48</v>
      </c>
      <c r="K401" s="125">
        <v>83711.210000000006</v>
      </c>
      <c r="L401" s="125" t="s">
        <v>165</v>
      </c>
      <c r="M401" s="139">
        <f t="shared" si="61"/>
        <v>-82441.73</v>
      </c>
      <c r="N401" s="139">
        <f t="shared" si="62"/>
        <v>-83711.210000000006</v>
      </c>
      <c r="O401" s="115"/>
      <c r="P401" s="115"/>
      <c r="Q401" s="118"/>
    </row>
    <row r="402" spans="1:17" s="128" customFormat="1" x14ac:dyDescent="0.3">
      <c r="A402" s="115"/>
      <c r="B402" s="123" t="s">
        <v>96</v>
      </c>
      <c r="C402" s="135" t="str">
        <f t="shared" si="59"/>
        <v>Resultado</v>
      </c>
      <c r="D402" s="135" t="str">
        <f t="shared" si="60"/>
        <v>Sintetica</v>
      </c>
      <c r="E402" s="124" t="s">
        <v>888</v>
      </c>
      <c r="F402" s="124" t="s">
        <v>887</v>
      </c>
      <c r="G402" s="125">
        <v>82441.73</v>
      </c>
      <c r="H402" s="125" t="s">
        <v>165</v>
      </c>
      <c r="I402" s="125">
        <v>0</v>
      </c>
      <c r="J402" s="125">
        <v>1269.48</v>
      </c>
      <c r="K402" s="125">
        <v>83711.210000000006</v>
      </c>
      <c r="L402" s="125" t="s">
        <v>165</v>
      </c>
      <c r="M402" s="139">
        <f t="shared" si="61"/>
        <v>-82441.73</v>
      </c>
      <c r="N402" s="139">
        <f t="shared" si="62"/>
        <v>-83711.210000000006</v>
      </c>
      <c r="O402" s="115"/>
      <c r="P402" s="115"/>
      <c r="Q402" s="118"/>
    </row>
    <row r="403" spans="1:17" s="129" customFormat="1" x14ac:dyDescent="0.3">
      <c r="A403" s="117"/>
      <c r="B403" s="123" t="s">
        <v>96</v>
      </c>
      <c r="C403" s="135" t="str">
        <f t="shared" si="59"/>
        <v>Resultado</v>
      </c>
      <c r="D403" s="135" t="str">
        <f t="shared" si="60"/>
        <v>Sintetica</v>
      </c>
      <c r="E403" s="124" t="s">
        <v>889</v>
      </c>
      <c r="F403" s="124" t="s">
        <v>887</v>
      </c>
      <c r="G403" s="125">
        <v>82441.73</v>
      </c>
      <c r="H403" s="125" t="s">
        <v>165</v>
      </c>
      <c r="I403" s="125">
        <v>0</v>
      </c>
      <c r="J403" s="125">
        <v>1269.48</v>
      </c>
      <c r="K403" s="125">
        <v>83711.210000000006</v>
      </c>
      <c r="L403" s="125" t="s">
        <v>165</v>
      </c>
      <c r="M403" s="139">
        <f t="shared" si="61"/>
        <v>-82441.73</v>
      </c>
      <c r="N403" s="139">
        <f t="shared" si="62"/>
        <v>-83711.210000000006</v>
      </c>
      <c r="O403" s="122"/>
      <c r="P403" s="122"/>
    </row>
    <row r="404" spans="1:17" x14ac:dyDescent="0.3">
      <c r="B404" s="123" t="s">
        <v>96</v>
      </c>
      <c r="C404" s="135" t="str">
        <f t="shared" si="59"/>
        <v>Resultado</v>
      </c>
      <c r="D404" s="135" t="str">
        <f t="shared" si="60"/>
        <v>Sintetica</v>
      </c>
      <c r="E404" s="115" t="s">
        <v>890</v>
      </c>
      <c r="F404" s="115" t="s">
        <v>891</v>
      </c>
      <c r="G404" s="116">
        <v>0</v>
      </c>
      <c r="I404" s="116">
        <v>0</v>
      </c>
      <c r="J404" s="116">
        <v>46.92</v>
      </c>
      <c r="K404" s="116">
        <v>46.92</v>
      </c>
      <c r="L404" s="116" t="s">
        <v>165</v>
      </c>
      <c r="M404" s="139">
        <f t="shared" si="61"/>
        <v>0</v>
      </c>
      <c r="N404" s="139">
        <f t="shared" si="62"/>
        <v>-46.92</v>
      </c>
    </row>
    <row r="405" spans="1:17" x14ac:dyDescent="0.3">
      <c r="B405" s="123" t="s">
        <v>96</v>
      </c>
      <c r="D405" s="135" t="str">
        <f t="shared" si="60"/>
        <v>Sintetica</v>
      </c>
      <c r="E405" s="115" t="s">
        <v>892</v>
      </c>
      <c r="F405" s="115" t="s">
        <v>893</v>
      </c>
      <c r="G405" s="116">
        <v>0</v>
      </c>
      <c r="I405" s="116">
        <v>0</v>
      </c>
      <c r="J405" s="116">
        <v>438.56</v>
      </c>
      <c r="K405" s="116">
        <v>438.56</v>
      </c>
      <c r="L405" s="116" t="s">
        <v>165</v>
      </c>
      <c r="M405" s="139">
        <f t="shared" si="61"/>
        <v>0</v>
      </c>
      <c r="N405" s="139">
        <f t="shared" si="62"/>
        <v>-438.56</v>
      </c>
    </row>
    <row r="406" spans="1:17" x14ac:dyDescent="0.3">
      <c r="B406" s="123" t="s">
        <v>96</v>
      </c>
      <c r="D406" s="135" t="str">
        <f t="shared" si="60"/>
        <v>Sintetica</v>
      </c>
      <c r="E406" s="115" t="s">
        <v>894</v>
      </c>
      <c r="F406" s="115" t="s">
        <v>895</v>
      </c>
      <c r="G406" s="116">
        <v>1073.73</v>
      </c>
      <c r="H406" s="116" t="s">
        <v>165</v>
      </c>
      <c r="I406" s="116">
        <v>0</v>
      </c>
      <c r="J406" s="116">
        <v>784</v>
      </c>
      <c r="K406" s="116">
        <v>1857.73</v>
      </c>
      <c r="L406" s="116" t="s">
        <v>165</v>
      </c>
      <c r="M406" s="139">
        <f t="shared" si="61"/>
        <v>-1073.73</v>
      </c>
      <c r="N406" s="139">
        <f t="shared" si="62"/>
        <v>-1857.73</v>
      </c>
    </row>
    <row r="407" spans="1:17" x14ac:dyDescent="0.3">
      <c r="B407" s="123" t="s">
        <v>96</v>
      </c>
      <c r="C407" s="135" t="str">
        <f t="shared" ref="C407" si="63">IF(MID(E407,1,1)="1","Ativo",IF(MID(E407,1,1)="2","Passivo","Resultado"))</f>
        <v>Resultado</v>
      </c>
      <c r="D407" s="135" t="str">
        <f t="shared" si="60"/>
        <v>Sintetica</v>
      </c>
      <c r="E407" s="115" t="s">
        <v>896</v>
      </c>
      <c r="F407" s="115" t="s">
        <v>897</v>
      </c>
      <c r="G407" s="116">
        <v>81368</v>
      </c>
      <c r="H407" s="116" t="s">
        <v>165</v>
      </c>
      <c r="I407" s="116">
        <v>0</v>
      </c>
      <c r="J407" s="116">
        <v>0</v>
      </c>
      <c r="K407" s="116">
        <v>81368</v>
      </c>
      <c r="L407" s="116" t="s">
        <v>165</v>
      </c>
      <c r="M407" s="139">
        <f t="shared" si="61"/>
        <v>-81368</v>
      </c>
      <c r="N407" s="139">
        <f t="shared" si="62"/>
        <v>-81368</v>
      </c>
    </row>
  </sheetData>
  <autoFilter ref="B7:O407" xr:uid="{9F2A0241-2F03-4F1A-A3AF-D3250A7222E6}"/>
  <pageMargins left="0.78740157499999996" right="0.78740157499999996" top="0.984251969" bottom="0.984251969" header="0.4921259845" footer="0.492125984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1380C-CC1F-4EC1-9EAE-4788F09B8AE4}">
  <sheetPr filterMode="1"/>
  <dimension ref="B4:N123"/>
  <sheetViews>
    <sheetView showGridLines="0" topLeftCell="D1" zoomScale="90" zoomScaleNormal="90" workbookViewId="0">
      <pane ySplit="6" topLeftCell="A49" activePane="bottomLeft" state="frozen"/>
      <selection pane="bottomLeft" activeCell="M1" sqref="M1:M1048576"/>
    </sheetView>
  </sheetViews>
  <sheetFormatPr defaultRowHeight="13" x14ac:dyDescent="0.3"/>
  <cols>
    <col min="1" max="1" width="1" style="2" customWidth="1"/>
    <col min="2" max="2" width="12.69921875" style="2" bestFit="1" customWidth="1"/>
    <col min="3" max="3" width="11.19921875" style="14" bestFit="1" customWidth="1"/>
    <col min="4" max="4" width="28.8984375" style="2" bestFit="1" customWidth="1"/>
    <col min="5" max="5" width="11.19921875" style="10" bestFit="1" customWidth="1"/>
    <col min="6" max="6" width="11.296875" style="2" customWidth="1"/>
    <col min="7" max="7" width="41.69921875" style="2" bestFit="1" customWidth="1"/>
    <col min="8" max="8" width="15.69921875" style="2" bestFit="1" customWidth="1"/>
    <col min="9" max="9" width="8.5" style="2" bestFit="1" customWidth="1"/>
    <col min="10" max="10" width="13.796875" style="2" bestFit="1" customWidth="1"/>
    <col min="11" max="12" width="13.796875" style="187" customWidth="1"/>
    <col min="13" max="13" width="12.69921875" style="3" bestFit="1" customWidth="1"/>
    <col min="14" max="14" width="21" style="2" bestFit="1" customWidth="1"/>
    <col min="15" max="16384" width="8.796875" style="2"/>
  </cols>
  <sheetData>
    <row r="4" spans="2:14" x14ac:dyDescent="0.3">
      <c r="N4" s="13"/>
    </row>
    <row r="5" spans="2:14" x14ac:dyDescent="0.3">
      <c r="M5" s="3">
        <f>SUBTOTAL(9,M7:M120)</f>
        <v>-280059.99999999983</v>
      </c>
    </row>
    <row r="6" spans="2:14" s="7" customFormat="1" ht="13.5" thickBot="1" x14ac:dyDescent="0.3">
      <c r="B6" s="7" t="s">
        <v>89</v>
      </c>
      <c r="C6" s="15" t="s">
        <v>45</v>
      </c>
      <c r="D6" s="7" t="s">
        <v>87</v>
      </c>
      <c r="E6" s="11" t="s">
        <v>90</v>
      </c>
      <c r="F6" s="8" t="s">
        <v>56</v>
      </c>
      <c r="G6" s="8" t="s">
        <v>57</v>
      </c>
      <c r="H6" s="8" t="s">
        <v>58</v>
      </c>
      <c r="I6" s="8" t="s">
        <v>88</v>
      </c>
      <c r="J6" s="8" t="s">
        <v>59</v>
      </c>
      <c r="K6" s="188" t="s">
        <v>992</v>
      </c>
      <c r="L6" s="188" t="s">
        <v>993</v>
      </c>
      <c r="M6" s="9" t="s">
        <v>85</v>
      </c>
      <c r="N6" s="8" t="s">
        <v>86</v>
      </c>
    </row>
    <row r="7" spans="2:14" hidden="1" x14ac:dyDescent="0.3">
      <c r="B7" s="13" t="s">
        <v>91</v>
      </c>
      <c r="C7" s="14" t="s">
        <v>484</v>
      </c>
      <c r="D7" s="2" t="s">
        <v>898</v>
      </c>
      <c r="E7" s="12">
        <v>44227</v>
      </c>
      <c r="F7" s="4" t="s">
        <v>66</v>
      </c>
      <c r="G7" s="5" t="s">
        <v>899</v>
      </c>
      <c r="H7" s="4" t="s">
        <v>695</v>
      </c>
      <c r="I7" s="4" t="s">
        <v>975</v>
      </c>
      <c r="J7" s="6" t="s">
        <v>12</v>
      </c>
      <c r="K7" s="189">
        <v>0</v>
      </c>
      <c r="L7" s="189">
        <v>22500</v>
      </c>
      <c r="M7" s="193">
        <f>K7-L7</f>
        <v>-22500</v>
      </c>
      <c r="N7" s="2" t="s">
        <v>1000</v>
      </c>
    </row>
    <row r="8" spans="2:14" hidden="1" x14ac:dyDescent="0.3">
      <c r="B8" s="13" t="s">
        <v>91</v>
      </c>
      <c r="C8" s="14" t="str">
        <f t="shared" ref="C8:C71" si="0">MID(D8,1,12)</f>
        <v>2.1.1.05.000</v>
      </c>
      <c r="D8" s="2" t="s">
        <v>898</v>
      </c>
      <c r="E8" s="12">
        <v>44255</v>
      </c>
      <c r="F8" s="4" t="s">
        <v>69</v>
      </c>
      <c r="G8" s="5" t="s">
        <v>899</v>
      </c>
      <c r="H8" s="4" t="s">
        <v>695</v>
      </c>
      <c r="I8" s="4" t="s">
        <v>975</v>
      </c>
      <c r="J8" s="6" t="s">
        <v>12</v>
      </c>
      <c r="K8" s="189">
        <v>0</v>
      </c>
      <c r="L8" s="189">
        <v>22500</v>
      </c>
      <c r="M8" s="193">
        <f t="shared" ref="M8:M71" si="1">K8-L8</f>
        <v>-22500</v>
      </c>
      <c r="N8" s="2" t="s">
        <v>1000</v>
      </c>
    </row>
    <row r="9" spans="2:14" hidden="1" x14ac:dyDescent="0.3">
      <c r="B9" s="13" t="s">
        <v>91</v>
      </c>
      <c r="C9" s="14" t="str">
        <f t="shared" si="0"/>
        <v>2.1.1.05.000</v>
      </c>
      <c r="D9" s="2" t="s">
        <v>898</v>
      </c>
      <c r="E9" s="12">
        <v>44286</v>
      </c>
      <c r="F9" s="4" t="s">
        <v>66</v>
      </c>
      <c r="G9" s="5" t="s">
        <v>899</v>
      </c>
      <c r="H9" s="4" t="s">
        <v>695</v>
      </c>
      <c r="I9" s="4" t="s">
        <v>975</v>
      </c>
      <c r="J9" s="6" t="s">
        <v>12</v>
      </c>
      <c r="K9" s="189">
        <v>0</v>
      </c>
      <c r="L9" s="189">
        <v>22500</v>
      </c>
      <c r="M9" s="193">
        <f t="shared" si="1"/>
        <v>-22500</v>
      </c>
      <c r="N9" s="2" t="s">
        <v>1000</v>
      </c>
    </row>
    <row r="10" spans="2:14" hidden="1" x14ac:dyDescent="0.3">
      <c r="B10" s="13" t="s">
        <v>91</v>
      </c>
      <c r="C10" s="14" t="str">
        <f t="shared" si="0"/>
        <v>2.1.1.05.000</v>
      </c>
      <c r="D10" s="2" t="s">
        <v>898</v>
      </c>
      <c r="E10" s="12">
        <v>44316</v>
      </c>
      <c r="F10" s="4" t="s">
        <v>64</v>
      </c>
      <c r="G10" s="5" t="s">
        <v>900</v>
      </c>
      <c r="H10" s="4" t="s">
        <v>695</v>
      </c>
      <c r="I10" s="4" t="s">
        <v>975</v>
      </c>
      <c r="J10" s="6" t="s">
        <v>12</v>
      </c>
      <c r="K10" s="189">
        <v>0</v>
      </c>
      <c r="L10" s="189">
        <v>40500</v>
      </c>
      <c r="M10" s="193">
        <f t="shared" si="1"/>
        <v>-40500</v>
      </c>
      <c r="N10" s="2" t="s">
        <v>1000</v>
      </c>
    </row>
    <row r="11" spans="2:14" hidden="1" x14ac:dyDescent="0.3">
      <c r="B11" s="13" t="s">
        <v>91</v>
      </c>
      <c r="C11" s="14" t="str">
        <f t="shared" si="0"/>
        <v>2.1.1.05.000</v>
      </c>
      <c r="D11" s="2" t="s">
        <v>898</v>
      </c>
      <c r="E11" s="12">
        <v>44347</v>
      </c>
      <c r="F11" s="4" t="s">
        <v>901</v>
      </c>
      <c r="G11" s="5" t="s">
        <v>902</v>
      </c>
      <c r="H11" s="4" t="s">
        <v>695</v>
      </c>
      <c r="I11" s="4" t="s">
        <v>975</v>
      </c>
      <c r="J11" s="6" t="s">
        <v>12</v>
      </c>
      <c r="K11" s="189">
        <v>0</v>
      </c>
      <c r="L11" s="189">
        <v>27000</v>
      </c>
      <c r="M11" s="193">
        <f t="shared" si="1"/>
        <v>-27000</v>
      </c>
      <c r="N11" s="2" t="s">
        <v>1000</v>
      </c>
    </row>
    <row r="12" spans="2:14" hidden="1" x14ac:dyDescent="0.3">
      <c r="B12" s="13" t="s">
        <v>91</v>
      </c>
      <c r="C12" s="14" t="str">
        <f t="shared" si="0"/>
        <v>2.1.1.05.000</v>
      </c>
      <c r="D12" s="2" t="s">
        <v>898</v>
      </c>
      <c r="E12" s="12">
        <v>44377</v>
      </c>
      <c r="F12" s="4" t="s">
        <v>903</v>
      </c>
      <c r="G12" s="5" t="s">
        <v>904</v>
      </c>
      <c r="H12" s="4" t="s">
        <v>695</v>
      </c>
      <c r="I12" s="4" t="s">
        <v>975</v>
      </c>
      <c r="J12" s="6" t="s">
        <v>12</v>
      </c>
      <c r="K12" s="189">
        <v>0</v>
      </c>
      <c r="L12" s="189">
        <v>27000</v>
      </c>
      <c r="M12" s="193">
        <f t="shared" si="1"/>
        <v>-27000</v>
      </c>
      <c r="N12" s="2" t="s">
        <v>1000</v>
      </c>
    </row>
    <row r="13" spans="2:14" hidden="1" x14ac:dyDescent="0.3">
      <c r="B13" s="13" t="s">
        <v>91</v>
      </c>
      <c r="C13" s="14" t="str">
        <f t="shared" si="0"/>
        <v>2.1.1.05.000</v>
      </c>
      <c r="D13" s="2" t="s">
        <v>898</v>
      </c>
      <c r="E13" s="12">
        <v>44407</v>
      </c>
      <c r="F13" s="4" t="s">
        <v>905</v>
      </c>
      <c r="G13" s="5" t="s">
        <v>906</v>
      </c>
      <c r="H13" s="4" t="s">
        <v>695</v>
      </c>
      <c r="I13" s="4" t="s">
        <v>975</v>
      </c>
      <c r="J13" s="6" t="s">
        <v>12</v>
      </c>
      <c r="K13" s="189">
        <v>0</v>
      </c>
      <c r="L13" s="189">
        <v>27000</v>
      </c>
      <c r="M13" s="193">
        <f t="shared" si="1"/>
        <v>-27000</v>
      </c>
      <c r="N13" s="2" t="s">
        <v>1000</v>
      </c>
    </row>
    <row r="14" spans="2:14" hidden="1" x14ac:dyDescent="0.3">
      <c r="B14" s="13" t="s">
        <v>91</v>
      </c>
      <c r="C14" s="14" t="str">
        <f t="shared" si="0"/>
        <v>2.1.1.05.000</v>
      </c>
      <c r="D14" s="2" t="s">
        <v>898</v>
      </c>
      <c r="E14" s="12">
        <v>44439</v>
      </c>
      <c r="F14" s="4" t="s">
        <v>69</v>
      </c>
      <c r="G14" s="5" t="s">
        <v>906</v>
      </c>
      <c r="H14" s="4" t="s">
        <v>695</v>
      </c>
      <c r="I14" s="4" t="s">
        <v>975</v>
      </c>
      <c r="J14" s="6" t="s">
        <v>12</v>
      </c>
      <c r="K14" s="189">
        <v>0</v>
      </c>
      <c r="L14" s="189">
        <v>27000</v>
      </c>
      <c r="M14" s="193">
        <f t="shared" si="1"/>
        <v>-27000</v>
      </c>
      <c r="N14" s="2" t="s">
        <v>1000</v>
      </c>
    </row>
    <row r="15" spans="2:14" hidden="1" x14ac:dyDescent="0.3">
      <c r="B15" s="13" t="s">
        <v>91</v>
      </c>
      <c r="C15" s="14" t="str">
        <f t="shared" si="0"/>
        <v>2.1.1.05.000</v>
      </c>
      <c r="D15" s="2" t="s">
        <v>898</v>
      </c>
      <c r="E15" s="12">
        <v>44467</v>
      </c>
      <c r="F15" s="4" t="s">
        <v>79</v>
      </c>
      <c r="G15" s="5" t="s">
        <v>906</v>
      </c>
      <c r="H15" s="4" t="s">
        <v>695</v>
      </c>
      <c r="I15" s="4" t="s">
        <v>975</v>
      </c>
      <c r="J15" s="6" t="s">
        <v>12</v>
      </c>
      <c r="K15" s="189">
        <v>0</v>
      </c>
      <c r="L15" s="189">
        <v>27000</v>
      </c>
      <c r="M15" s="193">
        <f t="shared" si="1"/>
        <v>-27000</v>
      </c>
      <c r="N15" s="2" t="s">
        <v>1000</v>
      </c>
    </row>
    <row r="16" spans="2:14" hidden="1" x14ac:dyDescent="0.3">
      <c r="B16" s="13" t="s">
        <v>91</v>
      </c>
      <c r="C16" s="14" t="str">
        <f t="shared" si="0"/>
        <v>2.1.1.05.000</v>
      </c>
      <c r="D16" s="2" t="s">
        <v>898</v>
      </c>
      <c r="E16" s="12">
        <v>44498</v>
      </c>
      <c r="F16" s="4" t="s">
        <v>907</v>
      </c>
      <c r="G16" s="5" t="s">
        <v>906</v>
      </c>
      <c r="H16" s="4" t="s">
        <v>695</v>
      </c>
      <c r="I16" s="4" t="s">
        <v>975</v>
      </c>
      <c r="J16" s="6" t="s">
        <v>12</v>
      </c>
      <c r="K16" s="189">
        <v>0</v>
      </c>
      <c r="L16" s="189">
        <v>27000</v>
      </c>
      <c r="M16" s="193">
        <f t="shared" si="1"/>
        <v>-27000</v>
      </c>
      <c r="N16" s="2" t="s">
        <v>1000</v>
      </c>
    </row>
    <row r="17" spans="2:14" hidden="1" x14ac:dyDescent="0.3">
      <c r="B17" s="13" t="s">
        <v>91</v>
      </c>
      <c r="C17" s="14" t="str">
        <f t="shared" si="0"/>
        <v>2.1.1.05.000</v>
      </c>
      <c r="D17" s="2" t="s">
        <v>898</v>
      </c>
      <c r="E17" s="12">
        <v>44529</v>
      </c>
      <c r="F17" s="4" t="s">
        <v>907</v>
      </c>
      <c r="G17" s="5" t="s">
        <v>906</v>
      </c>
      <c r="H17" s="4" t="s">
        <v>695</v>
      </c>
      <c r="I17" s="4" t="s">
        <v>975</v>
      </c>
      <c r="J17" s="6" t="s">
        <v>12</v>
      </c>
      <c r="K17" s="189">
        <v>0</v>
      </c>
      <c r="L17" s="189">
        <v>27000</v>
      </c>
      <c r="M17" s="193">
        <f t="shared" si="1"/>
        <v>-27000</v>
      </c>
      <c r="N17" s="2" t="s">
        <v>1000</v>
      </c>
    </row>
    <row r="18" spans="2:14" hidden="1" x14ac:dyDescent="0.3">
      <c r="B18" s="13" t="s">
        <v>91</v>
      </c>
      <c r="C18" s="14" t="str">
        <f t="shared" si="0"/>
        <v>2.1.1.05.000</v>
      </c>
      <c r="D18" s="2" t="s">
        <v>898</v>
      </c>
      <c r="E18" s="12">
        <v>44560</v>
      </c>
      <c r="F18" s="4" t="s">
        <v>907</v>
      </c>
      <c r="G18" s="5" t="s">
        <v>906</v>
      </c>
      <c r="H18" s="4" t="s">
        <v>695</v>
      </c>
      <c r="I18" s="4" t="s">
        <v>975</v>
      </c>
      <c r="J18" s="6" t="s">
        <v>12</v>
      </c>
      <c r="K18" s="189">
        <v>0</v>
      </c>
      <c r="L18" s="189">
        <v>27000</v>
      </c>
      <c r="M18" s="193">
        <f t="shared" si="1"/>
        <v>-27000</v>
      </c>
      <c r="N18" s="2" t="s">
        <v>1000</v>
      </c>
    </row>
    <row r="19" spans="2:14" hidden="1" x14ac:dyDescent="0.3">
      <c r="B19" s="13" t="s">
        <v>91</v>
      </c>
      <c r="C19" s="14" t="str">
        <f t="shared" si="0"/>
        <v>2.1.1.05.000</v>
      </c>
      <c r="D19" s="2" t="s">
        <v>898</v>
      </c>
      <c r="E19" s="12">
        <v>44561</v>
      </c>
      <c r="F19" s="4" t="s">
        <v>908</v>
      </c>
      <c r="G19" s="5" t="s">
        <v>909</v>
      </c>
      <c r="H19" s="4" t="s">
        <v>695</v>
      </c>
      <c r="I19" s="4" t="s">
        <v>975</v>
      </c>
      <c r="J19" s="6" t="s">
        <v>12</v>
      </c>
      <c r="K19" s="189">
        <v>324000</v>
      </c>
      <c r="L19" s="189">
        <v>0</v>
      </c>
      <c r="M19" s="193">
        <f t="shared" si="1"/>
        <v>324000</v>
      </c>
      <c r="N19" s="2" t="s">
        <v>1000</v>
      </c>
    </row>
    <row r="20" spans="2:14" hidden="1" x14ac:dyDescent="0.3">
      <c r="B20" s="13" t="s">
        <v>92</v>
      </c>
      <c r="C20" s="14" t="str">
        <f t="shared" si="0"/>
        <v>2.1.1.05.000</v>
      </c>
      <c r="D20" s="2" t="s">
        <v>898</v>
      </c>
      <c r="E20" s="12">
        <v>44592</v>
      </c>
      <c r="F20" s="4" t="s">
        <v>75</v>
      </c>
      <c r="G20" s="5" t="s">
        <v>910</v>
      </c>
      <c r="H20" s="4" t="s">
        <v>695</v>
      </c>
      <c r="I20" s="4" t="s">
        <v>975</v>
      </c>
      <c r="J20" s="6" t="s">
        <v>12</v>
      </c>
      <c r="K20" s="189">
        <v>0</v>
      </c>
      <c r="L20" s="189">
        <v>59713.2</v>
      </c>
      <c r="M20" s="193">
        <f t="shared" si="1"/>
        <v>-59713.2</v>
      </c>
      <c r="N20" s="2" t="s">
        <v>1000</v>
      </c>
    </row>
    <row r="21" spans="2:14" hidden="1" x14ac:dyDescent="0.3">
      <c r="B21" s="13" t="s">
        <v>92</v>
      </c>
      <c r="C21" s="14" t="str">
        <f t="shared" si="0"/>
        <v>2.1.1.05.000</v>
      </c>
      <c r="D21" s="2" t="s">
        <v>898</v>
      </c>
      <c r="E21" s="12">
        <v>44620</v>
      </c>
      <c r="F21" s="4" t="s">
        <v>80</v>
      </c>
      <c r="G21" s="5" t="s">
        <v>910</v>
      </c>
      <c r="H21" s="4" t="s">
        <v>695</v>
      </c>
      <c r="I21" s="4" t="s">
        <v>975</v>
      </c>
      <c r="J21" s="6" t="s">
        <v>12</v>
      </c>
      <c r="K21" s="189">
        <v>0</v>
      </c>
      <c r="L21" s="189">
        <v>59713.2</v>
      </c>
      <c r="M21" s="193">
        <f t="shared" si="1"/>
        <v>-59713.2</v>
      </c>
      <c r="N21" s="2" t="s">
        <v>1000</v>
      </c>
    </row>
    <row r="22" spans="2:14" hidden="1" x14ac:dyDescent="0.3">
      <c r="B22" s="13" t="s">
        <v>92</v>
      </c>
      <c r="C22" s="14" t="str">
        <f t="shared" si="0"/>
        <v>2.1.1.05.000</v>
      </c>
      <c r="D22" s="2" t="s">
        <v>898</v>
      </c>
      <c r="E22" s="12">
        <v>44621</v>
      </c>
      <c r="F22" s="4" t="s">
        <v>76</v>
      </c>
      <c r="G22" s="5" t="s">
        <v>994</v>
      </c>
      <c r="H22" s="4" t="s">
        <v>976</v>
      </c>
      <c r="I22" s="4" t="s">
        <v>975</v>
      </c>
      <c r="J22" s="6" t="s">
        <v>12</v>
      </c>
      <c r="K22" s="189">
        <v>0</v>
      </c>
      <c r="L22" s="189">
        <v>8000</v>
      </c>
      <c r="M22" s="193">
        <f t="shared" si="1"/>
        <v>-8000</v>
      </c>
      <c r="N22" s="2" t="s">
        <v>1000</v>
      </c>
    </row>
    <row r="23" spans="2:14" hidden="1" x14ac:dyDescent="0.3">
      <c r="B23" s="13" t="s">
        <v>92</v>
      </c>
      <c r="C23" s="14" t="str">
        <f t="shared" si="0"/>
        <v>2.1.1.05.000</v>
      </c>
      <c r="D23" s="2" t="s">
        <v>898</v>
      </c>
      <c r="E23" s="12">
        <v>44624</v>
      </c>
      <c r="F23" s="4" t="s">
        <v>911</v>
      </c>
      <c r="G23" s="4" t="s">
        <v>995</v>
      </c>
      <c r="H23" s="4" t="s">
        <v>235</v>
      </c>
      <c r="I23" s="4" t="s">
        <v>975</v>
      </c>
      <c r="J23" s="6" t="s">
        <v>12</v>
      </c>
      <c r="K23" s="189">
        <v>8000</v>
      </c>
      <c r="L23" s="189">
        <v>0</v>
      </c>
      <c r="M23" s="193">
        <f t="shared" si="1"/>
        <v>8000</v>
      </c>
      <c r="N23" s="2" t="s">
        <v>1000</v>
      </c>
    </row>
    <row r="24" spans="2:14" hidden="1" x14ac:dyDescent="0.3">
      <c r="B24" s="13" t="s">
        <v>92</v>
      </c>
      <c r="C24" s="14" t="str">
        <f t="shared" si="0"/>
        <v>2.1.1.05.000</v>
      </c>
      <c r="D24" s="2" t="s">
        <v>898</v>
      </c>
      <c r="E24" s="12">
        <v>44651</v>
      </c>
      <c r="F24" s="4" t="s">
        <v>69</v>
      </c>
      <c r="G24" s="5" t="s">
        <v>910</v>
      </c>
      <c r="H24" s="4" t="s">
        <v>695</v>
      </c>
      <c r="I24" s="4" t="s">
        <v>975</v>
      </c>
      <c r="J24" s="6" t="s">
        <v>12</v>
      </c>
      <c r="K24" s="189">
        <v>0</v>
      </c>
      <c r="L24" s="189">
        <v>59713.2</v>
      </c>
      <c r="M24" s="193">
        <f t="shared" si="1"/>
        <v>-59713.2</v>
      </c>
      <c r="N24" s="2" t="s">
        <v>1000</v>
      </c>
    </row>
    <row r="25" spans="2:14" hidden="1" x14ac:dyDescent="0.3">
      <c r="B25" s="13" t="s">
        <v>92</v>
      </c>
      <c r="C25" s="14" t="str">
        <f t="shared" si="0"/>
        <v>2.1.1.05.000</v>
      </c>
      <c r="D25" s="2" t="s">
        <v>898</v>
      </c>
      <c r="E25" s="12">
        <v>44651</v>
      </c>
      <c r="F25" s="4" t="s">
        <v>912</v>
      </c>
      <c r="G25" s="5" t="s">
        <v>996</v>
      </c>
      <c r="H25" s="4" t="s">
        <v>683</v>
      </c>
      <c r="I25" s="4" t="s">
        <v>975</v>
      </c>
      <c r="J25" s="6" t="s">
        <v>12</v>
      </c>
      <c r="K25" s="189">
        <v>0</v>
      </c>
      <c r="L25" s="189">
        <v>8000</v>
      </c>
      <c r="M25" s="193">
        <f t="shared" si="1"/>
        <v>-8000</v>
      </c>
      <c r="N25" s="2" t="s">
        <v>1000</v>
      </c>
    </row>
    <row r="26" spans="2:14" hidden="1" x14ac:dyDescent="0.3">
      <c r="B26" s="13" t="s">
        <v>92</v>
      </c>
      <c r="C26" s="14" t="str">
        <f t="shared" si="0"/>
        <v>2.1.1.05.000</v>
      </c>
      <c r="D26" s="2" t="s">
        <v>898</v>
      </c>
      <c r="E26" s="12">
        <v>44681</v>
      </c>
      <c r="F26" s="4" t="s">
        <v>76</v>
      </c>
      <c r="G26" s="5" t="s">
        <v>910</v>
      </c>
      <c r="H26" s="4" t="s">
        <v>695</v>
      </c>
      <c r="I26" s="4" t="s">
        <v>975</v>
      </c>
      <c r="J26" s="6" t="s">
        <v>12</v>
      </c>
      <c r="K26" s="189">
        <v>0</v>
      </c>
      <c r="L26" s="189">
        <v>59713.2</v>
      </c>
      <c r="M26" s="193">
        <f t="shared" si="1"/>
        <v>-59713.2</v>
      </c>
      <c r="N26" s="2" t="s">
        <v>1000</v>
      </c>
    </row>
    <row r="27" spans="2:14" hidden="1" x14ac:dyDescent="0.3">
      <c r="B27" s="13" t="s">
        <v>92</v>
      </c>
      <c r="C27" s="14" t="str">
        <f t="shared" si="0"/>
        <v>2.1.1.05.000</v>
      </c>
      <c r="D27" s="2" t="s">
        <v>898</v>
      </c>
      <c r="E27" s="12">
        <v>44712</v>
      </c>
      <c r="F27" s="4" t="s">
        <v>907</v>
      </c>
      <c r="G27" s="5" t="s">
        <v>910</v>
      </c>
      <c r="H27" s="4" t="s">
        <v>695</v>
      </c>
      <c r="I27" s="4" t="s">
        <v>975</v>
      </c>
      <c r="J27" s="6" t="s">
        <v>12</v>
      </c>
      <c r="K27" s="189">
        <v>0</v>
      </c>
      <c r="L27" s="189">
        <v>59713.2</v>
      </c>
      <c r="M27" s="193">
        <f t="shared" si="1"/>
        <v>-59713.2</v>
      </c>
      <c r="N27" s="2" t="s">
        <v>1000</v>
      </c>
    </row>
    <row r="28" spans="2:14" hidden="1" x14ac:dyDescent="0.3">
      <c r="B28" s="13" t="s">
        <v>92</v>
      </c>
      <c r="C28" s="14" t="str">
        <f t="shared" si="0"/>
        <v>2.1.1.05.000</v>
      </c>
      <c r="D28" s="2" t="s">
        <v>898</v>
      </c>
      <c r="E28" s="12">
        <v>44742</v>
      </c>
      <c r="F28" s="4" t="s">
        <v>913</v>
      </c>
      <c r="G28" s="5" t="s">
        <v>910</v>
      </c>
      <c r="H28" s="4" t="s">
        <v>695</v>
      </c>
      <c r="I28" s="4" t="s">
        <v>975</v>
      </c>
      <c r="J28" s="6" t="s">
        <v>12</v>
      </c>
      <c r="K28" s="189">
        <v>0</v>
      </c>
      <c r="L28" s="189">
        <v>59713.2</v>
      </c>
      <c r="M28" s="193">
        <f t="shared" si="1"/>
        <v>-59713.2</v>
      </c>
      <c r="N28" s="2" t="s">
        <v>1000</v>
      </c>
    </row>
    <row r="29" spans="2:14" hidden="1" x14ac:dyDescent="0.3">
      <c r="B29" s="13" t="s">
        <v>92</v>
      </c>
      <c r="C29" s="14" t="str">
        <f t="shared" si="0"/>
        <v>2.1.1.05.000</v>
      </c>
      <c r="D29" s="2" t="s">
        <v>898</v>
      </c>
      <c r="E29" s="12">
        <v>44773</v>
      </c>
      <c r="F29" s="4" t="s">
        <v>69</v>
      </c>
      <c r="G29" s="5" t="s">
        <v>910</v>
      </c>
      <c r="H29" s="4" t="s">
        <v>695</v>
      </c>
      <c r="I29" s="4" t="s">
        <v>975</v>
      </c>
      <c r="J29" s="6" t="s">
        <v>12</v>
      </c>
      <c r="K29" s="189">
        <v>0</v>
      </c>
      <c r="L29" s="189">
        <v>59713.2</v>
      </c>
      <c r="M29" s="193">
        <f t="shared" si="1"/>
        <v>-59713.2</v>
      </c>
      <c r="N29" s="2" t="s">
        <v>1000</v>
      </c>
    </row>
    <row r="30" spans="2:14" hidden="1" x14ac:dyDescent="0.3">
      <c r="B30" s="13" t="s">
        <v>92</v>
      </c>
      <c r="C30" s="14" t="str">
        <f t="shared" si="0"/>
        <v>2.1.1.05.000</v>
      </c>
      <c r="D30" s="2" t="s">
        <v>898</v>
      </c>
      <c r="E30" s="12">
        <v>44803</v>
      </c>
      <c r="F30" s="4" t="s">
        <v>69</v>
      </c>
      <c r="G30" s="5" t="s">
        <v>910</v>
      </c>
      <c r="H30" s="4" t="s">
        <v>695</v>
      </c>
      <c r="I30" s="4" t="s">
        <v>975</v>
      </c>
      <c r="J30" s="6" t="s">
        <v>12</v>
      </c>
      <c r="K30" s="189">
        <v>0</v>
      </c>
      <c r="L30" s="189">
        <v>59713.2</v>
      </c>
      <c r="M30" s="193">
        <f t="shared" si="1"/>
        <v>-59713.2</v>
      </c>
      <c r="N30" s="2" t="s">
        <v>1000</v>
      </c>
    </row>
    <row r="31" spans="2:14" hidden="1" x14ac:dyDescent="0.3">
      <c r="B31" s="13" t="s">
        <v>92</v>
      </c>
      <c r="C31" s="14" t="str">
        <f t="shared" si="0"/>
        <v>2.1.1.05.000</v>
      </c>
      <c r="D31" s="2" t="s">
        <v>898</v>
      </c>
      <c r="E31" s="12">
        <v>44834</v>
      </c>
      <c r="F31" s="4" t="s">
        <v>907</v>
      </c>
      <c r="G31" s="5" t="s">
        <v>910</v>
      </c>
      <c r="H31" s="4" t="s">
        <v>695</v>
      </c>
      <c r="I31" s="4" t="s">
        <v>975</v>
      </c>
      <c r="J31" s="6" t="s">
        <v>12</v>
      </c>
      <c r="K31" s="189">
        <v>0</v>
      </c>
      <c r="L31" s="189">
        <v>59713.2</v>
      </c>
      <c r="M31" s="193">
        <f t="shared" si="1"/>
        <v>-59713.2</v>
      </c>
      <c r="N31" s="2" t="s">
        <v>1000</v>
      </c>
    </row>
    <row r="32" spans="2:14" hidden="1" x14ac:dyDescent="0.3">
      <c r="B32" s="13" t="s">
        <v>92</v>
      </c>
      <c r="C32" s="14" t="str">
        <f t="shared" si="0"/>
        <v>2.1.1.05.000</v>
      </c>
      <c r="D32" s="2" t="s">
        <v>898</v>
      </c>
      <c r="E32" s="12">
        <v>44835</v>
      </c>
      <c r="F32" s="4" t="s">
        <v>913</v>
      </c>
      <c r="G32" s="5" t="s">
        <v>910</v>
      </c>
      <c r="H32" s="4" t="s">
        <v>695</v>
      </c>
      <c r="I32" s="4" t="s">
        <v>975</v>
      </c>
      <c r="J32" s="6" t="s">
        <v>12</v>
      </c>
      <c r="K32" s="189">
        <v>0</v>
      </c>
      <c r="L32" s="189">
        <v>59713.2</v>
      </c>
      <c r="M32" s="193">
        <f t="shared" si="1"/>
        <v>-59713.2</v>
      </c>
      <c r="N32" s="2" t="s">
        <v>1000</v>
      </c>
    </row>
    <row r="33" spans="2:14" hidden="1" x14ac:dyDescent="0.3">
      <c r="B33" s="13" t="s">
        <v>92</v>
      </c>
      <c r="C33" s="14" t="str">
        <f t="shared" si="0"/>
        <v>2.1.1.05.000</v>
      </c>
      <c r="D33" s="2" t="s">
        <v>898</v>
      </c>
      <c r="E33" s="12">
        <v>44895</v>
      </c>
      <c r="F33" s="4" t="s">
        <v>82</v>
      </c>
      <c r="G33" s="5" t="s">
        <v>910</v>
      </c>
      <c r="H33" s="4" t="s">
        <v>695</v>
      </c>
      <c r="I33" s="4" t="s">
        <v>975</v>
      </c>
      <c r="J33" s="6" t="s">
        <v>12</v>
      </c>
      <c r="K33" s="189">
        <v>246852.8</v>
      </c>
      <c r="L33" s="189">
        <v>0</v>
      </c>
      <c r="M33" s="193">
        <f t="shared" si="1"/>
        <v>246852.8</v>
      </c>
      <c r="N33" s="2" t="s">
        <v>1000</v>
      </c>
    </row>
    <row r="34" spans="2:14" hidden="1" x14ac:dyDescent="0.3">
      <c r="B34" s="13" t="s">
        <v>92</v>
      </c>
      <c r="C34" s="14" t="str">
        <f t="shared" si="0"/>
        <v>2.1.1.05.000</v>
      </c>
      <c r="D34" s="2" t="s">
        <v>898</v>
      </c>
      <c r="E34" s="12">
        <v>44925</v>
      </c>
      <c r="F34" s="4" t="s">
        <v>914</v>
      </c>
      <c r="G34" s="5" t="s">
        <v>915</v>
      </c>
      <c r="H34" s="4" t="s">
        <v>695</v>
      </c>
      <c r="I34" s="4" t="s">
        <v>975</v>
      </c>
      <c r="J34" s="6" t="s">
        <v>12</v>
      </c>
      <c r="K34" s="189">
        <v>358279.2</v>
      </c>
      <c r="L34" s="189">
        <v>0</v>
      </c>
      <c r="M34" s="193">
        <f t="shared" si="1"/>
        <v>358279.2</v>
      </c>
      <c r="N34" s="2" t="s">
        <v>1000</v>
      </c>
    </row>
    <row r="35" spans="2:14" hidden="1" x14ac:dyDescent="0.3">
      <c r="B35" s="13" t="s">
        <v>93</v>
      </c>
      <c r="C35" s="14" t="str">
        <f t="shared" si="0"/>
        <v>2.1.1.05.000</v>
      </c>
      <c r="D35" s="2" t="s">
        <v>898</v>
      </c>
      <c r="E35" s="12">
        <v>44957</v>
      </c>
      <c r="F35" s="4" t="s">
        <v>78</v>
      </c>
      <c r="G35" s="5" t="s">
        <v>910</v>
      </c>
      <c r="H35" s="4" t="s">
        <v>695</v>
      </c>
      <c r="I35" s="4" t="s">
        <v>975</v>
      </c>
      <c r="J35" s="6" t="s">
        <v>12</v>
      </c>
      <c r="K35" s="189">
        <v>0</v>
      </c>
      <c r="L35" s="189">
        <v>66439</v>
      </c>
      <c r="M35" s="192">
        <f t="shared" si="1"/>
        <v>-66439</v>
      </c>
    </row>
    <row r="36" spans="2:14" hidden="1" x14ac:dyDescent="0.3">
      <c r="B36" s="13" t="s">
        <v>93</v>
      </c>
      <c r="C36" s="14" t="str">
        <f t="shared" si="0"/>
        <v>2.1.1.05.000</v>
      </c>
      <c r="D36" s="2" t="s">
        <v>898</v>
      </c>
      <c r="E36" s="12">
        <v>44985</v>
      </c>
      <c r="F36" s="4" t="s">
        <v>64</v>
      </c>
      <c r="G36" s="5" t="s">
        <v>910</v>
      </c>
      <c r="H36" s="4" t="s">
        <v>695</v>
      </c>
      <c r="I36" s="4" t="s">
        <v>975</v>
      </c>
      <c r="J36" s="6" t="s">
        <v>12</v>
      </c>
      <c r="K36" s="189">
        <v>0</v>
      </c>
      <c r="L36" s="189">
        <v>66439</v>
      </c>
      <c r="M36" s="192">
        <f t="shared" si="1"/>
        <v>-66439</v>
      </c>
    </row>
    <row r="37" spans="2:14" hidden="1" x14ac:dyDescent="0.3">
      <c r="B37" s="13" t="s">
        <v>93</v>
      </c>
      <c r="C37" s="14" t="str">
        <f t="shared" si="0"/>
        <v>2.1.1.05.000</v>
      </c>
      <c r="D37" s="2" t="s">
        <v>898</v>
      </c>
      <c r="E37" s="12">
        <v>45016</v>
      </c>
      <c r="F37" s="4" t="s">
        <v>79</v>
      </c>
      <c r="G37" s="5" t="s">
        <v>910</v>
      </c>
      <c r="H37" s="4" t="s">
        <v>695</v>
      </c>
      <c r="I37" s="4" t="s">
        <v>975</v>
      </c>
      <c r="J37" s="6" t="s">
        <v>12</v>
      </c>
      <c r="K37" s="189">
        <v>0</v>
      </c>
      <c r="L37" s="189">
        <v>66439</v>
      </c>
      <c r="M37" s="192">
        <f t="shared" si="1"/>
        <v>-66439</v>
      </c>
    </row>
    <row r="38" spans="2:14" hidden="1" x14ac:dyDescent="0.3">
      <c r="B38" s="13" t="s">
        <v>93</v>
      </c>
      <c r="C38" s="14" t="str">
        <f t="shared" si="0"/>
        <v>2.1.1.05.000</v>
      </c>
      <c r="D38" s="2" t="s">
        <v>898</v>
      </c>
      <c r="E38" s="12">
        <v>45016</v>
      </c>
      <c r="F38" s="4" t="s">
        <v>72</v>
      </c>
      <c r="G38" s="5" t="s">
        <v>910</v>
      </c>
      <c r="H38" s="4" t="s">
        <v>695</v>
      </c>
      <c r="I38" s="4" t="s">
        <v>975</v>
      </c>
      <c r="J38" s="6" t="s">
        <v>12</v>
      </c>
      <c r="K38" s="189">
        <v>0</v>
      </c>
      <c r="L38" s="189">
        <v>1</v>
      </c>
      <c r="M38" s="192">
        <f t="shared" si="1"/>
        <v>-1</v>
      </c>
    </row>
    <row r="39" spans="2:14" hidden="1" x14ac:dyDescent="0.3">
      <c r="B39" s="13" t="s">
        <v>93</v>
      </c>
      <c r="C39" s="14" t="str">
        <f t="shared" si="0"/>
        <v>2.1.1.05.000</v>
      </c>
      <c r="D39" s="2" t="s">
        <v>898</v>
      </c>
      <c r="E39" s="12">
        <v>45046</v>
      </c>
      <c r="F39" s="4" t="s">
        <v>72</v>
      </c>
      <c r="G39" s="5" t="s">
        <v>910</v>
      </c>
      <c r="H39" s="4" t="s">
        <v>695</v>
      </c>
      <c r="I39" s="4" t="s">
        <v>975</v>
      </c>
      <c r="J39" s="6" t="s">
        <v>12</v>
      </c>
      <c r="K39" s="189">
        <v>0</v>
      </c>
      <c r="L39" s="189">
        <v>66440</v>
      </c>
      <c r="M39" s="192">
        <f t="shared" si="1"/>
        <v>-66440</v>
      </c>
    </row>
    <row r="40" spans="2:14" hidden="1" x14ac:dyDescent="0.3">
      <c r="B40" s="13" t="s">
        <v>93</v>
      </c>
      <c r="C40" s="14" t="str">
        <f t="shared" si="0"/>
        <v>2.1.1.05.000</v>
      </c>
      <c r="D40" s="2" t="s">
        <v>898</v>
      </c>
      <c r="E40" s="12">
        <v>45077</v>
      </c>
      <c r="F40" s="4" t="s">
        <v>916</v>
      </c>
      <c r="G40" s="5" t="s">
        <v>917</v>
      </c>
      <c r="H40" s="4" t="s">
        <v>695</v>
      </c>
      <c r="I40" s="4" t="s">
        <v>975</v>
      </c>
      <c r="J40" s="6" t="s">
        <v>12</v>
      </c>
      <c r="K40" s="189">
        <v>0</v>
      </c>
      <c r="L40" s="189">
        <v>66439</v>
      </c>
      <c r="M40" s="192">
        <f t="shared" si="1"/>
        <v>-66439</v>
      </c>
    </row>
    <row r="41" spans="2:14" hidden="1" x14ac:dyDescent="0.3">
      <c r="B41" s="13" t="s">
        <v>93</v>
      </c>
      <c r="C41" s="14" t="str">
        <f t="shared" si="0"/>
        <v>2.1.1.05.000</v>
      </c>
      <c r="D41" s="2" t="s">
        <v>898</v>
      </c>
      <c r="E41" s="12">
        <v>45107</v>
      </c>
      <c r="F41" s="4" t="s">
        <v>918</v>
      </c>
      <c r="G41" s="5" t="s">
        <v>917</v>
      </c>
      <c r="H41" s="4" t="s">
        <v>695</v>
      </c>
      <c r="I41" s="4" t="s">
        <v>975</v>
      </c>
      <c r="J41" s="6" t="s">
        <v>12</v>
      </c>
      <c r="K41" s="189">
        <v>0</v>
      </c>
      <c r="L41" s="189">
        <v>7639</v>
      </c>
      <c r="M41" s="192">
        <f t="shared" si="1"/>
        <v>-7639</v>
      </c>
    </row>
    <row r="42" spans="2:14" hidden="1" x14ac:dyDescent="0.3">
      <c r="B42" s="13" t="s">
        <v>93</v>
      </c>
      <c r="C42" s="14" t="str">
        <f t="shared" si="0"/>
        <v>2.1.1.05.000</v>
      </c>
      <c r="D42" s="2" t="s">
        <v>898</v>
      </c>
      <c r="E42" s="12">
        <v>45138</v>
      </c>
      <c r="F42" s="4" t="s">
        <v>919</v>
      </c>
      <c r="G42" s="5" t="s">
        <v>917</v>
      </c>
      <c r="H42" s="4" t="s">
        <v>695</v>
      </c>
      <c r="I42" s="4" t="s">
        <v>975</v>
      </c>
      <c r="J42" s="6" t="s">
        <v>12</v>
      </c>
      <c r="K42" s="189">
        <v>0</v>
      </c>
      <c r="L42" s="189">
        <v>56639</v>
      </c>
      <c r="M42" s="192">
        <f t="shared" si="1"/>
        <v>-56639</v>
      </c>
    </row>
    <row r="43" spans="2:14" hidden="1" x14ac:dyDescent="0.3">
      <c r="B43" s="13" t="s">
        <v>93</v>
      </c>
      <c r="C43" s="14" t="str">
        <f t="shared" si="0"/>
        <v>2.1.1.05.000</v>
      </c>
      <c r="D43" s="2" t="s">
        <v>898</v>
      </c>
      <c r="E43" s="12">
        <v>45169</v>
      </c>
      <c r="F43" s="4" t="s">
        <v>74</v>
      </c>
      <c r="G43" s="5" t="s">
        <v>917</v>
      </c>
      <c r="H43" s="4" t="s">
        <v>695</v>
      </c>
      <c r="I43" s="4" t="s">
        <v>975</v>
      </c>
      <c r="J43" s="6" t="s">
        <v>12</v>
      </c>
      <c r="K43" s="189">
        <v>0</v>
      </c>
      <c r="L43" s="189">
        <v>56640</v>
      </c>
      <c r="M43" s="192">
        <f t="shared" si="1"/>
        <v>-56640</v>
      </c>
    </row>
    <row r="44" spans="2:14" hidden="1" x14ac:dyDescent="0.3">
      <c r="B44" s="13" t="s">
        <v>93</v>
      </c>
      <c r="C44" s="14" t="str">
        <f t="shared" si="0"/>
        <v>2.1.1.05.000</v>
      </c>
      <c r="D44" s="2" t="s">
        <v>898</v>
      </c>
      <c r="E44" s="12">
        <v>45199</v>
      </c>
      <c r="F44" s="4" t="s">
        <v>74</v>
      </c>
      <c r="G44" s="5" t="s">
        <v>917</v>
      </c>
      <c r="H44" s="4" t="s">
        <v>695</v>
      </c>
      <c r="I44" s="4" t="s">
        <v>975</v>
      </c>
      <c r="J44" s="6" t="s">
        <v>12</v>
      </c>
      <c r="K44" s="189">
        <v>0</v>
      </c>
      <c r="L44" s="189">
        <v>56639</v>
      </c>
      <c r="M44" s="192">
        <f t="shared" si="1"/>
        <v>-56639</v>
      </c>
    </row>
    <row r="45" spans="2:14" hidden="1" x14ac:dyDescent="0.3">
      <c r="B45" s="13" t="s">
        <v>93</v>
      </c>
      <c r="C45" s="14" t="str">
        <f t="shared" si="0"/>
        <v>2.1.1.05.000</v>
      </c>
      <c r="D45" s="2" t="s">
        <v>898</v>
      </c>
      <c r="E45" s="12">
        <v>45230</v>
      </c>
      <c r="F45" s="4" t="s">
        <v>920</v>
      </c>
      <c r="G45" s="5" t="s">
        <v>917</v>
      </c>
      <c r="H45" s="4" t="s">
        <v>695</v>
      </c>
      <c r="I45" s="4" t="s">
        <v>975</v>
      </c>
      <c r="J45" s="6" t="s">
        <v>12</v>
      </c>
      <c r="K45" s="189">
        <v>0</v>
      </c>
      <c r="L45" s="189">
        <v>56640</v>
      </c>
      <c r="M45" s="192">
        <f t="shared" si="1"/>
        <v>-56640</v>
      </c>
    </row>
    <row r="46" spans="2:14" hidden="1" x14ac:dyDescent="0.3">
      <c r="B46" s="13" t="s">
        <v>93</v>
      </c>
      <c r="C46" s="14" t="str">
        <f t="shared" si="0"/>
        <v>2.1.1.05.000</v>
      </c>
      <c r="D46" s="2" t="s">
        <v>898</v>
      </c>
      <c r="E46" s="12">
        <v>45260</v>
      </c>
      <c r="F46" s="4" t="s">
        <v>921</v>
      </c>
      <c r="G46" s="5" t="s">
        <v>917</v>
      </c>
      <c r="H46" s="4" t="s">
        <v>695</v>
      </c>
      <c r="I46" s="4" t="s">
        <v>975</v>
      </c>
      <c r="J46" s="6" t="s">
        <v>12</v>
      </c>
      <c r="K46" s="189">
        <v>116611</v>
      </c>
      <c r="L46" s="189">
        <v>0</v>
      </c>
      <c r="M46" s="192">
        <f t="shared" si="1"/>
        <v>116611</v>
      </c>
    </row>
    <row r="47" spans="2:14" hidden="1" x14ac:dyDescent="0.3">
      <c r="B47" s="13" t="s">
        <v>93</v>
      </c>
      <c r="C47" s="14" t="str">
        <f t="shared" si="0"/>
        <v>2.1.1.05.000</v>
      </c>
      <c r="D47" s="2" t="s">
        <v>898</v>
      </c>
      <c r="E47" s="12">
        <v>45291</v>
      </c>
      <c r="F47" s="4" t="s">
        <v>921</v>
      </c>
      <c r="G47" s="5" t="s">
        <v>917</v>
      </c>
      <c r="H47" s="4" t="s">
        <v>695</v>
      </c>
      <c r="I47" s="4" t="s">
        <v>975</v>
      </c>
      <c r="J47" s="6" t="s">
        <v>12</v>
      </c>
      <c r="K47" s="189">
        <v>14960</v>
      </c>
      <c r="L47" s="189">
        <v>0</v>
      </c>
      <c r="M47" s="192">
        <f t="shared" si="1"/>
        <v>14960</v>
      </c>
    </row>
    <row r="48" spans="2:14" hidden="1" x14ac:dyDescent="0.3">
      <c r="B48" s="13" t="s">
        <v>93</v>
      </c>
      <c r="C48" s="14" t="str">
        <f t="shared" si="0"/>
        <v>2.1.1.05.000</v>
      </c>
      <c r="D48" s="2" t="s">
        <v>898</v>
      </c>
      <c r="E48" s="12">
        <v>45291</v>
      </c>
      <c r="F48" s="4" t="s">
        <v>922</v>
      </c>
      <c r="G48" s="5" t="s">
        <v>917</v>
      </c>
      <c r="H48" s="4" t="s">
        <v>695</v>
      </c>
      <c r="I48" s="4" t="s">
        <v>975</v>
      </c>
      <c r="J48" s="6" t="s">
        <v>12</v>
      </c>
      <c r="K48" s="189">
        <v>92600</v>
      </c>
      <c r="L48" s="189">
        <v>0</v>
      </c>
      <c r="M48" s="192">
        <f t="shared" si="1"/>
        <v>92600</v>
      </c>
    </row>
    <row r="49" spans="2:13" x14ac:dyDescent="0.3">
      <c r="B49" s="13" t="s">
        <v>94</v>
      </c>
      <c r="C49" s="14" t="str">
        <f>MID(D49,1,12)</f>
        <v>2.1.1.05.000</v>
      </c>
      <c r="D49" s="2" t="s">
        <v>898</v>
      </c>
      <c r="E49" s="12">
        <v>45412</v>
      </c>
      <c r="F49" s="4" t="s">
        <v>926</v>
      </c>
      <c r="G49" s="5" t="s">
        <v>927</v>
      </c>
      <c r="H49" s="4" t="s">
        <v>693</v>
      </c>
      <c r="I49" s="4" t="s">
        <v>977</v>
      </c>
      <c r="J49" s="6" t="s">
        <v>12</v>
      </c>
      <c r="K49" s="189">
        <v>97699.01</v>
      </c>
      <c r="L49" s="189">
        <v>0</v>
      </c>
      <c r="M49" s="191">
        <f>K49-L49</f>
        <v>97699.01</v>
      </c>
    </row>
    <row r="50" spans="2:13" x14ac:dyDescent="0.3">
      <c r="B50" s="13" t="s">
        <v>94</v>
      </c>
      <c r="C50" s="14" t="str">
        <f>MID(D50,1,12)</f>
        <v>2.1.1.05.000</v>
      </c>
      <c r="D50" s="2" t="s">
        <v>898</v>
      </c>
      <c r="E50" s="12">
        <v>45657</v>
      </c>
      <c r="F50" s="4" t="s">
        <v>944</v>
      </c>
      <c r="G50" s="5" t="s">
        <v>942</v>
      </c>
      <c r="H50" s="4" t="s">
        <v>695</v>
      </c>
      <c r="I50" s="4" t="s">
        <v>975</v>
      </c>
      <c r="J50" s="6" t="s">
        <v>12</v>
      </c>
      <c r="K50" s="189">
        <v>75000</v>
      </c>
      <c r="L50" s="189">
        <v>0</v>
      </c>
      <c r="M50" s="3">
        <f>K50-L50</f>
        <v>75000</v>
      </c>
    </row>
    <row r="51" spans="2:13" x14ac:dyDescent="0.3">
      <c r="B51" s="13" t="s">
        <v>94</v>
      </c>
      <c r="C51" s="14" t="str">
        <f>MID(D51,1,12)</f>
        <v>2.1.1.05.000</v>
      </c>
      <c r="D51" s="2" t="s">
        <v>898</v>
      </c>
      <c r="E51" s="12">
        <v>45387</v>
      </c>
      <c r="F51" s="4" t="s">
        <v>925</v>
      </c>
      <c r="G51" s="4" t="s">
        <v>997</v>
      </c>
      <c r="H51" s="4" t="s">
        <v>249</v>
      </c>
      <c r="I51" s="4" t="s">
        <v>977</v>
      </c>
      <c r="J51" s="6" t="s">
        <v>12</v>
      </c>
      <c r="K51" s="189">
        <v>71574.929999999993</v>
      </c>
      <c r="L51" s="189">
        <v>0</v>
      </c>
      <c r="M51" s="3">
        <f>K51-L51</f>
        <v>71574.929999999993</v>
      </c>
    </row>
    <row r="52" spans="2:13" x14ac:dyDescent="0.3">
      <c r="B52" s="13" t="s">
        <v>94</v>
      </c>
      <c r="C52" s="14" t="str">
        <f>MID(D52,1,12)</f>
        <v>2.1.1.05.000</v>
      </c>
      <c r="D52" s="2" t="s">
        <v>898</v>
      </c>
      <c r="E52" s="12">
        <v>45566</v>
      </c>
      <c r="F52" s="4" t="s">
        <v>69</v>
      </c>
      <c r="G52" s="5" t="s">
        <v>924</v>
      </c>
      <c r="H52" s="4" t="s">
        <v>695</v>
      </c>
      <c r="I52" s="4" t="s">
        <v>975</v>
      </c>
      <c r="J52" s="6" t="s">
        <v>12</v>
      </c>
      <c r="K52" s="189">
        <v>56880</v>
      </c>
      <c r="L52" s="189">
        <v>0</v>
      </c>
      <c r="M52" s="3">
        <f>K52-L52</f>
        <v>56880</v>
      </c>
    </row>
    <row r="53" spans="2:13" x14ac:dyDescent="0.3">
      <c r="B53" s="13" t="s">
        <v>94</v>
      </c>
      <c r="C53" s="14" t="str">
        <f>MID(D53,1,12)</f>
        <v>2.1.1.05.000</v>
      </c>
      <c r="D53" s="2" t="s">
        <v>898</v>
      </c>
      <c r="E53" s="12">
        <v>45412</v>
      </c>
      <c r="F53" s="4" t="s">
        <v>939</v>
      </c>
      <c r="G53" s="5" t="s">
        <v>927</v>
      </c>
      <c r="H53" s="4" t="s">
        <v>693</v>
      </c>
      <c r="I53" s="4" t="s">
        <v>975</v>
      </c>
      <c r="J53" s="6" t="s">
        <v>988</v>
      </c>
      <c r="K53" s="189">
        <v>55372.32</v>
      </c>
      <c r="L53" s="189">
        <v>0</v>
      </c>
      <c r="M53" s="3">
        <f>K53-L53</f>
        <v>55372.32</v>
      </c>
    </row>
    <row r="54" spans="2:13" x14ac:dyDescent="0.3">
      <c r="B54" s="13" t="s">
        <v>94</v>
      </c>
      <c r="C54" s="14" t="str">
        <f>MID(D54,1,12)</f>
        <v>2.1.1.05.000</v>
      </c>
      <c r="D54" s="2" t="s">
        <v>898</v>
      </c>
      <c r="E54" s="12">
        <v>45595</v>
      </c>
      <c r="F54" s="4" t="s">
        <v>73</v>
      </c>
      <c r="G54" s="5" t="s">
        <v>941</v>
      </c>
      <c r="H54" s="4" t="s">
        <v>695</v>
      </c>
      <c r="I54" s="4" t="s">
        <v>977</v>
      </c>
      <c r="J54" s="6" t="s">
        <v>12</v>
      </c>
      <c r="K54" s="189">
        <v>42232</v>
      </c>
      <c r="L54" s="189">
        <v>0</v>
      </c>
      <c r="M54" s="3">
        <f>K54-L54</f>
        <v>42232</v>
      </c>
    </row>
    <row r="55" spans="2:13" x14ac:dyDescent="0.3">
      <c r="B55" s="13" t="s">
        <v>94</v>
      </c>
      <c r="C55" s="14" t="str">
        <f>MID(D55,1,12)</f>
        <v>2.1.1.05.000</v>
      </c>
      <c r="D55" s="2" t="s">
        <v>898</v>
      </c>
      <c r="E55" s="12">
        <v>45536</v>
      </c>
      <c r="F55" s="4" t="s">
        <v>73</v>
      </c>
      <c r="G55" s="5" t="s">
        <v>924</v>
      </c>
      <c r="H55" s="4" t="s">
        <v>695</v>
      </c>
      <c r="I55" s="4" t="s">
        <v>975</v>
      </c>
      <c r="J55" s="6" t="s">
        <v>12</v>
      </c>
      <c r="K55" s="189">
        <v>40797</v>
      </c>
      <c r="L55" s="189">
        <v>0</v>
      </c>
      <c r="M55" s="3">
        <f>K55-L55</f>
        <v>40797</v>
      </c>
    </row>
    <row r="56" spans="2:13" x14ac:dyDescent="0.3">
      <c r="B56" s="13" t="s">
        <v>94</v>
      </c>
      <c r="C56" s="14" t="str">
        <f>MID(D56,1,12)</f>
        <v>2.1.1.05.000</v>
      </c>
      <c r="D56" s="2" t="s">
        <v>898</v>
      </c>
      <c r="E56" s="12">
        <v>45412</v>
      </c>
      <c r="F56" s="4" t="s">
        <v>918</v>
      </c>
      <c r="G56" s="5" t="s">
        <v>928</v>
      </c>
      <c r="H56" s="4" t="s">
        <v>646</v>
      </c>
      <c r="I56" s="4" t="s">
        <v>977</v>
      </c>
      <c r="J56" s="6" t="s">
        <v>12</v>
      </c>
      <c r="K56" s="189">
        <v>31263.99</v>
      </c>
      <c r="L56" s="189">
        <v>0</v>
      </c>
      <c r="M56" s="190">
        <f>K56-L56</f>
        <v>31263.99</v>
      </c>
    </row>
    <row r="57" spans="2:13" x14ac:dyDescent="0.3">
      <c r="B57" s="13" t="s">
        <v>94</v>
      </c>
      <c r="C57" s="14" t="str">
        <f>MID(D57,1,12)</f>
        <v>2.1.1.05.000</v>
      </c>
      <c r="D57" s="2" t="s">
        <v>898</v>
      </c>
      <c r="E57" s="12">
        <v>45412</v>
      </c>
      <c r="F57" s="4" t="s">
        <v>936</v>
      </c>
      <c r="G57" s="5" t="s">
        <v>927</v>
      </c>
      <c r="H57" s="4" t="s">
        <v>979</v>
      </c>
      <c r="I57" s="4" t="s">
        <v>975</v>
      </c>
      <c r="J57" s="6" t="s">
        <v>12</v>
      </c>
      <c r="K57" s="189">
        <v>27273.52</v>
      </c>
      <c r="L57" s="189">
        <v>0</v>
      </c>
      <c r="M57" s="3">
        <f>K57-L57</f>
        <v>27273.52</v>
      </c>
    </row>
    <row r="58" spans="2:13" x14ac:dyDescent="0.3">
      <c r="B58" s="13" t="s">
        <v>94</v>
      </c>
      <c r="C58" s="14" t="str">
        <f>MID(D58,1,12)</f>
        <v>2.1.1.05.000</v>
      </c>
      <c r="D58" s="2" t="s">
        <v>898</v>
      </c>
      <c r="E58" s="12">
        <v>45412</v>
      </c>
      <c r="F58" s="4" t="s">
        <v>68</v>
      </c>
      <c r="G58" s="5" t="s">
        <v>927</v>
      </c>
      <c r="H58" s="4" t="s">
        <v>646</v>
      </c>
      <c r="I58" s="4" t="s">
        <v>975</v>
      </c>
      <c r="J58" s="6" t="s">
        <v>12</v>
      </c>
      <c r="K58" s="189">
        <v>25240.720000000001</v>
      </c>
      <c r="L58" s="189">
        <v>0</v>
      </c>
      <c r="M58" s="3">
        <f>K58-L58</f>
        <v>25240.720000000001</v>
      </c>
    </row>
    <row r="59" spans="2:13" x14ac:dyDescent="0.3">
      <c r="B59" s="13" t="s">
        <v>94</v>
      </c>
      <c r="C59" s="14" t="str">
        <f>MID(D59,1,12)</f>
        <v>2.1.1.05.000</v>
      </c>
      <c r="D59" s="2" t="s">
        <v>898</v>
      </c>
      <c r="E59" s="12">
        <v>45536</v>
      </c>
      <c r="F59" s="4" t="s">
        <v>907</v>
      </c>
      <c r="G59" s="5" t="s">
        <v>917</v>
      </c>
      <c r="H59" s="4" t="s">
        <v>695</v>
      </c>
      <c r="I59" s="4" t="s">
        <v>977</v>
      </c>
      <c r="J59" s="6" t="s">
        <v>12</v>
      </c>
      <c r="K59" s="189">
        <v>24648</v>
      </c>
      <c r="L59" s="189">
        <v>0</v>
      </c>
      <c r="M59" s="3">
        <f>K59-L59</f>
        <v>24648</v>
      </c>
    </row>
    <row r="60" spans="2:13" x14ac:dyDescent="0.3">
      <c r="B60" s="13" t="s">
        <v>94</v>
      </c>
      <c r="C60" s="14" t="str">
        <f>MID(D60,1,12)</f>
        <v>2.1.1.05.000</v>
      </c>
      <c r="D60" s="2" t="s">
        <v>898</v>
      </c>
      <c r="E60" s="12">
        <v>45412</v>
      </c>
      <c r="F60" s="4" t="s">
        <v>931</v>
      </c>
      <c r="G60" s="5" t="s">
        <v>928</v>
      </c>
      <c r="H60" s="4" t="s">
        <v>978</v>
      </c>
      <c r="I60" s="4" t="s">
        <v>977</v>
      </c>
      <c r="J60" s="6" t="s">
        <v>980</v>
      </c>
      <c r="K60" s="189">
        <v>24529.8</v>
      </c>
      <c r="L60" s="189">
        <v>0</v>
      </c>
      <c r="M60" s="3">
        <f>K60-L60</f>
        <v>24529.8</v>
      </c>
    </row>
    <row r="61" spans="2:13" x14ac:dyDescent="0.3">
      <c r="B61" s="13" t="s">
        <v>94</v>
      </c>
      <c r="C61" s="14" t="str">
        <f>MID(D61,1,12)</f>
        <v>2.1.1.05.000</v>
      </c>
      <c r="D61" s="2" t="s">
        <v>898</v>
      </c>
      <c r="E61" s="12">
        <v>45412</v>
      </c>
      <c r="F61" s="4" t="s">
        <v>66</v>
      </c>
      <c r="G61" s="5" t="s">
        <v>927</v>
      </c>
      <c r="H61" s="4" t="s">
        <v>979</v>
      </c>
      <c r="I61" s="4" t="s">
        <v>975</v>
      </c>
      <c r="J61" s="6" t="s">
        <v>985</v>
      </c>
      <c r="K61" s="189">
        <v>23427.51</v>
      </c>
      <c r="L61" s="189">
        <v>0</v>
      </c>
      <c r="M61" s="3">
        <f>K61-L61</f>
        <v>23427.51</v>
      </c>
    </row>
    <row r="62" spans="2:13" x14ac:dyDescent="0.3">
      <c r="B62" s="13" t="s">
        <v>94</v>
      </c>
      <c r="C62" s="14" t="str">
        <f>MID(D62,1,12)</f>
        <v>2.1.1.05.000</v>
      </c>
      <c r="D62" s="2" t="s">
        <v>898</v>
      </c>
      <c r="E62" s="12">
        <v>45412</v>
      </c>
      <c r="F62" s="4" t="s">
        <v>930</v>
      </c>
      <c r="G62" s="5" t="s">
        <v>928</v>
      </c>
      <c r="H62" s="4" t="s">
        <v>646</v>
      </c>
      <c r="I62" s="4" t="s">
        <v>977</v>
      </c>
      <c r="J62" s="6" t="s">
        <v>12</v>
      </c>
      <c r="K62" s="189">
        <v>22791.79</v>
      </c>
      <c r="L62" s="189">
        <v>0</v>
      </c>
      <c r="M62" s="3">
        <f>K62-L62</f>
        <v>22791.79</v>
      </c>
    </row>
    <row r="63" spans="2:13" x14ac:dyDescent="0.3">
      <c r="B63" s="13" t="s">
        <v>94</v>
      </c>
      <c r="C63" s="14" t="str">
        <f>MID(D63,1,12)</f>
        <v>2.1.1.05.000</v>
      </c>
      <c r="D63" s="2" t="s">
        <v>898</v>
      </c>
      <c r="E63" s="12">
        <v>45412</v>
      </c>
      <c r="F63" s="4" t="s">
        <v>67</v>
      </c>
      <c r="G63" s="5" t="s">
        <v>927</v>
      </c>
      <c r="H63" s="4" t="s">
        <v>693</v>
      </c>
      <c r="I63" s="4" t="s">
        <v>975</v>
      </c>
      <c r="J63" s="6" t="s">
        <v>12</v>
      </c>
      <c r="K63" s="189">
        <v>21166.53</v>
      </c>
      <c r="L63" s="189">
        <v>0</v>
      </c>
      <c r="M63" s="3">
        <f>K63-L63</f>
        <v>21166.53</v>
      </c>
    </row>
    <row r="64" spans="2:13" x14ac:dyDescent="0.3">
      <c r="B64" s="13" t="s">
        <v>94</v>
      </c>
      <c r="C64" s="14" t="str">
        <f>MID(D64,1,12)</f>
        <v>2.1.1.05.000</v>
      </c>
      <c r="D64" s="2" t="s">
        <v>898</v>
      </c>
      <c r="E64" s="12">
        <v>45412</v>
      </c>
      <c r="F64" s="4" t="s">
        <v>932</v>
      </c>
      <c r="G64" s="5" t="s">
        <v>928</v>
      </c>
      <c r="H64" s="4" t="s">
        <v>979</v>
      </c>
      <c r="I64" s="4" t="s">
        <v>977</v>
      </c>
      <c r="J64" s="6" t="s">
        <v>981</v>
      </c>
      <c r="K64" s="189">
        <v>18052.650000000001</v>
      </c>
      <c r="L64" s="189">
        <v>0</v>
      </c>
      <c r="M64" s="3">
        <f>K64-L64</f>
        <v>18052.650000000001</v>
      </c>
    </row>
    <row r="65" spans="2:14" hidden="1" x14ac:dyDescent="0.3">
      <c r="B65" s="13" t="s">
        <v>94</v>
      </c>
      <c r="C65" s="14" t="str">
        <f>MID(D65,1,12)</f>
        <v>2.1.1.05.000</v>
      </c>
      <c r="D65" s="2" t="s">
        <v>898</v>
      </c>
      <c r="E65" s="12">
        <v>45412</v>
      </c>
      <c r="F65" s="4" t="s">
        <v>65</v>
      </c>
      <c r="G65" s="5" t="s">
        <v>934</v>
      </c>
      <c r="H65" s="4" t="s">
        <v>695</v>
      </c>
      <c r="I65" s="4" t="s">
        <v>977</v>
      </c>
      <c r="J65" s="6" t="s">
        <v>983</v>
      </c>
      <c r="K65" s="189">
        <v>0</v>
      </c>
      <c r="L65" s="189">
        <v>207091</v>
      </c>
      <c r="M65" s="193">
        <f>K65-L65</f>
        <v>-207091</v>
      </c>
      <c r="N65" s="2" t="s">
        <v>1000</v>
      </c>
    </row>
    <row r="66" spans="2:14" x14ac:dyDescent="0.3">
      <c r="B66" s="13" t="s">
        <v>94</v>
      </c>
      <c r="C66" s="14" t="str">
        <f>MID(D66,1,12)</f>
        <v>2.1.1.05.000</v>
      </c>
      <c r="D66" s="2" t="s">
        <v>898</v>
      </c>
      <c r="E66" s="12">
        <v>45412</v>
      </c>
      <c r="F66" s="4" t="s">
        <v>929</v>
      </c>
      <c r="G66" s="5" t="s">
        <v>928</v>
      </c>
      <c r="H66" s="4" t="s">
        <v>646</v>
      </c>
      <c r="I66" s="4" t="s">
        <v>977</v>
      </c>
      <c r="J66" s="6" t="s">
        <v>12</v>
      </c>
      <c r="K66" s="189">
        <v>13393.18</v>
      </c>
      <c r="L66" s="189">
        <v>0</v>
      </c>
      <c r="M66" s="3">
        <f>K66-L66</f>
        <v>13393.18</v>
      </c>
    </row>
    <row r="67" spans="2:14" x14ac:dyDescent="0.3">
      <c r="B67" s="13" t="s">
        <v>94</v>
      </c>
      <c r="C67" s="14" t="str">
        <f>MID(D67,1,12)</f>
        <v>2.1.1.05.000</v>
      </c>
      <c r="D67" s="2" t="s">
        <v>898</v>
      </c>
      <c r="E67" s="12">
        <v>45412</v>
      </c>
      <c r="F67" s="4" t="s">
        <v>64</v>
      </c>
      <c r="G67" s="5" t="s">
        <v>935</v>
      </c>
      <c r="H67" s="4" t="s">
        <v>695</v>
      </c>
      <c r="I67" s="4" t="s">
        <v>975</v>
      </c>
      <c r="J67" s="6" t="s">
        <v>984</v>
      </c>
      <c r="K67" s="189">
        <v>639.41999999999996</v>
      </c>
      <c r="L67" s="189">
        <v>0</v>
      </c>
      <c r="M67" s="3">
        <f>K67-L67</f>
        <v>639.41999999999996</v>
      </c>
    </row>
    <row r="68" spans="2:14" x14ac:dyDescent="0.3">
      <c r="B68" s="13" t="s">
        <v>94</v>
      </c>
      <c r="C68" s="14" t="str">
        <f>MID(D68,1,12)</f>
        <v>2.1.1.05.000</v>
      </c>
      <c r="D68" s="2" t="s">
        <v>898</v>
      </c>
      <c r="E68" s="12">
        <v>45412</v>
      </c>
      <c r="F68" s="4" t="s">
        <v>913</v>
      </c>
      <c r="G68" s="5" t="s">
        <v>933</v>
      </c>
      <c r="H68" s="4" t="s">
        <v>695</v>
      </c>
      <c r="I68" s="4" t="s">
        <v>977</v>
      </c>
      <c r="J68" s="6" t="s">
        <v>982</v>
      </c>
      <c r="K68" s="189">
        <v>0</v>
      </c>
      <c r="L68" s="189">
        <v>639.41999999999996</v>
      </c>
      <c r="M68" s="3">
        <f>K68-L68</f>
        <v>-639.41999999999996</v>
      </c>
    </row>
    <row r="69" spans="2:14" x14ac:dyDescent="0.3">
      <c r="B69" s="13" t="s">
        <v>94</v>
      </c>
      <c r="C69" s="14" t="str">
        <f>MID(D69,1,12)</f>
        <v>2.1.1.05.000</v>
      </c>
      <c r="D69" s="2" t="s">
        <v>898</v>
      </c>
      <c r="E69" s="12">
        <v>45626</v>
      </c>
      <c r="F69" s="4" t="s">
        <v>943</v>
      </c>
      <c r="G69" s="5" t="s">
        <v>924</v>
      </c>
      <c r="H69" s="4" t="s">
        <v>695</v>
      </c>
      <c r="I69" s="4" t="s">
        <v>975</v>
      </c>
      <c r="J69" s="6" t="s">
        <v>12</v>
      </c>
      <c r="K69" s="189">
        <v>0</v>
      </c>
      <c r="L69" s="189">
        <v>10257</v>
      </c>
      <c r="M69" s="3">
        <f>K69-L69</f>
        <v>-10257</v>
      </c>
    </row>
    <row r="70" spans="2:14" x14ac:dyDescent="0.3">
      <c r="B70" s="13" t="s">
        <v>94</v>
      </c>
      <c r="C70" s="14" t="str">
        <f>MID(D70,1,12)</f>
        <v>2.1.1.05.000</v>
      </c>
      <c r="D70" s="2" t="s">
        <v>898</v>
      </c>
      <c r="E70" s="12">
        <v>45657</v>
      </c>
      <c r="F70" s="4" t="s">
        <v>945</v>
      </c>
      <c r="G70" s="5" t="s">
        <v>946</v>
      </c>
      <c r="H70" s="4" t="s">
        <v>695</v>
      </c>
      <c r="I70" s="4" t="s">
        <v>975</v>
      </c>
      <c r="J70" s="6" t="s">
        <v>12</v>
      </c>
      <c r="K70" s="189">
        <v>0</v>
      </c>
      <c r="L70" s="189">
        <v>10257</v>
      </c>
      <c r="M70" s="3">
        <f>K70-L70</f>
        <v>-10257</v>
      </c>
    </row>
    <row r="71" spans="2:14" x14ac:dyDescent="0.3">
      <c r="B71" s="13" t="s">
        <v>94</v>
      </c>
      <c r="C71" s="14" t="str">
        <f>MID(D71,1,12)</f>
        <v>2.1.1.05.000</v>
      </c>
      <c r="D71" s="2" t="s">
        <v>898</v>
      </c>
      <c r="E71" s="12">
        <v>45566</v>
      </c>
      <c r="F71" s="4" t="s">
        <v>70</v>
      </c>
      <c r="G71" s="5" t="s">
        <v>924</v>
      </c>
      <c r="H71" s="4" t="s">
        <v>695</v>
      </c>
      <c r="I71" s="4" t="s">
        <v>975</v>
      </c>
      <c r="J71" s="6" t="s">
        <v>12</v>
      </c>
      <c r="K71" s="189">
        <v>0</v>
      </c>
      <c r="L71" s="189">
        <v>11967</v>
      </c>
      <c r="M71" s="3">
        <f>K71-L71</f>
        <v>-11967</v>
      </c>
    </row>
    <row r="72" spans="2:14" hidden="1" x14ac:dyDescent="0.3">
      <c r="B72" s="13" t="s">
        <v>94</v>
      </c>
      <c r="C72" s="14" t="str">
        <f>MID(D72,1,12)</f>
        <v>2.1.1.05.000</v>
      </c>
      <c r="D72" s="2" t="s">
        <v>898</v>
      </c>
      <c r="E72" s="12">
        <v>45412</v>
      </c>
      <c r="F72" s="4" t="s">
        <v>72</v>
      </c>
      <c r="G72" s="5" t="s">
        <v>938</v>
      </c>
      <c r="H72" s="4" t="s">
        <v>695</v>
      </c>
      <c r="I72" s="4" t="s">
        <v>975</v>
      </c>
      <c r="J72" s="6" t="s">
        <v>987</v>
      </c>
      <c r="K72" s="189">
        <v>207091</v>
      </c>
      <c r="L72" s="189">
        <v>0</v>
      </c>
      <c r="M72" s="193">
        <f>K72-L72</f>
        <v>207091</v>
      </c>
      <c r="N72" s="2" t="s">
        <v>1000</v>
      </c>
    </row>
    <row r="73" spans="2:14" x14ac:dyDescent="0.3">
      <c r="B73" s="13" t="s">
        <v>94</v>
      </c>
      <c r="C73" s="14" t="str">
        <f>MID(D73,1,12)</f>
        <v>2.1.1.05.000</v>
      </c>
      <c r="D73" s="2" t="s">
        <v>898</v>
      </c>
      <c r="E73" s="12">
        <v>45626</v>
      </c>
      <c r="F73" s="4" t="s">
        <v>69</v>
      </c>
      <c r="G73" s="5" t="s">
        <v>942</v>
      </c>
      <c r="H73" s="4" t="s">
        <v>695</v>
      </c>
      <c r="I73" s="4" t="s">
        <v>977</v>
      </c>
      <c r="J73" s="6" t="s">
        <v>12</v>
      </c>
      <c r="K73" s="189">
        <v>0</v>
      </c>
      <c r="L73" s="189">
        <v>12740</v>
      </c>
      <c r="M73" s="3">
        <f>K73-L73</f>
        <v>-12740</v>
      </c>
    </row>
    <row r="74" spans="2:14" x14ac:dyDescent="0.3">
      <c r="B74" s="13" t="s">
        <v>94</v>
      </c>
      <c r="C74" s="14" t="str">
        <f>MID(D74,1,12)</f>
        <v>2.1.1.05.000</v>
      </c>
      <c r="D74" s="2" t="s">
        <v>898</v>
      </c>
      <c r="E74" s="12">
        <v>45657</v>
      </c>
      <c r="F74" s="4" t="s">
        <v>905</v>
      </c>
      <c r="G74" s="5" t="s">
        <v>942</v>
      </c>
      <c r="H74" s="4" t="s">
        <v>695</v>
      </c>
      <c r="I74" s="4" t="s">
        <v>977</v>
      </c>
      <c r="J74" s="6" t="s">
        <v>12</v>
      </c>
      <c r="K74" s="189">
        <v>0</v>
      </c>
      <c r="L74" s="189">
        <v>12740</v>
      </c>
      <c r="M74" s="3">
        <f>K74-L74</f>
        <v>-12740</v>
      </c>
    </row>
    <row r="75" spans="2:14" x14ac:dyDescent="0.3">
      <c r="B75" s="13" t="s">
        <v>94</v>
      </c>
      <c r="C75" s="14" t="str">
        <f>MID(D75,1,12)</f>
        <v>2.1.1.05.000</v>
      </c>
      <c r="D75" s="2" t="s">
        <v>898</v>
      </c>
      <c r="E75" s="12">
        <v>45412</v>
      </c>
      <c r="F75" s="4" t="s">
        <v>71</v>
      </c>
      <c r="G75" s="5" t="s">
        <v>937</v>
      </c>
      <c r="H75" s="4" t="s">
        <v>695</v>
      </c>
      <c r="I75" s="4" t="s">
        <v>975</v>
      </c>
      <c r="J75" s="6" t="s">
        <v>986</v>
      </c>
      <c r="K75" s="189">
        <v>0</v>
      </c>
      <c r="L75" s="189">
        <v>17988.02</v>
      </c>
      <c r="M75" s="3">
        <f>K75-L75</f>
        <v>-17988.02</v>
      </c>
    </row>
    <row r="76" spans="2:14" x14ac:dyDescent="0.3">
      <c r="B76" s="13" t="s">
        <v>94</v>
      </c>
      <c r="C76" s="14" t="str">
        <f>MID(D76,1,12)</f>
        <v>2.1.1.05.000</v>
      </c>
      <c r="D76" s="2" t="s">
        <v>898</v>
      </c>
      <c r="E76" s="12">
        <v>45535</v>
      </c>
      <c r="F76" s="4" t="s">
        <v>69</v>
      </c>
      <c r="G76" s="5" t="s">
        <v>917</v>
      </c>
      <c r="H76" s="4" t="s">
        <v>695</v>
      </c>
      <c r="I76" s="4" t="s">
        <v>977</v>
      </c>
      <c r="J76" s="6" t="s">
        <v>12</v>
      </c>
      <c r="K76" s="189">
        <v>0</v>
      </c>
      <c r="L76" s="189">
        <v>28076</v>
      </c>
      <c r="M76" s="3">
        <f>K76-L76</f>
        <v>-28076</v>
      </c>
    </row>
    <row r="77" spans="2:14" x14ac:dyDescent="0.3">
      <c r="B77" s="13" t="s">
        <v>94</v>
      </c>
      <c r="C77" s="14" t="str">
        <f>MID(D77,1,12)</f>
        <v>2.1.1.05.000</v>
      </c>
      <c r="D77" s="2" t="s">
        <v>898</v>
      </c>
      <c r="E77" s="12">
        <v>45322</v>
      </c>
      <c r="F77" s="4" t="s">
        <v>923</v>
      </c>
      <c r="G77" s="5" t="s">
        <v>924</v>
      </c>
      <c r="H77" s="4" t="s">
        <v>695</v>
      </c>
      <c r="I77" s="4" t="s">
        <v>975</v>
      </c>
      <c r="J77" s="6" t="s">
        <v>12</v>
      </c>
      <c r="K77" s="189">
        <v>0</v>
      </c>
      <c r="L77" s="189">
        <v>39273</v>
      </c>
      <c r="M77" s="3">
        <f>K77-L77</f>
        <v>-39273</v>
      </c>
    </row>
    <row r="78" spans="2:14" x14ac:dyDescent="0.3">
      <c r="B78" s="13" t="s">
        <v>94</v>
      </c>
      <c r="C78" s="14" t="str">
        <f>MID(D78,1,12)</f>
        <v>2.1.1.05.000</v>
      </c>
      <c r="D78" s="2" t="s">
        <v>898</v>
      </c>
      <c r="E78" s="12">
        <v>45352</v>
      </c>
      <c r="F78" s="4" t="s">
        <v>73</v>
      </c>
      <c r="G78" s="5" t="s">
        <v>924</v>
      </c>
      <c r="H78" s="4" t="s">
        <v>695</v>
      </c>
      <c r="I78" s="4" t="s">
        <v>975</v>
      </c>
      <c r="J78" s="6" t="s">
        <v>12</v>
      </c>
      <c r="K78" s="189">
        <v>0</v>
      </c>
      <c r="L78" s="189">
        <v>46472</v>
      </c>
      <c r="M78" s="3">
        <f>K78-L78</f>
        <v>-46472</v>
      </c>
    </row>
    <row r="79" spans="2:14" x14ac:dyDescent="0.3">
      <c r="B79" s="13" t="s">
        <v>94</v>
      </c>
      <c r="C79" s="14" t="str">
        <f>MID(D79,1,12)</f>
        <v>2.1.1.05.000</v>
      </c>
      <c r="D79" s="2" t="s">
        <v>898</v>
      </c>
      <c r="E79" s="12">
        <v>45535</v>
      </c>
      <c r="F79" s="4" t="s">
        <v>923</v>
      </c>
      <c r="G79" s="5" t="s">
        <v>924</v>
      </c>
      <c r="H79" s="4" t="s">
        <v>695</v>
      </c>
      <c r="I79" s="4" t="s">
        <v>975</v>
      </c>
      <c r="J79" s="6" t="s">
        <v>12</v>
      </c>
      <c r="K79" s="189">
        <v>0</v>
      </c>
      <c r="L79" s="189">
        <v>46472</v>
      </c>
      <c r="M79" s="3">
        <f>K79-L79</f>
        <v>-46472</v>
      </c>
    </row>
    <row r="80" spans="2:14" x14ac:dyDescent="0.3">
      <c r="B80" s="13" t="s">
        <v>94</v>
      </c>
      <c r="C80" s="14" t="str">
        <f>MID(D80,1,12)</f>
        <v>2.1.1.05.000</v>
      </c>
      <c r="D80" s="2" t="s">
        <v>898</v>
      </c>
      <c r="E80" s="12">
        <v>45382</v>
      </c>
      <c r="F80" s="4" t="s">
        <v>62</v>
      </c>
      <c r="G80" s="5" t="s">
        <v>924</v>
      </c>
      <c r="H80" s="4" t="s">
        <v>695</v>
      </c>
      <c r="I80" s="4" t="s">
        <v>975</v>
      </c>
      <c r="J80" s="6" t="s">
        <v>12</v>
      </c>
      <c r="K80" s="189">
        <v>0</v>
      </c>
      <c r="L80" s="189">
        <v>46473</v>
      </c>
      <c r="M80" s="3">
        <f>K80-L80</f>
        <v>-46473</v>
      </c>
    </row>
    <row r="81" spans="2:13" x14ac:dyDescent="0.3">
      <c r="B81" s="13" t="s">
        <v>94</v>
      </c>
      <c r="C81" s="14" t="str">
        <f>MID(D81,1,12)</f>
        <v>2.1.1.05.000</v>
      </c>
      <c r="D81" s="2" t="s">
        <v>898</v>
      </c>
      <c r="E81" s="12">
        <v>45412</v>
      </c>
      <c r="F81" s="4" t="s">
        <v>63</v>
      </c>
      <c r="G81" s="5" t="s">
        <v>924</v>
      </c>
      <c r="H81" s="4" t="s">
        <v>695</v>
      </c>
      <c r="I81" s="4" t="s">
        <v>975</v>
      </c>
      <c r="J81" s="6" t="s">
        <v>12</v>
      </c>
      <c r="K81" s="189">
        <v>0</v>
      </c>
      <c r="L81" s="189">
        <v>46473</v>
      </c>
      <c r="M81" s="3">
        <f>K81-L81</f>
        <v>-46473</v>
      </c>
    </row>
    <row r="82" spans="2:13" x14ac:dyDescent="0.3">
      <c r="B82" s="13" t="s">
        <v>94</v>
      </c>
      <c r="C82" s="14" t="str">
        <f>MID(D82,1,12)</f>
        <v>2.1.1.05.000</v>
      </c>
      <c r="D82" s="2" t="s">
        <v>898</v>
      </c>
      <c r="E82" s="12">
        <v>45443</v>
      </c>
      <c r="F82" s="4" t="s">
        <v>907</v>
      </c>
      <c r="G82" s="5" t="s">
        <v>924</v>
      </c>
      <c r="H82" s="4" t="s">
        <v>695</v>
      </c>
      <c r="I82" s="4" t="s">
        <v>975</v>
      </c>
      <c r="J82" s="6" t="s">
        <v>12</v>
      </c>
      <c r="K82" s="189">
        <v>0</v>
      </c>
      <c r="L82" s="189">
        <v>46473</v>
      </c>
      <c r="M82" s="3">
        <f>K82-L82</f>
        <v>-46473</v>
      </c>
    </row>
    <row r="83" spans="2:13" x14ac:dyDescent="0.3">
      <c r="B83" s="13" t="s">
        <v>94</v>
      </c>
      <c r="C83" s="14" t="str">
        <f>MID(D83,1,12)</f>
        <v>2.1.1.05.000</v>
      </c>
      <c r="D83" s="2" t="s">
        <v>898</v>
      </c>
      <c r="E83" s="12">
        <v>45473</v>
      </c>
      <c r="F83" s="4" t="s">
        <v>907</v>
      </c>
      <c r="G83" s="5" t="s">
        <v>924</v>
      </c>
      <c r="H83" s="4" t="s">
        <v>695</v>
      </c>
      <c r="I83" s="4" t="s">
        <v>975</v>
      </c>
      <c r="J83" s="6" t="s">
        <v>12</v>
      </c>
      <c r="K83" s="189">
        <v>0</v>
      </c>
      <c r="L83" s="189">
        <v>46473</v>
      </c>
      <c r="M83" s="3">
        <f>K83-L83</f>
        <v>-46473</v>
      </c>
    </row>
    <row r="84" spans="2:13" x14ac:dyDescent="0.3">
      <c r="B84" s="13" t="s">
        <v>94</v>
      </c>
      <c r="C84" s="14" t="str">
        <f>MID(D84,1,12)</f>
        <v>2.1.1.05.000</v>
      </c>
      <c r="D84" s="2" t="s">
        <v>898</v>
      </c>
      <c r="E84" s="12">
        <v>45504</v>
      </c>
      <c r="F84" s="4" t="s">
        <v>907</v>
      </c>
      <c r="G84" s="5" t="s">
        <v>924</v>
      </c>
      <c r="H84" s="4" t="s">
        <v>695</v>
      </c>
      <c r="I84" s="4" t="s">
        <v>975</v>
      </c>
      <c r="J84" s="6" t="s">
        <v>12</v>
      </c>
      <c r="K84" s="189">
        <v>0</v>
      </c>
      <c r="L84" s="189">
        <v>46473</v>
      </c>
      <c r="M84" s="3">
        <f>K84-L84</f>
        <v>-46473</v>
      </c>
    </row>
    <row r="85" spans="2:13" x14ac:dyDescent="0.3">
      <c r="B85" s="13" t="s">
        <v>94</v>
      </c>
      <c r="C85" s="14" t="str">
        <f>MID(D85,1,12)</f>
        <v>2.1.1.05.000</v>
      </c>
      <c r="D85" s="2" t="s">
        <v>898</v>
      </c>
      <c r="E85" s="12">
        <v>45565</v>
      </c>
      <c r="F85" s="4" t="s">
        <v>73</v>
      </c>
      <c r="G85" s="5" t="s">
        <v>917</v>
      </c>
      <c r="H85" s="4" t="s">
        <v>695</v>
      </c>
      <c r="I85" s="4" t="s">
        <v>977</v>
      </c>
      <c r="J85" s="6" t="s">
        <v>12</v>
      </c>
      <c r="K85" s="189">
        <v>0</v>
      </c>
      <c r="L85" s="189">
        <v>48811</v>
      </c>
      <c r="M85" s="3">
        <f>K85-L85</f>
        <v>-48811</v>
      </c>
    </row>
    <row r="86" spans="2:13" x14ac:dyDescent="0.3">
      <c r="B86" s="13" t="s">
        <v>94</v>
      </c>
      <c r="C86" s="14" t="str">
        <f>MID(D86,1,12)</f>
        <v>2.1.1.05.000</v>
      </c>
      <c r="D86" s="2" t="s">
        <v>898</v>
      </c>
      <c r="E86" s="12">
        <v>45382</v>
      </c>
      <c r="F86" s="4" t="s">
        <v>907</v>
      </c>
      <c r="G86" s="5" t="s">
        <v>917</v>
      </c>
      <c r="H86" s="4" t="s">
        <v>695</v>
      </c>
      <c r="I86" s="4" t="s">
        <v>977</v>
      </c>
      <c r="J86" s="6" t="s">
        <v>12</v>
      </c>
      <c r="K86" s="189">
        <v>0</v>
      </c>
      <c r="L86" s="189">
        <v>51772</v>
      </c>
      <c r="M86" s="3">
        <f>K86-L86</f>
        <v>-51772</v>
      </c>
    </row>
    <row r="87" spans="2:13" x14ac:dyDescent="0.3">
      <c r="B87" s="13" t="s">
        <v>94</v>
      </c>
      <c r="C87" s="14" t="str">
        <f>MID(D87,1,12)</f>
        <v>2.1.1.05.000</v>
      </c>
      <c r="D87" s="2" t="s">
        <v>898</v>
      </c>
      <c r="E87" s="12">
        <v>45322</v>
      </c>
      <c r="F87" s="4" t="s">
        <v>79</v>
      </c>
      <c r="G87" s="5" t="s">
        <v>917</v>
      </c>
      <c r="H87" s="4" t="s">
        <v>695</v>
      </c>
      <c r="I87" s="4" t="s">
        <v>977</v>
      </c>
      <c r="J87" s="6" t="s">
        <v>12</v>
      </c>
      <c r="K87" s="189">
        <v>0</v>
      </c>
      <c r="L87" s="189">
        <v>51773</v>
      </c>
      <c r="M87" s="3">
        <f>K87-L87</f>
        <v>-51773</v>
      </c>
    </row>
    <row r="88" spans="2:13" x14ac:dyDescent="0.3">
      <c r="B88" s="13" t="s">
        <v>94</v>
      </c>
      <c r="C88" s="14" t="str">
        <f>MID(D88,1,12)</f>
        <v>2.1.1.05.000</v>
      </c>
      <c r="D88" s="2" t="s">
        <v>898</v>
      </c>
      <c r="E88" s="12">
        <v>45351</v>
      </c>
      <c r="F88" s="4" t="s">
        <v>923</v>
      </c>
      <c r="G88" s="5" t="s">
        <v>917</v>
      </c>
      <c r="H88" s="4" t="s">
        <v>695</v>
      </c>
      <c r="I88" s="4" t="s">
        <v>977</v>
      </c>
      <c r="J88" s="6" t="s">
        <v>12</v>
      </c>
      <c r="K88" s="189">
        <v>0</v>
      </c>
      <c r="L88" s="189">
        <v>51773</v>
      </c>
      <c r="M88" s="3">
        <f>K88-L88</f>
        <v>-51773</v>
      </c>
    </row>
    <row r="89" spans="2:13" x14ac:dyDescent="0.3">
      <c r="B89" s="13" t="s">
        <v>94</v>
      </c>
      <c r="C89" s="14" t="str">
        <f>MID(D89,1,12)</f>
        <v>2.1.1.05.000</v>
      </c>
      <c r="D89" s="2" t="s">
        <v>898</v>
      </c>
      <c r="E89" s="12">
        <v>45412</v>
      </c>
      <c r="F89" s="4" t="s">
        <v>923</v>
      </c>
      <c r="G89" s="5" t="s">
        <v>917</v>
      </c>
      <c r="H89" s="4" t="s">
        <v>695</v>
      </c>
      <c r="I89" s="4" t="s">
        <v>977</v>
      </c>
      <c r="J89" s="6" t="s">
        <v>12</v>
      </c>
      <c r="K89" s="189">
        <v>0</v>
      </c>
      <c r="L89" s="189">
        <v>51773</v>
      </c>
      <c r="M89" s="3">
        <f>K89-L89</f>
        <v>-51773</v>
      </c>
    </row>
    <row r="90" spans="2:13" x14ac:dyDescent="0.3">
      <c r="B90" s="13" t="s">
        <v>94</v>
      </c>
      <c r="C90" s="14" t="str">
        <f>MID(D90,1,12)</f>
        <v>2.1.1.05.000</v>
      </c>
      <c r="D90" s="2" t="s">
        <v>898</v>
      </c>
      <c r="E90" s="12">
        <v>45443</v>
      </c>
      <c r="F90" s="4" t="s">
        <v>69</v>
      </c>
      <c r="G90" s="5" t="s">
        <v>917</v>
      </c>
      <c r="H90" s="4" t="s">
        <v>695</v>
      </c>
      <c r="I90" s="4" t="s">
        <v>977</v>
      </c>
      <c r="J90" s="6" t="s">
        <v>12</v>
      </c>
      <c r="K90" s="189">
        <v>0</v>
      </c>
      <c r="L90" s="189">
        <v>51773</v>
      </c>
      <c r="M90" s="3">
        <f>K90-L90</f>
        <v>-51773</v>
      </c>
    </row>
    <row r="91" spans="2:13" x14ac:dyDescent="0.3">
      <c r="B91" s="13" t="s">
        <v>94</v>
      </c>
      <c r="C91" s="14" t="str">
        <f>MID(D91,1,12)</f>
        <v>2.1.1.05.000</v>
      </c>
      <c r="D91" s="2" t="s">
        <v>898</v>
      </c>
      <c r="E91" s="12">
        <v>45473</v>
      </c>
      <c r="F91" s="4" t="s">
        <v>69</v>
      </c>
      <c r="G91" s="5" t="s">
        <v>917</v>
      </c>
      <c r="H91" s="4" t="s">
        <v>695</v>
      </c>
      <c r="I91" s="4" t="s">
        <v>977</v>
      </c>
      <c r="J91" s="6" t="s">
        <v>980</v>
      </c>
      <c r="K91" s="189">
        <v>0</v>
      </c>
      <c r="L91" s="189">
        <v>51773</v>
      </c>
      <c r="M91" s="3">
        <f>K91-L91</f>
        <v>-51773</v>
      </c>
    </row>
    <row r="92" spans="2:13" x14ac:dyDescent="0.3">
      <c r="B92" s="13" t="s">
        <v>94</v>
      </c>
      <c r="C92" s="14" t="str">
        <f>MID(D92,1,12)</f>
        <v>2.1.1.05.000</v>
      </c>
      <c r="D92" s="2" t="s">
        <v>898</v>
      </c>
      <c r="E92" s="12">
        <v>45504</v>
      </c>
      <c r="F92" s="4" t="s">
        <v>69</v>
      </c>
      <c r="G92" s="5" t="s">
        <v>917</v>
      </c>
      <c r="H92" s="4" t="s">
        <v>695</v>
      </c>
      <c r="I92" s="4" t="s">
        <v>977</v>
      </c>
      <c r="J92" s="6" t="s">
        <v>12</v>
      </c>
      <c r="K92" s="189">
        <v>0</v>
      </c>
      <c r="L92" s="189">
        <v>51773</v>
      </c>
      <c r="M92" s="3">
        <f>K92-L92</f>
        <v>-51773</v>
      </c>
    </row>
    <row r="93" spans="2:13" x14ac:dyDescent="0.3">
      <c r="B93" s="13" t="s">
        <v>94</v>
      </c>
      <c r="C93" s="14" t="str">
        <f>MID(D93,1,12)</f>
        <v>2.1.1.05.000</v>
      </c>
      <c r="D93" s="2" t="s">
        <v>898</v>
      </c>
      <c r="E93" s="12">
        <v>45413</v>
      </c>
      <c r="F93" s="4" t="s">
        <v>940</v>
      </c>
      <c r="G93" s="4" t="s">
        <v>998</v>
      </c>
      <c r="H93" s="4" t="s">
        <v>459</v>
      </c>
      <c r="I93" s="4" t="s">
        <v>977</v>
      </c>
      <c r="J93" s="6" t="s">
        <v>989</v>
      </c>
      <c r="K93" s="189">
        <v>0</v>
      </c>
      <c r="L93" s="189">
        <v>71574.929999999993</v>
      </c>
      <c r="M93" s="3">
        <f>K93-L93</f>
        <v>-71574.929999999993</v>
      </c>
    </row>
    <row r="94" spans="2:13" hidden="1" x14ac:dyDescent="0.3">
      <c r="B94" s="13" t="s">
        <v>95</v>
      </c>
      <c r="C94" s="14" t="str">
        <f t="shared" ref="C72:C120" si="2">MID(D94,1,12)</f>
        <v>2.1.1.05.000</v>
      </c>
      <c r="D94" s="2" t="s">
        <v>898</v>
      </c>
      <c r="E94" s="12">
        <v>45716</v>
      </c>
      <c r="F94" s="4" t="s">
        <v>945</v>
      </c>
      <c r="G94" s="5" t="s">
        <v>947</v>
      </c>
      <c r="H94" s="4" t="s">
        <v>695</v>
      </c>
      <c r="I94" s="4" t="s">
        <v>975</v>
      </c>
      <c r="J94" s="6" t="s">
        <v>12</v>
      </c>
      <c r="K94" s="189">
        <v>0</v>
      </c>
      <c r="L94" s="189">
        <v>76653</v>
      </c>
      <c r="M94" s="3">
        <f t="shared" ref="M72:M120" si="3">K94-L94</f>
        <v>-76653</v>
      </c>
    </row>
    <row r="95" spans="2:13" hidden="1" x14ac:dyDescent="0.3">
      <c r="B95" s="13" t="s">
        <v>95</v>
      </c>
      <c r="C95" s="14" t="str">
        <f t="shared" si="2"/>
        <v>2.1.1.05.000</v>
      </c>
      <c r="D95" s="2" t="s">
        <v>898</v>
      </c>
      <c r="E95" s="12">
        <v>45716</v>
      </c>
      <c r="F95" s="4" t="s">
        <v>948</v>
      </c>
      <c r="G95" s="5" t="s">
        <v>949</v>
      </c>
      <c r="H95" s="4" t="s">
        <v>695</v>
      </c>
      <c r="I95" s="4" t="s">
        <v>975</v>
      </c>
      <c r="J95" s="6" t="s">
        <v>12</v>
      </c>
      <c r="K95" s="189">
        <v>0</v>
      </c>
      <c r="L95" s="189">
        <v>76653</v>
      </c>
      <c r="M95" s="3">
        <f t="shared" si="3"/>
        <v>-76653</v>
      </c>
    </row>
    <row r="96" spans="2:13" hidden="1" x14ac:dyDescent="0.3">
      <c r="B96" s="13" t="s">
        <v>95</v>
      </c>
      <c r="C96" s="14" t="str">
        <f t="shared" si="2"/>
        <v>2.1.1.05.000</v>
      </c>
      <c r="D96" s="2" t="s">
        <v>898</v>
      </c>
      <c r="E96" s="12">
        <v>45747</v>
      </c>
      <c r="F96" s="4" t="s">
        <v>945</v>
      </c>
      <c r="G96" s="5" t="s">
        <v>950</v>
      </c>
      <c r="H96" s="4" t="s">
        <v>695</v>
      </c>
      <c r="I96" s="4" t="s">
        <v>975</v>
      </c>
      <c r="J96" s="6" t="s">
        <v>12</v>
      </c>
      <c r="K96" s="189">
        <v>0</v>
      </c>
      <c r="L96" s="189">
        <v>76653</v>
      </c>
      <c r="M96" s="3">
        <f t="shared" si="3"/>
        <v>-76653</v>
      </c>
    </row>
    <row r="97" spans="2:14" hidden="1" x14ac:dyDescent="0.3">
      <c r="B97" s="13" t="s">
        <v>95</v>
      </c>
      <c r="C97" s="14" t="str">
        <f t="shared" si="2"/>
        <v>2.1.1.05.000</v>
      </c>
      <c r="D97" s="2" t="s">
        <v>898</v>
      </c>
      <c r="E97" s="12">
        <v>45747</v>
      </c>
      <c r="F97" s="4" t="s">
        <v>948</v>
      </c>
      <c r="G97" s="5" t="s">
        <v>951</v>
      </c>
      <c r="H97" s="4" t="s">
        <v>695</v>
      </c>
      <c r="I97" s="4" t="s">
        <v>975</v>
      </c>
      <c r="J97" s="6" t="s">
        <v>12</v>
      </c>
      <c r="K97" s="189">
        <v>76653</v>
      </c>
      <c r="L97" s="189">
        <v>0</v>
      </c>
      <c r="M97" s="3">
        <f t="shared" si="3"/>
        <v>76653</v>
      </c>
    </row>
    <row r="98" spans="2:14" hidden="1" x14ac:dyDescent="0.3">
      <c r="B98" s="13" t="s">
        <v>95</v>
      </c>
      <c r="C98" s="14" t="str">
        <f t="shared" si="2"/>
        <v>2.1.1.05.000</v>
      </c>
      <c r="D98" s="2" t="s">
        <v>898</v>
      </c>
      <c r="E98" s="12">
        <v>45777</v>
      </c>
      <c r="F98" s="4" t="s">
        <v>907</v>
      </c>
      <c r="G98" s="5" t="s">
        <v>952</v>
      </c>
      <c r="H98" s="4" t="s">
        <v>695</v>
      </c>
      <c r="I98" s="4" t="s">
        <v>975</v>
      </c>
      <c r="J98" s="6" t="s">
        <v>12</v>
      </c>
      <c r="K98" s="189">
        <v>0</v>
      </c>
      <c r="L98" s="189">
        <v>76653</v>
      </c>
      <c r="M98" s="3">
        <f t="shared" si="3"/>
        <v>-76653</v>
      </c>
    </row>
    <row r="99" spans="2:14" hidden="1" x14ac:dyDescent="0.3">
      <c r="B99" s="13" t="s">
        <v>95</v>
      </c>
      <c r="C99" s="14" t="str">
        <f t="shared" si="2"/>
        <v>2.1.1.05.000</v>
      </c>
      <c r="D99" s="2" t="s">
        <v>898</v>
      </c>
      <c r="E99" s="12">
        <v>45808</v>
      </c>
      <c r="F99" s="4" t="s">
        <v>79</v>
      </c>
      <c r="G99" s="5" t="s">
        <v>953</v>
      </c>
      <c r="H99" s="4" t="s">
        <v>695</v>
      </c>
      <c r="I99" s="4" t="s">
        <v>975</v>
      </c>
      <c r="J99" s="6" t="s">
        <v>12</v>
      </c>
      <c r="K99" s="189">
        <v>0</v>
      </c>
      <c r="L99" s="189">
        <v>62406</v>
      </c>
      <c r="M99" s="3">
        <f t="shared" si="3"/>
        <v>-62406</v>
      </c>
    </row>
    <row r="100" spans="2:14" hidden="1" x14ac:dyDescent="0.3">
      <c r="B100" s="13" t="s">
        <v>95</v>
      </c>
      <c r="C100" s="14" t="str">
        <f t="shared" si="2"/>
        <v>2.1.1.05.000</v>
      </c>
      <c r="D100" s="2" t="s">
        <v>898</v>
      </c>
      <c r="E100" s="12">
        <v>45809</v>
      </c>
      <c r="F100" s="4" t="s">
        <v>76</v>
      </c>
      <c r="G100" s="5" t="s">
        <v>954</v>
      </c>
      <c r="H100" s="4" t="s">
        <v>695</v>
      </c>
      <c r="I100" s="4" t="s">
        <v>975</v>
      </c>
      <c r="J100" s="6" t="s">
        <v>12</v>
      </c>
      <c r="K100" s="189">
        <v>0</v>
      </c>
      <c r="L100" s="189">
        <v>1408</v>
      </c>
      <c r="M100" s="3">
        <f t="shared" si="3"/>
        <v>-1408</v>
      </c>
    </row>
    <row r="101" spans="2:14" hidden="1" x14ac:dyDescent="0.3">
      <c r="B101" s="13" t="s">
        <v>95</v>
      </c>
      <c r="C101" s="14" t="str">
        <f t="shared" si="2"/>
        <v>2.1.1.05.000</v>
      </c>
      <c r="D101" s="2" t="s">
        <v>898</v>
      </c>
      <c r="E101" s="12">
        <v>45839</v>
      </c>
      <c r="F101" s="4" t="s">
        <v>913</v>
      </c>
      <c r="G101" s="5" t="s">
        <v>955</v>
      </c>
      <c r="H101" s="4" t="s">
        <v>695</v>
      </c>
      <c r="I101" s="4" t="s">
        <v>975</v>
      </c>
      <c r="J101" s="6" t="s">
        <v>12</v>
      </c>
      <c r="K101" s="189">
        <v>350000</v>
      </c>
      <c r="L101" s="189">
        <v>0</v>
      </c>
      <c r="M101" s="3">
        <f t="shared" si="3"/>
        <v>350000</v>
      </c>
    </row>
    <row r="102" spans="2:14" hidden="1" x14ac:dyDescent="0.3">
      <c r="B102" s="13" t="s">
        <v>95</v>
      </c>
      <c r="C102" s="14" t="str">
        <f t="shared" si="2"/>
        <v>2.1.1.05.000</v>
      </c>
      <c r="D102" s="2" t="s">
        <v>898</v>
      </c>
      <c r="E102" s="12">
        <v>46021</v>
      </c>
      <c r="F102" s="4" t="s">
        <v>69</v>
      </c>
      <c r="G102" s="5" t="s">
        <v>83</v>
      </c>
      <c r="H102" s="4" t="s">
        <v>695</v>
      </c>
      <c r="I102" s="4" t="s">
        <v>975</v>
      </c>
      <c r="J102" s="6" t="s">
        <v>12</v>
      </c>
      <c r="K102" s="189">
        <v>225387.67</v>
      </c>
      <c r="L102" s="189">
        <v>0</v>
      </c>
      <c r="M102" s="3">
        <f t="shared" si="3"/>
        <v>225387.67</v>
      </c>
    </row>
    <row r="103" spans="2:14" hidden="1" x14ac:dyDescent="0.3">
      <c r="B103" s="13" t="s">
        <v>221</v>
      </c>
      <c r="C103" s="14" t="str">
        <f t="shared" si="2"/>
        <v>2.1.1.05.000</v>
      </c>
      <c r="D103" s="2" t="s">
        <v>898</v>
      </c>
      <c r="E103" s="12">
        <v>46053</v>
      </c>
      <c r="F103" s="4" t="s">
        <v>73</v>
      </c>
      <c r="G103" s="5" t="s">
        <v>956</v>
      </c>
      <c r="H103" s="4" t="s">
        <v>695</v>
      </c>
      <c r="I103" s="4" t="s">
        <v>977</v>
      </c>
      <c r="J103" s="6" t="s">
        <v>12</v>
      </c>
      <c r="K103" s="189">
        <v>0</v>
      </c>
      <c r="L103" s="189">
        <v>22757</v>
      </c>
      <c r="M103" s="3">
        <f t="shared" si="3"/>
        <v>-22757</v>
      </c>
    </row>
    <row r="104" spans="2:14" hidden="1" x14ac:dyDescent="0.3">
      <c r="B104" s="13" t="s">
        <v>221</v>
      </c>
      <c r="C104" s="14" t="str">
        <f t="shared" si="2"/>
        <v>2.1.1.05.000</v>
      </c>
      <c r="D104" s="2" t="s">
        <v>898</v>
      </c>
      <c r="E104" s="12">
        <v>46081</v>
      </c>
      <c r="F104" s="4" t="s">
        <v>907</v>
      </c>
      <c r="G104" s="5" t="s">
        <v>957</v>
      </c>
      <c r="H104" s="4" t="s">
        <v>695</v>
      </c>
      <c r="I104" s="4" t="s">
        <v>977</v>
      </c>
      <c r="J104" s="6" t="s">
        <v>12</v>
      </c>
      <c r="K104" s="189">
        <v>0</v>
      </c>
      <c r="L104" s="189">
        <v>22757</v>
      </c>
      <c r="M104" s="3">
        <f t="shared" si="3"/>
        <v>-22757</v>
      </c>
    </row>
    <row r="105" spans="2:14" hidden="1" x14ac:dyDescent="0.3">
      <c r="B105" s="13" t="s">
        <v>221</v>
      </c>
      <c r="C105" s="14" t="str">
        <f t="shared" si="2"/>
        <v>2.1.1.05.000</v>
      </c>
      <c r="D105" s="2" t="s">
        <v>898</v>
      </c>
      <c r="E105" s="12">
        <v>46112</v>
      </c>
      <c r="F105" s="4" t="s">
        <v>79</v>
      </c>
      <c r="G105" s="5" t="s">
        <v>958</v>
      </c>
      <c r="H105" s="4" t="s">
        <v>695</v>
      </c>
      <c r="I105" s="4" t="s">
        <v>977</v>
      </c>
      <c r="J105" s="6" t="s">
        <v>12</v>
      </c>
      <c r="K105" s="189">
        <v>0</v>
      </c>
      <c r="L105" s="189">
        <v>22757</v>
      </c>
      <c r="M105" s="3">
        <f t="shared" si="3"/>
        <v>-22757</v>
      </c>
    </row>
    <row r="106" spans="2:14" hidden="1" x14ac:dyDescent="0.3">
      <c r="B106" s="13" t="s">
        <v>221</v>
      </c>
      <c r="C106" s="14" t="str">
        <f t="shared" si="2"/>
        <v>2.1.1.05.000</v>
      </c>
      <c r="D106" s="2" t="s">
        <v>898</v>
      </c>
      <c r="E106" s="12">
        <v>46142</v>
      </c>
      <c r="F106" s="4" t="s">
        <v>907</v>
      </c>
      <c r="G106" s="5" t="s">
        <v>959</v>
      </c>
      <c r="H106" s="4" t="s">
        <v>695</v>
      </c>
      <c r="I106" s="4" t="s">
        <v>977</v>
      </c>
      <c r="J106" s="6" t="s">
        <v>12</v>
      </c>
      <c r="K106" s="189">
        <v>0</v>
      </c>
      <c r="L106" s="189">
        <v>22757</v>
      </c>
      <c r="M106" s="3">
        <f t="shared" si="3"/>
        <v>-22757</v>
      </c>
    </row>
    <row r="107" spans="2:14" hidden="1" x14ac:dyDescent="0.3">
      <c r="B107" s="13" t="s">
        <v>221</v>
      </c>
      <c r="C107" s="14" t="str">
        <f t="shared" si="2"/>
        <v>2.1.1.05.000</v>
      </c>
      <c r="D107" s="2" t="s">
        <v>898</v>
      </c>
      <c r="E107" s="12">
        <v>46142</v>
      </c>
      <c r="F107" s="4" t="s">
        <v>960</v>
      </c>
      <c r="G107" s="5" t="s">
        <v>961</v>
      </c>
      <c r="H107" s="4" t="s">
        <v>808</v>
      </c>
      <c r="I107" s="4" t="s">
        <v>977</v>
      </c>
      <c r="J107" s="6" t="s">
        <v>12</v>
      </c>
      <c r="K107" s="189">
        <v>0</v>
      </c>
      <c r="L107" s="189">
        <v>6111.41</v>
      </c>
      <c r="M107" s="3">
        <f t="shared" si="3"/>
        <v>-6111.41</v>
      </c>
    </row>
    <row r="108" spans="2:14" hidden="1" x14ac:dyDescent="0.3">
      <c r="B108" s="13" t="s">
        <v>221</v>
      </c>
      <c r="C108" s="14" t="str">
        <f t="shared" si="2"/>
        <v>2.1.1.05.000</v>
      </c>
      <c r="D108" s="2" t="s">
        <v>898</v>
      </c>
      <c r="E108" s="12">
        <v>46142</v>
      </c>
      <c r="F108" s="4" t="s">
        <v>962</v>
      </c>
      <c r="G108" s="5" t="s">
        <v>961</v>
      </c>
      <c r="H108" s="4" t="s">
        <v>808</v>
      </c>
      <c r="I108" s="4" t="s">
        <v>977</v>
      </c>
      <c r="J108" s="6" t="s">
        <v>12</v>
      </c>
      <c r="K108" s="189">
        <v>0</v>
      </c>
      <c r="L108" s="189">
        <v>8769.49</v>
      </c>
      <c r="M108" s="3">
        <f t="shared" si="3"/>
        <v>-8769.49</v>
      </c>
    </row>
    <row r="109" spans="2:14" hidden="1" x14ac:dyDescent="0.3">
      <c r="B109" s="13" t="s">
        <v>221</v>
      </c>
      <c r="C109" s="14" t="str">
        <f t="shared" si="2"/>
        <v>2.1.1.05.000</v>
      </c>
      <c r="D109" s="2" t="s">
        <v>898</v>
      </c>
      <c r="E109" s="12">
        <v>46142</v>
      </c>
      <c r="F109" s="4" t="s">
        <v>963</v>
      </c>
      <c r="G109" s="5" t="s">
        <v>961</v>
      </c>
      <c r="H109" s="4" t="s">
        <v>808</v>
      </c>
      <c r="I109" s="4" t="s">
        <v>977</v>
      </c>
      <c r="J109" s="6" t="s">
        <v>12</v>
      </c>
      <c r="K109" s="189">
        <v>0</v>
      </c>
      <c r="L109" s="189">
        <v>20828.18</v>
      </c>
      <c r="M109" s="3">
        <f t="shared" si="3"/>
        <v>-20828.18</v>
      </c>
    </row>
    <row r="110" spans="2:14" hidden="1" x14ac:dyDescent="0.3">
      <c r="B110" s="13" t="s">
        <v>221</v>
      </c>
      <c r="C110" s="14" t="str">
        <f t="shared" si="2"/>
        <v>2.1.1.05.000</v>
      </c>
      <c r="D110" s="2" t="s">
        <v>898</v>
      </c>
      <c r="E110" s="12">
        <v>46142</v>
      </c>
      <c r="F110" s="4" t="s">
        <v>964</v>
      </c>
      <c r="G110" s="5" t="s">
        <v>965</v>
      </c>
      <c r="H110" s="4" t="s">
        <v>693</v>
      </c>
      <c r="I110" s="4" t="s">
        <v>977</v>
      </c>
      <c r="J110" s="6" t="s">
        <v>12</v>
      </c>
      <c r="K110" s="189">
        <v>56492.33</v>
      </c>
      <c r="L110" s="189">
        <v>0</v>
      </c>
      <c r="M110" s="3">
        <f t="shared" si="3"/>
        <v>56492.33</v>
      </c>
    </row>
    <row r="111" spans="2:14" hidden="1" x14ac:dyDescent="0.3">
      <c r="B111" s="13" t="s">
        <v>221</v>
      </c>
      <c r="C111" s="14" t="str">
        <f t="shared" si="2"/>
        <v>2.1.1.05.000</v>
      </c>
      <c r="D111" s="2" t="s">
        <v>898</v>
      </c>
      <c r="E111" s="12">
        <v>46142</v>
      </c>
      <c r="F111" s="4" t="s">
        <v>966</v>
      </c>
      <c r="G111" s="5" t="s">
        <v>965</v>
      </c>
      <c r="H111" s="4" t="s">
        <v>646</v>
      </c>
      <c r="I111" s="4" t="s">
        <v>977</v>
      </c>
      <c r="J111" s="6" t="s">
        <v>12</v>
      </c>
      <c r="K111" s="189">
        <v>7176.11</v>
      </c>
      <c r="L111" s="189">
        <v>0</v>
      </c>
      <c r="M111" s="3">
        <f t="shared" si="3"/>
        <v>7176.11</v>
      </c>
    </row>
    <row r="112" spans="2:14" hidden="1" x14ac:dyDescent="0.3">
      <c r="B112" s="13" t="s">
        <v>221</v>
      </c>
      <c r="C112" s="14" t="str">
        <f t="shared" si="2"/>
        <v>2.1.1.05.000</v>
      </c>
      <c r="D112" s="2" t="s">
        <v>898</v>
      </c>
      <c r="E112" s="12">
        <v>46142</v>
      </c>
      <c r="F112" s="4" t="s">
        <v>967</v>
      </c>
      <c r="G112" s="5" t="s">
        <v>965</v>
      </c>
      <c r="H112" s="4" t="s">
        <v>646</v>
      </c>
      <c r="I112" s="4" t="s">
        <v>977</v>
      </c>
      <c r="J112" s="6" t="s">
        <v>982</v>
      </c>
      <c r="K112" s="189">
        <v>4427.88</v>
      </c>
      <c r="L112" s="189">
        <v>0</v>
      </c>
      <c r="M112" s="3">
        <f t="shared" si="3"/>
        <v>4427.88</v>
      </c>
      <c r="N112" s="13"/>
    </row>
    <row r="113" spans="2:14" hidden="1" x14ac:dyDescent="0.3">
      <c r="B113" s="13" t="s">
        <v>221</v>
      </c>
      <c r="C113" s="14" t="str">
        <f t="shared" si="2"/>
        <v>2.1.1.05.000</v>
      </c>
      <c r="D113" s="2" t="s">
        <v>898</v>
      </c>
      <c r="E113" s="12">
        <v>46173</v>
      </c>
      <c r="F113" s="4" t="s">
        <v>907</v>
      </c>
      <c r="G113" s="5" t="s">
        <v>968</v>
      </c>
      <c r="H113" s="4" t="s">
        <v>695</v>
      </c>
      <c r="I113" s="4" t="s">
        <v>977</v>
      </c>
      <c r="J113" s="6" t="s">
        <v>990</v>
      </c>
      <c r="K113" s="189">
        <v>0</v>
      </c>
      <c r="L113" s="189">
        <v>22757</v>
      </c>
      <c r="M113" s="3">
        <f t="shared" si="3"/>
        <v>-22757</v>
      </c>
      <c r="N113" s="13"/>
    </row>
    <row r="114" spans="2:14" hidden="1" x14ac:dyDescent="0.3">
      <c r="B114" s="13" t="s">
        <v>221</v>
      </c>
      <c r="C114" s="14" t="str">
        <f t="shared" si="2"/>
        <v>2.1.1.05.000</v>
      </c>
      <c r="D114" s="2" t="s">
        <v>898</v>
      </c>
      <c r="E114" s="12">
        <v>46173</v>
      </c>
      <c r="F114" s="4" t="s">
        <v>969</v>
      </c>
      <c r="G114" s="5" t="s">
        <v>961</v>
      </c>
      <c r="H114" s="4" t="s">
        <v>808</v>
      </c>
      <c r="I114" s="4" t="s">
        <v>977</v>
      </c>
      <c r="J114" s="6" t="s">
        <v>990</v>
      </c>
      <c r="K114" s="189">
        <v>0</v>
      </c>
      <c r="L114" s="189">
        <v>20828.18</v>
      </c>
      <c r="M114" s="3">
        <f t="shared" si="3"/>
        <v>-20828.18</v>
      </c>
      <c r="N114" s="13"/>
    </row>
    <row r="115" spans="2:14" hidden="1" x14ac:dyDescent="0.3">
      <c r="B115" s="13" t="s">
        <v>221</v>
      </c>
      <c r="C115" s="14" t="str">
        <f t="shared" si="2"/>
        <v>2.1.1.05.000</v>
      </c>
      <c r="D115" s="2" t="s">
        <v>898</v>
      </c>
      <c r="E115" s="12">
        <v>46173</v>
      </c>
      <c r="F115" s="4" t="s">
        <v>970</v>
      </c>
      <c r="G115" s="5" t="s">
        <v>965</v>
      </c>
      <c r="H115" s="4" t="s">
        <v>693</v>
      </c>
      <c r="I115" s="4" t="s">
        <v>977</v>
      </c>
      <c r="J115" s="6" t="s">
        <v>990</v>
      </c>
      <c r="K115" s="189">
        <v>27244.78</v>
      </c>
      <c r="L115" s="189">
        <v>0</v>
      </c>
      <c r="M115" s="3">
        <f t="shared" si="3"/>
        <v>27244.78</v>
      </c>
      <c r="N115" s="13"/>
    </row>
    <row r="116" spans="2:14" hidden="1" x14ac:dyDescent="0.3">
      <c r="B116" s="13" t="s">
        <v>221</v>
      </c>
      <c r="C116" s="14" t="str">
        <f t="shared" si="2"/>
        <v>2.1.1.05.000</v>
      </c>
      <c r="D116" s="2" t="s">
        <v>898</v>
      </c>
      <c r="E116" s="12">
        <v>46203</v>
      </c>
      <c r="F116" s="4" t="s">
        <v>971</v>
      </c>
      <c r="G116" s="5" t="s">
        <v>972</v>
      </c>
      <c r="H116" s="4" t="s">
        <v>695</v>
      </c>
      <c r="I116" s="4" t="s">
        <v>977</v>
      </c>
      <c r="J116" s="6" t="s">
        <v>982</v>
      </c>
      <c r="K116" s="189">
        <v>0</v>
      </c>
      <c r="L116" s="189">
        <v>22757</v>
      </c>
      <c r="M116" s="3">
        <f t="shared" si="3"/>
        <v>-22757</v>
      </c>
      <c r="N116" s="13"/>
    </row>
    <row r="117" spans="2:14" hidden="1" x14ac:dyDescent="0.3">
      <c r="B117" s="13" t="s">
        <v>221</v>
      </c>
      <c r="C117" s="14" t="str">
        <f t="shared" si="2"/>
        <v>2.1.1.05.000</v>
      </c>
      <c r="D117" s="2" t="s">
        <v>898</v>
      </c>
      <c r="E117" s="12">
        <v>46203</v>
      </c>
      <c r="F117" s="4" t="s">
        <v>960</v>
      </c>
      <c r="G117" s="5" t="s">
        <v>973</v>
      </c>
      <c r="H117" s="4" t="s">
        <v>646</v>
      </c>
      <c r="I117" s="4" t="s">
        <v>977</v>
      </c>
      <c r="J117" s="6" t="s">
        <v>991</v>
      </c>
      <c r="K117" s="189">
        <v>5737.83</v>
      </c>
      <c r="L117" s="189">
        <v>0</v>
      </c>
      <c r="M117" s="3">
        <f t="shared" si="3"/>
        <v>5737.83</v>
      </c>
      <c r="N117" s="13"/>
    </row>
    <row r="118" spans="2:14" hidden="1" x14ac:dyDescent="0.3">
      <c r="B118" s="13" t="s">
        <v>221</v>
      </c>
      <c r="C118" s="14" t="str">
        <f t="shared" si="2"/>
        <v>2.1.1.05.000</v>
      </c>
      <c r="D118" s="2" t="s">
        <v>898</v>
      </c>
      <c r="E118" s="12">
        <v>46203</v>
      </c>
      <c r="F118" s="4" t="s">
        <v>962</v>
      </c>
      <c r="G118" s="5" t="s">
        <v>973</v>
      </c>
      <c r="H118" s="4" t="s">
        <v>693</v>
      </c>
      <c r="I118" s="4" t="s">
        <v>977</v>
      </c>
      <c r="J118" s="6" t="s">
        <v>12</v>
      </c>
      <c r="K118" s="189">
        <v>44468.54</v>
      </c>
      <c r="L118" s="189">
        <v>0</v>
      </c>
      <c r="M118" s="3">
        <f t="shared" si="3"/>
        <v>44468.54</v>
      </c>
    </row>
    <row r="119" spans="2:14" hidden="1" x14ac:dyDescent="0.3">
      <c r="B119" s="13" t="s">
        <v>221</v>
      </c>
      <c r="C119" s="14" t="str">
        <f t="shared" si="2"/>
        <v>2.1.1.05.000</v>
      </c>
      <c r="D119" s="2" t="s">
        <v>898</v>
      </c>
      <c r="E119" s="12">
        <v>46203</v>
      </c>
      <c r="F119" s="4" t="s">
        <v>963</v>
      </c>
      <c r="G119" s="5" t="s">
        <v>974</v>
      </c>
      <c r="H119" s="4" t="s">
        <v>808</v>
      </c>
      <c r="I119" s="4" t="s">
        <v>977</v>
      </c>
      <c r="J119" s="6" t="s">
        <v>990</v>
      </c>
      <c r="K119" s="189">
        <v>0</v>
      </c>
      <c r="L119" s="189">
        <v>33571.79</v>
      </c>
      <c r="M119" s="3">
        <f t="shared" si="3"/>
        <v>-33571.79</v>
      </c>
    </row>
    <row r="120" spans="2:14" hidden="1" x14ac:dyDescent="0.3">
      <c r="B120" s="13" t="s">
        <v>221</v>
      </c>
      <c r="C120" s="14" t="str">
        <f t="shared" si="2"/>
        <v>2.1.1.05.000</v>
      </c>
      <c r="D120" s="2" t="s">
        <v>898</v>
      </c>
      <c r="E120" s="12">
        <v>46203</v>
      </c>
      <c r="F120" s="4" t="s">
        <v>964</v>
      </c>
      <c r="G120" s="5" t="s">
        <v>974</v>
      </c>
      <c r="H120" s="4" t="s">
        <v>808</v>
      </c>
      <c r="I120" s="4" t="s">
        <v>977</v>
      </c>
      <c r="J120" s="6" t="s">
        <v>990</v>
      </c>
      <c r="K120" s="189">
        <v>0</v>
      </c>
      <c r="L120" s="189">
        <v>4159.93</v>
      </c>
      <c r="M120" s="3">
        <f t="shared" si="3"/>
        <v>-4159.93</v>
      </c>
      <c r="N120" s="13"/>
    </row>
    <row r="123" spans="2:14" x14ac:dyDescent="0.3">
      <c r="K123" s="187" t="s">
        <v>999</v>
      </c>
    </row>
  </sheetData>
  <autoFilter ref="B6:O120" xr:uid="{C7B1380C-CC1F-4EC1-9EAE-4788F09B8AE4}">
    <filterColumn colId="3">
      <filters>
        <dateGroupItem year="2024" dateTimeGrouping="year"/>
      </filters>
    </filterColumn>
    <filterColumn colId="12">
      <filters blank="1"/>
    </filterColumn>
    <sortState xmlns:xlrd2="http://schemas.microsoft.com/office/spreadsheetml/2017/richdata2" ref="B49:O93">
      <sortCondition descending="1" ref="M6:M120"/>
    </sortState>
  </autoFilter>
  <pageMargins left="0.78740157499999996" right="0.78740157499999996" top="0.984251969" bottom="0.984251969" header="0.4921259845" footer="0.4921259845"/>
  <ignoredErrors>
    <ignoredError sqref="B7:B19 B20:B34 B35:B48 B94:B120" numberStoredAsText="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2CFD-2D11-4AF6-A7B8-C0E12CDC931A}">
  <dimension ref="B1:Y7"/>
  <sheetViews>
    <sheetView showGridLines="0" zoomScale="90" zoomScaleNormal="90" workbookViewId="0">
      <pane ySplit="6" topLeftCell="A7" activePane="bottomLeft" state="frozen"/>
      <selection pane="bottomLeft"/>
    </sheetView>
  </sheetViews>
  <sheetFormatPr defaultRowHeight="13" outlineLevelCol="1" x14ac:dyDescent="0.3"/>
  <cols>
    <col min="1" max="1" width="1" style="2" customWidth="1"/>
    <col min="2" max="2" width="8.19921875" style="2" bestFit="1" customWidth="1"/>
    <col min="3" max="3" width="16.296875" style="2" bestFit="1" customWidth="1"/>
    <col min="4" max="4" width="1" style="2" customWidth="1"/>
    <col min="5" max="10" width="10.796875" style="3" bestFit="1" customWidth="1"/>
    <col min="11" max="16" width="10.796875" style="3" hidden="1" customWidth="1" outlineLevel="1"/>
    <col min="17" max="17" width="11.69921875" style="2" bestFit="1" customWidth="1" collapsed="1"/>
    <col min="18" max="18" width="1" style="23" customWidth="1"/>
    <col min="19" max="19" width="10.796875" style="144" bestFit="1" customWidth="1"/>
    <col min="20" max="21" width="11.09765625" style="2" bestFit="1" customWidth="1"/>
    <col min="22" max="22" width="9.59765625" style="3" bestFit="1" customWidth="1"/>
    <col min="23" max="24" width="8.796875" style="2"/>
    <col min="25" max="25" width="30.69921875" style="2" bestFit="1" customWidth="1"/>
    <col min="26" max="16384" width="8.796875" style="2"/>
  </cols>
  <sheetData>
    <row r="1" spans="2:25" x14ac:dyDescent="0.3">
      <c r="R1" s="23" t="s">
        <v>228</v>
      </c>
    </row>
    <row r="4" spans="2:25" x14ac:dyDescent="0.3">
      <c r="C4" s="24" t="s">
        <v>122</v>
      </c>
      <c r="J4" s="22" t="s">
        <v>120</v>
      </c>
    </row>
    <row r="5" spans="2:25" ht="13.5" thickBot="1" x14ac:dyDescent="0.35">
      <c r="C5" s="24" t="s">
        <v>121</v>
      </c>
      <c r="E5" s="25" t="s">
        <v>120</v>
      </c>
      <c r="F5" s="25" t="s">
        <v>120</v>
      </c>
      <c r="G5" s="25" t="s">
        <v>120</v>
      </c>
      <c r="H5" s="25" t="s">
        <v>120</v>
      </c>
      <c r="I5" s="25" t="s">
        <v>120</v>
      </c>
      <c r="J5" s="25" t="s">
        <v>120</v>
      </c>
      <c r="K5" s="26"/>
      <c r="L5" s="26"/>
      <c r="M5" s="26"/>
      <c r="N5" s="26"/>
      <c r="O5" s="26"/>
      <c r="P5" s="26"/>
      <c r="Q5" s="26"/>
      <c r="S5" s="26"/>
      <c r="T5" s="26"/>
      <c r="U5" s="26"/>
      <c r="V5" s="26"/>
      <c r="W5" s="26"/>
      <c r="X5" s="26"/>
      <c r="Y5" s="26"/>
    </row>
    <row r="6" spans="2:25" s="7" customFormat="1" ht="16" thickTop="1" x14ac:dyDescent="0.25">
      <c r="B6" s="18" t="s">
        <v>103</v>
      </c>
      <c r="C6" s="19" t="s">
        <v>104</v>
      </c>
      <c r="E6" s="148" t="s">
        <v>105</v>
      </c>
      <c r="F6" s="148" t="s">
        <v>106</v>
      </c>
      <c r="G6" s="148" t="s">
        <v>107</v>
      </c>
      <c r="H6" s="148" t="s">
        <v>108</v>
      </c>
      <c r="I6" s="148" t="s">
        <v>109</v>
      </c>
      <c r="J6" s="148" t="s">
        <v>110</v>
      </c>
      <c r="K6" s="148" t="s">
        <v>111</v>
      </c>
      <c r="L6" s="148" t="s">
        <v>112</v>
      </c>
      <c r="M6" s="148" t="s">
        <v>113</v>
      </c>
      <c r="N6" s="148" t="s">
        <v>114</v>
      </c>
      <c r="O6" s="148" t="s">
        <v>115</v>
      </c>
      <c r="P6" s="148" t="s">
        <v>116</v>
      </c>
      <c r="Q6" s="149" t="s">
        <v>117</v>
      </c>
      <c r="S6" s="143" t="s">
        <v>90</v>
      </c>
      <c r="T6" s="7" t="s">
        <v>159</v>
      </c>
      <c r="U6" s="7" t="s">
        <v>160</v>
      </c>
      <c r="V6" s="21" t="s">
        <v>85</v>
      </c>
      <c r="W6" s="7" t="s">
        <v>226</v>
      </c>
      <c r="X6" s="7" t="s">
        <v>226</v>
      </c>
      <c r="Y6" s="7" t="s">
        <v>227</v>
      </c>
    </row>
    <row r="7" spans="2:25" ht="15.5" x14ac:dyDescent="0.35">
      <c r="B7" s="16" t="s">
        <v>118</v>
      </c>
      <c r="C7" s="17" t="s">
        <v>119</v>
      </c>
      <c r="E7" s="150">
        <v>99320</v>
      </c>
      <c r="F7" s="150">
        <v>99320</v>
      </c>
      <c r="G7" s="150">
        <v>99320</v>
      </c>
      <c r="H7" s="150">
        <v>99320</v>
      </c>
      <c r="I7" s="150">
        <v>99320</v>
      </c>
      <c r="J7" s="150">
        <v>99320</v>
      </c>
      <c r="K7" s="150">
        <v>99320</v>
      </c>
      <c r="L7" s="150">
        <v>99320</v>
      </c>
      <c r="M7" s="150">
        <v>99320</v>
      </c>
      <c r="N7" s="150">
        <v>99320</v>
      </c>
      <c r="O7" s="150">
        <v>99320</v>
      </c>
      <c r="P7" s="150">
        <v>99320</v>
      </c>
      <c r="Q7" s="151">
        <f>SUMIFS($E$7:$P$7,$E$5:$P$5,"x")</f>
        <v>595920</v>
      </c>
      <c r="S7" s="145">
        <v>46203</v>
      </c>
      <c r="T7" s="146" t="s">
        <v>60</v>
      </c>
      <c r="U7" s="146" t="s">
        <v>215</v>
      </c>
      <c r="V7" s="147">
        <f>SUMIFS($E$7:$P$7,$E$4:$P$4,"x")</f>
        <v>99320</v>
      </c>
      <c r="W7" s="146" t="s">
        <v>81</v>
      </c>
      <c r="X7" s="146" t="s">
        <v>81</v>
      </c>
      <c r="Y7" s="146" t="s">
        <v>84</v>
      </c>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D433-0C3F-4BE6-B464-2B00F2F7834F}">
  <dimension ref="B6:F72"/>
  <sheetViews>
    <sheetView showGridLines="0" zoomScale="90" zoomScaleNormal="90" workbookViewId="0">
      <pane ySplit="6" topLeftCell="A7" activePane="bottomLeft" state="frozen"/>
      <selection pane="bottomLeft"/>
    </sheetView>
  </sheetViews>
  <sheetFormatPr defaultRowHeight="13" x14ac:dyDescent="0.3"/>
  <cols>
    <col min="1" max="1" width="1" style="2" customWidth="1"/>
    <col min="2" max="2" width="11.69921875" style="2" bestFit="1" customWidth="1"/>
    <col min="3" max="3" width="11.69921875" style="2" customWidth="1"/>
    <col min="4" max="4" width="21" style="2" bestFit="1" customWidth="1"/>
    <col min="5" max="5" width="12.69921875" style="3" bestFit="1" customWidth="1"/>
    <col min="6" max="6" width="57.09765625" style="2" bestFit="1" customWidth="1"/>
    <col min="7" max="7" width="1" style="2" customWidth="1"/>
    <col min="8" max="16384" width="8.796875" style="2"/>
  </cols>
  <sheetData>
    <row r="6" spans="2:6" s="7" customFormat="1" x14ac:dyDescent="0.25">
      <c r="B6" s="7" t="s">
        <v>89</v>
      </c>
      <c r="C6" s="7" t="s">
        <v>103</v>
      </c>
      <c r="D6" s="7" t="s">
        <v>217</v>
      </c>
      <c r="E6" s="21" t="s">
        <v>85</v>
      </c>
      <c r="F6" s="7" t="s">
        <v>86</v>
      </c>
    </row>
    <row r="7" spans="2:6" x14ac:dyDescent="0.3">
      <c r="B7" s="13" t="s">
        <v>93</v>
      </c>
      <c r="C7" s="2" t="s">
        <v>216</v>
      </c>
      <c r="D7" s="2" t="s">
        <v>99</v>
      </c>
      <c r="E7" s="3">
        <f>SUMIFS('01.Razão'!$M:$M,'01.Razão'!$N:$N,'03.Conciliação'!$D7)</f>
        <v>0</v>
      </c>
    </row>
    <row r="8" spans="2:6" x14ac:dyDescent="0.3">
      <c r="B8" s="13" t="s">
        <v>93</v>
      </c>
      <c r="C8" s="2" t="s">
        <v>216</v>
      </c>
      <c r="D8" s="2" t="s">
        <v>98</v>
      </c>
      <c r="E8" s="3">
        <f>SUMIFS('01.Razão'!$M:$M,'01.Razão'!$N:$N,'03.Conciliação'!$D8)</f>
        <v>0</v>
      </c>
    </row>
    <row r="9" spans="2:6" x14ac:dyDescent="0.3">
      <c r="B9" s="13"/>
      <c r="C9" s="13"/>
    </row>
    <row r="10" spans="2:6" s="23" customFormat="1" x14ac:dyDescent="0.3">
      <c r="B10" s="142" t="s">
        <v>93</v>
      </c>
      <c r="C10" s="23" t="s">
        <v>216</v>
      </c>
      <c r="D10" s="23" t="s">
        <v>117</v>
      </c>
      <c r="E10" s="20">
        <f>SUM(E7:E8)</f>
        <v>0</v>
      </c>
      <c r="F10" s="2" t="s">
        <v>218</v>
      </c>
    </row>
    <row r="11" spans="2:6" x14ac:dyDescent="0.3">
      <c r="B11" s="13"/>
      <c r="C11" s="13"/>
    </row>
    <row r="13" spans="2:6" x14ac:dyDescent="0.3">
      <c r="B13" s="13" t="s">
        <v>94</v>
      </c>
      <c r="C13" s="2" t="s">
        <v>216</v>
      </c>
      <c r="D13" s="2" t="s">
        <v>97</v>
      </c>
      <c r="E13" s="3">
        <f>SUMIFS('01.Razão'!$M:$M,'01.Razão'!$N:$N,'03.Conciliação'!$D13)</f>
        <v>0</v>
      </c>
    </row>
    <row r="14" spans="2:6" x14ac:dyDescent="0.3">
      <c r="B14" s="13" t="s">
        <v>94</v>
      </c>
      <c r="C14" s="2" t="s">
        <v>216</v>
      </c>
      <c r="D14" s="2" t="s">
        <v>101</v>
      </c>
      <c r="E14" s="3">
        <f>SUMIFS('01.Razão'!$M:$M,'01.Razão'!$N:$N,'03.Conciliação'!$D14)</f>
        <v>0</v>
      </c>
    </row>
    <row r="15" spans="2:6" x14ac:dyDescent="0.3">
      <c r="B15"/>
      <c r="C15"/>
    </row>
    <row r="16" spans="2:6" x14ac:dyDescent="0.3">
      <c r="B16" s="13" t="s">
        <v>94</v>
      </c>
      <c r="C16" s="23" t="s">
        <v>216</v>
      </c>
      <c r="D16" s="23" t="s">
        <v>117</v>
      </c>
      <c r="E16" s="20">
        <f>SUM(E13:E14)</f>
        <v>0</v>
      </c>
      <c r="F16" s="2" t="s">
        <v>219</v>
      </c>
    </row>
    <row r="17" spans="2:6" x14ac:dyDescent="0.3">
      <c r="B17"/>
      <c r="C17"/>
    </row>
    <row r="18" spans="2:6" x14ac:dyDescent="0.3">
      <c r="B18" s="13" t="s">
        <v>95</v>
      </c>
      <c r="C18" s="2" t="s">
        <v>216</v>
      </c>
      <c r="D18" s="2" t="s">
        <v>100</v>
      </c>
      <c r="E18" s="3">
        <f>SUMIFS('01.Razão'!$M:$M,'01.Razão'!$N:$N,'03.Conciliação'!$D18)</f>
        <v>0</v>
      </c>
    </row>
    <row r="19" spans="2:6" x14ac:dyDescent="0.3">
      <c r="B19" s="13" t="s">
        <v>95</v>
      </c>
      <c r="C19" s="2" t="s">
        <v>216</v>
      </c>
      <c r="D19" s="2" t="s">
        <v>102</v>
      </c>
      <c r="E19" s="3">
        <f>SUMIFS('01.Razão'!$M:$M,'01.Razão'!$N:$N,'03.Conciliação'!$D19)</f>
        <v>0</v>
      </c>
    </row>
    <row r="20" spans="2:6" x14ac:dyDescent="0.3">
      <c r="B20"/>
      <c r="C20"/>
    </row>
    <row r="21" spans="2:6" x14ac:dyDescent="0.3">
      <c r="B21" s="13" t="s">
        <v>95</v>
      </c>
      <c r="C21" s="23" t="s">
        <v>216</v>
      </c>
      <c r="D21" s="23" t="s">
        <v>117</v>
      </c>
      <c r="E21" s="20">
        <f>SUM(E18:E19)</f>
        <v>0</v>
      </c>
      <c r="F21" s="2" t="s">
        <v>220</v>
      </c>
    </row>
    <row r="22" spans="2:6" x14ac:dyDescent="0.3">
      <c r="B22"/>
      <c r="C22"/>
    </row>
    <row r="23" spans="2:6" x14ac:dyDescent="0.3">
      <c r="B23" s="13" t="s">
        <v>221</v>
      </c>
      <c r="C23" s="2" t="s">
        <v>216</v>
      </c>
      <c r="D23" s="2" t="s">
        <v>222</v>
      </c>
      <c r="E23" s="3">
        <f>SUMIFS('01.Razão'!$M:$M,'01.Razão'!$N:$N,'03.Conciliação'!$D23)</f>
        <v>0</v>
      </c>
    </row>
    <row r="24" spans="2:6" x14ac:dyDescent="0.3">
      <c r="B24" s="13" t="s">
        <v>221</v>
      </c>
      <c r="C24" s="2" t="s">
        <v>216</v>
      </c>
      <c r="D24" s="2" t="s">
        <v>223</v>
      </c>
      <c r="E24" s="3">
        <f>SUMIFS('01.Razão'!$M:$M,'01.Razão'!$N:$N,'03.Conciliação'!$D24)</f>
        <v>0</v>
      </c>
    </row>
    <row r="25" spans="2:6" x14ac:dyDescent="0.3">
      <c r="B25"/>
      <c r="C25"/>
    </row>
    <row r="26" spans="2:6" x14ac:dyDescent="0.3">
      <c r="B26" s="13" t="s">
        <v>221</v>
      </c>
      <c r="C26" s="23" t="s">
        <v>216</v>
      </c>
      <c r="D26" s="23" t="s">
        <v>117</v>
      </c>
      <c r="E26" s="20">
        <f>SUM(E23:E24)</f>
        <v>0</v>
      </c>
      <c r="F26" s="2" t="s">
        <v>224</v>
      </c>
    </row>
    <row r="27" spans="2:6" x14ac:dyDescent="0.3">
      <c r="B27"/>
      <c r="C27"/>
    </row>
    <row r="28" spans="2:6" x14ac:dyDescent="0.3">
      <c r="B28" s="13" t="s">
        <v>221</v>
      </c>
      <c r="C28" s="23" t="s">
        <v>216</v>
      </c>
      <c r="D28" s="23" t="s">
        <v>225</v>
      </c>
      <c r="E28" s="20">
        <f>SUM(E26,E21,E16,E10)</f>
        <v>0</v>
      </c>
    </row>
    <row r="29" spans="2:6" x14ac:dyDescent="0.3">
      <c r="B29"/>
      <c r="C29"/>
    </row>
    <row r="30" spans="2:6" x14ac:dyDescent="0.3">
      <c r="B30"/>
      <c r="C30"/>
    </row>
    <row r="31" spans="2:6" x14ac:dyDescent="0.3">
      <c r="B31"/>
      <c r="C31"/>
    </row>
    <row r="32" spans="2:6"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sheetData>
  <pageMargins left="0.511811024" right="0.511811024" top="0.78740157499999996" bottom="0.78740157499999996" header="0.31496062000000002" footer="0.31496062000000002"/>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b334fb-c25b-44bd-bf6b-3169c01b0168">
      <Terms xmlns="http://schemas.microsoft.com/office/infopath/2007/PartnerControls"/>
    </lcf76f155ced4ddcb4097134ff3c332f>
    <TaxCatchAll xmlns="790ed7fd-0c16-47ba-8db6-be5c874e682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094F72C943C6A4F8958313A8D07CAE7" ma:contentTypeVersion="12" ma:contentTypeDescription="Crie um novo documento." ma:contentTypeScope="" ma:versionID="63a4ca25d71edd764b9ce65c246a98cb">
  <xsd:schema xmlns:xsd="http://www.w3.org/2001/XMLSchema" xmlns:xs="http://www.w3.org/2001/XMLSchema" xmlns:p="http://schemas.microsoft.com/office/2006/metadata/properties" xmlns:ns2="790ed7fd-0c16-47ba-8db6-be5c874e6825" xmlns:ns3="a3b334fb-c25b-44bd-bf6b-3169c01b0168" targetNamespace="http://schemas.microsoft.com/office/2006/metadata/properties" ma:root="true" ma:fieldsID="6c4aa8eaa7b27cf82b97fb0326459282" ns2:_="" ns3:_="">
    <xsd:import namespace="790ed7fd-0c16-47ba-8db6-be5c874e6825"/>
    <xsd:import namespace="a3b334fb-c25b-44bd-bf6b-3169c01b016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0ed7fd-0c16-47ba-8db6-be5c874e6825"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18" nillable="true" ma:displayName="Taxonomy Catch All Column" ma:hidden="true" ma:list="{033618f9-5cdc-4ac6-b986-c68effa49914}" ma:internalName="TaxCatchAll" ma:showField="CatchAllData" ma:web="790ed7fd-0c16-47ba-8db6-be5c874e682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3b334fb-c25b-44bd-bf6b-3169c01b016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63f9156e-41ce-4f1d-823f-5c3c7a8f6c2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740058-4415-4618-A90E-EA12A7FE55CA}">
  <ds:schemaRefs>
    <ds:schemaRef ds:uri="http://schemas.microsoft.com/office/2006/metadata/properties"/>
    <ds:schemaRef ds:uri="http://schemas.microsoft.com/office/infopath/2007/PartnerControls"/>
    <ds:schemaRef ds:uri="a3b334fb-c25b-44bd-bf6b-3169c01b0168"/>
    <ds:schemaRef ds:uri="790ed7fd-0c16-47ba-8db6-be5c874e6825"/>
  </ds:schemaRefs>
</ds:datastoreItem>
</file>

<file path=customXml/itemProps2.xml><?xml version="1.0" encoding="utf-8"?>
<ds:datastoreItem xmlns:ds="http://schemas.openxmlformats.org/officeDocument/2006/customXml" ds:itemID="{D49CFBF5-422E-46E4-A31E-84A1E556E2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0ed7fd-0c16-47ba-8db6-be5c874e6825"/>
    <ds:schemaRef ds:uri="a3b334fb-c25b-44bd-bf6b-3169c01b01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0C8A80-7C55-4983-817F-AB7F376533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9</vt:i4>
      </vt:variant>
    </vt:vector>
  </HeadingPairs>
  <TitlesOfParts>
    <vt:vector size="16" baseType="lpstr">
      <vt:lpstr>Parametros</vt:lpstr>
      <vt:lpstr>01.Razão (2)</vt:lpstr>
      <vt:lpstr>Capa</vt:lpstr>
      <vt:lpstr>00.Balancete</vt:lpstr>
      <vt:lpstr>01.Razão</vt:lpstr>
      <vt:lpstr>02.Suporte</vt:lpstr>
      <vt:lpstr>03.Conciliação</vt:lpstr>
      <vt:lpstr>Capa!_OBS1</vt:lpstr>
      <vt:lpstr>Capa!_OBS4</vt:lpstr>
      <vt:lpstr>Capa!_OBS5</vt:lpstr>
      <vt:lpstr>Capa!_OBS6</vt:lpstr>
      <vt:lpstr>Capa!_REV5</vt:lpstr>
      <vt:lpstr>Capa!_REV6</vt:lpstr>
      <vt:lpstr>Capa!Area_de_impressao</vt:lpstr>
      <vt:lpstr>Capa!diferenca</vt:lpstr>
      <vt:lpstr>Capa!status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Willian André do Nascimento</dc:creator>
  <cp:lastModifiedBy>Ingrid Souza</cp:lastModifiedBy>
  <dcterms:created xsi:type="dcterms:W3CDTF">2026-07-01T18:16:17Z</dcterms:created>
  <dcterms:modified xsi:type="dcterms:W3CDTF">2026-07-17T17:49:46Z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0x010100A094F72C943C6A4F8958313A8D07CAE7</vt:lpwstr>
  </property>
  <property fmtid="{D5CDD505-2E9C-101B-9397-08002B2CF9AE}" pid="3" name="MediaServiceImageTags">
    <vt:lpwstr/>
  </property>
</Properties>
</file>