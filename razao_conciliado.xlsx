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he_Conciliacao" sheetId="1" state="visible" r:id="rId3"/>
    <sheet name="Resumo_Periodo" sheetId="2" state="visible" r:id="rId4"/>
    <sheet name="Itens_Em_Aberto" sheetId="3" state="visible" r:id="rId5"/>
    <sheet name="Ponte_Balancete" sheetId="4" state="visible" r:id="rId6"/>
  </sheets>
  <definedNames>
    <definedName function="false" hidden="true" localSheetId="0" name="_xlnm._FilterDatabase" vbProcedure="false">Detalhe_Conciliacao!$A$1:$S$115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<sst xmlns="http://schemas.openxmlformats.org/spreadsheetml/2006/main" count="1176" uniqueCount="326">
  <si>
    <t xml:space="preserve">Id Lancamento</t>
  </si>
  <si>
    <t xml:space="preserve">Linha Origem</t>
  </si>
  <si>
    <t xml:space="preserve">Periodo</t>
  </si>
  <si>
    <t xml:space="preserve">Data</t>
  </si>
  <si>
    <t xml:space="preserve">Historico</t>
  </si>
  <si>
    <t xml:space="preserve">C Partida</t>
  </si>
  <si>
    <t xml:space="preserve">Debito</t>
  </si>
  <si>
    <t xml:space="preserve">Credito</t>
  </si>
  <si>
    <t xml:space="preserve">Valor</t>
  </si>
  <si>
    <t xml:space="preserve">Direcao</t>
  </si>
  <si>
    <t xml:space="preserve">Tipo Textual</t>
  </si>
  <si>
    <t xml:space="preserve">Status</t>
  </si>
  <si>
    <t xml:space="preserve">Regra Aplicada</t>
  </si>
  <si>
    <t xml:space="preserve">Id Match</t>
  </si>
  <si>
    <t xml:space="preserve">Contraparte</t>
  </si>
  <si>
    <t xml:space="preserve">Valor Residual</t>
  </si>
  <si>
    <t xml:space="preserve">Aging Dias</t>
  </si>
  <si>
    <t xml:space="preserve">Faixa Aging</t>
  </si>
  <si>
    <t xml:space="preserve">Obs</t>
  </si>
  <si>
    <t xml:space="preserve">L0010</t>
  </si>
  <si>
    <t xml:space="preserve">PROV BONUS A PAGAR ACIONISTA</t>
  </si>
  <si>
    <t xml:space="preserve">4.1.1.01.0026</t>
  </si>
  <si>
    <t xml:space="preserve">Entrada (Credito)</t>
  </si>
  <si>
    <t xml:space="preserve">Provisao</t>
  </si>
  <si>
    <t xml:space="preserve">Conciliado - Saldo Período</t>
  </si>
  <si>
    <t xml:space="preserve">Saldo Período</t>
  </si>
  <si>
    <t xml:space="preserve">M0008</t>
  </si>
  <si>
    <t xml:space="preserve">L0001, L0002, L0003, L0004, L0005, L0006, L0007, L0008, L0009, L0011, L0012, L0112</t>
  </si>
  <si>
    <t xml:space="preserve">Efeito zero </t>
  </si>
  <si>
    <t xml:space="preserve">L0011</t>
  </si>
  <si>
    <t xml:space="preserve">L0001, L0002, L0003, L0004, L0005, L0006, L0007, L0008, L0009, L0010, L0012, L0112</t>
  </si>
  <si>
    <t xml:space="preserve">L0012</t>
  </si>
  <si>
    <t xml:space="preserve">L0001, L0002, L0003, L0004, L0005, L0006, L0007, L0008, L0009, L0010, L0011, L0112</t>
  </si>
  <si>
    <t xml:space="preserve">L0001</t>
  </si>
  <si>
    <t xml:space="preserve">PROVISAO DE BONUS MES MARÇO E ABRIL</t>
  </si>
  <si>
    <t xml:space="preserve">L0002, L0003, L0004, L0005, L0006, L0007, L0008, L0009, L0010, L0011, L0012, L0112</t>
  </si>
  <si>
    <t xml:space="preserve">L0002</t>
  </si>
  <si>
    <t xml:space="preserve">PROVISAO DE BONUS MES MAIO-21</t>
  </si>
  <si>
    <t xml:space="preserve">L0001, L0003, L0004, L0005, L0006, L0007, L0008, L0009, L0010, L0011, L0012, L0112</t>
  </si>
  <si>
    <t xml:space="preserve">L0003</t>
  </si>
  <si>
    <t xml:space="preserve">PROVISAO DE BONUS JUN 2021</t>
  </si>
  <si>
    <t xml:space="preserve">L0001, L0002, L0004, L0005, L0006, L0007, L0008, L0009, L0010, L0011, L0012, L0112</t>
  </si>
  <si>
    <t xml:space="preserve">L0004</t>
  </si>
  <si>
    <t xml:space="preserve">PROV  PROVISAO DE BONUS</t>
  </si>
  <si>
    <t xml:space="preserve">L0001, L0002, L0003, L0005, L0006, L0007, L0008, L0009, L0010, L0011, L0012, L0112</t>
  </si>
  <si>
    <t xml:space="preserve">L0005</t>
  </si>
  <si>
    <t xml:space="preserve">L0001, L0002, L0003, L0004, L0006, L0007, L0008, L0009, L0010, L0011, L0012, L0112</t>
  </si>
  <si>
    <t xml:space="preserve">L0006</t>
  </si>
  <si>
    <t xml:space="preserve">L0001, L0002, L0003, L0004, L0005, L0007, L0008, L0009, L0010, L0011, L0012, L0112</t>
  </si>
  <si>
    <t xml:space="preserve">L0007</t>
  </si>
  <si>
    <t xml:space="preserve">L0001, L0002, L0003, L0004, L0005, L0006, L0008, L0009, L0010, L0011, L0012, L0112</t>
  </si>
  <si>
    <t xml:space="preserve">L0008</t>
  </si>
  <si>
    <t xml:space="preserve">L0001, L0002, L0003, L0004, L0005, L0006, L0007, L0009, L0010, L0011, L0012, L0112</t>
  </si>
  <si>
    <t xml:space="preserve">L0009</t>
  </si>
  <si>
    <t xml:space="preserve">L0001, L0002, L0003, L0004, L0005, L0006, L0007, L0008, L0010, L0011, L0012, L0112</t>
  </si>
  <si>
    <t xml:space="preserve">L0112</t>
  </si>
  <si>
    <t xml:space="preserve">EST  PROV BONUS</t>
  </si>
  <si>
    <t xml:space="preserve">Saida (Debito)</t>
  </si>
  <si>
    <t xml:space="preserve">Reversao/Estorno</t>
  </si>
  <si>
    <t xml:space="preserve">L0001, L0002, L0003, L0004, L0005, L0006, L0007, L0008, L0009, L0010, L0011, L0012</t>
  </si>
  <si>
    <t xml:space="preserve">L0081</t>
  </si>
  <si>
    <t xml:space="preserve">PROV BONUS</t>
  </si>
  <si>
    <t xml:space="preserve">Conciliado - Agrupado (N:1)</t>
  </si>
  <si>
    <t xml:space="preserve">Agrupado (N:1)</t>
  </si>
  <si>
    <t xml:space="preserve">M0006</t>
  </si>
  <si>
    <t xml:space="preserve">L0082, L0083, L0084, L0085, L0086, L0114</t>
  </si>
  <si>
    <t xml:space="preserve">L0082</t>
  </si>
  <si>
    <t xml:space="preserve">L0081, L0083, L0084, L0085, L0086, L0114</t>
  </si>
  <si>
    <t xml:space="preserve">L0023</t>
  </si>
  <si>
    <t xml:space="preserve">VLR  FOL 280220222 EDUARDO DE SETTIALVES</t>
  </si>
  <si>
    <t xml:space="preserve">2.1.1.01.0002</t>
  </si>
  <si>
    <t xml:space="preserve">Outro</t>
  </si>
  <si>
    <t xml:space="preserve">Conciliado - Exato</t>
  </si>
  <si>
    <t xml:space="preserve">Exato</t>
  </si>
  <si>
    <t xml:space="preserve">M0001</t>
  </si>
  <si>
    <t xml:space="preserve">L0024</t>
  </si>
  <si>
    <t xml:space="preserve">VLR  PG FOL 280220222- EDUARDO DE SETTIALVES  PRO - LABORE</t>
  </si>
  <si>
    <t xml:space="preserve">1.1.1.02.0010</t>
  </si>
  <si>
    <t xml:space="preserve">Pagamento</t>
  </si>
  <si>
    <t xml:space="preserve">L0025</t>
  </si>
  <si>
    <t xml:space="preserve">VLR  FOL 310320222 EDUARDO DE SETTIALVES</t>
  </si>
  <si>
    <t xml:space="preserve">4.1.1.01.0002</t>
  </si>
  <si>
    <t xml:space="preserve">M0007</t>
  </si>
  <si>
    <t xml:space="preserve">L0087, L0088, L0089, L0090, L0111</t>
  </si>
  <si>
    <t xml:space="preserve">L0083</t>
  </si>
  <si>
    <t xml:space="preserve">L0081, L0082, L0084, L0085, L0086, L0114</t>
  </si>
  <si>
    <t xml:space="preserve">L0084</t>
  </si>
  <si>
    <t xml:space="preserve">L0081, L0082, L0083, L0085, L0086, L0114</t>
  </si>
  <si>
    <t xml:space="preserve">L0085</t>
  </si>
  <si>
    <t xml:space="preserve">L0081, L0082, L0083, L0084, L0086, L0114</t>
  </si>
  <si>
    <t xml:space="preserve">L0086</t>
  </si>
  <si>
    <t xml:space="preserve">L0081, L0082, L0083, L0084, L0085, L0114</t>
  </si>
  <si>
    <t xml:space="preserve">L0087</t>
  </si>
  <si>
    <t xml:space="preserve">L0025, L0088, L0089, L0090, L0111</t>
  </si>
  <si>
    <t xml:space="preserve">L0088</t>
  </si>
  <si>
    <t xml:space="preserve">L0025, L0087, L0089, L0090, L0111</t>
  </si>
  <si>
    <t xml:space="preserve">L0089</t>
  </si>
  <si>
    <t xml:space="preserve">L0025, L0087, L0088, L0090, L0111</t>
  </si>
  <si>
    <t xml:space="preserve">L0090</t>
  </si>
  <si>
    <t xml:space="preserve">L0025, L0087, L0088, L0089, L0111</t>
  </si>
  <si>
    <t xml:space="preserve">L0111</t>
  </si>
  <si>
    <t xml:space="preserve">L0025, L0087, L0088, L0089, L0090</t>
  </si>
  <si>
    <t xml:space="preserve">L0114</t>
  </si>
  <si>
    <t xml:space="preserve">PROV EST BONUS</t>
  </si>
  <si>
    <t xml:space="preserve">L0081, L0082, L0083, L0084, L0085, L0086</t>
  </si>
  <si>
    <t xml:space="preserve">L0092</t>
  </si>
  <si>
    <t xml:space="preserve">Conciliado - FIFO</t>
  </si>
  <si>
    <t xml:space="preserve">FIFO</t>
  </si>
  <si>
    <t xml:space="preserve">M0009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</si>
  <si>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L0093, L0094, L0095, L0096, L0099, L0100, L0105, L0106, L0107, L0110, L0113</t>
  </si>
  <si>
    <t xml:space="preserve">L0093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</si>
  <si>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L0094, L0095, L0096, L0099, L0100, L0105, L0106, L0107, L0110, L0113</t>
  </si>
  <si>
    <t xml:space="preserve">L0013</t>
  </si>
  <si>
    <t xml:space="preserve">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</si>
  <si>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L0094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</si>
  <si>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L0095, L0096, L0099, L0100, L0105, L0106, L0107, L0110, L0113</t>
  </si>
  <si>
    <t xml:space="preserve">L0096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</si>
  <si>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L0099, L0100, L0105, L0106, L0107, L0110, L0113</t>
  </si>
  <si>
    <t xml:space="preserve">L0095</t>
  </si>
  <si>
    <t xml:space="preserve">VLR PROVISAO BONUS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</si>
  <si>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L0096, L0099, L0100, L0105, L0106, L0107, L0110, L0113</t>
  </si>
  <si>
    <t xml:space="preserve">L0022</t>
  </si>
  <si>
    <t xml:space="preserve">L0013, L0018, L0019, L0021,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</si>
  <si>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L0076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</si>
  <si>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L0077, L0078, L0079, L0080, L0092, L0093, L0094, L0095, L0096, L0099, L0100, L0105, L0106, L0107, L0110, L0113</t>
  </si>
  <si>
    <t xml:space="preserve">L0078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</si>
  <si>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L0079, L0080, L0092, L0093, L0094, L0095, L0096, L0099, L0100, L0105, L0106, L0107, L0110, L0113</t>
  </si>
  <si>
    <t xml:space="preserve">L0077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</si>
  <si>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L0078, L0079, L0080, L0092, L0093, L0094, L0095, L0096, L0099, L0100, L0105, L0106, L0107, L0110, L0113</t>
  </si>
  <si>
    <t xml:space="preserve">L0079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</si>
  <si>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L0080, L0092, L0093, L0094, L0095, L0096, L0099, L0100, L0105, L0106, L0107, L0110, L0113</t>
  </si>
  <si>
    <t xml:space="preserve">L0107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</si>
  <si>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L0110, L0113</t>
  </si>
  <si>
    <t xml:space="preserve">L0033</t>
  </si>
  <si>
    <t xml:space="preserve">L0013, L0018, L0019, L0021, L0022, L0027, L0028, L0029, L0030, L0031, L0032,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</si>
  <si>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L0105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</si>
  <si>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L0106, L0107, L0110, L0113</t>
  </si>
  <si>
    <t xml:space="preserve">L0055</t>
  </si>
  <si>
    <t xml:space="preserve">VLR PROVISAO DE BONUS</t>
  </si>
  <si>
    <t xml:space="preserve">L0013, L0018, L0019, L0021, L0022, L0027, L0028, L0029, L0030, L0031, L0032, L0033, L0034, L0035, L0038, L0045, L0046, L0047, L0048, L0049, L0050, L0051, L0052, L0053,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</si>
  <si>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L0068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</si>
  <si>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L0069, L0070, L0071, L0072, L0073, L0074, L0075, L0076, L0077, L0078, L0079, L0080, L0092, L0093, L0094, L0095, L0096, L0099, L0100, L0105, L0106, L0107, L0110, L0113</t>
  </si>
  <si>
    <t xml:space="preserve">L0069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</si>
  <si>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L0070, L0071, L0072, L0073, L0074, L0075, L0076, L0077, L0078, L0079, L0080, L0092, L0093, L0094, L0095, L0096, L0099, L0100, L0105, L0106, L0107, L0110, L0113</t>
  </si>
  <si>
    <t xml:space="preserve">L0059</t>
  </si>
  <si>
    <t xml:space="preserve">L0013, L0018, L0019, L0021, L0022, L0027, L0028, L0029, L0030, L0031, L0032, L0033, L0034, L0035, L0038, L0045, L0046, L0047, L0048, L0049, L0050, L0051, L0052, L0053, L0055, L0056, L0057, L0058,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</si>
  <si>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L0061</t>
  </si>
  <si>
    <t xml:space="preserve">L0013, L0018, L0019, L0021, L0022, L0027, L0028, L0029, L0030, L0031, L0032, L0033, L0034, L0035, L0038, L0045, L0046, L0047, L0048, L0049, L0050, L0051, L0052, L0053, L0055, L0056, L0057, L0058, L0059, L0060, L0062, L0063, L0064, L0065, L0066, L0067, L0068, L0069, L0070, L0071, L0072, L0073, L0074, L0075, L0076, L0077, L0078, L0079, L0080, L0092, L0093, L0094, L0095, L0096, L0099, L0100, L0105, L0106, L0107, L0110, L0113</t>
  </si>
  <si>
    <t xml:space="preserve">L0067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</si>
  <si>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L0068, L0069, L0070, L0071, L0072, L0073, L0074, L0075, L0076, L0077, L0078, L0079, L0080, L0092, L0093, L0094, L0095, L0096, L0099, L0100, L0105, L0106, L0107, L0110, L0113</t>
  </si>
  <si>
    <t xml:space="preserve">L0097</t>
  </si>
  <si>
    <t xml:space="preserve">VLR  PG FOL 000003388- FOLHA DE PAGAMENTO  SALARIOS E ORDENADOS</t>
  </si>
  <si>
    <t xml:space="preserve">1.1.1.02.0024</t>
  </si>
  <si>
    <t xml:space="preserve">M0004</t>
  </si>
  <si>
    <t xml:space="preserve">L0098</t>
  </si>
  <si>
    <t xml:space="preserve">L0014</t>
  </si>
  <si>
    <t xml:space="preserve">VLR  AJUSTE PROVISAO FILIAL</t>
  </si>
  <si>
    <t xml:space="preserve">Ajuste</t>
  </si>
  <si>
    <t xml:space="preserve">M0003</t>
  </si>
  <si>
    <t xml:space="preserve">L0015</t>
  </si>
  <si>
    <t xml:space="preserve">VLR AJUSTE PROVISAO FILIAL</t>
  </si>
  <si>
    <t xml:space="preserve">L0032</t>
  </si>
  <si>
    <t xml:space="preserve">313 - PRÊMIO</t>
  </si>
  <si>
    <t xml:space="preserve">3.1.1.04.0020</t>
  </si>
  <si>
    <t xml:space="preserve">L0013, L0018, L0019, L0021, L0022, L0027, L0028, L0029, L0030, L0031,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</si>
  <si>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L0034</t>
  </si>
  <si>
    <t xml:space="preserve">VLR PROV BONUS REF 2023</t>
  </si>
  <si>
    <t xml:space="preserve">L0013, L0018, L0019, L0021, L0022, L0027, L0028, L0029, L0030, L0031, L0032, L0033,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</si>
  <si>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L0035</t>
  </si>
  <si>
    <t xml:space="preserve">4.2.1.01.0020</t>
  </si>
  <si>
    <t xml:space="preserve">L0013, L0018, L0019, L0021, L0022, L0027, L0028, L0029, L0030, L0031, L0032, L0033, L0034,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</si>
  <si>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L0038</t>
  </si>
  <si>
    <t xml:space="preserve">313 - PREMIO</t>
  </si>
  <si>
    <t xml:space="preserve">4.1.1.01.0020</t>
  </si>
  <si>
    <t xml:space="preserve">L0013, L0018, L0019, L0021, L0022, L0027, L0028, L0029, L0030, L0031, L0032, L0033, L0034, L0035,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</si>
  <si>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L0045</t>
  </si>
  <si>
    <t xml:space="preserve">L0013, L0018, L0019, L0021, L0022, L0027, L0028, L0029, L0030, L0031, L0032, L0033, L0034, L0035, L0038,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</si>
  <si>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L0046</t>
  </si>
  <si>
    <t xml:space="preserve">L0013, L0018, L0019, L0021, L0022, L0027, L0028, L0029, L0030, L0031, L0032, L0033, L0034, L0035, L0038, L0045,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</si>
  <si>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L0047</t>
  </si>
  <si>
    <t xml:space="preserve">3.1.1.02.0020</t>
  </si>
  <si>
    <t xml:space="preserve">L0013, L0018, L0019, L0021, L0022, L0027, L0028, L0029, L0030, L0031, L0032, L0033, L0034, L0035, L0038, L0045, L0046,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</si>
  <si>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341456.04</t>
  </si>
  <si>
    <t xml:space="preserve">L0049</t>
  </si>
  <si>
    <t xml:space="preserve">L0013, L0018, L0019, L0021, L0022, L0027, L0028, L0029, L0030, L0031, L0032, L0033, L0034, L0035, L0038, L0045, L0046, L0047, L0048,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</si>
  <si>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L0051</t>
  </si>
  <si>
    <t xml:space="preserve">L0013, L0018, L0019, L0021, L0022, L0027, L0028, L0029, L0030, L0031, L0032, L0033, L0034, L0035, L0038, L0045, L0046, L0047, L0048, L0049, L0050,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</si>
  <si>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L0053</t>
  </si>
  <si>
    <t xml:space="preserve">L0013, L0018, L0019, L0021, L0022, L0027, L0028, L0029, L0030, L0031, L0032, L0033, L0034, L0035, L0038, L0045, L0046, L0047, L0048, L0049, L0050, L0051, L0052,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</si>
  <si>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L0062</t>
  </si>
  <si>
    <t xml:space="preserve">L0013, L0018, L0019, L0021, L0022, L0027, L0028, L0029, L0030, L0031, L0032, L0033, L0034, L0035, L0038, L0045, L0046, L0047, L0048, L0049, L0050, L0051, L0052, L0053, L0055, L0056, L0057, L0058, L0059, L0060, L0061, L0063, L0064, L0065, L0066, L0067, L0068, L0069, L0070, L0071, L0072, L0073, L0074, L0075, L0076, L0077, L0078, L0079, L0080, L0092, L0093, L0094, L0095, L0096, L0099, L0100, L0105, L0106, L0107, L0110, L0113</t>
  </si>
  <si>
    <t xml:space="preserve">L0070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</si>
  <si>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L0071, L0072, L0073, L0074, L0075, L0076, L0077, L0078, L0079, L0080, L0092, L0093, L0094, L0095, L0096, L0099, L0100, L0105, L0106, L0107, L0110, L0113</t>
  </si>
  <si>
    <t xml:space="preserve">L0074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</si>
  <si>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L0075, L0076, L0077, L0078, L0079, L0080, L0092, L0093, L0094, L0095, L0096, L0099, L0100, L0105, L0106, L0107, L0110, L0113</t>
  </si>
  <si>
    <t xml:space="preserve">L0106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</si>
  <si>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L0107, L0110, L0113</t>
  </si>
  <si>
    <t xml:space="preserve">L0108</t>
  </si>
  <si>
    <t xml:space="preserve">VLR  PROVISAO BONUS REF 2023</t>
  </si>
  <si>
    <t xml:space="preserve">M0002</t>
  </si>
  <si>
    <t xml:space="preserve">L0109</t>
  </si>
  <si>
    <t xml:space="preserve">VLR  PROVISAO BONUS 2023</t>
  </si>
  <si>
    <t xml:space="preserve">RECLASS VLR  PG FOL 000003388- FOLHA DEPAGAMENTO SALARIOS E ORDENADOS</t>
  </si>
  <si>
    <t xml:space="preserve">2.1.1.03.0001</t>
  </si>
  <si>
    <t xml:space="preserve">L0063</t>
  </si>
  <si>
    <t xml:space="preserve">L0013, L0018, L0019, L0021, L0022, L0027, L0028, L0029, L0030, L0031, L0032, L0033, L0034, L0035, L0038, L0045, L0046, L0047, L0048, L0049, L0050, L0051, L0052, L0053, L0055, L0056, L0057, L0058, L0059, L0060, L0061, L0062, L0064, L0065, L0066, L0067, L0068, L0069, L0070, L0071, L0072, L0073, L0074, L0075, L0076, L0077, L0078, L0079, L0080, L0092, L0093, L0094, L0095, L0096, L0099, L0100, L0105, L0106, L0107, L0110, L0113</t>
  </si>
  <si>
    <t xml:space="preserve">L0071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</si>
  <si>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L0072, L0073, L0074, L0075, L0076, L0077, L0078, L0079, L0080, L0092, L0093, L0094, L0095, L0096, L0099, L0100, L0105, L0106, L0107, L0110, L0113</t>
  </si>
  <si>
    <t xml:space="preserve">L0064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</si>
  <si>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L0065, L0066, L0067, L0068, L0069, L0070, L0071, L0072, L0073, L0074, L0075, L0076, L0077, L0078, L0079, L0080, L0092, L0093, L0094, L0095, L0096, L0099, L0100, L0105, L0106, L0107, L0110, L0113</t>
  </si>
  <si>
    <t xml:space="preserve">L0072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</si>
  <si>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L0073, L0074, L0075, L0076, L0077, L0078, L0079, L0080, L0092, L0093, L0094, L0095, L0096, L0099, L0100, L0105, L0106, L0107, L0110, L0113</t>
  </si>
  <si>
    <t xml:space="preserve">L0065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</si>
  <si>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L0066, L0067, L0068, L0069, L0070, L0071, L0072, L0073, L0074, L0075, L0076, L0077, L0078, L0079, L0080, L0092, L0093, L0094, L0095, L0096, L0099, L0100, L0105, L0106, L0107, L0110, L0113</t>
  </si>
  <si>
    <t xml:space="preserve">L0073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</si>
  <si>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L0074, L0075, L0076, L0077, L0078, L0079, L0080, L0092, L0093, L0094, L0095, L0096, L0099, L0100, L0105, L0106, L0107, L0110, L0113</t>
  </si>
  <si>
    <t xml:space="preserve">L0052</t>
  </si>
  <si>
    <t xml:space="preserve">L0013, L0018, L0019, L0021, L0022, L0027, L0028, L0029, L0030, L0031, L0032, L0033, L0034, L0035, L0038, L0045, L0046, L0047, L0048, L0049, L0050, L0051,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</si>
  <si>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L0060</t>
  </si>
  <si>
    <t xml:space="preserve">L0013, L0018, L0019, L0021, L0022, L0027, L0028, L0029, L0030, L0031, L0032, L0033, L0034, L0035, L0038, L0045, L0046, L0047, L0048, L0049, L0050, L0051, L0052, L0053, L0055, L0056, L0057, L0058, L0059, L0061, L0062, L0063, L0064, L0065, L0066, L0067, L0068, L0069, L0070, L0071, L0072, L0073, L0074, L0075, L0076, L0077, L0078, L0079, L0080, L0092, L0093, L0094, L0095, L0096, L0099, L0100, L0105, L0106, L0107, L0110, L0113</t>
  </si>
  <si>
    <t xml:space="preserve">L0048</t>
  </si>
  <si>
    <t xml:space="preserve">L0013, L0018, L0019, L0021, L0022, L0027, L0028, L0029, L0030, L0031, L0032, L0033, L0034, L0035, L0038, L0045, L0046, L0047,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</si>
  <si>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284951.33</t>
  </si>
  <si>
    <t xml:space="preserve">L0056</t>
  </si>
  <si>
    <t xml:space="preserve">L0013, L0018, L0019, L0021, L0022, L0027, L0028, L0029, L0030, L0031, L0032, L0033, L0034, L0035, L0038, L0045, L0046, L0047, L0048, L0049, L0050, L0051, L0052, L0053, L0055,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</si>
  <si>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L0066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</si>
  <si>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L0067, L0068, L0069, L0070, L0071, L0072, L0073, L0074, L0075, L0076, L0077, L0078, L0079, L0080, L0092, L0093, L0094, L0095, L0096, L0099, L0100, L0105, L0106, L0107, L0110, L0113</t>
  </si>
  <si>
    <t xml:space="preserve">L0029</t>
  </si>
  <si>
    <t xml:space="preserve">L0013, L0018, L0019, L0021, L0022, L0027, L0028,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</si>
  <si>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L0080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</si>
  <si>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L0092, L0093, L0094, L0095, L0096, L0099, L0100, L0105, L0106, L0107, L0110, L0113</t>
  </si>
  <si>
    <t xml:space="preserve">L0057</t>
  </si>
  <si>
    <t xml:space="preserve">VLR EST PREVISAO BONUS</t>
  </si>
  <si>
    <t xml:space="preserve">L0013, L0018, L0019, L0021, L0022, L0027, L0028, L0029, L0030, L0031, L0032, L0033, L0034, L0035, L0038, L0045, L0046, L0047, L0048, L0049, L0050, L0051, L0052, L0053, L0055, L0056,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</si>
  <si>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L0027</t>
  </si>
  <si>
    <t xml:space="preserve">L0013, L0018, L0019, L0021, L0022,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</si>
  <si>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L0030</t>
  </si>
  <si>
    <t xml:space="preserve">VLR PREVISAO BONUS</t>
  </si>
  <si>
    <t xml:space="preserve">L0013, L0018, L0019, L0021, L0022, L0027, L0028, L0029,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</si>
  <si>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L0028</t>
  </si>
  <si>
    <t xml:space="preserve">PROVISÃO BONUS</t>
  </si>
  <si>
    <t xml:space="preserve">L0013, L0018, L0019, L0021, L0022, L0027,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</si>
  <si>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L0031</t>
  </si>
  <si>
    <t xml:space="preserve">L0013, L0018, L0019, L0021, L0022, L0027, L0028, L0029, L0030,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</si>
  <si>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L0099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</si>
  <si>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L0100, L0105, L0106, L0107, L0110, L0113</t>
  </si>
  <si>
    <t xml:space="preserve">L0100</t>
  </si>
  <si>
    <t xml:space="preserve">PROVISÃO BÔNUS JAN-25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</si>
  <si>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L0105, L0106, L0107, L0110, L0113</t>
  </si>
  <si>
    <t xml:space="preserve">L0101</t>
  </si>
  <si>
    <t xml:space="preserve">PROVISÃO BÔNUS FEV-25</t>
  </si>
  <si>
    <t xml:space="preserve">M0005</t>
  </si>
  <si>
    <t xml:space="preserve">L0103</t>
  </si>
  <si>
    <t xml:space="preserve">L0102</t>
  </si>
  <si>
    <t xml:space="preserve">PROVISÃO BÔNUS MAR-25</t>
  </si>
  <si>
    <t xml:space="preserve">Em Aberto (parcial)</t>
  </si>
  <si>
    <t xml:space="preserve">Nenhuma - saldo em aberto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</si>
  <si>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</si>
  <si>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&gt; 365 dias</t>
  </si>
  <si>
    <t xml:space="preserve">-229959</t>
  </si>
  <si>
    <t xml:space="preserve">REVERSÃO - PROVISÃO DE BÔNUS REF. JAN-25</t>
  </si>
  <si>
    <t xml:space="preserve">L0104</t>
  </si>
  <si>
    <t xml:space="preserve">PROVISÃO BONUS ABRIL-2025</t>
  </si>
  <si>
    <t xml:space="preserve">Em Aberto</t>
  </si>
  <si>
    <t xml:space="preserve">L0091</t>
  </si>
  <si>
    <t xml:space="preserve">PROVISÃO BONUS-MAIO/25</t>
  </si>
  <si>
    <t xml:space="preserve">L0016</t>
  </si>
  <si>
    <t xml:space="preserve">PROVISÃO BONUS-JUN/25</t>
  </si>
  <si>
    <t xml:space="preserve">L0113</t>
  </si>
  <si>
    <t xml:space="preserve">REVERSÃO BONUS REF. 2024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</si>
  <si>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</t>
  </si>
  <si>
    <t xml:space="preserve">L0110</t>
  </si>
  <si>
    <t xml:space="preserve">ESTORNO PROV 2024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</si>
  <si>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L0113</t>
  </si>
  <si>
    <t xml:space="preserve">L0039</t>
  </si>
  <si>
    <t xml:space="preserve">PROVISÃO BÔNUS JAN-2026</t>
  </si>
  <si>
    <t xml:space="preserve">91-180 dias</t>
  </si>
  <si>
    <t xml:space="preserve">L0040</t>
  </si>
  <si>
    <t xml:space="preserve">PROVISÃO BÔNUS FEV-2026</t>
  </si>
  <si>
    <t xml:space="preserve">L0041</t>
  </si>
  <si>
    <t xml:space="preserve">PROVISÃO BÔNUS MAR-2026</t>
  </si>
  <si>
    <t xml:space="preserve">L0018</t>
  </si>
  <si>
    <t xml:space="preserve">REV.VLR  FOPG 313 - PREMIO</t>
  </si>
  <si>
    <t xml:space="preserve">L0013,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</si>
  <si>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L0020</t>
  </si>
  <si>
    <t xml:space="preserve">REV.VLR  FOPG 402 - DESCONTO DIVERSOS</t>
  </si>
  <si>
    <t xml:space="preserve">4.4.1.01.0011</t>
  </si>
  <si>
    <t xml:space="preserve">61-90 dias</t>
  </si>
  <si>
    <t xml:space="preserve">L0021</t>
  </si>
  <si>
    <t xml:space="preserve">L0013, L0018, L0019,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</si>
  <si>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L0026</t>
  </si>
  <si>
    <t xml:space="preserve">L0036</t>
  </si>
  <si>
    <t xml:space="preserve">L0042</t>
  </si>
  <si>
    <t xml:space="preserve">PROVISÃO BÔNUS ABR - 2026</t>
  </si>
  <si>
    <t xml:space="preserve">L0075</t>
  </si>
  <si>
    <t xml:space="preserve">L0013, L0018, L0019,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L0076, L0077, L0078, L0079, L0080, L0092, L0093, L0094, L0095, L0096, L0099, L0100, L0105, L0106, L0107, L0110, L0113</t>
  </si>
  <si>
    <t xml:space="preserve">L0037</t>
  </si>
  <si>
    <t xml:space="preserve">0-30 dias</t>
  </si>
  <si>
    <t xml:space="preserve">L0043</t>
  </si>
  <si>
    <t xml:space="preserve">PROVISÃO BÔNUS MAI - 2026</t>
  </si>
  <si>
    <t xml:space="preserve">L0050</t>
  </si>
  <si>
    <t xml:space="preserve">L0013, L0018, L0019, L0021, L0022, L0027, L0028, L0029, L0030, L0031, L0032, L0033, L0034, L0035, L0038, L0045, L0046, L0047, L0048, L0049,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</si>
  <si>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L0017</t>
  </si>
  <si>
    <t xml:space="preserve">RECLAS.VLR  FOPG 402 - DESCONTO DIVERSOS</t>
  </si>
  <si>
    <t xml:space="preserve">Reclassificacao</t>
  </si>
  <si>
    <t xml:space="preserve">L0019</t>
  </si>
  <si>
    <t xml:space="preserve">RECLAS.VLR  FOPG 313 - PREMIO</t>
  </si>
  <si>
    <t xml:space="preserve">L0013, L0018, L0021, L0022, L0027, L0028, L0029, L0030, L0031, L0032, L0033, L0034, L0035, L0038, L0045, L0046, L0047, L0048, L0049, L0050, L0051, L0052, L0053, L0055, L0056, L0057, L0058,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</si>
  <si>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L0044</t>
  </si>
  <si>
    <t xml:space="preserve">PROVISÃO BÔNUS JUN-2026</t>
  </si>
  <si>
    <t xml:space="preserve">L0054</t>
  </si>
  <si>
    <t xml:space="preserve">L0058</t>
  </si>
  <si>
    <t xml:space="preserve">L0013, L0018, L0019, L0021, L0022, L0027, L0028, L0029, L0030, L0031, L0032, L0033, L0034, L0035, L0038, L0045, L0046, L0047, L0048, L0049, L0050, L0051, L0052, L0053, L0055, L0056, L0057, L0059, L0060, L0061, L0062, L0063, L0064, L0065, L0066, L0067, L0068, L0069, L0070, L0071, L0072, L0073, L0074, L0075, L0076, L0077, L0078, L0079, L0080, L0092, L0093, L0094, L0095, L0096, L0099, L0100, L0105, L0106, L0107, L0110, L0113</t>
  </si>
  <si>
    <t xml:space="preserve">Total</t>
  </si>
  <si>
    <t xml:space="preserve">Total Provisionado</t>
  </si>
  <si>
    <t xml:space="preserve">Total Revertido Baixado</t>
  </si>
  <si>
    <t xml:space="preserve">Saldo Liquido Periodo</t>
  </si>
  <si>
    <t xml:space="preserve">Saldo Em Aberto No Periodo</t>
  </si>
  <si>
    <t xml:space="preserve">Pct Conciliado</t>
  </si>
  <si>
    <t xml:space="preserve">Total em aberto</t>
  </si>
  <si>
    <t xml:space="preserve">Ponte de diferenças — conta 2.1.1.05.0005 — 06/2026</t>
  </si>
  <si>
    <t xml:space="preserve">(1) vem do Balancete oficial · (2) é a soma dos Itens em Aberto após a conciliação automática · (3) é o que ainda precisa de explicação manual antes do fechamento do mês.</t>
  </si>
  <si>
    <t xml:space="preserve">Item</t>
  </si>
  <si>
    <t xml:space="preserve">(1) Saldo no Balancete</t>
  </si>
  <si>
    <t xml:space="preserve">(2) Saldo no Relatório Auxiliar (itens em aberto pós-conciliação)</t>
  </si>
  <si>
    <t xml:space="preserve">(3) Diferença (1) - (2)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</si>
</sst>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;[RED]\(#,##0.00\)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1F5EE"/>
        <bgColor rgb="FFCCFFFF"/>
      </patternFill>
    </fill>
    <fill>
      <patternFill patternType="solid">
        <fgColor rgb="FFFAECE7"/>
        <bgColor rgb="FFFAEEDA"/>
      </patternFill>
    </fill>
    <fill>
      <patternFill patternType="solid">
        <fgColor rgb="FFFAEEDA"/>
        <bgColor rgb="FFFAE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FAECE7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26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16</v>
      </c>
      <c r="C2" s="2" t="n">
        <v>2021</v>
      </c>
      <c r="D2" s="3" t="n">
        <v>44227</v>
      </c>
      <c r="E2" s="2" t="s">
        <v>20</v>
      </c>
      <c r="F2" s="2" t="s">
        <v>21</v>
      </c>
      <c r="G2" s="4" t="n">
        <v>0</v>
      </c>
      <c r="H2" s="4" t="n">
        <v>22500</v>
      </c>
      <c r="I2" s="4" t="n">
        <v>-22500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4" t="n">
        <v>0</v>
      </c>
      <c r="Q2" s="2"/>
      <c r="R2" s="2"/>
      <c r="S2" s="2" t="s">
        <v>28</v>
      </c>
    </row>
    <row r="3" customFormat="false" ht="15" hidden="false" customHeight="false" outlineLevel="0" collapsed="false">
      <c r="A3" s="2" t="s">
        <v>29</v>
      </c>
      <c r="B3" s="2" t="n">
        <v>17</v>
      </c>
      <c r="C3" s="2" t="n">
        <v>2021</v>
      </c>
      <c r="D3" s="3" t="n">
        <v>44255</v>
      </c>
      <c r="E3" s="2" t="s">
        <v>20</v>
      </c>
      <c r="F3" s="2" t="s">
        <v>21</v>
      </c>
      <c r="G3" s="4" t="n">
        <v>0</v>
      </c>
      <c r="H3" s="4" t="n">
        <v>22500</v>
      </c>
      <c r="I3" s="4" t="n">
        <v>-22500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  <c r="P3" s="4" t="n">
        <v>0</v>
      </c>
      <c r="Q3" s="2"/>
      <c r="R3" s="2"/>
      <c r="S3" s="2" t="s">
        <v>28</v>
      </c>
    </row>
    <row r="4" customFormat="false" ht="15" hidden="false" customHeight="false" outlineLevel="0" collapsed="false">
      <c r="A4" s="2" t="s">
        <v>31</v>
      </c>
      <c r="B4" s="2" t="n">
        <v>18</v>
      </c>
      <c r="C4" s="2" t="n">
        <v>2021</v>
      </c>
      <c r="D4" s="3" t="n">
        <v>44286</v>
      </c>
      <c r="E4" s="2" t="s">
        <v>20</v>
      </c>
      <c r="F4" s="2" t="s">
        <v>21</v>
      </c>
      <c r="G4" s="4" t="n">
        <v>0</v>
      </c>
      <c r="H4" s="4" t="n">
        <v>22500</v>
      </c>
      <c r="I4" s="4" t="n">
        <v>-22500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32</v>
      </c>
      <c r="P4" s="4" t="n">
        <v>0</v>
      </c>
      <c r="Q4" s="2"/>
      <c r="R4" s="2"/>
      <c r="S4" s="2" t="s">
        <v>28</v>
      </c>
    </row>
    <row r="5" customFormat="false" ht="15" hidden="false" customHeight="false" outlineLevel="0" collapsed="false">
      <c r="A5" s="2" t="s">
        <v>33</v>
      </c>
      <c r="B5" s="2" t="n">
        <v>7</v>
      </c>
      <c r="C5" s="2" t="n">
        <v>2021</v>
      </c>
      <c r="D5" s="3" t="n">
        <v>44316</v>
      </c>
      <c r="E5" s="2" t="s">
        <v>34</v>
      </c>
      <c r="F5" s="2" t="s">
        <v>21</v>
      </c>
      <c r="G5" s="4" t="n">
        <v>0</v>
      </c>
      <c r="H5" s="4" t="n">
        <v>40500</v>
      </c>
      <c r="I5" s="4" t="n">
        <v>-40500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  <c r="P5" s="4" t="n">
        <v>0</v>
      </c>
      <c r="Q5" s="2"/>
      <c r="R5" s="2"/>
      <c r="S5" s="2" t="s">
        <v>28</v>
      </c>
    </row>
    <row r="6" customFormat="false" ht="15" hidden="false" customHeight="false" outlineLevel="0" collapsed="false">
      <c r="A6" s="2" t="s">
        <v>36</v>
      </c>
      <c r="B6" s="2" t="n">
        <v>8</v>
      </c>
      <c r="C6" s="2" t="n">
        <v>2021</v>
      </c>
      <c r="D6" s="3" t="n">
        <v>44347</v>
      </c>
      <c r="E6" s="2" t="s">
        <v>37</v>
      </c>
      <c r="F6" s="2" t="s">
        <v>21</v>
      </c>
      <c r="G6" s="4" t="n">
        <v>0</v>
      </c>
      <c r="H6" s="4" t="n">
        <v>27000</v>
      </c>
      <c r="I6" s="4" t="n">
        <v>-27000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38</v>
      </c>
      <c r="P6" s="4" t="n">
        <v>0</v>
      </c>
      <c r="Q6" s="2"/>
      <c r="R6" s="2"/>
      <c r="S6" s="2" t="s">
        <v>28</v>
      </c>
    </row>
    <row r="7" customFormat="false" ht="15" hidden="false" customHeight="false" outlineLevel="0" collapsed="false">
      <c r="A7" s="2" t="s">
        <v>39</v>
      </c>
      <c r="B7" s="2" t="n">
        <v>9</v>
      </c>
      <c r="C7" s="2" t="n">
        <v>2021</v>
      </c>
      <c r="D7" s="3" t="n">
        <v>44377</v>
      </c>
      <c r="E7" s="2" t="s">
        <v>40</v>
      </c>
      <c r="F7" s="2" t="s">
        <v>21</v>
      </c>
      <c r="G7" s="4" t="n">
        <v>0</v>
      </c>
      <c r="H7" s="4" t="n">
        <v>27000</v>
      </c>
      <c r="I7" s="4" t="n">
        <v>-27000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41</v>
      </c>
      <c r="P7" s="4" t="n">
        <v>0</v>
      </c>
      <c r="Q7" s="2"/>
      <c r="R7" s="2"/>
      <c r="S7" s="2" t="s">
        <v>28</v>
      </c>
    </row>
    <row r="8" customFormat="false" ht="15" hidden="false" customHeight="false" outlineLevel="0" collapsed="false">
      <c r="A8" s="2" t="s">
        <v>42</v>
      </c>
      <c r="B8" s="2" t="n">
        <v>10</v>
      </c>
      <c r="C8" s="2" t="n">
        <v>2021</v>
      </c>
      <c r="D8" s="3" t="n">
        <v>44407</v>
      </c>
      <c r="E8" s="2" t="s">
        <v>43</v>
      </c>
      <c r="F8" s="2" t="s">
        <v>21</v>
      </c>
      <c r="G8" s="4" t="n">
        <v>0</v>
      </c>
      <c r="H8" s="4" t="n">
        <v>27000</v>
      </c>
      <c r="I8" s="4" t="n">
        <v>-27000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44</v>
      </c>
      <c r="P8" s="4" t="n">
        <v>0</v>
      </c>
      <c r="Q8" s="2"/>
      <c r="R8" s="2"/>
      <c r="S8" s="2" t="s">
        <v>28</v>
      </c>
    </row>
    <row r="9" customFormat="false" ht="15" hidden="false" customHeight="false" outlineLevel="0" collapsed="false">
      <c r="A9" s="2" t="s">
        <v>45</v>
      </c>
      <c r="B9" s="2" t="n">
        <v>11</v>
      </c>
      <c r="C9" s="2" t="n">
        <v>2021</v>
      </c>
      <c r="D9" s="3" t="n">
        <v>44439</v>
      </c>
      <c r="E9" s="2" t="s">
        <v>43</v>
      </c>
      <c r="F9" s="2" t="s">
        <v>21</v>
      </c>
      <c r="G9" s="4" t="n">
        <v>0</v>
      </c>
      <c r="H9" s="4" t="n">
        <v>27000</v>
      </c>
      <c r="I9" s="4" t="n">
        <v>-27000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46</v>
      </c>
      <c r="P9" s="4" t="n">
        <v>0</v>
      </c>
      <c r="Q9" s="2"/>
      <c r="R9" s="2"/>
      <c r="S9" s="2" t="s">
        <v>28</v>
      </c>
    </row>
    <row r="10" customFormat="false" ht="15" hidden="false" customHeight="false" outlineLevel="0" collapsed="false">
      <c r="A10" s="2" t="s">
        <v>47</v>
      </c>
      <c r="B10" s="2" t="n">
        <v>12</v>
      </c>
      <c r="C10" s="2" t="n">
        <v>2021</v>
      </c>
      <c r="D10" s="3" t="n">
        <v>44467</v>
      </c>
      <c r="E10" s="2" t="s">
        <v>43</v>
      </c>
      <c r="F10" s="2" t="s">
        <v>21</v>
      </c>
      <c r="G10" s="4" t="n">
        <v>0</v>
      </c>
      <c r="H10" s="4" t="n">
        <v>27000</v>
      </c>
      <c r="I10" s="4" t="n">
        <v>-27000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48</v>
      </c>
      <c r="P10" s="4" t="n">
        <v>0</v>
      </c>
      <c r="Q10" s="2"/>
      <c r="R10" s="2"/>
      <c r="S10" s="2" t="s">
        <v>28</v>
      </c>
    </row>
    <row r="11" customFormat="false" ht="15" hidden="false" customHeight="false" outlineLevel="0" collapsed="false">
      <c r="A11" s="2" t="s">
        <v>49</v>
      </c>
      <c r="B11" s="2" t="n">
        <v>13</v>
      </c>
      <c r="C11" s="2" t="n">
        <v>2021</v>
      </c>
      <c r="D11" s="3" t="n">
        <v>44498</v>
      </c>
      <c r="E11" s="2" t="s">
        <v>43</v>
      </c>
      <c r="F11" s="2" t="s">
        <v>21</v>
      </c>
      <c r="G11" s="4" t="n">
        <v>0</v>
      </c>
      <c r="H11" s="4" t="n">
        <v>27000</v>
      </c>
      <c r="I11" s="4" t="n">
        <v>-27000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50</v>
      </c>
      <c r="P11" s="4" t="n">
        <v>0</v>
      </c>
      <c r="Q11" s="2"/>
      <c r="R11" s="2"/>
      <c r="S11" s="2" t="s">
        <v>28</v>
      </c>
    </row>
    <row r="12" customFormat="false" ht="15" hidden="false" customHeight="false" outlineLevel="0" collapsed="false">
      <c r="A12" s="2" t="s">
        <v>51</v>
      </c>
      <c r="B12" s="2" t="n">
        <v>14</v>
      </c>
      <c r="C12" s="2" t="n">
        <v>2021</v>
      </c>
      <c r="D12" s="3" t="n">
        <v>44529</v>
      </c>
      <c r="E12" s="2" t="s">
        <v>43</v>
      </c>
      <c r="F12" s="2" t="s">
        <v>21</v>
      </c>
      <c r="G12" s="4" t="n">
        <v>0</v>
      </c>
      <c r="H12" s="4" t="n">
        <v>27000</v>
      </c>
      <c r="I12" s="4" t="n">
        <v>-27000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52</v>
      </c>
      <c r="P12" s="4" t="n">
        <v>0</v>
      </c>
      <c r="Q12" s="2"/>
      <c r="R12" s="2"/>
      <c r="S12" s="2" t="s">
        <v>28</v>
      </c>
    </row>
    <row r="13" customFormat="false" ht="15" hidden="false" customHeight="false" outlineLevel="0" collapsed="false">
      <c r="A13" s="2" t="s">
        <v>53</v>
      </c>
      <c r="B13" s="2" t="n">
        <v>15</v>
      </c>
      <c r="C13" s="2" t="n">
        <v>2021</v>
      </c>
      <c r="D13" s="3" t="n">
        <v>44560</v>
      </c>
      <c r="E13" s="2" t="s">
        <v>43</v>
      </c>
      <c r="F13" s="2" t="s">
        <v>21</v>
      </c>
      <c r="G13" s="4" t="n">
        <v>0</v>
      </c>
      <c r="H13" s="4" t="n">
        <v>27000</v>
      </c>
      <c r="I13" s="4" t="n">
        <v>-27000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54</v>
      </c>
      <c r="P13" s="4" t="n">
        <v>0</v>
      </c>
      <c r="Q13" s="2"/>
      <c r="R13" s="2"/>
      <c r="S13" s="2" t="s">
        <v>28</v>
      </c>
    </row>
    <row r="14" customFormat="false" ht="15" hidden="false" customHeight="false" outlineLevel="0" collapsed="false">
      <c r="A14" s="2" t="s">
        <v>55</v>
      </c>
      <c r="B14" s="2" t="n">
        <v>118</v>
      </c>
      <c r="C14" s="2" t="n">
        <v>2021</v>
      </c>
      <c r="D14" s="3" t="n">
        <v>44561</v>
      </c>
      <c r="E14" s="2" t="s">
        <v>56</v>
      </c>
      <c r="F14" s="2" t="s">
        <v>21</v>
      </c>
      <c r="G14" s="4" t="n">
        <v>324000</v>
      </c>
      <c r="H14" s="4" t="n">
        <v>0</v>
      </c>
      <c r="I14" s="4" t="n">
        <v>324000</v>
      </c>
      <c r="J14" s="2" t="s">
        <v>57</v>
      </c>
      <c r="K14" s="2" t="s">
        <v>58</v>
      </c>
      <c r="L14" s="2" t="s">
        <v>24</v>
      </c>
      <c r="M14" s="2" t="s">
        <v>25</v>
      </c>
      <c r="N14" s="2" t="s">
        <v>26</v>
      </c>
      <c r="O14" s="2" t="s">
        <v>59</v>
      </c>
      <c r="P14" s="4" t="n">
        <v>0</v>
      </c>
      <c r="Q14" s="2"/>
      <c r="R14" s="2"/>
      <c r="S14" s="2" t="s">
        <v>28</v>
      </c>
    </row>
    <row r="15" customFormat="false" ht="15" hidden="false" customHeight="false" outlineLevel="0" collapsed="false">
      <c r="A15" s="2" t="s">
        <v>60</v>
      </c>
      <c r="B15" s="2" t="n">
        <v>87</v>
      </c>
      <c r="C15" s="2" t="n">
        <v>2022</v>
      </c>
      <c r="D15" s="3" t="n">
        <v>44592</v>
      </c>
      <c r="E15" s="2" t="s">
        <v>61</v>
      </c>
      <c r="F15" s="2" t="s">
        <v>21</v>
      </c>
      <c r="G15" s="4" t="n">
        <v>0</v>
      </c>
      <c r="H15" s="4" t="n">
        <v>59713.2</v>
      </c>
      <c r="I15" s="4" t="n">
        <v>-59713.2</v>
      </c>
      <c r="J15" s="2" t="s">
        <v>22</v>
      </c>
      <c r="K15" s="2" t="s">
        <v>23</v>
      </c>
      <c r="L15" s="2" t="s">
        <v>62</v>
      </c>
      <c r="M15" s="2" t="s">
        <v>63</v>
      </c>
      <c r="N15" s="2" t="s">
        <v>64</v>
      </c>
      <c r="O15" s="2" t="s">
        <v>65</v>
      </c>
      <c r="P15" s="4" t="n">
        <v>0</v>
      </c>
      <c r="Q15" s="2"/>
      <c r="R15" s="2"/>
      <c r="S15" s="2" t="s">
        <v>28</v>
      </c>
    </row>
    <row r="16" customFormat="false" ht="15" hidden="false" customHeight="false" outlineLevel="0" collapsed="false">
      <c r="A16" s="2" t="s">
        <v>66</v>
      </c>
      <c r="B16" s="2" t="n">
        <v>88</v>
      </c>
      <c r="C16" s="2" t="n">
        <v>2022</v>
      </c>
      <c r="D16" s="3" t="n">
        <v>44620</v>
      </c>
      <c r="E16" s="2" t="s">
        <v>61</v>
      </c>
      <c r="F16" s="2" t="s">
        <v>21</v>
      </c>
      <c r="G16" s="4" t="n">
        <v>0</v>
      </c>
      <c r="H16" s="4" t="n">
        <v>59713.2</v>
      </c>
      <c r="I16" s="4" t="n">
        <v>-59713.2</v>
      </c>
      <c r="J16" s="2" t="s">
        <v>22</v>
      </c>
      <c r="K16" s="2" t="s">
        <v>23</v>
      </c>
      <c r="L16" s="2" t="s">
        <v>62</v>
      </c>
      <c r="M16" s="2" t="s">
        <v>63</v>
      </c>
      <c r="N16" s="2" t="s">
        <v>64</v>
      </c>
      <c r="O16" s="2" t="s">
        <v>67</v>
      </c>
      <c r="P16" s="4" t="n">
        <v>0</v>
      </c>
      <c r="Q16" s="2"/>
      <c r="R16" s="2"/>
      <c r="S16" s="2" t="s">
        <v>28</v>
      </c>
    </row>
    <row r="17" customFormat="false" ht="15" hidden="false" customHeight="false" outlineLevel="0" collapsed="false">
      <c r="A17" s="2" t="s">
        <v>68</v>
      </c>
      <c r="B17" s="2" t="n">
        <v>29</v>
      </c>
      <c r="C17" s="2" t="n">
        <v>2022</v>
      </c>
      <c r="D17" s="3" t="n">
        <v>44621</v>
      </c>
      <c r="E17" s="2" t="s">
        <v>69</v>
      </c>
      <c r="F17" s="2" t="s">
        <v>70</v>
      </c>
      <c r="G17" s="4" t="n">
        <v>0</v>
      </c>
      <c r="H17" s="4" t="n">
        <v>8000</v>
      </c>
      <c r="I17" s="4" t="n">
        <v>-8000</v>
      </c>
      <c r="J17" s="2" t="s">
        <v>22</v>
      </c>
      <c r="K17" s="2" t="s">
        <v>71</v>
      </c>
      <c r="L17" s="2" t="s">
        <v>72</v>
      </c>
      <c r="M17" s="2" t="s">
        <v>73</v>
      </c>
      <c r="N17" s="2" t="s">
        <v>74</v>
      </c>
      <c r="O17" s="2" t="s">
        <v>75</v>
      </c>
      <c r="P17" s="4" t="n">
        <v>0</v>
      </c>
      <c r="Q17" s="2"/>
      <c r="R17" s="2"/>
      <c r="S17" s="2" t="s">
        <v>28</v>
      </c>
    </row>
    <row r="18" customFormat="false" ht="15" hidden="false" customHeight="false" outlineLevel="0" collapsed="false">
      <c r="A18" s="2" t="s">
        <v>75</v>
      </c>
      <c r="B18" s="2" t="n">
        <v>30</v>
      </c>
      <c r="C18" s="2" t="n">
        <v>2022</v>
      </c>
      <c r="D18" s="3" t="n">
        <v>44624</v>
      </c>
      <c r="E18" s="2" t="s">
        <v>76</v>
      </c>
      <c r="F18" s="2" t="s">
        <v>77</v>
      </c>
      <c r="G18" s="4" t="n">
        <v>8000</v>
      </c>
      <c r="H18" s="4" t="n">
        <v>0</v>
      </c>
      <c r="I18" s="4" t="n">
        <v>8000</v>
      </c>
      <c r="J18" s="2" t="s">
        <v>57</v>
      </c>
      <c r="K18" s="2" t="s">
        <v>78</v>
      </c>
      <c r="L18" s="2" t="s">
        <v>72</v>
      </c>
      <c r="M18" s="2" t="s">
        <v>73</v>
      </c>
      <c r="N18" s="2" t="s">
        <v>74</v>
      </c>
      <c r="O18" s="2" t="s">
        <v>68</v>
      </c>
      <c r="P18" s="4" t="n">
        <v>0</v>
      </c>
      <c r="Q18" s="2"/>
      <c r="R18" s="2"/>
      <c r="S18" s="2" t="s">
        <v>28</v>
      </c>
    </row>
    <row r="19" customFormat="false" ht="15" hidden="false" customHeight="false" outlineLevel="0" collapsed="false">
      <c r="A19" s="2" t="s">
        <v>79</v>
      </c>
      <c r="B19" s="2" t="n">
        <v>31</v>
      </c>
      <c r="C19" s="2" t="n">
        <v>2022</v>
      </c>
      <c r="D19" s="3" t="n">
        <v>44651</v>
      </c>
      <c r="E19" s="2" t="s">
        <v>80</v>
      </c>
      <c r="F19" s="2" t="s">
        <v>81</v>
      </c>
      <c r="G19" s="4" t="n">
        <v>0</v>
      </c>
      <c r="H19" s="4" t="n">
        <v>8000</v>
      </c>
      <c r="I19" s="4" t="n">
        <v>-8000</v>
      </c>
      <c r="J19" s="2" t="s">
        <v>22</v>
      </c>
      <c r="K19" s="2" t="s">
        <v>71</v>
      </c>
      <c r="L19" s="2" t="s">
        <v>62</v>
      </c>
      <c r="M19" s="2" t="s">
        <v>63</v>
      </c>
      <c r="N19" s="2" t="s">
        <v>82</v>
      </c>
      <c r="O19" s="2" t="s">
        <v>83</v>
      </c>
      <c r="P19" s="4" t="n">
        <v>0</v>
      </c>
      <c r="Q19" s="2"/>
      <c r="R19" s="2"/>
      <c r="S19" s="2" t="s">
        <v>28</v>
      </c>
    </row>
    <row r="20" customFormat="false" ht="15" hidden="false" customHeight="false" outlineLevel="0" collapsed="false">
      <c r="A20" s="2" t="s">
        <v>84</v>
      </c>
      <c r="B20" s="2" t="n">
        <v>89</v>
      </c>
      <c r="C20" s="2" t="n">
        <v>2022</v>
      </c>
      <c r="D20" s="3" t="n">
        <v>44651</v>
      </c>
      <c r="E20" s="2" t="s">
        <v>61</v>
      </c>
      <c r="F20" s="2" t="s">
        <v>21</v>
      </c>
      <c r="G20" s="4" t="n">
        <v>0</v>
      </c>
      <c r="H20" s="4" t="n">
        <v>59713.2</v>
      </c>
      <c r="I20" s="4" t="n">
        <v>-59713.2</v>
      </c>
      <c r="J20" s="2" t="s">
        <v>22</v>
      </c>
      <c r="K20" s="2" t="s">
        <v>23</v>
      </c>
      <c r="L20" s="2" t="s">
        <v>62</v>
      </c>
      <c r="M20" s="2" t="s">
        <v>63</v>
      </c>
      <c r="N20" s="2" t="s">
        <v>64</v>
      </c>
      <c r="O20" s="2" t="s">
        <v>85</v>
      </c>
      <c r="P20" s="4" t="n">
        <v>0</v>
      </c>
      <c r="Q20" s="2"/>
      <c r="R20" s="2"/>
      <c r="S20" s="2" t="s">
        <v>28</v>
      </c>
    </row>
    <row r="21" customFormat="false" ht="15" hidden="false" customHeight="false" outlineLevel="0" collapsed="false">
      <c r="A21" s="2" t="s">
        <v>86</v>
      </c>
      <c r="B21" s="2" t="n">
        <v>90</v>
      </c>
      <c r="C21" s="2" t="n">
        <v>2022</v>
      </c>
      <c r="D21" s="3" t="n">
        <v>44681</v>
      </c>
      <c r="E21" s="2" t="s">
        <v>61</v>
      </c>
      <c r="F21" s="2" t="s">
        <v>21</v>
      </c>
      <c r="G21" s="4" t="n">
        <v>0</v>
      </c>
      <c r="H21" s="4" t="n">
        <v>59713.2</v>
      </c>
      <c r="I21" s="4" t="n">
        <v>-59713.2</v>
      </c>
      <c r="J21" s="2" t="s">
        <v>22</v>
      </c>
      <c r="K21" s="2" t="s">
        <v>23</v>
      </c>
      <c r="L21" s="2" t="s">
        <v>62</v>
      </c>
      <c r="M21" s="2" t="s">
        <v>63</v>
      </c>
      <c r="N21" s="2" t="s">
        <v>64</v>
      </c>
      <c r="O21" s="2" t="s">
        <v>87</v>
      </c>
      <c r="P21" s="4" t="n">
        <v>0</v>
      </c>
      <c r="Q21" s="2"/>
      <c r="R21" s="2"/>
      <c r="S21" s="2" t="s">
        <v>28</v>
      </c>
    </row>
    <row r="22" customFormat="false" ht="15" hidden="false" customHeight="false" outlineLevel="0" collapsed="false">
      <c r="A22" s="2" t="s">
        <v>88</v>
      </c>
      <c r="B22" s="2" t="n">
        <v>91</v>
      </c>
      <c r="C22" s="2" t="n">
        <v>2022</v>
      </c>
      <c r="D22" s="3" t="n">
        <v>44712</v>
      </c>
      <c r="E22" s="2" t="s">
        <v>61</v>
      </c>
      <c r="F22" s="2" t="s">
        <v>21</v>
      </c>
      <c r="G22" s="4" t="n">
        <v>0</v>
      </c>
      <c r="H22" s="4" t="n">
        <v>59713.2</v>
      </c>
      <c r="I22" s="4" t="n">
        <v>-59713.2</v>
      </c>
      <c r="J22" s="2" t="s">
        <v>22</v>
      </c>
      <c r="K22" s="2" t="s">
        <v>23</v>
      </c>
      <c r="L22" s="2" t="s">
        <v>62</v>
      </c>
      <c r="M22" s="2" t="s">
        <v>63</v>
      </c>
      <c r="N22" s="2" t="s">
        <v>64</v>
      </c>
      <c r="O22" s="2" t="s">
        <v>89</v>
      </c>
      <c r="P22" s="4" t="n">
        <v>0</v>
      </c>
      <c r="Q22" s="2"/>
      <c r="R22" s="2"/>
      <c r="S22" s="2" t="s">
        <v>28</v>
      </c>
    </row>
    <row r="23" customFormat="false" ht="15" hidden="false" customHeight="false" outlineLevel="0" collapsed="false">
      <c r="A23" s="2" t="s">
        <v>90</v>
      </c>
      <c r="B23" s="2" t="n">
        <v>92</v>
      </c>
      <c r="C23" s="2" t="n">
        <v>2022</v>
      </c>
      <c r="D23" s="3" t="n">
        <v>44742</v>
      </c>
      <c r="E23" s="2" t="s">
        <v>61</v>
      </c>
      <c r="F23" s="2" t="s">
        <v>21</v>
      </c>
      <c r="G23" s="4" t="n">
        <v>0</v>
      </c>
      <c r="H23" s="4" t="n">
        <v>59713.2</v>
      </c>
      <c r="I23" s="4" t="n">
        <v>-59713.2</v>
      </c>
      <c r="J23" s="2" t="s">
        <v>22</v>
      </c>
      <c r="K23" s="2" t="s">
        <v>23</v>
      </c>
      <c r="L23" s="2" t="s">
        <v>62</v>
      </c>
      <c r="M23" s="2" t="s">
        <v>63</v>
      </c>
      <c r="N23" s="2" t="s">
        <v>64</v>
      </c>
      <c r="O23" s="2" t="s">
        <v>91</v>
      </c>
      <c r="P23" s="4" t="n">
        <v>0</v>
      </c>
      <c r="Q23" s="2"/>
      <c r="R23" s="2"/>
      <c r="S23" s="2" t="s">
        <v>28</v>
      </c>
    </row>
    <row r="24" customFormat="false" ht="15" hidden="false" customHeight="false" outlineLevel="0" collapsed="false">
      <c r="A24" s="2" t="s">
        <v>92</v>
      </c>
      <c r="B24" s="2" t="n">
        <v>93</v>
      </c>
      <c r="C24" s="2" t="n">
        <v>2022</v>
      </c>
      <c r="D24" s="3" t="n">
        <v>44773</v>
      </c>
      <c r="E24" s="2" t="s">
        <v>61</v>
      </c>
      <c r="F24" s="2" t="s">
        <v>21</v>
      </c>
      <c r="G24" s="4" t="n">
        <v>0</v>
      </c>
      <c r="H24" s="4" t="n">
        <v>59713.2</v>
      </c>
      <c r="I24" s="4" t="n">
        <v>-59713.2</v>
      </c>
      <c r="J24" s="2" t="s">
        <v>22</v>
      </c>
      <c r="K24" s="2" t="s">
        <v>23</v>
      </c>
      <c r="L24" s="2" t="s">
        <v>62</v>
      </c>
      <c r="M24" s="2" t="s">
        <v>63</v>
      </c>
      <c r="N24" s="2" t="s">
        <v>82</v>
      </c>
      <c r="O24" s="2" t="s">
        <v>93</v>
      </c>
      <c r="P24" s="4" t="n">
        <v>0</v>
      </c>
      <c r="Q24" s="2"/>
      <c r="R24" s="2"/>
      <c r="S24" s="2" t="s">
        <v>28</v>
      </c>
    </row>
    <row r="25" customFormat="false" ht="15" hidden="false" customHeight="false" outlineLevel="0" collapsed="false">
      <c r="A25" s="2" t="s">
        <v>94</v>
      </c>
      <c r="B25" s="2" t="n">
        <v>94</v>
      </c>
      <c r="C25" s="2" t="n">
        <v>2022</v>
      </c>
      <c r="D25" s="3" t="n">
        <v>44803</v>
      </c>
      <c r="E25" s="2" t="s">
        <v>61</v>
      </c>
      <c r="F25" s="2" t="s">
        <v>21</v>
      </c>
      <c r="G25" s="4" t="n">
        <v>0</v>
      </c>
      <c r="H25" s="4" t="n">
        <v>59713.2</v>
      </c>
      <c r="I25" s="4" t="n">
        <v>-59713.2</v>
      </c>
      <c r="J25" s="2" t="s">
        <v>22</v>
      </c>
      <c r="K25" s="2" t="s">
        <v>23</v>
      </c>
      <c r="L25" s="2" t="s">
        <v>62</v>
      </c>
      <c r="M25" s="2" t="s">
        <v>63</v>
      </c>
      <c r="N25" s="2" t="s">
        <v>82</v>
      </c>
      <c r="O25" s="2" t="s">
        <v>95</v>
      </c>
      <c r="P25" s="4" t="n">
        <v>0</v>
      </c>
      <c r="Q25" s="2"/>
      <c r="R25" s="2"/>
      <c r="S25" s="2" t="s">
        <v>28</v>
      </c>
    </row>
    <row r="26" customFormat="false" ht="15" hidden="false" customHeight="false" outlineLevel="0" collapsed="false">
      <c r="A26" s="2" t="s">
        <v>96</v>
      </c>
      <c r="B26" s="2" t="n">
        <v>95</v>
      </c>
      <c r="C26" s="2" t="n">
        <v>2022</v>
      </c>
      <c r="D26" s="3" t="n">
        <v>44834</v>
      </c>
      <c r="E26" s="2" t="s">
        <v>61</v>
      </c>
      <c r="F26" s="2" t="s">
        <v>21</v>
      </c>
      <c r="G26" s="4" t="n">
        <v>0</v>
      </c>
      <c r="H26" s="4" t="n">
        <v>59713.2</v>
      </c>
      <c r="I26" s="4" t="n">
        <v>-59713.2</v>
      </c>
      <c r="J26" s="2" t="s">
        <v>22</v>
      </c>
      <c r="K26" s="2" t="s">
        <v>23</v>
      </c>
      <c r="L26" s="2" t="s">
        <v>62</v>
      </c>
      <c r="M26" s="2" t="s">
        <v>63</v>
      </c>
      <c r="N26" s="2" t="s">
        <v>82</v>
      </c>
      <c r="O26" s="2" t="s">
        <v>97</v>
      </c>
      <c r="P26" s="4" t="n">
        <v>0</v>
      </c>
      <c r="Q26" s="2"/>
      <c r="R26" s="2"/>
      <c r="S26" s="2" t="s">
        <v>28</v>
      </c>
    </row>
    <row r="27" customFormat="false" ht="15" hidden="false" customHeight="false" outlineLevel="0" collapsed="false">
      <c r="A27" s="2" t="s">
        <v>98</v>
      </c>
      <c r="B27" s="2" t="n">
        <v>96</v>
      </c>
      <c r="C27" s="2" t="n">
        <v>2022</v>
      </c>
      <c r="D27" s="3" t="n">
        <v>44835</v>
      </c>
      <c r="E27" s="2" t="s">
        <v>61</v>
      </c>
      <c r="F27" s="2" t="s">
        <v>21</v>
      </c>
      <c r="G27" s="4" t="n">
        <v>0</v>
      </c>
      <c r="H27" s="4" t="n">
        <v>59713.2</v>
      </c>
      <c r="I27" s="4" t="n">
        <v>-59713.2</v>
      </c>
      <c r="J27" s="2" t="s">
        <v>22</v>
      </c>
      <c r="K27" s="2" t="s">
        <v>23</v>
      </c>
      <c r="L27" s="2" t="s">
        <v>62</v>
      </c>
      <c r="M27" s="2" t="s">
        <v>63</v>
      </c>
      <c r="N27" s="2" t="s">
        <v>82</v>
      </c>
      <c r="O27" s="2" t="s">
        <v>99</v>
      </c>
      <c r="P27" s="4" t="n">
        <v>0</v>
      </c>
      <c r="Q27" s="2"/>
      <c r="R27" s="2"/>
      <c r="S27" s="2" t="s">
        <v>28</v>
      </c>
    </row>
    <row r="28" customFormat="false" ht="15" hidden="false" customHeight="false" outlineLevel="0" collapsed="false">
      <c r="A28" s="2" t="s">
        <v>100</v>
      </c>
      <c r="B28" s="2" t="n">
        <v>117</v>
      </c>
      <c r="C28" s="2" t="n">
        <v>2022</v>
      </c>
      <c r="D28" s="3" t="n">
        <v>44895</v>
      </c>
      <c r="E28" s="2" t="s">
        <v>61</v>
      </c>
      <c r="F28" s="2" t="s">
        <v>21</v>
      </c>
      <c r="G28" s="4" t="n">
        <v>246852.8</v>
      </c>
      <c r="H28" s="4" t="n">
        <v>0</v>
      </c>
      <c r="I28" s="4" t="n">
        <v>246852.8</v>
      </c>
      <c r="J28" s="2" t="s">
        <v>57</v>
      </c>
      <c r="K28" s="2" t="s">
        <v>23</v>
      </c>
      <c r="L28" s="2" t="s">
        <v>62</v>
      </c>
      <c r="M28" s="2" t="s">
        <v>63</v>
      </c>
      <c r="N28" s="2" t="s">
        <v>82</v>
      </c>
      <c r="O28" s="2" t="s">
        <v>101</v>
      </c>
      <c r="P28" s="4" t="n">
        <v>0</v>
      </c>
      <c r="Q28" s="2"/>
      <c r="R28" s="2"/>
      <c r="S28" s="2" t="s">
        <v>28</v>
      </c>
    </row>
    <row r="29" customFormat="false" ht="15" hidden="false" customHeight="false" outlineLevel="0" collapsed="false">
      <c r="A29" s="2" t="s">
        <v>102</v>
      </c>
      <c r="B29" s="2" t="n">
        <v>120</v>
      </c>
      <c r="C29" s="2" t="n">
        <v>2022</v>
      </c>
      <c r="D29" s="3" t="n">
        <v>44925</v>
      </c>
      <c r="E29" s="2" t="s">
        <v>103</v>
      </c>
      <c r="F29" s="2" t="s">
        <v>21</v>
      </c>
      <c r="G29" s="4" t="n">
        <v>358279.2</v>
      </c>
      <c r="H29" s="4" t="n">
        <v>0</v>
      </c>
      <c r="I29" s="4" t="n">
        <v>358279.2</v>
      </c>
      <c r="J29" s="2" t="s">
        <v>57</v>
      </c>
      <c r="K29" s="2" t="s">
        <v>58</v>
      </c>
      <c r="L29" s="2" t="s">
        <v>62</v>
      </c>
      <c r="M29" s="2" t="s">
        <v>63</v>
      </c>
      <c r="N29" s="2" t="s">
        <v>64</v>
      </c>
      <c r="O29" s="2" t="s">
        <v>104</v>
      </c>
      <c r="P29" s="4" t="n">
        <v>0</v>
      </c>
      <c r="Q29" s="2"/>
      <c r="R29" s="2"/>
      <c r="S29" s="2" t="s">
        <v>28</v>
      </c>
    </row>
    <row r="30" customFormat="false" ht="15" hidden="false" customHeight="false" outlineLevel="0" collapsed="false">
      <c r="A30" s="2" t="s">
        <v>105</v>
      </c>
      <c r="B30" s="2" t="n">
        <v>98</v>
      </c>
      <c r="C30" s="2" t="n">
        <v>2023</v>
      </c>
      <c r="D30" s="3" t="n">
        <v>44957</v>
      </c>
      <c r="E30" s="2" t="s">
        <v>61</v>
      </c>
      <c r="F30" s="2" t="s">
        <v>21</v>
      </c>
      <c r="G30" s="4" t="n">
        <v>0</v>
      </c>
      <c r="H30" s="4" t="n">
        <v>66439</v>
      </c>
      <c r="I30" s="4" t="n">
        <v>-66439</v>
      </c>
      <c r="J30" s="2" t="s">
        <v>22</v>
      </c>
      <c r="K30" s="2" t="s">
        <v>23</v>
      </c>
      <c r="L30" s="2" t="s">
        <v>106</v>
      </c>
      <c r="M30" s="2" t="s">
        <v>107</v>
      </c>
      <c r="N30" s="2" t="s">
        <v>108</v>
      </c>
      <c r="O30" s="2" t="s">
        <v>109</v>
      </c>
      <c r="P30" s="4" t="n">
        <v>0</v>
      </c>
      <c r="Q30" s="2"/>
      <c r="R30" s="2"/>
      <c r="S30" s="2"/>
    </row>
    <row r="31" customFormat="false" ht="15" hidden="false" customHeight="false" outlineLevel="0" collapsed="false">
      <c r="A31" s="2" t="s">
        <v>110</v>
      </c>
      <c r="B31" s="2" t="n">
        <v>99</v>
      </c>
      <c r="C31" s="2" t="n">
        <v>2023</v>
      </c>
      <c r="D31" s="3" t="n">
        <v>44985</v>
      </c>
      <c r="E31" s="2" t="s">
        <v>61</v>
      </c>
      <c r="F31" s="2" t="s">
        <v>21</v>
      </c>
      <c r="G31" s="4" t="n">
        <v>0</v>
      </c>
      <c r="H31" s="4" t="n">
        <v>66439</v>
      </c>
      <c r="I31" s="4" t="n">
        <v>-66439</v>
      </c>
      <c r="J31" s="2" t="s">
        <v>22</v>
      </c>
      <c r="K31" s="2" t="s">
        <v>23</v>
      </c>
      <c r="L31" s="2" t="s">
        <v>106</v>
      </c>
      <c r="M31" s="2" t="s">
        <v>107</v>
      </c>
      <c r="N31" s="2" t="s">
        <v>108</v>
      </c>
      <c r="O31" s="2" t="s">
        <v>111</v>
      </c>
      <c r="P31" s="4" t="n">
        <v>0</v>
      </c>
      <c r="Q31" s="2"/>
      <c r="R31" s="2"/>
      <c r="S31" s="2"/>
    </row>
    <row r="32" customFormat="false" ht="15" hidden="false" customHeight="false" outlineLevel="0" collapsed="false">
      <c r="A32" s="2" t="s">
        <v>112</v>
      </c>
      <c r="B32" s="2" t="n">
        <v>19</v>
      </c>
      <c r="C32" s="2" t="n">
        <v>2023</v>
      </c>
      <c r="D32" s="3" t="n">
        <v>45016</v>
      </c>
      <c r="E32" s="2" t="s">
        <v>61</v>
      </c>
      <c r="F32" s="2" t="s">
        <v>21</v>
      </c>
      <c r="G32" s="4" t="n">
        <v>0</v>
      </c>
      <c r="H32" s="4" t="n">
        <v>1</v>
      </c>
      <c r="I32" s="4" t="n">
        <v>-1</v>
      </c>
      <c r="J32" s="2" t="s">
        <v>22</v>
      </c>
      <c r="K32" s="2" t="s">
        <v>23</v>
      </c>
      <c r="L32" s="2" t="s">
        <v>106</v>
      </c>
      <c r="M32" s="2" t="s">
        <v>107</v>
      </c>
      <c r="N32" s="2" t="s">
        <v>108</v>
      </c>
      <c r="O32" s="2" t="s">
        <v>113</v>
      </c>
      <c r="P32" s="4" t="n">
        <v>0</v>
      </c>
      <c r="Q32" s="2"/>
      <c r="R32" s="2"/>
      <c r="S32" s="2"/>
    </row>
    <row r="33" customFormat="false" ht="15" hidden="false" customHeight="false" outlineLevel="0" collapsed="false">
      <c r="A33" s="2" t="s">
        <v>114</v>
      </c>
      <c r="B33" s="2" t="n">
        <v>100</v>
      </c>
      <c r="C33" s="2" t="n">
        <v>2023</v>
      </c>
      <c r="D33" s="3" t="n">
        <v>45016</v>
      </c>
      <c r="E33" s="2" t="s">
        <v>61</v>
      </c>
      <c r="F33" s="2" t="s">
        <v>21</v>
      </c>
      <c r="G33" s="4" t="n">
        <v>0</v>
      </c>
      <c r="H33" s="4" t="n">
        <v>66439</v>
      </c>
      <c r="I33" s="4" t="n">
        <v>-66439</v>
      </c>
      <c r="J33" s="2" t="s">
        <v>22</v>
      </c>
      <c r="K33" s="2" t="s">
        <v>23</v>
      </c>
      <c r="L33" s="2" t="s">
        <v>106</v>
      </c>
      <c r="M33" s="2" t="s">
        <v>107</v>
      </c>
      <c r="N33" s="2" t="s">
        <v>108</v>
      </c>
      <c r="O33" s="2" t="s">
        <v>115</v>
      </c>
      <c r="P33" s="4" t="n">
        <v>0</v>
      </c>
      <c r="Q33" s="2"/>
      <c r="R33" s="2"/>
      <c r="S33" s="2"/>
    </row>
    <row r="34" customFormat="false" ht="15" hidden="false" customHeight="false" outlineLevel="0" collapsed="false">
      <c r="A34" s="2" t="s">
        <v>116</v>
      </c>
      <c r="B34" s="2" t="n">
        <v>102</v>
      </c>
      <c r="C34" s="2" t="n">
        <v>2023</v>
      </c>
      <c r="D34" s="3" t="n">
        <v>45046</v>
      </c>
      <c r="E34" s="2" t="s">
        <v>61</v>
      </c>
      <c r="F34" s="2" t="s">
        <v>21</v>
      </c>
      <c r="G34" s="4" t="n">
        <v>0</v>
      </c>
      <c r="H34" s="4" t="n">
        <v>66440</v>
      </c>
      <c r="I34" s="4" t="n">
        <v>-66440</v>
      </c>
      <c r="J34" s="2" t="s">
        <v>22</v>
      </c>
      <c r="K34" s="2" t="s">
        <v>23</v>
      </c>
      <c r="L34" s="2" t="s">
        <v>106</v>
      </c>
      <c r="M34" s="2" t="s">
        <v>107</v>
      </c>
      <c r="N34" s="2" t="s">
        <v>108</v>
      </c>
      <c r="O34" s="2" t="s">
        <v>117</v>
      </c>
      <c r="P34" s="4" t="n">
        <v>0</v>
      </c>
      <c r="Q34" s="2"/>
      <c r="R34" s="2"/>
      <c r="S34" s="2"/>
    </row>
    <row r="35" customFormat="false" ht="15" hidden="false" customHeight="false" outlineLevel="0" collapsed="false">
      <c r="A35" s="2" t="s">
        <v>118</v>
      </c>
      <c r="B35" s="2" t="n">
        <v>101</v>
      </c>
      <c r="C35" s="2" t="n">
        <v>2023</v>
      </c>
      <c r="D35" s="3" t="n">
        <v>45077</v>
      </c>
      <c r="E35" s="2" t="s">
        <v>119</v>
      </c>
      <c r="F35" s="2" t="s">
        <v>21</v>
      </c>
      <c r="G35" s="4" t="n">
        <v>0</v>
      </c>
      <c r="H35" s="4" t="n">
        <v>66439</v>
      </c>
      <c r="I35" s="4" t="n">
        <v>-66439</v>
      </c>
      <c r="J35" s="2" t="s">
        <v>22</v>
      </c>
      <c r="K35" s="2" t="s">
        <v>23</v>
      </c>
      <c r="L35" s="2" t="s">
        <v>106</v>
      </c>
      <c r="M35" s="2" t="s">
        <v>107</v>
      </c>
      <c r="N35" s="2" t="s">
        <v>108</v>
      </c>
      <c r="O35" s="2" t="s">
        <v>120</v>
      </c>
      <c r="P35" s="4" t="n">
        <v>0</v>
      </c>
      <c r="Q35" s="2"/>
      <c r="R35" s="2"/>
      <c r="S35" s="2"/>
    </row>
    <row r="36" customFormat="false" ht="15" hidden="false" customHeight="false" outlineLevel="0" collapsed="false">
      <c r="A36" s="2" t="s">
        <v>121</v>
      </c>
      <c r="B36" s="2" t="n">
        <v>28</v>
      </c>
      <c r="C36" s="2" t="n">
        <v>2023</v>
      </c>
      <c r="D36" s="3" t="n">
        <v>45107</v>
      </c>
      <c r="E36" s="2" t="s">
        <v>119</v>
      </c>
      <c r="F36" s="2" t="s">
        <v>21</v>
      </c>
      <c r="G36" s="4" t="n">
        <v>0</v>
      </c>
      <c r="H36" s="4" t="n">
        <v>7639</v>
      </c>
      <c r="I36" s="4" t="n">
        <v>-7639</v>
      </c>
      <c r="J36" s="2" t="s">
        <v>22</v>
      </c>
      <c r="K36" s="2" t="s">
        <v>23</v>
      </c>
      <c r="L36" s="2" t="s">
        <v>106</v>
      </c>
      <c r="M36" s="2" t="s">
        <v>107</v>
      </c>
      <c r="N36" s="2" t="s">
        <v>108</v>
      </c>
      <c r="O36" s="2" t="s">
        <v>122</v>
      </c>
      <c r="P36" s="4" t="n">
        <v>0</v>
      </c>
      <c r="Q36" s="2"/>
      <c r="R36" s="2"/>
      <c r="S36" s="2"/>
    </row>
    <row r="37" customFormat="false" ht="15" hidden="false" customHeight="false" outlineLevel="0" collapsed="false">
      <c r="A37" s="2" t="s">
        <v>123</v>
      </c>
      <c r="B37" s="2" t="n">
        <v>82</v>
      </c>
      <c r="C37" s="2" t="n">
        <v>2023</v>
      </c>
      <c r="D37" s="3" t="n">
        <v>45138</v>
      </c>
      <c r="E37" s="2" t="s">
        <v>119</v>
      </c>
      <c r="F37" s="2" t="s">
        <v>21</v>
      </c>
      <c r="G37" s="4" t="n">
        <v>0</v>
      </c>
      <c r="H37" s="4" t="n">
        <v>56639</v>
      </c>
      <c r="I37" s="4" t="n">
        <v>-56639</v>
      </c>
      <c r="J37" s="2" t="s">
        <v>22</v>
      </c>
      <c r="K37" s="2" t="s">
        <v>23</v>
      </c>
      <c r="L37" s="2" t="s">
        <v>106</v>
      </c>
      <c r="M37" s="2" t="s">
        <v>107</v>
      </c>
      <c r="N37" s="2" t="s">
        <v>108</v>
      </c>
      <c r="O37" s="2" t="s">
        <v>124</v>
      </c>
      <c r="P37" s="4" t="n">
        <v>0</v>
      </c>
      <c r="Q37" s="2"/>
      <c r="R37" s="2"/>
      <c r="S37" s="2"/>
    </row>
    <row r="38" customFormat="false" ht="15" hidden="false" customHeight="false" outlineLevel="0" collapsed="false">
      <c r="A38" s="2" t="s">
        <v>125</v>
      </c>
      <c r="B38" s="2" t="n">
        <v>84</v>
      </c>
      <c r="C38" s="2" t="n">
        <v>2023</v>
      </c>
      <c r="D38" s="3" t="n">
        <v>45169</v>
      </c>
      <c r="E38" s="2" t="s">
        <v>119</v>
      </c>
      <c r="F38" s="2" t="s">
        <v>21</v>
      </c>
      <c r="G38" s="4" t="n">
        <v>0</v>
      </c>
      <c r="H38" s="4" t="n">
        <v>56640</v>
      </c>
      <c r="I38" s="4" t="n">
        <v>-56640</v>
      </c>
      <c r="J38" s="2" t="s">
        <v>22</v>
      </c>
      <c r="K38" s="2" t="s">
        <v>23</v>
      </c>
      <c r="L38" s="2" t="s">
        <v>106</v>
      </c>
      <c r="M38" s="2" t="s">
        <v>107</v>
      </c>
      <c r="N38" s="2" t="s">
        <v>108</v>
      </c>
      <c r="O38" s="2" t="s">
        <v>126</v>
      </c>
      <c r="P38" s="4" t="n">
        <v>0</v>
      </c>
      <c r="Q38" s="2"/>
      <c r="R38" s="2"/>
      <c r="S38" s="2"/>
    </row>
    <row r="39" customFormat="false" ht="15" hidden="false" customHeight="false" outlineLevel="0" collapsed="false">
      <c r="A39" s="2" t="s">
        <v>127</v>
      </c>
      <c r="B39" s="2" t="n">
        <v>83</v>
      </c>
      <c r="C39" s="2" t="n">
        <v>2023</v>
      </c>
      <c r="D39" s="3" t="n">
        <v>45199</v>
      </c>
      <c r="E39" s="2" t="s">
        <v>119</v>
      </c>
      <c r="F39" s="2" t="s">
        <v>21</v>
      </c>
      <c r="G39" s="4" t="n">
        <v>0</v>
      </c>
      <c r="H39" s="4" t="n">
        <v>56639</v>
      </c>
      <c r="I39" s="4" t="n">
        <v>-56639</v>
      </c>
      <c r="J39" s="2" t="s">
        <v>22</v>
      </c>
      <c r="K39" s="2" t="s">
        <v>23</v>
      </c>
      <c r="L39" s="2" t="s">
        <v>106</v>
      </c>
      <c r="M39" s="2" t="s">
        <v>107</v>
      </c>
      <c r="N39" s="2" t="s">
        <v>108</v>
      </c>
      <c r="O39" s="2" t="s">
        <v>128</v>
      </c>
      <c r="P39" s="4" t="n">
        <v>0</v>
      </c>
      <c r="Q39" s="2"/>
      <c r="R39" s="2"/>
      <c r="S39" s="2"/>
    </row>
    <row r="40" customFormat="false" ht="15" hidden="false" customHeight="false" outlineLevel="0" collapsed="false">
      <c r="A40" s="2" t="s">
        <v>129</v>
      </c>
      <c r="B40" s="2" t="n">
        <v>85</v>
      </c>
      <c r="C40" s="2" t="n">
        <v>2023</v>
      </c>
      <c r="D40" s="3" t="n">
        <v>45230</v>
      </c>
      <c r="E40" s="2" t="s">
        <v>119</v>
      </c>
      <c r="F40" s="2" t="s">
        <v>21</v>
      </c>
      <c r="G40" s="4" t="n">
        <v>0</v>
      </c>
      <c r="H40" s="4" t="n">
        <v>56640</v>
      </c>
      <c r="I40" s="4" t="n">
        <v>-56640</v>
      </c>
      <c r="J40" s="2" t="s">
        <v>22</v>
      </c>
      <c r="K40" s="2" t="s">
        <v>23</v>
      </c>
      <c r="L40" s="2" t="s">
        <v>106</v>
      </c>
      <c r="M40" s="2" t="s">
        <v>107</v>
      </c>
      <c r="N40" s="2" t="s">
        <v>108</v>
      </c>
      <c r="O40" s="2" t="s">
        <v>130</v>
      </c>
      <c r="P40" s="4" t="n">
        <v>0</v>
      </c>
      <c r="Q40" s="2"/>
      <c r="R40" s="2"/>
      <c r="S40" s="2"/>
    </row>
    <row r="41" customFormat="false" ht="15" hidden="false" customHeight="false" outlineLevel="0" collapsed="false">
      <c r="A41" s="2" t="s">
        <v>131</v>
      </c>
      <c r="B41" s="2" t="n">
        <v>113</v>
      </c>
      <c r="C41" s="2" t="n">
        <v>2023</v>
      </c>
      <c r="D41" s="3" t="n">
        <v>45260</v>
      </c>
      <c r="E41" s="2" t="s">
        <v>119</v>
      </c>
      <c r="F41" s="2" t="s">
        <v>21</v>
      </c>
      <c r="G41" s="4" t="n">
        <v>116611</v>
      </c>
      <c r="H41" s="4" t="n">
        <v>0</v>
      </c>
      <c r="I41" s="4" t="n">
        <v>116611</v>
      </c>
      <c r="J41" s="2" t="s">
        <v>57</v>
      </c>
      <c r="K41" s="2" t="s">
        <v>23</v>
      </c>
      <c r="L41" s="2" t="s">
        <v>106</v>
      </c>
      <c r="M41" s="2" t="s">
        <v>107</v>
      </c>
      <c r="N41" s="2" t="s">
        <v>108</v>
      </c>
      <c r="O41" s="2" t="s">
        <v>132</v>
      </c>
      <c r="P41" s="4" t="n">
        <v>0</v>
      </c>
      <c r="Q41" s="2"/>
      <c r="R41" s="2"/>
      <c r="S41" s="2"/>
    </row>
    <row r="42" customFormat="false" ht="15" hidden="false" customHeight="false" outlineLevel="0" collapsed="false">
      <c r="A42" s="2" t="s">
        <v>133</v>
      </c>
      <c r="B42" s="2" t="n">
        <v>39</v>
      </c>
      <c r="C42" s="2" t="n">
        <v>2023</v>
      </c>
      <c r="D42" s="3" t="n">
        <v>45291</v>
      </c>
      <c r="E42" s="2" t="s">
        <v>119</v>
      </c>
      <c r="F42" s="2" t="s">
        <v>21</v>
      </c>
      <c r="G42" s="4" t="n">
        <v>14960</v>
      </c>
      <c r="H42" s="4" t="n">
        <v>0</v>
      </c>
      <c r="I42" s="4" t="n">
        <v>14960</v>
      </c>
      <c r="J42" s="2" t="s">
        <v>57</v>
      </c>
      <c r="K42" s="2" t="s">
        <v>23</v>
      </c>
      <c r="L42" s="2" t="s">
        <v>106</v>
      </c>
      <c r="M42" s="2" t="s">
        <v>107</v>
      </c>
      <c r="N42" s="2" t="s">
        <v>108</v>
      </c>
      <c r="O42" s="2" t="s">
        <v>134</v>
      </c>
      <c r="P42" s="4" t="n">
        <v>0</v>
      </c>
      <c r="Q42" s="2"/>
      <c r="R42" s="2"/>
      <c r="S42" s="2"/>
    </row>
    <row r="43" customFormat="false" ht="15" hidden="false" customHeight="false" outlineLevel="0" collapsed="false">
      <c r="A43" s="2" t="s">
        <v>135</v>
      </c>
      <c r="B43" s="2" t="n">
        <v>111</v>
      </c>
      <c r="C43" s="2" t="n">
        <v>2023</v>
      </c>
      <c r="D43" s="3" t="n">
        <v>45291</v>
      </c>
      <c r="E43" s="2" t="s">
        <v>119</v>
      </c>
      <c r="F43" s="2" t="s">
        <v>21</v>
      </c>
      <c r="G43" s="4" t="n">
        <v>92600</v>
      </c>
      <c r="H43" s="4" t="n">
        <v>0</v>
      </c>
      <c r="I43" s="4" t="n">
        <v>92600</v>
      </c>
      <c r="J43" s="2" t="s">
        <v>57</v>
      </c>
      <c r="K43" s="2" t="s">
        <v>23</v>
      </c>
      <c r="L43" s="2" t="s">
        <v>106</v>
      </c>
      <c r="M43" s="2" t="s">
        <v>107</v>
      </c>
      <c r="N43" s="2" t="s">
        <v>108</v>
      </c>
      <c r="O43" s="2" t="s">
        <v>136</v>
      </c>
      <c r="P43" s="4" t="n">
        <v>0</v>
      </c>
      <c r="Q43" s="2"/>
      <c r="R43" s="2"/>
      <c r="S43" s="2"/>
    </row>
    <row r="44" customFormat="false" ht="15" hidden="false" customHeight="false" outlineLevel="0" collapsed="false">
      <c r="A44" s="2" t="s">
        <v>137</v>
      </c>
      <c r="B44" s="2" t="n">
        <v>61</v>
      </c>
      <c r="C44" s="2" t="n">
        <v>2024</v>
      </c>
      <c r="D44" s="3" t="n">
        <v>45322</v>
      </c>
      <c r="E44" s="2" t="s">
        <v>138</v>
      </c>
      <c r="F44" s="2" t="s">
        <v>21</v>
      </c>
      <c r="G44" s="4" t="n">
        <v>0</v>
      </c>
      <c r="H44" s="4" t="n">
        <v>39273</v>
      </c>
      <c r="I44" s="4" t="n">
        <v>-39273</v>
      </c>
      <c r="J44" s="2" t="s">
        <v>22</v>
      </c>
      <c r="K44" s="2" t="s">
        <v>23</v>
      </c>
      <c r="L44" s="2" t="s">
        <v>106</v>
      </c>
      <c r="M44" s="2" t="s">
        <v>107</v>
      </c>
      <c r="N44" s="2" t="s">
        <v>108</v>
      </c>
      <c r="O44" s="2" t="s">
        <v>139</v>
      </c>
      <c r="P44" s="4" t="n">
        <v>0</v>
      </c>
      <c r="Q44" s="2"/>
      <c r="R44" s="2"/>
      <c r="S44" s="2"/>
    </row>
    <row r="45" customFormat="false" ht="15" hidden="false" customHeight="false" outlineLevel="0" collapsed="false">
      <c r="A45" s="2" t="s">
        <v>140</v>
      </c>
      <c r="B45" s="2" t="n">
        <v>74</v>
      </c>
      <c r="C45" s="2" t="n">
        <v>2024</v>
      </c>
      <c r="D45" s="3" t="n">
        <v>45322</v>
      </c>
      <c r="E45" s="2" t="s">
        <v>119</v>
      </c>
      <c r="F45" s="2" t="s">
        <v>21</v>
      </c>
      <c r="G45" s="4" t="n">
        <v>0</v>
      </c>
      <c r="H45" s="4" t="n">
        <v>51773</v>
      </c>
      <c r="I45" s="4" t="n">
        <v>-51773</v>
      </c>
      <c r="J45" s="2" t="s">
        <v>22</v>
      </c>
      <c r="K45" s="2" t="s">
        <v>23</v>
      </c>
      <c r="L45" s="2" t="s">
        <v>106</v>
      </c>
      <c r="M45" s="2" t="s">
        <v>107</v>
      </c>
      <c r="N45" s="2" t="s">
        <v>108</v>
      </c>
      <c r="O45" s="2" t="s">
        <v>141</v>
      </c>
      <c r="P45" s="4" t="n">
        <v>0</v>
      </c>
      <c r="Q45" s="2"/>
      <c r="R45" s="2"/>
      <c r="S45" s="2"/>
    </row>
    <row r="46" customFormat="false" ht="15" hidden="false" customHeight="false" outlineLevel="0" collapsed="false">
      <c r="A46" s="2" t="s">
        <v>142</v>
      </c>
      <c r="B46" s="2" t="n">
        <v>75</v>
      </c>
      <c r="C46" s="2" t="n">
        <v>2024</v>
      </c>
      <c r="D46" s="3" t="n">
        <v>45351</v>
      </c>
      <c r="E46" s="2" t="s">
        <v>119</v>
      </c>
      <c r="F46" s="2" t="s">
        <v>21</v>
      </c>
      <c r="G46" s="4" t="n">
        <v>0</v>
      </c>
      <c r="H46" s="4" t="n">
        <v>51773</v>
      </c>
      <c r="I46" s="4" t="n">
        <v>-51773</v>
      </c>
      <c r="J46" s="2" t="s">
        <v>22</v>
      </c>
      <c r="K46" s="2" t="s">
        <v>23</v>
      </c>
      <c r="L46" s="2" t="s">
        <v>106</v>
      </c>
      <c r="M46" s="2" t="s">
        <v>107</v>
      </c>
      <c r="N46" s="2" t="s">
        <v>108</v>
      </c>
      <c r="O46" s="2" t="s">
        <v>143</v>
      </c>
      <c r="P46" s="4" t="n">
        <v>0</v>
      </c>
      <c r="Q46" s="2"/>
      <c r="R46" s="2"/>
      <c r="S46" s="2"/>
    </row>
    <row r="47" customFormat="false" ht="15" hidden="false" customHeight="false" outlineLevel="0" collapsed="false">
      <c r="A47" s="2" t="s">
        <v>144</v>
      </c>
      <c r="B47" s="2" t="n">
        <v>65</v>
      </c>
      <c r="C47" s="2" t="n">
        <v>2024</v>
      </c>
      <c r="D47" s="3" t="n">
        <v>45352</v>
      </c>
      <c r="E47" s="2" t="s">
        <v>138</v>
      </c>
      <c r="F47" s="2" t="s">
        <v>21</v>
      </c>
      <c r="G47" s="4" t="n">
        <v>0</v>
      </c>
      <c r="H47" s="4" t="n">
        <v>46472</v>
      </c>
      <c r="I47" s="4" t="n">
        <v>-46472</v>
      </c>
      <c r="J47" s="2" t="s">
        <v>22</v>
      </c>
      <c r="K47" s="2" t="s">
        <v>23</v>
      </c>
      <c r="L47" s="2" t="s">
        <v>106</v>
      </c>
      <c r="M47" s="2" t="s">
        <v>107</v>
      </c>
      <c r="N47" s="2" t="s">
        <v>108</v>
      </c>
      <c r="O47" s="2" t="s">
        <v>145</v>
      </c>
      <c r="P47" s="4" t="n">
        <v>0</v>
      </c>
      <c r="Q47" s="2"/>
      <c r="R47" s="2"/>
      <c r="S47" s="2"/>
    </row>
    <row r="48" customFormat="false" ht="15" hidden="false" customHeight="false" outlineLevel="0" collapsed="false">
      <c r="A48" s="2" t="s">
        <v>146</v>
      </c>
      <c r="B48" s="2" t="n">
        <v>67</v>
      </c>
      <c r="C48" s="2" t="n">
        <v>2024</v>
      </c>
      <c r="D48" s="3" t="n">
        <v>45382</v>
      </c>
      <c r="E48" s="2" t="s">
        <v>138</v>
      </c>
      <c r="F48" s="2" t="s">
        <v>21</v>
      </c>
      <c r="G48" s="4" t="n">
        <v>0</v>
      </c>
      <c r="H48" s="4" t="n">
        <v>46473</v>
      </c>
      <c r="I48" s="4" t="n">
        <v>-46473</v>
      </c>
      <c r="J48" s="2" t="s">
        <v>22</v>
      </c>
      <c r="K48" s="2" t="s">
        <v>23</v>
      </c>
      <c r="L48" s="2" t="s">
        <v>106</v>
      </c>
      <c r="M48" s="2" t="s">
        <v>107</v>
      </c>
      <c r="N48" s="2" t="s">
        <v>108</v>
      </c>
      <c r="O48" s="2" t="s">
        <v>147</v>
      </c>
      <c r="P48" s="4" t="n">
        <v>0</v>
      </c>
      <c r="Q48" s="2"/>
      <c r="R48" s="2"/>
      <c r="S48" s="2"/>
    </row>
    <row r="49" customFormat="false" ht="15" hidden="false" customHeight="false" outlineLevel="0" collapsed="false">
      <c r="A49" s="2" t="s">
        <v>148</v>
      </c>
      <c r="B49" s="2" t="n">
        <v>73</v>
      </c>
      <c r="C49" s="2" t="n">
        <v>2024</v>
      </c>
      <c r="D49" s="3" t="n">
        <v>45382</v>
      </c>
      <c r="E49" s="2" t="s">
        <v>119</v>
      </c>
      <c r="F49" s="2" t="s">
        <v>21</v>
      </c>
      <c r="G49" s="4" t="n">
        <v>0</v>
      </c>
      <c r="H49" s="4" t="n">
        <v>51772</v>
      </c>
      <c r="I49" s="4" t="n">
        <v>-51772</v>
      </c>
      <c r="J49" s="2" t="s">
        <v>22</v>
      </c>
      <c r="K49" s="2" t="s">
        <v>23</v>
      </c>
      <c r="L49" s="2" t="s">
        <v>106</v>
      </c>
      <c r="M49" s="2" t="s">
        <v>107</v>
      </c>
      <c r="N49" s="2" t="s">
        <v>108</v>
      </c>
      <c r="O49" s="2" t="s">
        <v>149</v>
      </c>
      <c r="P49" s="4" t="n">
        <v>0</v>
      </c>
      <c r="Q49" s="2"/>
      <c r="R49" s="2"/>
      <c r="S49" s="2"/>
    </row>
    <row r="50" customFormat="false" ht="15" hidden="false" customHeight="false" outlineLevel="0" collapsed="false">
      <c r="A50" s="2" t="s">
        <v>150</v>
      </c>
      <c r="B50" s="2" t="n">
        <v>103</v>
      </c>
      <c r="C50" s="2" t="n">
        <v>2024</v>
      </c>
      <c r="D50" s="3" t="n">
        <v>45387</v>
      </c>
      <c r="E50" s="2" t="s">
        <v>151</v>
      </c>
      <c r="F50" s="2" t="s">
        <v>152</v>
      </c>
      <c r="G50" s="4" t="n">
        <v>71574.93</v>
      </c>
      <c r="H50" s="4" t="n">
        <v>0</v>
      </c>
      <c r="I50" s="4" t="n">
        <v>71574.93</v>
      </c>
      <c r="J50" s="2" t="s">
        <v>57</v>
      </c>
      <c r="K50" s="2" t="s">
        <v>78</v>
      </c>
      <c r="L50" s="2" t="s">
        <v>72</v>
      </c>
      <c r="M50" s="2" t="s">
        <v>73</v>
      </c>
      <c r="N50" s="2" t="s">
        <v>153</v>
      </c>
      <c r="O50" s="2" t="s">
        <v>154</v>
      </c>
      <c r="P50" s="4" t="n">
        <v>0</v>
      </c>
      <c r="Q50" s="2"/>
      <c r="R50" s="2"/>
      <c r="S50" s="2" t="s">
        <v>28</v>
      </c>
    </row>
    <row r="51" customFormat="false" ht="15" hidden="false" customHeight="false" outlineLevel="0" collapsed="false">
      <c r="A51" s="2" t="s">
        <v>155</v>
      </c>
      <c r="B51" s="2" t="n">
        <v>20</v>
      </c>
      <c r="C51" s="2" t="n">
        <v>2024</v>
      </c>
      <c r="D51" s="3" t="n">
        <v>45412</v>
      </c>
      <c r="E51" s="2" t="s">
        <v>156</v>
      </c>
      <c r="F51" s="2" t="s">
        <v>21</v>
      </c>
      <c r="G51" s="4" t="n">
        <v>639.42</v>
      </c>
      <c r="H51" s="4" t="n">
        <v>0</v>
      </c>
      <c r="I51" s="4" t="n">
        <v>639.42</v>
      </c>
      <c r="J51" s="2" t="s">
        <v>57</v>
      </c>
      <c r="K51" s="2" t="s">
        <v>157</v>
      </c>
      <c r="L51" s="2" t="s">
        <v>72</v>
      </c>
      <c r="M51" s="2" t="s">
        <v>73</v>
      </c>
      <c r="N51" s="2" t="s">
        <v>158</v>
      </c>
      <c r="O51" s="2" t="s">
        <v>159</v>
      </c>
      <c r="P51" s="4" t="n">
        <v>0</v>
      </c>
      <c r="Q51" s="2"/>
      <c r="R51" s="2"/>
      <c r="S51" s="2" t="s">
        <v>28</v>
      </c>
    </row>
    <row r="52" customFormat="false" ht="15" hidden="false" customHeight="false" outlineLevel="0" collapsed="false">
      <c r="A52" s="2" t="s">
        <v>159</v>
      </c>
      <c r="B52" s="2" t="n">
        <v>21</v>
      </c>
      <c r="C52" s="2" t="n">
        <v>2024</v>
      </c>
      <c r="D52" s="3" t="n">
        <v>45412</v>
      </c>
      <c r="E52" s="2" t="s">
        <v>160</v>
      </c>
      <c r="F52" s="2" t="s">
        <v>21</v>
      </c>
      <c r="G52" s="4" t="n">
        <v>0</v>
      </c>
      <c r="H52" s="4" t="n">
        <v>639.42</v>
      </c>
      <c r="I52" s="4" t="n">
        <v>-639.42</v>
      </c>
      <c r="J52" s="2" t="s">
        <v>22</v>
      </c>
      <c r="K52" s="2" t="s">
        <v>157</v>
      </c>
      <c r="L52" s="2" t="s">
        <v>72</v>
      </c>
      <c r="M52" s="2" t="s">
        <v>73</v>
      </c>
      <c r="N52" s="2" t="s">
        <v>158</v>
      </c>
      <c r="O52" s="2" t="s">
        <v>155</v>
      </c>
      <c r="P52" s="4" t="n">
        <v>0</v>
      </c>
      <c r="Q52" s="2"/>
      <c r="R52" s="2"/>
      <c r="S52" s="2" t="s">
        <v>28</v>
      </c>
    </row>
    <row r="53" customFormat="false" ht="15" hidden="false" customHeight="false" outlineLevel="0" collapsed="false">
      <c r="A53" s="2" t="s">
        <v>161</v>
      </c>
      <c r="B53" s="2" t="n">
        <v>38</v>
      </c>
      <c r="C53" s="2" t="n">
        <v>2024</v>
      </c>
      <c r="D53" s="3" t="n">
        <v>45412</v>
      </c>
      <c r="E53" s="2" t="s">
        <v>162</v>
      </c>
      <c r="F53" s="2" t="s">
        <v>163</v>
      </c>
      <c r="G53" s="4" t="n">
        <v>13393.18</v>
      </c>
      <c r="H53" s="4" t="n">
        <v>0</v>
      </c>
      <c r="I53" s="4" t="n">
        <v>13393.18</v>
      </c>
      <c r="J53" s="2" t="s">
        <v>57</v>
      </c>
      <c r="K53" s="2" t="s">
        <v>71</v>
      </c>
      <c r="L53" s="2" t="s">
        <v>106</v>
      </c>
      <c r="M53" s="2" t="s">
        <v>107</v>
      </c>
      <c r="N53" s="2" t="s">
        <v>108</v>
      </c>
      <c r="O53" s="2" t="s">
        <v>164</v>
      </c>
      <c r="P53" s="4" t="n">
        <v>0</v>
      </c>
      <c r="Q53" s="2"/>
      <c r="R53" s="2"/>
      <c r="S53" s="2"/>
    </row>
    <row r="54" customFormat="false" ht="15" hidden="false" customHeight="false" outlineLevel="0" collapsed="false">
      <c r="A54" s="2" t="s">
        <v>165</v>
      </c>
      <c r="B54" s="2" t="n">
        <v>40</v>
      </c>
      <c r="C54" s="2" t="n">
        <v>2024</v>
      </c>
      <c r="D54" s="3" t="n">
        <v>45412</v>
      </c>
      <c r="E54" s="2" t="s">
        <v>166</v>
      </c>
      <c r="F54" s="2" t="s">
        <v>21</v>
      </c>
      <c r="G54" s="4" t="n">
        <v>0</v>
      </c>
      <c r="H54" s="4" t="n">
        <v>17988.02</v>
      </c>
      <c r="I54" s="4" t="n">
        <v>-17988.02</v>
      </c>
      <c r="J54" s="2" t="s">
        <v>22</v>
      </c>
      <c r="K54" s="2" t="s">
        <v>23</v>
      </c>
      <c r="L54" s="2" t="s">
        <v>106</v>
      </c>
      <c r="M54" s="2" t="s">
        <v>107</v>
      </c>
      <c r="N54" s="2" t="s">
        <v>108</v>
      </c>
      <c r="O54" s="2" t="s">
        <v>167</v>
      </c>
      <c r="P54" s="4" t="n">
        <v>0</v>
      </c>
      <c r="Q54" s="2"/>
      <c r="R54" s="2"/>
      <c r="S54" s="2"/>
    </row>
    <row r="55" customFormat="false" ht="15" hidden="false" customHeight="false" outlineLevel="0" collapsed="false">
      <c r="A55" s="2" t="s">
        <v>168</v>
      </c>
      <c r="B55" s="2" t="n">
        <v>41</v>
      </c>
      <c r="C55" s="2" t="n">
        <v>2024</v>
      </c>
      <c r="D55" s="3" t="n">
        <v>45412</v>
      </c>
      <c r="E55" s="2" t="s">
        <v>162</v>
      </c>
      <c r="F55" s="2" t="s">
        <v>169</v>
      </c>
      <c r="G55" s="4" t="n">
        <v>18052.65</v>
      </c>
      <c r="H55" s="4" t="n">
        <v>0</v>
      </c>
      <c r="I55" s="4" t="n">
        <v>18052.65</v>
      </c>
      <c r="J55" s="2" t="s">
        <v>57</v>
      </c>
      <c r="K55" s="2" t="s">
        <v>71</v>
      </c>
      <c r="L55" s="2" t="s">
        <v>106</v>
      </c>
      <c r="M55" s="2" t="s">
        <v>107</v>
      </c>
      <c r="N55" s="2" t="s">
        <v>108</v>
      </c>
      <c r="O55" s="2" t="s">
        <v>170</v>
      </c>
      <c r="P55" s="4" t="n">
        <v>0</v>
      </c>
      <c r="Q55" s="2"/>
      <c r="R55" s="2"/>
      <c r="S55" s="2"/>
    </row>
    <row r="56" customFormat="false" ht="15" hidden="false" customHeight="false" outlineLevel="0" collapsed="false">
      <c r="A56" s="2" t="s">
        <v>171</v>
      </c>
      <c r="B56" s="2" t="n">
        <v>44</v>
      </c>
      <c r="C56" s="2" t="n">
        <v>2024</v>
      </c>
      <c r="D56" s="3" t="n">
        <v>45412</v>
      </c>
      <c r="E56" s="2" t="s">
        <v>172</v>
      </c>
      <c r="F56" s="2" t="s">
        <v>173</v>
      </c>
      <c r="G56" s="4" t="n">
        <v>21166.53</v>
      </c>
      <c r="H56" s="4" t="n">
        <v>0</v>
      </c>
      <c r="I56" s="4" t="n">
        <v>21166.53</v>
      </c>
      <c r="J56" s="2" t="s">
        <v>57</v>
      </c>
      <c r="K56" s="2" t="s">
        <v>71</v>
      </c>
      <c r="L56" s="2" t="s">
        <v>106</v>
      </c>
      <c r="M56" s="2" t="s">
        <v>107</v>
      </c>
      <c r="N56" s="2" t="s">
        <v>108</v>
      </c>
      <c r="O56" s="2" t="s">
        <v>174</v>
      </c>
      <c r="P56" s="4" t="n">
        <v>0</v>
      </c>
      <c r="Q56" s="2"/>
      <c r="R56" s="2"/>
      <c r="S56" s="2"/>
    </row>
    <row r="57" customFormat="false" ht="15" hidden="false" customHeight="false" outlineLevel="0" collapsed="false">
      <c r="A57" s="2" t="s">
        <v>175</v>
      </c>
      <c r="B57" s="2" t="n">
        <v>51</v>
      </c>
      <c r="C57" s="2" t="n">
        <v>2024</v>
      </c>
      <c r="D57" s="3" t="n">
        <v>45412</v>
      </c>
      <c r="E57" s="2" t="s">
        <v>162</v>
      </c>
      <c r="F57" s="2" t="s">
        <v>163</v>
      </c>
      <c r="G57" s="4" t="n">
        <v>22791.79</v>
      </c>
      <c r="H57" s="4" t="n">
        <v>0</v>
      </c>
      <c r="I57" s="4" t="n">
        <v>22791.79</v>
      </c>
      <c r="J57" s="2" t="s">
        <v>57</v>
      </c>
      <c r="K57" s="2" t="s">
        <v>71</v>
      </c>
      <c r="L57" s="2" t="s">
        <v>106</v>
      </c>
      <c r="M57" s="2" t="s">
        <v>107</v>
      </c>
      <c r="N57" s="2" t="s">
        <v>108</v>
      </c>
      <c r="O57" s="2" t="s">
        <v>176</v>
      </c>
      <c r="P57" s="4" t="n">
        <v>0</v>
      </c>
      <c r="Q57" s="2"/>
      <c r="R57" s="2"/>
      <c r="S57" s="2"/>
    </row>
    <row r="58" customFormat="false" ht="15" hidden="false" customHeight="false" outlineLevel="0" collapsed="false">
      <c r="A58" s="2" t="s">
        <v>177</v>
      </c>
      <c r="B58" s="2" t="n">
        <v>52</v>
      </c>
      <c r="C58" s="2" t="n">
        <v>2024</v>
      </c>
      <c r="D58" s="3" t="n">
        <v>45412</v>
      </c>
      <c r="E58" s="2" t="s">
        <v>172</v>
      </c>
      <c r="F58" s="2" t="s">
        <v>169</v>
      </c>
      <c r="G58" s="4" t="n">
        <v>23427.51</v>
      </c>
      <c r="H58" s="4" t="n">
        <v>0</v>
      </c>
      <c r="I58" s="4" t="n">
        <v>23427.51</v>
      </c>
      <c r="J58" s="2" t="s">
        <v>57</v>
      </c>
      <c r="K58" s="2" t="s">
        <v>71</v>
      </c>
      <c r="L58" s="2" t="s">
        <v>106</v>
      </c>
      <c r="M58" s="2" t="s">
        <v>107</v>
      </c>
      <c r="N58" s="2" t="s">
        <v>108</v>
      </c>
      <c r="O58" s="2" t="s">
        <v>178</v>
      </c>
      <c r="P58" s="4" t="n">
        <v>0</v>
      </c>
      <c r="Q58" s="2"/>
      <c r="R58" s="2"/>
      <c r="S58" s="2"/>
    </row>
    <row r="59" customFormat="false" ht="15" hidden="false" customHeight="false" outlineLevel="0" collapsed="false">
      <c r="A59" s="2" t="s">
        <v>179</v>
      </c>
      <c r="B59" s="2" t="n">
        <v>53</v>
      </c>
      <c r="C59" s="2" t="n">
        <v>2024</v>
      </c>
      <c r="D59" s="3" t="n">
        <v>45412</v>
      </c>
      <c r="E59" s="2" t="s">
        <v>162</v>
      </c>
      <c r="F59" s="2" t="s">
        <v>180</v>
      </c>
      <c r="G59" s="4" t="n">
        <v>24529.8</v>
      </c>
      <c r="H59" s="4" t="n">
        <v>0</v>
      </c>
      <c r="I59" s="4" t="n">
        <v>24529.8</v>
      </c>
      <c r="J59" s="2" t="s">
        <v>57</v>
      </c>
      <c r="K59" s="2" t="s">
        <v>71</v>
      </c>
      <c r="L59" s="2" t="s">
        <v>106</v>
      </c>
      <c r="M59" s="2" t="s">
        <v>107</v>
      </c>
      <c r="N59" s="2" t="s">
        <v>108</v>
      </c>
      <c r="O59" s="2" t="s">
        <v>181</v>
      </c>
      <c r="P59" s="4" t="n">
        <v>0</v>
      </c>
      <c r="Q59" s="2"/>
      <c r="R59" s="2"/>
      <c r="S59" s="2" t="s">
        <v>182</v>
      </c>
    </row>
    <row r="60" customFormat="false" ht="15" hidden="false" customHeight="false" outlineLevel="0" collapsed="false">
      <c r="A60" s="2" t="s">
        <v>183</v>
      </c>
      <c r="B60" s="2" t="n">
        <v>55</v>
      </c>
      <c r="C60" s="2" t="n">
        <v>2024</v>
      </c>
      <c r="D60" s="3" t="n">
        <v>45412</v>
      </c>
      <c r="E60" s="2" t="s">
        <v>172</v>
      </c>
      <c r="F60" s="2" t="s">
        <v>163</v>
      </c>
      <c r="G60" s="4" t="n">
        <v>25240.72</v>
      </c>
      <c r="H60" s="4" t="n">
        <v>0</v>
      </c>
      <c r="I60" s="4" t="n">
        <v>25240.72</v>
      </c>
      <c r="J60" s="2" t="s">
        <v>57</v>
      </c>
      <c r="K60" s="2" t="s">
        <v>71</v>
      </c>
      <c r="L60" s="2" t="s">
        <v>106</v>
      </c>
      <c r="M60" s="2" t="s">
        <v>107</v>
      </c>
      <c r="N60" s="2" t="s">
        <v>108</v>
      </c>
      <c r="O60" s="2" t="s">
        <v>184</v>
      </c>
      <c r="P60" s="4" t="n">
        <v>0</v>
      </c>
      <c r="Q60" s="2"/>
      <c r="R60" s="2"/>
      <c r="S60" s="2"/>
    </row>
    <row r="61" customFormat="false" ht="15" hidden="false" customHeight="false" outlineLevel="0" collapsed="false">
      <c r="A61" s="2" t="s">
        <v>185</v>
      </c>
      <c r="B61" s="2" t="n">
        <v>57</v>
      </c>
      <c r="C61" s="2" t="n">
        <v>2024</v>
      </c>
      <c r="D61" s="3" t="n">
        <v>45412</v>
      </c>
      <c r="E61" s="2" t="s">
        <v>172</v>
      </c>
      <c r="F61" s="2" t="s">
        <v>169</v>
      </c>
      <c r="G61" s="4" t="n">
        <v>27273.52</v>
      </c>
      <c r="H61" s="4" t="n">
        <v>0</v>
      </c>
      <c r="I61" s="4" t="n">
        <v>27273.52</v>
      </c>
      <c r="J61" s="2" t="s">
        <v>57</v>
      </c>
      <c r="K61" s="2" t="s">
        <v>71</v>
      </c>
      <c r="L61" s="2" t="s">
        <v>106</v>
      </c>
      <c r="M61" s="2" t="s">
        <v>107</v>
      </c>
      <c r="N61" s="2" t="s">
        <v>108</v>
      </c>
      <c r="O61" s="2" t="s">
        <v>186</v>
      </c>
      <c r="P61" s="4" t="n">
        <v>0</v>
      </c>
      <c r="Q61" s="2"/>
      <c r="R61" s="2"/>
      <c r="S61" s="2"/>
    </row>
    <row r="62" customFormat="false" ht="15" hidden="false" customHeight="false" outlineLevel="0" collapsed="false">
      <c r="A62" s="2" t="s">
        <v>187</v>
      </c>
      <c r="B62" s="2" t="n">
        <v>59</v>
      </c>
      <c r="C62" s="2" t="n">
        <v>2024</v>
      </c>
      <c r="D62" s="3" t="n">
        <v>45412</v>
      </c>
      <c r="E62" s="2" t="s">
        <v>162</v>
      </c>
      <c r="F62" s="2" t="s">
        <v>163</v>
      </c>
      <c r="G62" s="4" t="n">
        <v>31263.99</v>
      </c>
      <c r="H62" s="4" t="n">
        <v>0</v>
      </c>
      <c r="I62" s="4" t="n">
        <v>31263.99</v>
      </c>
      <c r="J62" s="2" t="s">
        <v>57</v>
      </c>
      <c r="K62" s="2" t="s">
        <v>71</v>
      </c>
      <c r="L62" s="2" t="s">
        <v>106</v>
      </c>
      <c r="M62" s="2" t="s">
        <v>107</v>
      </c>
      <c r="N62" s="2" t="s">
        <v>108</v>
      </c>
      <c r="O62" s="2" t="s">
        <v>188</v>
      </c>
      <c r="P62" s="4" t="n">
        <v>0</v>
      </c>
      <c r="Q62" s="2"/>
      <c r="R62" s="2"/>
      <c r="S62" s="2"/>
    </row>
    <row r="63" customFormat="false" ht="15" hidden="false" customHeight="false" outlineLevel="0" collapsed="false">
      <c r="A63" s="2" t="s">
        <v>189</v>
      </c>
      <c r="B63" s="2" t="n">
        <v>68</v>
      </c>
      <c r="C63" s="2" t="n">
        <v>2024</v>
      </c>
      <c r="D63" s="3" t="n">
        <v>45412</v>
      </c>
      <c r="E63" s="2" t="s">
        <v>138</v>
      </c>
      <c r="F63" s="2" t="s">
        <v>21</v>
      </c>
      <c r="G63" s="4" t="n">
        <v>0</v>
      </c>
      <c r="H63" s="4" t="n">
        <v>46473</v>
      </c>
      <c r="I63" s="4" t="n">
        <v>-46473</v>
      </c>
      <c r="J63" s="2" t="s">
        <v>22</v>
      </c>
      <c r="K63" s="2" t="s">
        <v>23</v>
      </c>
      <c r="L63" s="2" t="s">
        <v>106</v>
      </c>
      <c r="M63" s="2" t="s">
        <v>107</v>
      </c>
      <c r="N63" s="2" t="s">
        <v>108</v>
      </c>
      <c r="O63" s="2" t="s">
        <v>190</v>
      </c>
      <c r="P63" s="4" t="n">
        <v>0</v>
      </c>
      <c r="Q63" s="2"/>
      <c r="R63" s="2"/>
      <c r="S63" s="2"/>
    </row>
    <row r="64" customFormat="false" ht="15" hidden="false" customHeight="false" outlineLevel="0" collapsed="false">
      <c r="A64" s="2" t="s">
        <v>191</v>
      </c>
      <c r="B64" s="2" t="n">
        <v>76</v>
      </c>
      <c r="C64" s="2" t="n">
        <v>2024</v>
      </c>
      <c r="D64" s="3" t="n">
        <v>45412</v>
      </c>
      <c r="E64" s="2" t="s">
        <v>119</v>
      </c>
      <c r="F64" s="2" t="s">
        <v>21</v>
      </c>
      <c r="G64" s="4" t="n">
        <v>0</v>
      </c>
      <c r="H64" s="4" t="n">
        <v>51773</v>
      </c>
      <c r="I64" s="4" t="n">
        <v>-51773</v>
      </c>
      <c r="J64" s="2" t="s">
        <v>22</v>
      </c>
      <c r="K64" s="2" t="s">
        <v>23</v>
      </c>
      <c r="L64" s="2" t="s">
        <v>106</v>
      </c>
      <c r="M64" s="2" t="s">
        <v>107</v>
      </c>
      <c r="N64" s="2" t="s">
        <v>108</v>
      </c>
      <c r="O64" s="2" t="s">
        <v>192</v>
      </c>
      <c r="P64" s="4" t="n">
        <v>0</v>
      </c>
      <c r="Q64" s="2"/>
      <c r="R64" s="2"/>
      <c r="S64" s="2"/>
    </row>
    <row r="65" customFormat="false" ht="15" hidden="false" customHeight="false" outlineLevel="0" collapsed="false">
      <c r="A65" s="2" t="s">
        <v>193</v>
      </c>
      <c r="B65" s="2" t="n">
        <v>80</v>
      </c>
      <c r="C65" s="2" t="n">
        <v>2024</v>
      </c>
      <c r="D65" s="3" t="n">
        <v>45412</v>
      </c>
      <c r="E65" s="2" t="s">
        <v>172</v>
      </c>
      <c r="F65" s="2" t="s">
        <v>173</v>
      </c>
      <c r="G65" s="4" t="n">
        <v>55372.32</v>
      </c>
      <c r="H65" s="4" t="n">
        <v>0</v>
      </c>
      <c r="I65" s="4" t="n">
        <v>55372.32</v>
      </c>
      <c r="J65" s="2" t="s">
        <v>57</v>
      </c>
      <c r="K65" s="2" t="s">
        <v>71</v>
      </c>
      <c r="L65" s="2" t="s">
        <v>106</v>
      </c>
      <c r="M65" s="2" t="s">
        <v>107</v>
      </c>
      <c r="N65" s="2" t="s">
        <v>108</v>
      </c>
      <c r="O65" s="2" t="s">
        <v>194</v>
      </c>
      <c r="P65" s="4" t="n">
        <v>0</v>
      </c>
      <c r="Q65" s="2"/>
      <c r="R65" s="2"/>
      <c r="S65" s="2"/>
    </row>
    <row r="66" customFormat="false" ht="15" hidden="false" customHeight="false" outlineLevel="0" collapsed="false">
      <c r="A66" s="2" t="s">
        <v>195</v>
      </c>
      <c r="B66" s="2" t="n">
        <v>112</v>
      </c>
      <c r="C66" s="2" t="n">
        <v>2024</v>
      </c>
      <c r="D66" s="3" t="n">
        <v>45412</v>
      </c>
      <c r="E66" s="2" t="s">
        <v>172</v>
      </c>
      <c r="F66" s="2" t="s">
        <v>173</v>
      </c>
      <c r="G66" s="4" t="n">
        <v>97699.01</v>
      </c>
      <c r="H66" s="4" t="n">
        <v>0</v>
      </c>
      <c r="I66" s="4" t="n">
        <v>97699.01</v>
      </c>
      <c r="J66" s="2" t="s">
        <v>57</v>
      </c>
      <c r="K66" s="2" t="s">
        <v>71</v>
      </c>
      <c r="L66" s="2" t="s">
        <v>106</v>
      </c>
      <c r="M66" s="2" t="s">
        <v>107</v>
      </c>
      <c r="N66" s="2" t="s">
        <v>108</v>
      </c>
      <c r="O66" s="2" t="s">
        <v>196</v>
      </c>
      <c r="P66" s="4" t="n">
        <v>0</v>
      </c>
      <c r="Q66" s="2"/>
      <c r="R66" s="2"/>
      <c r="S66" s="2"/>
    </row>
    <row r="67" customFormat="false" ht="15" hidden="false" customHeight="false" outlineLevel="0" collapsed="false">
      <c r="A67" s="2" t="s">
        <v>197</v>
      </c>
      <c r="B67" s="2" t="n">
        <v>114</v>
      </c>
      <c r="C67" s="2" t="n">
        <v>2024</v>
      </c>
      <c r="D67" s="3" t="n">
        <v>45412</v>
      </c>
      <c r="E67" s="2" t="s">
        <v>198</v>
      </c>
      <c r="F67" s="2" t="s">
        <v>21</v>
      </c>
      <c r="G67" s="4" t="n">
        <v>0</v>
      </c>
      <c r="H67" s="4" t="n">
        <v>207091</v>
      </c>
      <c r="I67" s="4" t="n">
        <v>-207091</v>
      </c>
      <c r="J67" s="2" t="s">
        <v>22</v>
      </c>
      <c r="K67" s="2" t="s">
        <v>23</v>
      </c>
      <c r="L67" s="2" t="s">
        <v>72</v>
      </c>
      <c r="M67" s="2" t="s">
        <v>73</v>
      </c>
      <c r="N67" s="2" t="s">
        <v>199</v>
      </c>
      <c r="O67" s="2" t="s">
        <v>200</v>
      </c>
      <c r="P67" s="4" t="n">
        <v>0</v>
      </c>
      <c r="Q67" s="2"/>
      <c r="R67" s="2"/>
      <c r="S67" s="2" t="s">
        <v>28</v>
      </c>
    </row>
    <row r="68" customFormat="false" ht="15" hidden="false" customHeight="false" outlineLevel="0" collapsed="false">
      <c r="A68" s="2" t="s">
        <v>200</v>
      </c>
      <c r="B68" s="2" t="n">
        <v>115</v>
      </c>
      <c r="C68" s="2" t="n">
        <v>2024</v>
      </c>
      <c r="D68" s="3" t="n">
        <v>45412</v>
      </c>
      <c r="E68" s="2" t="s">
        <v>201</v>
      </c>
      <c r="F68" s="2" t="s">
        <v>21</v>
      </c>
      <c r="G68" s="4" t="n">
        <v>207091</v>
      </c>
      <c r="H68" s="4" t="n">
        <v>0</v>
      </c>
      <c r="I68" s="4" t="n">
        <v>207091</v>
      </c>
      <c r="J68" s="2" t="s">
        <v>57</v>
      </c>
      <c r="K68" s="2" t="s">
        <v>23</v>
      </c>
      <c r="L68" s="2" t="s">
        <v>72</v>
      </c>
      <c r="M68" s="2" t="s">
        <v>73</v>
      </c>
      <c r="N68" s="2" t="s">
        <v>199</v>
      </c>
      <c r="O68" s="2" t="s">
        <v>197</v>
      </c>
      <c r="P68" s="4" t="n">
        <v>0</v>
      </c>
      <c r="Q68" s="2"/>
      <c r="R68" s="2"/>
      <c r="S68" s="2" t="s">
        <v>28</v>
      </c>
    </row>
    <row r="69" customFormat="false" ht="15" hidden="false" customHeight="false" outlineLevel="0" collapsed="false">
      <c r="A69" s="2" t="s">
        <v>154</v>
      </c>
      <c r="B69" s="2" t="n">
        <v>104</v>
      </c>
      <c r="C69" s="2" t="n">
        <v>2024</v>
      </c>
      <c r="D69" s="3" t="n">
        <v>45413</v>
      </c>
      <c r="E69" s="2" t="s">
        <v>202</v>
      </c>
      <c r="F69" s="2" t="s">
        <v>203</v>
      </c>
      <c r="G69" s="4" t="n">
        <v>0</v>
      </c>
      <c r="H69" s="4" t="n">
        <v>71574.93</v>
      </c>
      <c r="I69" s="4" t="n">
        <v>-71574.93</v>
      </c>
      <c r="J69" s="2" t="s">
        <v>22</v>
      </c>
      <c r="K69" s="2" t="s">
        <v>78</v>
      </c>
      <c r="L69" s="2" t="s">
        <v>72</v>
      </c>
      <c r="M69" s="2" t="s">
        <v>73</v>
      </c>
      <c r="N69" s="2" t="s">
        <v>153</v>
      </c>
      <c r="O69" s="2" t="s">
        <v>150</v>
      </c>
      <c r="P69" s="4" t="n">
        <v>0</v>
      </c>
      <c r="Q69" s="2"/>
      <c r="R69" s="2"/>
      <c r="S69" s="2" t="s">
        <v>28</v>
      </c>
    </row>
    <row r="70" customFormat="false" ht="15" hidden="false" customHeight="false" outlineLevel="0" collapsed="false">
      <c r="A70" s="2" t="s">
        <v>204</v>
      </c>
      <c r="B70" s="2" t="n">
        <v>69</v>
      </c>
      <c r="C70" s="2" t="n">
        <v>2024</v>
      </c>
      <c r="D70" s="3" t="n">
        <v>45443</v>
      </c>
      <c r="E70" s="2" t="s">
        <v>138</v>
      </c>
      <c r="F70" s="2" t="s">
        <v>21</v>
      </c>
      <c r="G70" s="4" t="n">
        <v>0</v>
      </c>
      <c r="H70" s="4" t="n">
        <v>46473</v>
      </c>
      <c r="I70" s="4" t="n">
        <v>-46473</v>
      </c>
      <c r="J70" s="2" t="s">
        <v>22</v>
      </c>
      <c r="K70" s="2" t="s">
        <v>23</v>
      </c>
      <c r="L70" s="2" t="s">
        <v>106</v>
      </c>
      <c r="M70" s="2" t="s">
        <v>107</v>
      </c>
      <c r="N70" s="2" t="s">
        <v>108</v>
      </c>
      <c r="O70" s="2" t="s">
        <v>205</v>
      </c>
      <c r="P70" s="4" t="n">
        <v>0</v>
      </c>
      <c r="Q70" s="2"/>
      <c r="R70" s="2"/>
      <c r="S70" s="2"/>
    </row>
    <row r="71" customFormat="false" ht="15" hidden="false" customHeight="false" outlineLevel="0" collapsed="false">
      <c r="A71" s="2" t="s">
        <v>206</v>
      </c>
      <c r="B71" s="2" t="n">
        <v>77</v>
      </c>
      <c r="C71" s="2" t="n">
        <v>2024</v>
      </c>
      <c r="D71" s="3" t="n">
        <v>45443</v>
      </c>
      <c r="E71" s="2" t="s">
        <v>119</v>
      </c>
      <c r="F71" s="2" t="s">
        <v>21</v>
      </c>
      <c r="G71" s="4" t="n">
        <v>0</v>
      </c>
      <c r="H71" s="4" t="n">
        <v>51773</v>
      </c>
      <c r="I71" s="4" t="n">
        <v>-51773</v>
      </c>
      <c r="J71" s="2" t="s">
        <v>22</v>
      </c>
      <c r="K71" s="2" t="s">
        <v>23</v>
      </c>
      <c r="L71" s="2" t="s">
        <v>106</v>
      </c>
      <c r="M71" s="2" t="s">
        <v>107</v>
      </c>
      <c r="N71" s="2" t="s">
        <v>108</v>
      </c>
      <c r="O71" s="2" t="s">
        <v>207</v>
      </c>
      <c r="P71" s="4" t="n">
        <v>0</v>
      </c>
      <c r="Q71" s="2"/>
      <c r="R71" s="2"/>
      <c r="S71" s="2"/>
    </row>
    <row r="72" customFormat="false" ht="15" hidden="false" customHeight="false" outlineLevel="0" collapsed="false">
      <c r="A72" s="2" t="s">
        <v>208</v>
      </c>
      <c r="B72" s="2" t="n">
        <v>70</v>
      </c>
      <c r="C72" s="2" t="n">
        <v>2024</v>
      </c>
      <c r="D72" s="3" t="n">
        <v>45473</v>
      </c>
      <c r="E72" s="2" t="s">
        <v>138</v>
      </c>
      <c r="F72" s="2" t="s">
        <v>21</v>
      </c>
      <c r="G72" s="4" t="n">
        <v>0</v>
      </c>
      <c r="H72" s="4" t="n">
        <v>46473</v>
      </c>
      <c r="I72" s="4" t="n">
        <v>-46473</v>
      </c>
      <c r="J72" s="2" t="s">
        <v>22</v>
      </c>
      <c r="K72" s="2" t="s">
        <v>23</v>
      </c>
      <c r="L72" s="2" t="s">
        <v>106</v>
      </c>
      <c r="M72" s="2" t="s">
        <v>107</v>
      </c>
      <c r="N72" s="2" t="s">
        <v>108</v>
      </c>
      <c r="O72" s="2" t="s">
        <v>209</v>
      </c>
      <c r="P72" s="4" t="n">
        <v>0</v>
      </c>
      <c r="Q72" s="2"/>
      <c r="R72" s="2"/>
      <c r="S72" s="2"/>
    </row>
    <row r="73" customFormat="false" ht="15" hidden="false" customHeight="false" outlineLevel="0" collapsed="false">
      <c r="A73" s="2" t="s">
        <v>210</v>
      </c>
      <c r="B73" s="2" t="n">
        <v>78</v>
      </c>
      <c r="C73" s="2" t="n">
        <v>2024</v>
      </c>
      <c r="D73" s="3" t="n">
        <v>45473</v>
      </c>
      <c r="E73" s="2" t="s">
        <v>119</v>
      </c>
      <c r="F73" s="2" t="s">
        <v>21</v>
      </c>
      <c r="G73" s="4" t="n">
        <v>0</v>
      </c>
      <c r="H73" s="4" t="n">
        <v>51773</v>
      </c>
      <c r="I73" s="4" t="n">
        <v>-51773</v>
      </c>
      <c r="J73" s="2" t="s">
        <v>22</v>
      </c>
      <c r="K73" s="2" t="s">
        <v>23</v>
      </c>
      <c r="L73" s="2" t="s">
        <v>106</v>
      </c>
      <c r="M73" s="2" t="s">
        <v>107</v>
      </c>
      <c r="N73" s="2" t="s">
        <v>108</v>
      </c>
      <c r="O73" s="2" t="s">
        <v>211</v>
      </c>
      <c r="P73" s="4" t="n">
        <v>0</v>
      </c>
      <c r="Q73" s="2"/>
      <c r="R73" s="2"/>
      <c r="S73" s="2"/>
    </row>
    <row r="74" customFormat="false" ht="15" hidden="false" customHeight="false" outlineLevel="0" collapsed="false">
      <c r="A74" s="2" t="s">
        <v>212</v>
      </c>
      <c r="B74" s="2" t="n">
        <v>71</v>
      </c>
      <c r="C74" s="2" t="n">
        <v>2024</v>
      </c>
      <c r="D74" s="3" t="n">
        <v>45504</v>
      </c>
      <c r="E74" s="2" t="s">
        <v>138</v>
      </c>
      <c r="F74" s="2" t="s">
        <v>21</v>
      </c>
      <c r="G74" s="4" t="n">
        <v>0</v>
      </c>
      <c r="H74" s="4" t="n">
        <v>46473</v>
      </c>
      <c r="I74" s="4" t="n">
        <v>-46473</v>
      </c>
      <c r="J74" s="2" t="s">
        <v>22</v>
      </c>
      <c r="K74" s="2" t="s">
        <v>23</v>
      </c>
      <c r="L74" s="2" t="s">
        <v>106</v>
      </c>
      <c r="M74" s="2" t="s">
        <v>107</v>
      </c>
      <c r="N74" s="2" t="s">
        <v>108</v>
      </c>
      <c r="O74" s="2" t="s">
        <v>213</v>
      </c>
      <c r="P74" s="4" t="n">
        <v>0</v>
      </c>
      <c r="Q74" s="2"/>
      <c r="R74" s="2"/>
      <c r="S74" s="2"/>
    </row>
    <row r="75" customFormat="false" ht="15" hidden="false" customHeight="false" outlineLevel="0" collapsed="false">
      <c r="A75" s="2" t="s">
        <v>214</v>
      </c>
      <c r="B75" s="2" t="n">
        <v>79</v>
      </c>
      <c r="C75" s="2" t="n">
        <v>2024</v>
      </c>
      <c r="D75" s="3" t="n">
        <v>45504</v>
      </c>
      <c r="E75" s="2" t="s">
        <v>119</v>
      </c>
      <c r="F75" s="2" t="s">
        <v>21</v>
      </c>
      <c r="G75" s="4" t="n">
        <v>0</v>
      </c>
      <c r="H75" s="4" t="n">
        <v>51773</v>
      </c>
      <c r="I75" s="4" t="n">
        <v>-51773</v>
      </c>
      <c r="J75" s="2" t="s">
        <v>22</v>
      </c>
      <c r="K75" s="2" t="s">
        <v>23</v>
      </c>
      <c r="L75" s="2" t="s">
        <v>106</v>
      </c>
      <c r="M75" s="2" t="s">
        <v>107</v>
      </c>
      <c r="N75" s="2" t="s">
        <v>108</v>
      </c>
      <c r="O75" s="2" t="s">
        <v>215</v>
      </c>
      <c r="P75" s="4" t="n">
        <v>0</v>
      </c>
      <c r="Q75" s="2"/>
      <c r="R75" s="2"/>
      <c r="S75" s="2"/>
    </row>
    <row r="76" customFormat="false" ht="15" hidden="false" customHeight="false" outlineLevel="0" collapsed="false">
      <c r="A76" s="2" t="s">
        <v>216</v>
      </c>
      <c r="B76" s="2" t="n">
        <v>58</v>
      </c>
      <c r="C76" s="2" t="n">
        <v>2024</v>
      </c>
      <c r="D76" s="3" t="n">
        <v>45535</v>
      </c>
      <c r="E76" s="2" t="s">
        <v>119</v>
      </c>
      <c r="F76" s="2" t="s">
        <v>21</v>
      </c>
      <c r="G76" s="4" t="n">
        <v>0</v>
      </c>
      <c r="H76" s="4" t="n">
        <v>28076</v>
      </c>
      <c r="I76" s="4" t="n">
        <v>-28076</v>
      </c>
      <c r="J76" s="2" t="s">
        <v>22</v>
      </c>
      <c r="K76" s="2" t="s">
        <v>23</v>
      </c>
      <c r="L76" s="2" t="s">
        <v>106</v>
      </c>
      <c r="M76" s="2" t="s">
        <v>107</v>
      </c>
      <c r="N76" s="2" t="s">
        <v>108</v>
      </c>
      <c r="O76" s="2" t="s">
        <v>217</v>
      </c>
      <c r="P76" s="4" t="n">
        <v>0</v>
      </c>
      <c r="Q76" s="2"/>
      <c r="R76" s="2"/>
      <c r="S76" s="2"/>
    </row>
    <row r="77" customFormat="false" ht="15" hidden="false" customHeight="false" outlineLevel="0" collapsed="false">
      <c r="A77" s="2" t="s">
        <v>218</v>
      </c>
      <c r="B77" s="2" t="n">
        <v>66</v>
      </c>
      <c r="C77" s="2" t="n">
        <v>2024</v>
      </c>
      <c r="D77" s="3" t="n">
        <v>45535</v>
      </c>
      <c r="E77" s="2" t="s">
        <v>138</v>
      </c>
      <c r="F77" s="2" t="s">
        <v>21</v>
      </c>
      <c r="G77" s="4" t="n">
        <v>0</v>
      </c>
      <c r="H77" s="4" t="n">
        <v>46472</v>
      </c>
      <c r="I77" s="4" t="n">
        <v>-46472</v>
      </c>
      <c r="J77" s="2" t="s">
        <v>22</v>
      </c>
      <c r="K77" s="2" t="s">
        <v>23</v>
      </c>
      <c r="L77" s="2" t="s">
        <v>106</v>
      </c>
      <c r="M77" s="2" t="s">
        <v>107</v>
      </c>
      <c r="N77" s="2" t="s">
        <v>108</v>
      </c>
      <c r="O77" s="2" t="s">
        <v>219</v>
      </c>
      <c r="P77" s="4" t="n">
        <v>0</v>
      </c>
      <c r="Q77" s="2"/>
      <c r="R77" s="2"/>
      <c r="S77" s="2"/>
    </row>
    <row r="78" customFormat="false" ht="15" hidden="false" customHeight="false" outlineLevel="0" collapsed="false">
      <c r="A78" s="2" t="s">
        <v>220</v>
      </c>
      <c r="B78" s="2" t="n">
        <v>54</v>
      </c>
      <c r="C78" s="2" t="n">
        <v>2024</v>
      </c>
      <c r="D78" s="3" t="n">
        <v>45536</v>
      </c>
      <c r="E78" s="2" t="s">
        <v>119</v>
      </c>
      <c r="F78" s="2" t="s">
        <v>21</v>
      </c>
      <c r="G78" s="4" t="n">
        <v>24648</v>
      </c>
      <c r="H78" s="4" t="n">
        <v>0</v>
      </c>
      <c r="I78" s="4" t="n">
        <v>24648</v>
      </c>
      <c r="J78" s="2" t="s">
        <v>57</v>
      </c>
      <c r="K78" s="2" t="s">
        <v>23</v>
      </c>
      <c r="L78" s="2" t="s">
        <v>106</v>
      </c>
      <c r="M78" s="2" t="s">
        <v>107</v>
      </c>
      <c r="N78" s="2" t="s">
        <v>108</v>
      </c>
      <c r="O78" s="2" t="s">
        <v>221</v>
      </c>
      <c r="P78" s="4" t="n">
        <v>0</v>
      </c>
      <c r="Q78" s="2"/>
      <c r="R78" s="2"/>
      <c r="S78" s="2" t="s">
        <v>222</v>
      </c>
    </row>
    <row r="79" customFormat="false" ht="15" hidden="false" customHeight="false" outlineLevel="0" collapsed="false">
      <c r="A79" s="2" t="s">
        <v>223</v>
      </c>
      <c r="B79" s="2" t="n">
        <v>62</v>
      </c>
      <c r="C79" s="2" t="n">
        <v>2024</v>
      </c>
      <c r="D79" s="3" t="n">
        <v>45536</v>
      </c>
      <c r="E79" s="2" t="s">
        <v>138</v>
      </c>
      <c r="F79" s="2" t="s">
        <v>21</v>
      </c>
      <c r="G79" s="4" t="n">
        <v>40797</v>
      </c>
      <c r="H79" s="4" t="n">
        <v>0</v>
      </c>
      <c r="I79" s="4" t="n">
        <v>40797</v>
      </c>
      <c r="J79" s="2" t="s">
        <v>57</v>
      </c>
      <c r="K79" s="2" t="s">
        <v>23</v>
      </c>
      <c r="L79" s="2" t="s">
        <v>106</v>
      </c>
      <c r="M79" s="2" t="s">
        <v>107</v>
      </c>
      <c r="N79" s="2" t="s">
        <v>108</v>
      </c>
      <c r="O79" s="2" t="s">
        <v>224</v>
      </c>
      <c r="P79" s="4" t="n">
        <v>0</v>
      </c>
      <c r="Q79" s="2"/>
      <c r="R79" s="2"/>
      <c r="S79" s="2"/>
    </row>
    <row r="80" customFormat="false" ht="15" hidden="false" customHeight="false" outlineLevel="0" collapsed="false">
      <c r="A80" s="2" t="s">
        <v>225</v>
      </c>
      <c r="B80" s="2" t="n">
        <v>72</v>
      </c>
      <c r="C80" s="2" t="n">
        <v>2024</v>
      </c>
      <c r="D80" s="3" t="n">
        <v>45565</v>
      </c>
      <c r="E80" s="2" t="s">
        <v>119</v>
      </c>
      <c r="F80" s="2" t="s">
        <v>21</v>
      </c>
      <c r="G80" s="4" t="n">
        <v>0</v>
      </c>
      <c r="H80" s="4" t="n">
        <v>48811</v>
      </c>
      <c r="I80" s="4" t="n">
        <v>-48811</v>
      </c>
      <c r="J80" s="2" t="s">
        <v>22</v>
      </c>
      <c r="K80" s="2" t="s">
        <v>23</v>
      </c>
      <c r="L80" s="2" t="s">
        <v>106</v>
      </c>
      <c r="M80" s="2" t="s">
        <v>107</v>
      </c>
      <c r="N80" s="2" t="s">
        <v>108</v>
      </c>
      <c r="O80" s="2" t="s">
        <v>226</v>
      </c>
      <c r="P80" s="4" t="n">
        <v>0</v>
      </c>
      <c r="Q80" s="2"/>
      <c r="R80" s="2"/>
      <c r="S80" s="2"/>
    </row>
    <row r="81" customFormat="false" ht="15" hidden="false" customHeight="false" outlineLevel="0" collapsed="false">
      <c r="A81" s="2" t="s">
        <v>227</v>
      </c>
      <c r="B81" s="2" t="n">
        <v>35</v>
      </c>
      <c r="C81" s="2" t="n">
        <v>2024</v>
      </c>
      <c r="D81" s="3" t="n">
        <v>45566</v>
      </c>
      <c r="E81" s="2" t="s">
        <v>138</v>
      </c>
      <c r="F81" s="2" t="s">
        <v>21</v>
      </c>
      <c r="G81" s="4" t="n">
        <v>0</v>
      </c>
      <c r="H81" s="4" t="n">
        <v>11967</v>
      </c>
      <c r="I81" s="4" t="n">
        <v>-11967</v>
      </c>
      <c r="J81" s="2" t="s">
        <v>22</v>
      </c>
      <c r="K81" s="2" t="s">
        <v>23</v>
      </c>
      <c r="L81" s="2" t="s">
        <v>106</v>
      </c>
      <c r="M81" s="2" t="s">
        <v>107</v>
      </c>
      <c r="N81" s="2" t="s">
        <v>108</v>
      </c>
      <c r="O81" s="2" t="s">
        <v>228</v>
      </c>
      <c r="P81" s="4" t="n">
        <v>0</v>
      </c>
      <c r="Q81" s="2"/>
      <c r="R81" s="2"/>
      <c r="S81" s="2"/>
    </row>
    <row r="82" customFormat="false" ht="15" hidden="false" customHeight="false" outlineLevel="0" collapsed="false">
      <c r="A82" s="2" t="s">
        <v>229</v>
      </c>
      <c r="B82" s="2" t="n">
        <v>86</v>
      </c>
      <c r="C82" s="2" t="n">
        <v>2024</v>
      </c>
      <c r="D82" s="3" t="n">
        <v>45566</v>
      </c>
      <c r="E82" s="2" t="s">
        <v>138</v>
      </c>
      <c r="F82" s="2" t="s">
        <v>21</v>
      </c>
      <c r="G82" s="4" t="n">
        <v>56880</v>
      </c>
      <c r="H82" s="4" t="n">
        <v>0</v>
      </c>
      <c r="I82" s="4" t="n">
        <v>56880</v>
      </c>
      <c r="J82" s="2" t="s">
        <v>57</v>
      </c>
      <c r="K82" s="2" t="s">
        <v>23</v>
      </c>
      <c r="L82" s="2" t="s">
        <v>106</v>
      </c>
      <c r="M82" s="2" t="s">
        <v>107</v>
      </c>
      <c r="N82" s="2" t="s">
        <v>108</v>
      </c>
      <c r="O82" s="2" t="s">
        <v>230</v>
      </c>
      <c r="P82" s="4" t="n">
        <v>0</v>
      </c>
      <c r="Q82" s="2"/>
      <c r="R82" s="2"/>
      <c r="S82" s="2"/>
    </row>
    <row r="83" customFormat="false" ht="15" hidden="false" customHeight="false" outlineLevel="0" collapsed="false">
      <c r="A83" s="2" t="s">
        <v>231</v>
      </c>
      <c r="B83" s="2" t="n">
        <v>63</v>
      </c>
      <c r="C83" s="2" t="n">
        <v>2024</v>
      </c>
      <c r="D83" s="3" t="n">
        <v>45595</v>
      </c>
      <c r="E83" s="2" t="s">
        <v>232</v>
      </c>
      <c r="F83" s="2" t="s">
        <v>21</v>
      </c>
      <c r="G83" s="4" t="n">
        <v>42232</v>
      </c>
      <c r="H83" s="4" t="n">
        <v>0</v>
      </c>
      <c r="I83" s="4" t="n">
        <v>42232</v>
      </c>
      <c r="J83" s="2" t="s">
        <v>57</v>
      </c>
      <c r="K83" s="2" t="s">
        <v>58</v>
      </c>
      <c r="L83" s="2" t="s">
        <v>106</v>
      </c>
      <c r="M83" s="2" t="s">
        <v>107</v>
      </c>
      <c r="N83" s="2" t="s">
        <v>108</v>
      </c>
      <c r="O83" s="2" t="s">
        <v>233</v>
      </c>
      <c r="P83" s="4" t="n">
        <v>0</v>
      </c>
      <c r="Q83" s="2"/>
      <c r="R83" s="2"/>
      <c r="S83" s="2"/>
    </row>
    <row r="84" customFormat="false" ht="15" hidden="false" customHeight="false" outlineLevel="0" collapsed="false">
      <c r="A84" s="2" t="s">
        <v>234</v>
      </c>
      <c r="B84" s="2" t="n">
        <v>33</v>
      </c>
      <c r="C84" s="2" t="n">
        <v>2024</v>
      </c>
      <c r="D84" s="3" t="n">
        <v>45626</v>
      </c>
      <c r="E84" s="2" t="s">
        <v>138</v>
      </c>
      <c r="F84" s="2" t="s">
        <v>21</v>
      </c>
      <c r="G84" s="4" t="n">
        <v>0</v>
      </c>
      <c r="H84" s="4" t="n">
        <v>10257</v>
      </c>
      <c r="I84" s="4" t="n">
        <v>-10257</v>
      </c>
      <c r="J84" s="2" t="s">
        <v>22</v>
      </c>
      <c r="K84" s="2" t="s">
        <v>23</v>
      </c>
      <c r="L84" s="2" t="s">
        <v>106</v>
      </c>
      <c r="M84" s="2" t="s">
        <v>107</v>
      </c>
      <c r="N84" s="2" t="s">
        <v>108</v>
      </c>
      <c r="O84" s="2" t="s">
        <v>235</v>
      </c>
      <c r="P84" s="4" t="n">
        <v>0</v>
      </c>
      <c r="Q84" s="2"/>
      <c r="R84" s="2"/>
      <c r="S84" s="2"/>
    </row>
    <row r="85" customFormat="false" ht="15" hidden="false" customHeight="false" outlineLevel="0" collapsed="false">
      <c r="A85" s="2" t="s">
        <v>236</v>
      </c>
      <c r="B85" s="2" t="n">
        <v>36</v>
      </c>
      <c r="C85" s="2" t="n">
        <v>2024</v>
      </c>
      <c r="D85" s="3" t="n">
        <v>45626</v>
      </c>
      <c r="E85" s="2" t="s">
        <v>237</v>
      </c>
      <c r="F85" s="2" t="s">
        <v>21</v>
      </c>
      <c r="G85" s="4" t="n">
        <v>0</v>
      </c>
      <c r="H85" s="4" t="n">
        <v>12740</v>
      </c>
      <c r="I85" s="4" t="n">
        <v>-12740</v>
      </c>
      <c r="J85" s="2" t="s">
        <v>22</v>
      </c>
      <c r="K85" s="2" t="s">
        <v>71</v>
      </c>
      <c r="L85" s="2" t="s">
        <v>106</v>
      </c>
      <c r="M85" s="2" t="s">
        <v>107</v>
      </c>
      <c r="N85" s="2" t="s">
        <v>108</v>
      </c>
      <c r="O85" s="2" t="s">
        <v>238</v>
      </c>
      <c r="P85" s="4" t="n">
        <v>0</v>
      </c>
      <c r="Q85" s="2"/>
      <c r="R85" s="2"/>
      <c r="S85" s="2"/>
    </row>
    <row r="86" customFormat="false" ht="15" hidden="false" customHeight="false" outlineLevel="0" collapsed="false">
      <c r="A86" s="2" t="s">
        <v>239</v>
      </c>
      <c r="B86" s="2" t="n">
        <v>34</v>
      </c>
      <c r="C86" s="2" t="n">
        <v>2024</v>
      </c>
      <c r="D86" s="3" t="n">
        <v>45657</v>
      </c>
      <c r="E86" s="2" t="s">
        <v>240</v>
      </c>
      <c r="F86" s="2" t="s">
        <v>21</v>
      </c>
      <c r="G86" s="4" t="n">
        <v>0</v>
      </c>
      <c r="H86" s="4" t="n">
        <v>10257</v>
      </c>
      <c r="I86" s="4" t="n">
        <v>-10257</v>
      </c>
      <c r="J86" s="2" t="s">
        <v>22</v>
      </c>
      <c r="K86" s="2" t="s">
        <v>23</v>
      </c>
      <c r="L86" s="2" t="s">
        <v>106</v>
      </c>
      <c r="M86" s="2" t="s">
        <v>107</v>
      </c>
      <c r="N86" s="2" t="s">
        <v>108</v>
      </c>
      <c r="O86" s="2" t="s">
        <v>241</v>
      </c>
      <c r="P86" s="4" t="n">
        <v>0</v>
      </c>
      <c r="Q86" s="2"/>
      <c r="R86" s="2"/>
      <c r="S86" s="2"/>
    </row>
    <row r="87" customFormat="false" ht="15" hidden="false" customHeight="false" outlineLevel="0" collapsed="false">
      <c r="A87" s="2" t="s">
        <v>242</v>
      </c>
      <c r="B87" s="2" t="n">
        <v>37</v>
      </c>
      <c r="C87" s="2" t="n">
        <v>2024</v>
      </c>
      <c r="D87" s="3" t="n">
        <v>45657</v>
      </c>
      <c r="E87" s="2" t="s">
        <v>237</v>
      </c>
      <c r="F87" s="2" t="s">
        <v>21</v>
      </c>
      <c r="G87" s="4" t="n">
        <v>0</v>
      </c>
      <c r="H87" s="4" t="n">
        <v>12740</v>
      </c>
      <c r="I87" s="4" t="n">
        <v>-12740</v>
      </c>
      <c r="J87" s="2" t="s">
        <v>22</v>
      </c>
      <c r="K87" s="2" t="s">
        <v>71</v>
      </c>
      <c r="L87" s="2" t="s">
        <v>106</v>
      </c>
      <c r="M87" s="2" t="s">
        <v>107</v>
      </c>
      <c r="N87" s="2" t="s">
        <v>108</v>
      </c>
      <c r="O87" s="2" t="s">
        <v>243</v>
      </c>
      <c r="P87" s="4" t="n">
        <v>0</v>
      </c>
      <c r="Q87" s="2"/>
      <c r="R87" s="2"/>
      <c r="S87" s="2"/>
    </row>
    <row r="88" customFormat="false" ht="15" hidden="false" customHeight="false" outlineLevel="0" collapsed="false">
      <c r="A88" s="2" t="s">
        <v>244</v>
      </c>
      <c r="B88" s="2" t="n">
        <v>105</v>
      </c>
      <c r="C88" s="2" t="n">
        <v>2024</v>
      </c>
      <c r="D88" s="3" t="n">
        <v>45657</v>
      </c>
      <c r="E88" s="2" t="s">
        <v>237</v>
      </c>
      <c r="F88" s="2" t="s">
        <v>21</v>
      </c>
      <c r="G88" s="4" t="n">
        <v>75000</v>
      </c>
      <c r="H88" s="4" t="n">
        <v>0</v>
      </c>
      <c r="I88" s="4" t="n">
        <v>75000</v>
      </c>
      <c r="J88" s="2" t="s">
        <v>57</v>
      </c>
      <c r="K88" s="2" t="s">
        <v>71</v>
      </c>
      <c r="L88" s="2" t="s">
        <v>106</v>
      </c>
      <c r="M88" s="2" t="s">
        <v>107</v>
      </c>
      <c r="N88" s="2" t="s">
        <v>108</v>
      </c>
      <c r="O88" s="2" t="s">
        <v>245</v>
      </c>
      <c r="P88" s="4" t="n">
        <v>0</v>
      </c>
      <c r="Q88" s="2"/>
      <c r="R88" s="2"/>
      <c r="S88" s="2"/>
    </row>
    <row r="89" customFormat="false" ht="15" hidden="false" customHeight="false" outlineLevel="0" collapsed="false">
      <c r="A89" s="2" t="s">
        <v>246</v>
      </c>
      <c r="B89" s="2" t="n">
        <v>106</v>
      </c>
      <c r="C89" s="2" t="n">
        <v>2025</v>
      </c>
      <c r="D89" s="3" t="n">
        <v>45716</v>
      </c>
      <c r="E89" s="2" t="s">
        <v>247</v>
      </c>
      <c r="F89" s="2" t="s">
        <v>21</v>
      </c>
      <c r="G89" s="4" t="n">
        <v>0</v>
      </c>
      <c r="H89" s="4" t="n">
        <v>76653</v>
      </c>
      <c r="I89" s="4" t="n">
        <v>-76653</v>
      </c>
      <c r="J89" s="2" t="s">
        <v>22</v>
      </c>
      <c r="K89" s="2" t="s">
        <v>23</v>
      </c>
      <c r="L89" s="2" t="s">
        <v>106</v>
      </c>
      <c r="M89" s="2" t="s">
        <v>107</v>
      </c>
      <c r="N89" s="2" t="s">
        <v>108</v>
      </c>
      <c r="O89" s="2" t="s">
        <v>248</v>
      </c>
      <c r="P89" s="4" t="n">
        <v>0</v>
      </c>
      <c r="Q89" s="2"/>
      <c r="R89" s="2"/>
      <c r="S89" s="2"/>
    </row>
    <row r="90" customFormat="false" ht="15" hidden="false" customHeight="false" outlineLevel="0" collapsed="false">
      <c r="A90" s="2" t="s">
        <v>249</v>
      </c>
      <c r="B90" s="2" t="n">
        <v>107</v>
      </c>
      <c r="C90" s="2" t="n">
        <v>2025</v>
      </c>
      <c r="D90" s="3" t="n">
        <v>45716</v>
      </c>
      <c r="E90" s="2" t="s">
        <v>250</v>
      </c>
      <c r="F90" s="2" t="s">
        <v>21</v>
      </c>
      <c r="G90" s="4" t="n">
        <v>0</v>
      </c>
      <c r="H90" s="4" t="n">
        <v>76653</v>
      </c>
      <c r="I90" s="4" t="n">
        <v>-76653</v>
      </c>
      <c r="J90" s="2" t="s">
        <v>22</v>
      </c>
      <c r="K90" s="2" t="s">
        <v>23</v>
      </c>
      <c r="L90" s="2" t="s">
        <v>72</v>
      </c>
      <c r="M90" s="2" t="s">
        <v>73</v>
      </c>
      <c r="N90" s="2" t="s">
        <v>251</v>
      </c>
      <c r="O90" s="2" t="s">
        <v>252</v>
      </c>
      <c r="P90" s="4" t="n">
        <v>0</v>
      </c>
      <c r="Q90" s="2"/>
      <c r="R90" s="2"/>
      <c r="S90" s="2"/>
    </row>
    <row r="91" customFormat="false" ht="15" hidden="false" customHeight="false" outlineLevel="0" collapsed="false">
      <c r="A91" s="5" t="s">
        <v>253</v>
      </c>
      <c r="B91" s="5" t="n">
        <v>108</v>
      </c>
      <c r="C91" s="5" t="n">
        <v>2025</v>
      </c>
      <c r="D91" s="6" t="n">
        <v>45747</v>
      </c>
      <c r="E91" s="5" t="s">
        <v>254</v>
      </c>
      <c r="F91" s="5" t="s">
        <v>21</v>
      </c>
      <c r="G91" s="7" t="n">
        <v>0</v>
      </c>
      <c r="H91" s="7" t="n">
        <v>76653</v>
      </c>
      <c r="I91" s="7" t="n">
        <v>-76653</v>
      </c>
      <c r="J91" s="5" t="s">
        <v>22</v>
      </c>
      <c r="K91" s="5" t="s">
        <v>23</v>
      </c>
      <c r="L91" s="5" t="s">
        <v>255</v>
      </c>
      <c r="M91" s="5" t="s">
        <v>256</v>
      </c>
      <c r="N91" s="5" t="s">
        <v>108</v>
      </c>
      <c r="O91" s="5" t="s">
        <v>257</v>
      </c>
      <c r="P91" s="7" t="n">
        <v>-54653.86</v>
      </c>
      <c r="Q91" s="5" t="n">
        <v>456</v>
      </c>
      <c r="R91" s="5" t="s">
        <v>258</v>
      </c>
      <c r="S91" s="5" t="s">
        <v>259</v>
      </c>
    </row>
    <row r="92" customFormat="false" ht="15" hidden="false" customHeight="false" outlineLevel="0" collapsed="false">
      <c r="A92" s="2" t="s">
        <v>252</v>
      </c>
      <c r="B92" s="2" t="n">
        <v>109</v>
      </c>
      <c r="C92" s="2" t="n">
        <v>2025</v>
      </c>
      <c r="D92" s="3" t="n">
        <v>45747</v>
      </c>
      <c r="E92" s="2" t="s">
        <v>260</v>
      </c>
      <c r="F92" s="2" t="s">
        <v>21</v>
      </c>
      <c r="G92" s="4" t="n">
        <v>76653</v>
      </c>
      <c r="H92" s="4" t="n">
        <v>0</v>
      </c>
      <c r="I92" s="4" t="n">
        <v>76653</v>
      </c>
      <c r="J92" s="2" t="s">
        <v>57</v>
      </c>
      <c r="K92" s="2" t="s">
        <v>23</v>
      </c>
      <c r="L92" s="2" t="s">
        <v>72</v>
      </c>
      <c r="M92" s="2" t="s">
        <v>73</v>
      </c>
      <c r="N92" s="2" t="s">
        <v>251</v>
      </c>
      <c r="O92" s="2" t="s">
        <v>249</v>
      </c>
      <c r="P92" s="4" t="n">
        <v>0</v>
      </c>
      <c r="Q92" s="2"/>
      <c r="R92" s="2"/>
      <c r="S92" s="2" t="s">
        <v>28</v>
      </c>
    </row>
    <row r="93" customFormat="false" ht="15" hidden="false" customHeight="false" outlineLevel="0" collapsed="false">
      <c r="A93" s="5" t="s">
        <v>261</v>
      </c>
      <c r="B93" s="5" t="n">
        <v>110</v>
      </c>
      <c r="C93" s="5" t="n">
        <v>2025</v>
      </c>
      <c r="D93" s="6" t="n">
        <v>45777</v>
      </c>
      <c r="E93" s="5" t="s">
        <v>262</v>
      </c>
      <c r="F93" s="5" t="s">
        <v>21</v>
      </c>
      <c r="G93" s="7" t="n">
        <v>0</v>
      </c>
      <c r="H93" s="7" t="n">
        <v>76653</v>
      </c>
      <c r="I93" s="7" t="n">
        <v>-76653</v>
      </c>
      <c r="J93" s="5" t="s">
        <v>22</v>
      </c>
      <c r="K93" s="5" t="s">
        <v>23</v>
      </c>
      <c r="L93" s="5" t="s">
        <v>263</v>
      </c>
      <c r="M93" s="5" t="s">
        <v>256</v>
      </c>
      <c r="N93" s="5"/>
      <c r="O93" s="5"/>
      <c r="P93" s="7" t="n">
        <v>-76653</v>
      </c>
      <c r="Q93" s="5" t="n">
        <v>426</v>
      </c>
      <c r="R93" s="5" t="s">
        <v>258</v>
      </c>
      <c r="S93" s="5" t="s">
        <v>28</v>
      </c>
    </row>
    <row r="94" customFormat="false" ht="15" hidden="false" customHeight="false" outlineLevel="0" collapsed="false">
      <c r="A94" s="5" t="s">
        <v>264</v>
      </c>
      <c r="B94" s="5" t="n">
        <v>97</v>
      </c>
      <c r="C94" s="5" t="n">
        <v>2025</v>
      </c>
      <c r="D94" s="6" t="n">
        <v>45808</v>
      </c>
      <c r="E94" s="5" t="s">
        <v>265</v>
      </c>
      <c r="F94" s="5" t="s">
        <v>21</v>
      </c>
      <c r="G94" s="7" t="n">
        <v>0</v>
      </c>
      <c r="H94" s="7" t="n">
        <v>62406</v>
      </c>
      <c r="I94" s="7" t="n">
        <v>-62406</v>
      </c>
      <c r="J94" s="5" t="s">
        <v>22</v>
      </c>
      <c r="K94" s="5" t="s">
        <v>23</v>
      </c>
      <c r="L94" s="5" t="s">
        <v>263</v>
      </c>
      <c r="M94" s="5" t="s">
        <v>256</v>
      </c>
      <c r="N94" s="5"/>
      <c r="O94" s="5"/>
      <c r="P94" s="7" t="n">
        <v>-62406</v>
      </c>
      <c r="Q94" s="5" t="n">
        <v>395</v>
      </c>
      <c r="R94" s="5" t="s">
        <v>258</v>
      </c>
      <c r="S94" s="5"/>
    </row>
    <row r="95" customFormat="false" ht="15" hidden="false" customHeight="false" outlineLevel="0" collapsed="false">
      <c r="A95" s="5" t="s">
        <v>266</v>
      </c>
      <c r="B95" s="5" t="n">
        <v>22</v>
      </c>
      <c r="C95" s="5" t="n">
        <v>2025</v>
      </c>
      <c r="D95" s="6" t="n">
        <v>45809</v>
      </c>
      <c r="E95" s="5" t="s">
        <v>267</v>
      </c>
      <c r="F95" s="5" t="s">
        <v>21</v>
      </c>
      <c r="G95" s="7" t="n">
        <v>0</v>
      </c>
      <c r="H95" s="7" t="n">
        <v>1408</v>
      </c>
      <c r="I95" s="7" t="n">
        <v>-1408</v>
      </c>
      <c r="J95" s="5" t="s">
        <v>22</v>
      </c>
      <c r="K95" s="5" t="s">
        <v>23</v>
      </c>
      <c r="L95" s="5" t="s">
        <v>263</v>
      </c>
      <c r="M95" s="5" t="s">
        <v>256</v>
      </c>
      <c r="N95" s="5"/>
      <c r="O95" s="5"/>
      <c r="P95" s="7" t="n">
        <v>-1408</v>
      </c>
      <c r="Q95" s="5" t="n">
        <v>394</v>
      </c>
      <c r="R95" s="5" t="s">
        <v>258</v>
      </c>
      <c r="S95" s="5"/>
    </row>
    <row r="96" customFormat="false" ht="15" hidden="false" customHeight="false" outlineLevel="0" collapsed="false">
      <c r="A96" s="2" t="s">
        <v>268</v>
      </c>
      <c r="B96" s="2" t="n">
        <v>119</v>
      </c>
      <c r="C96" s="2" t="n">
        <v>2025</v>
      </c>
      <c r="D96" s="3" t="n">
        <v>45839</v>
      </c>
      <c r="E96" s="2" t="s">
        <v>269</v>
      </c>
      <c r="F96" s="2" t="s">
        <v>21</v>
      </c>
      <c r="G96" s="4" t="n">
        <v>350000</v>
      </c>
      <c r="H96" s="4" t="n">
        <v>0</v>
      </c>
      <c r="I96" s="4" t="n">
        <v>350000</v>
      </c>
      <c r="J96" s="2" t="s">
        <v>57</v>
      </c>
      <c r="K96" s="2" t="s">
        <v>71</v>
      </c>
      <c r="L96" s="2" t="s">
        <v>106</v>
      </c>
      <c r="M96" s="2" t="s">
        <v>107</v>
      </c>
      <c r="N96" s="2" t="s">
        <v>108</v>
      </c>
      <c r="O96" s="2" t="s">
        <v>270</v>
      </c>
      <c r="P96" s="4" t="n">
        <v>0</v>
      </c>
      <c r="Q96" s="2"/>
      <c r="R96" s="2"/>
      <c r="S96" s="2"/>
    </row>
    <row r="97" customFormat="false" ht="15" hidden="false" customHeight="false" outlineLevel="0" collapsed="false">
      <c r="A97" s="2" t="s">
        <v>271</v>
      </c>
      <c r="B97" s="2" t="n">
        <v>116</v>
      </c>
      <c r="C97" s="2" t="n">
        <v>2025</v>
      </c>
      <c r="D97" s="3" t="n">
        <v>46021</v>
      </c>
      <c r="E97" s="2" t="s">
        <v>272</v>
      </c>
      <c r="F97" s="2" t="s">
        <v>21</v>
      </c>
      <c r="G97" s="4" t="n">
        <v>225387.67</v>
      </c>
      <c r="H97" s="4" t="n">
        <v>0</v>
      </c>
      <c r="I97" s="4" t="n">
        <v>225387.67</v>
      </c>
      <c r="J97" s="2" t="s">
        <v>57</v>
      </c>
      <c r="K97" s="2" t="s">
        <v>58</v>
      </c>
      <c r="L97" s="2" t="s">
        <v>106</v>
      </c>
      <c r="M97" s="2" t="s">
        <v>107</v>
      </c>
      <c r="N97" s="2" t="s">
        <v>108</v>
      </c>
      <c r="O97" s="2" t="s">
        <v>273</v>
      </c>
      <c r="P97" s="4" t="n">
        <v>0</v>
      </c>
      <c r="Q97" s="2"/>
      <c r="R97" s="2"/>
      <c r="S97" s="2"/>
    </row>
    <row r="98" customFormat="false" ht="15" hidden="false" customHeight="false" outlineLevel="0" collapsed="false">
      <c r="A98" s="5" t="s">
        <v>274</v>
      </c>
      <c r="B98" s="5" t="n">
        <v>45</v>
      </c>
      <c r="C98" s="5" t="n">
        <v>2026</v>
      </c>
      <c r="D98" s="6" t="n">
        <v>46053</v>
      </c>
      <c r="E98" s="5" t="s">
        <v>275</v>
      </c>
      <c r="F98" s="5" t="s">
        <v>21</v>
      </c>
      <c r="G98" s="7" t="n">
        <v>0</v>
      </c>
      <c r="H98" s="7" t="n">
        <v>22757</v>
      </c>
      <c r="I98" s="7" t="n">
        <v>-22757</v>
      </c>
      <c r="J98" s="5" t="s">
        <v>22</v>
      </c>
      <c r="K98" s="5" t="s">
        <v>23</v>
      </c>
      <c r="L98" s="5" t="s">
        <v>263</v>
      </c>
      <c r="M98" s="5" t="s">
        <v>256</v>
      </c>
      <c r="N98" s="5"/>
      <c r="O98" s="5"/>
      <c r="P98" s="7" t="n">
        <v>-22757</v>
      </c>
      <c r="Q98" s="5" t="n">
        <v>150</v>
      </c>
      <c r="R98" s="5" t="s">
        <v>276</v>
      </c>
      <c r="S98" s="5"/>
    </row>
    <row r="99" customFormat="false" ht="15" hidden="false" customHeight="false" outlineLevel="0" collapsed="false">
      <c r="A99" s="5" t="s">
        <v>277</v>
      </c>
      <c r="B99" s="5" t="n">
        <v>46</v>
      </c>
      <c r="C99" s="5" t="n">
        <v>2026</v>
      </c>
      <c r="D99" s="6" t="n">
        <v>46081</v>
      </c>
      <c r="E99" s="5" t="s">
        <v>278</v>
      </c>
      <c r="F99" s="5" t="s">
        <v>21</v>
      </c>
      <c r="G99" s="7" t="n">
        <v>0</v>
      </c>
      <c r="H99" s="7" t="n">
        <v>22757</v>
      </c>
      <c r="I99" s="7" t="n">
        <v>-22757</v>
      </c>
      <c r="J99" s="5" t="s">
        <v>22</v>
      </c>
      <c r="K99" s="5" t="s">
        <v>23</v>
      </c>
      <c r="L99" s="5" t="s">
        <v>263</v>
      </c>
      <c r="M99" s="5" t="s">
        <v>256</v>
      </c>
      <c r="N99" s="5"/>
      <c r="O99" s="5"/>
      <c r="P99" s="7" t="n">
        <v>-22757</v>
      </c>
      <c r="Q99" s="5" t="n">
        <v>122</v>
      </c>
      <c r="R99" s="5" t="s">
        <v>276</v>
      </c>
      <c r="S99" s="5"/>
    </row>
    <row r="100" customFormat="false" ht="15" hidden="false" customHeight="false" outlineLevel="0" collapsed="false">
      <c r="A100" s="5" t="s">
        <v>279</v>
      </c>
      <c r="B100" s="5" t="n">
        <v>47</v>
      </c>
      <c r="C100" s="5" t="n">
        <v>2026</v>
      </c>
      <c r="D100" s="6" t="n">
        <v>46112</v>
      </c>
      <c r="E100" s="5" t="s">
        <v>280</v>
      </c>
      <c r="F100" s="5" t="s">
        <v>21</v>
      </c>
      <c r="G100" s="7" t="n">
        <v>0</v>
      </c>
      <c r="H100" s="7" t="n">
        <v>22757</v>
      </c>
      <c r="I100" s="7" t="n">
        <v>-22757</v>
      </c>
      <c r="J100" s="5" t="s">
        <v>22</v>
      </c>
      <c r="K100" s="5" t="s">
        <v>23</v>
      </c>
      <c r="L100" s="5" t="s">
        <v>263</v>
      </c>
      <c r="M100" s="5" t="s">
        <v>256</v>
      </c>
      <c r="N100" s="5"/>
      <c r="O100" s="5"/>
      <c r="P100" s="7" t="n">
        <v>-22757</v>
      </c>
      <c r="Q100" s="5" t="n">
        <v>91</v>
      </c>
      <c r="R100" s="5" t="s">
        <v>276</v>
      </c>
      <c r="S100" s="5"/>
    </row>
    <row r="101" customFormat="false" ht="15" hidden="false" customHeight="false" outlineLevel="0" collapsed="false">
      <c r="A101" s="2" t="s">
        <v>281</v>
      </c>
      <c r="B101" s="2" t="n">
        <v>24</v>
      </c>
      <c r="C101" s="2" t="n">
        <v>2026</v>
      </c>
      <c r="D101" s="3" t="n">
        <v>46142</v>
      </c>
      <c r="E101" s="2" t="s">
        <v>282</v>
      </c>
      <c r="F101" s="2" t="s">
        <v>163</v>
      </c>
      <c r="G101" s="4" t="n">
        <v>4427.88</v>
      </c>
      <c r="H101" s="4" t="n">
        <v>0</v>
      </c>
      <c r="I101" s="4" t="n">
        <v>4427.88</v>
      </c>
      <c r="J101" s="2" t="s">
        <v>57</v>
      </c>
      <c r="K101" s="2" t="s">
        <v>58</v>
      </c>
      <c r="L101" s="2" t="s">
        <v>106</v>
      </c>
      <c r="M101" s="2" t="s">
        <v>107</v>
      </c>
      <c r="N101" s="2" t="s">
        <v>108</v>
      </c>
      <c r="O101" s="2" t="s">
        <v>283</v>
      </c>
      <c r="P101" s="4" t="n">
        <v>0</v>
      </c>
      <c r="Q101" s="2"/>
      <c r="R101" s="2"/>
      <c r="S101" s="2"/>
    </row>
    <row r="102" customFormat="false" ht="15" hidden="false" customHeight="false" outlineLevel="0" collapsed="false">
      <c r="A102" s="8" t="s">
        <v>284</v>
      </c>
      <c r="B102" s="8" t="n">
        <v>26</v>
      </c>
      <c r="C102" s="8" t="n">
        <v>2026</v>
      </c>
      <c r="D102" s="9" t="n">
        <v>46142</v>
      </c>
      <c r="E102" s="8" t="s">
        <v>285</v>
      </c>
      <c r="F102" s="8" t="s">
        <v>286</v>
      </c>
      <c r="G102" s="10" t="n">
        <v>0</v>
      </c>
      <c r="H102" s="10" t="n">
        <v>6111.41</v>
      </c>
      <c r="I102" s="10" t="n">
        <v>-6111.41</v>
      </c>
      <c r="J102" s="8" t="s">
        <v>22</v>
      </c>
      <c r="K102" s="8" t="s">
        <v>58</v>
      </c>
      <c r="L102" s="8" t="s">
        <v>263</v>
      </c>
      <c r="M102" s="8" t="s">
        <v>256</v>
      </c>
      <c r="N102" s="8"/>
      <c r="O102" s="8"/>
      <c r="P102" s="10" t="n">
        <v>-6111.41</v>
      </c>
      <c r="Q102" s="8" t="n">
        <v>61</v>
      </c>
      <c r="R102" s="8" t="s">
        <v>287</v>
      </c>
      <c r="S102" s="8"/>
    </row>
    <row r="103" customFormat="false" ht="15" hidden="false" customHeight="false" outlineLevel="0" collapsed="false">
      <c r="A103" s="2" t="s">
        <v>288</v>
      </c>
      <c r="B103" s="2" t="n">
        <v>27</v>
      </c>
      <c r="C103" s="2" t="n">
        <v>2026</v>
      </c>
      <c r="D103" s="3" t="n">
        <v>46142</v>
      </c>
      <c r="E103" s="2" t="s">
        <v>282</v>
      </c>
      <c r="F103" s="2" t="s">
        <v>163</v>
      </c>
      <c r="G103" s="4" t="n">
        <v>7176.11</v>
      </c>
      <c r="H103" s="4" t="n">
        <v>0</v>
      </c>
      <c r="I103" s="4" t="n">
        <v>7176.11</v>
      </c>
      <c r="J103" s="2" t="s">
        <v>57</v>
      </c>
      <c r="K103" s="2" t="s">
        <v>58</v>
      </c>
      <c r="L103" s="2" t="s">
        <v>106</v>
      </c>
      <c r="M103" s="2" t="s">
        <v>107</v>
      </c>
      <c r="N103" s="2" t="s">
        <v>108</v>
      </c>
      <c r="O103" s="2" t="s">
        <v>289</v>
      </c>
      <c r="P103" s="4" t="n">
        <v>0</v>
      </c>
      <c r="Q103" s="2"/>
      <c r="R103" s="2"/>
      <c r="S103" s="2"/>
    </row>
    <row r="104" customFormat="false" ht="15" hidden="false" customHeight="false" outlineLevel="0" collapsed="false">
      <c r="A104" s="8" t="s">
        <v>290</v>
      </c>
      <c r="B104" s="8" t="n">
        <v>32</v>
      </c>
      <c r="C104" s="8" t="n">
        <v>2026</v>
      </c>
      <c r="D104" s="9" t="n">
        <v>46142</v>
      </c>
      <c r="E104" s="8" t="s">
        <v>285</v>
      </c>
      <c r="F104" s="8" t="s">
        <v>286</v>
      </c>
      <c r="G104" s="10" t="n">
        <v>0</v>
      </c>
      <c r="H104" s="10" t="n">
        <v>8769.49</v>
      </c>
      <c r="I104" s="10" t="n">
        <v>-8769.49</v>
      </c>
      <c r="J104" s="8" t="s">
        <v>22</v>
      </c>
      <c r="K104" s="8" t="s">
        <v>58</v>
      </c>
      <c r="L104" s="8" t="s">
        <v>263</v>
      </c>
      <c r="M104" s="8" t="s">
        <v>256</v>
      </c>
      <c r="N104" s="8"/>
      <c r="O104" s="8"/>
      <c r="P104" s="10" t="n">
        <v>-8769.49</v>
      </c>
      <c r="Q104" s="8" t="n">
        <v>61</v>
      </c>
      <c r="R104" s="8" t="s">
        <v>287</v>
      </c>
      <c r="S104" s="8"/>
    </row>
    <row r="105" customFormat="false" ht="15" hidden="false" customHeight="false" outlineLevel="0" collapsed="false">
      <c r="A105" s="8" t="s">
        <v>291</v>
      </c>
      <c r="B105" s="8" t="n">
        <v>42</v>
      </c>
      <c r="C105" s="8" t="n">
        <v>2026</v>
      </c>
      <c r="D105" s="9" t="n">
        <v>46142</v>
      </c>
      <c r="E105" s="8" t="s">
        <v>285</v>
      </c>
      <c r="F105" s="8" t="s">
        <v>286</v>
      </c>
      <c r="G105" s="10" t="n">
        <v>0</v>
      </c>
      <c r="H105" s="10" t="n">
        <v>20828.18</v>
      </c>
      <c r="I105" s="10" t="n">
        <v>-20828.18</v>
      </c>
      <c r="J105" s="8" t="s">
        <v>22</v>
      </c>
      <c r="K105" s="8" t="s">
        <v>58</v>
      </c>
      <c r="L105" s="8" t="s">
        <v>263</v>
      </c>
      <c r="M105" s="8" t="s">
        <v>256</v>
      </c>
      <c r="N105" s="8"/>
      <c r="O105" s="8"/>
      <c r="P105" s="10" t="n">
        <v>-20828.18</v>
      </c>
      <c r="Q105" s="8" t="n">
        <v>61</v>
      </c>
      <c r="R105" s="8" t="s">
        <v>287</v>
      </c>
      <c r="S105" s="8"/>
    </row>
    <row r="106" customFormat="false" ht="15" hidden="false" customHeight="false" outlineLevel="0" collapsed="false">
      <c r="A106" s="8" t="s">
        <v>292</v>
      </c>
      <c r="B106" s="8" t="n">
        <v>48</v>
      </c>
      <c r="C106" s="8" t="n">
        <v>2026</v>
      </c>
      <c r="D106" s="9" t="n">
        <v>46142</v>
      </c>
      <c r="E106" s="8" t="s">
        <v>293</v>
      </c>
      <c r="F106" s="8" t="s">
        <v>21</v>
      </c>
      <c r="G106" s="10" t="n">
        <v>0</v>
      </c>
      <c r="H106" s="10" t="n">
        <v>22757</v>
      </c>
      <c r="I106" s="10" t="n">
        <v>-22757</v>
      </c>
      <c r="J106" s="8" t="s">
        <v>22</v>
      </c>
      <c r="K106" s="8" t="s">
        <v>23</v>
      </c>
      <c r="L106" s="8" t="s">
        <v>263</v>
      </c>
      <c r="M106" s="8" t="s">
        <v>256</v>
      </c>
      <c r="N106" s="8"/>
      <c r="O106" s="8"/>
      <c r="P106" s="10" t="n">
        <v>-22757</v>
      </c>
      <c r="Q106" s="8" t="n">
        <v>61</v>
      </c>
      <c r="R106" s="8" t="s">
        <v>287</v>
      </c>
      <c r="S106" s="8"/>
    </row>
    <row r="107" customFormat="false" ht="15" hidden="false" customHeight="false" outlineLevel="0" collapsed="false">
      <c r="A107" s="2" t="s">
        <v>294</v>
      </c>
      <c r="B107" s="2" t="n">
        <v>81</v>
      </c>
      <c r="C107" s="2" t="n">
        <v>2026</v>
      </c>
      <c r="D107" s="3" t="n">
        <v>46142</v>
      </c>
      <c r="E107" s="2" t="s">
        <v>282</v>
      </c>
      <c r="F107" s="2" t="s">
        <v>173</v>
      </c>
      <c r="G107" s="4" t="n">
        <v>56492.33</v>
      </c>
      <c r="H107" s="4" t="n">
        <v>0</v>
      </c>
      <c r="I107" s="4" t="n">
        <v>56492.33</v>
      </c>
      <c r="J107" s="2" t="s">
        <v>57</v>
      </c>
      <c r="K107" s="2" t="s">
        <v>58</v>
      </c>
      <c r="L107" s="2" t="s">
        <v>106</v>
      </c>
      <c r="M107" s="2" t="s">
        <v>107</v>
      </c>
      <c r="N107" s="2" t="s">
        <v>108</v>
      </c>
      <c r="O107" s="2" t="s">
        <v>295</v>
      </c>
      <c r="P107" s="4" t="n">
        <v>0</v>
      </c>
      <c r="Q107" s="2"/>
      <c r="R107" s="2"/>
      <c r="S107" s="2"/>
    </row>
    <row r="108" customFormat="false" ht="15" hidden="false" customHeight="false" outlineLevel="0" collapsed="false">
      <c r="A108" s="8" t="s">
        <v>296</v>
      </c>
      <c r="B108" s="8" t="n">
        <v>43</v>
      </c>
      <c r="C108" s="8" t="n">
        <v>2026</v>
      </c>
      <c r="D108" s="9" t="n">
        <v>46173</v>
      </c>
      <c r="E108" s="8" t="s">
        <v>285</v>
      </c>
      <c r="F108" s="8" t="s">
        <v>286</v>
      </c>
      <c r="G108" s="10" t="n">
        <v>0</v>
      </c>
      <c r="H108" s="10" t="n">
        <v>20828.18</v>
      </c>
      <c r="I108" s="10" t="n">
        <v>-20828.18</v>
      </c>
      <c r="J108" s="8" t="s">
        <v>22</v>
      </c>
      <c r="K108" s="8" t="s">
        <v>58</v>
      </c>
      <c r="L108" s="8" t="s">
        <v>263</v>
      </c>
      <c r="M108" s="8" t="s">
        <v>256</v>
      </c>
      <c r="N108" s="8"/>
      <c r="O108" s="8"/>
      <c r="P108" s="10" t="n">
        <v>-20828.18</v>
      </c>
      <c r="Q108" s="8" t="n">
        <v>30</v>
      </c>
      <c r="R108" s="8" t="s">
        <v>297</v>
      </c>
      <c r="S108" s="8"/>
    </row>
    <row r="109" customFormat="false" ht="15" hidden="false" customHeight="false" outlineLevel="0" collapsed="false">
      <c r="A109" s="8" t="s">
        <v>298</v>
      </c>
      <c r="B109" s="8" t="n">
        <v>49</v>
      </c>
      <c r="C109" s="8" t="n">
        <v>2026</v>
      </c>
      <c r="D109" s="9" t="n">
        <v>46173</v>
      </c>
      <c r="E109" s="8" t="s">
        <v>299</v>
      </c>
      <c r="F109" s="8" t="s">
        <v>21</v>
      </c>
      <c r="G109" s="10" t="n">
        <v>0</v>
      </c>
      <c r="H109" s="10" t="n">
        <v>22757</v>
      </c>
      <c r="I109" s="10" t="n">
        <v>-22757</v>
      </c>
      <c r="J109" s="8" t="s">
        <v>22</v>
      </c>
      <c r="K109" s="8" t="s">
        <v>23</v>
      </c>
      <c r="L109" s="8" t="s">
        <v>263</v>
      </c>
      <c r="M109" s="8" t="s">
        <v>256</v>
      </c>
      <c r="N109" s="8"/>
      <c r="O109" s="8"/>
      <c r="P109" s="10" t="n">
        <v>-22757</v>
      </c>
      <c r="Q109" s="8" t="n">
        <v>30</v>
      </c>
      <c r="R109" s="8" t="s">
        <v>297</v>
      </c>
      <c r="S109" s="8"/>
    </row>
    <row r="110" customFormat="false" ht="15" hidden="false" customHeight="false" outlineLevel="0" collapsed="false">
      <c r="A110" s="2" t="s">
        <v>300</v>
      </c>
      <c r="B110" s="2" t="n">
        <v>56</v>
      </c>
      <c r="C110" s="2" t="n">
        <v>2026</v>
      </c>
      <c r="D110" s="3" t="n">
        <v>46173</v>
      </c>
      <c r="E110" s="2" t="s">
        <v>282</v>
      </c>
      <c r="F110" s="2" t="s">
        <v>173</v>
      </c>
      <c r="G110" s="4" t="n">
        <v>27244.78</v>
      </c>
      <c r="H110" s="4" t="n">
        <v>0</v>
      </c>
      <c r="I110" s="4" t="n">
        <v>27244.78</v>
      </c>
      <c r="J110" s="2" t="s">
        <v>57</v>
      </c>
      <c r="K110" s="2" t="s">
        <v>58</v>
      </c>
      <c r="L110" s="2" t="s">
        <v>106</v>
      </c>
      <c r="M110" s="2" t="s">
        <v>107</v>
      </c>
      <c r="N110" s="2" t="s">
        <v>108</v>
      </c>
      <c r="O110" s="2" t="s">
        <v>301</v>
      </c>
      <c r="P110" s="4" t="n">
        <v>0</v>
      </c>
      <c r="Q110" s="2"/>
      <c r="R110" s="2"/>
      <c r="S110" s="2"/>
    </row>
    <row r="111" customFormat="false" ht="15" hidden="false" customHeight="false" outlineLevel="0" collapsed="false">
      <c r="A111" s="8" t="s">
        <v>302</v>
      </c>
      <c r="B111" s="8" t="n">
        <v>23</v>
      </c>
      <c r="C111" s="8" t="n">
        <v>2026</v>
      </c>
      <c r="D111" s="9" t="n">
        <v>46203</v>
      </c>
      <c r="E111" s="8" t="s">
        <v>303</v>
      </c>
      <c r="F111" s="8" t="s">
        <v>286</v>
      </c>
      <c r="G111" s="10" t="n">
        <v>0</v>
      </c>
      <c r="H111" s="10" t="n">
        <v>4159.93</v>
      </c>
      <c r="I111" s="10" t="n">
        <v>-4159.93</v>
      </c>
      <c r="J111" s="8" t="s">
        <v>22</v>
      </c>
      <c r="K111" s="8" t="s">
        <v>304</v>
      </c>
      <c r="L111" s="8" t="s">
        <v>263</v>
      </c>
      <c r="M111" s="8" t="s">
        <v>256</v>
      </c>
      <c r="N111" s="8"/>
      <c r="O111" s="8"/>
      <c r="P111" s="10" t="n">
        <v>-4159.93</v>
      </c>
      <c r="Q111" s="8" t="n">
        <v>0</v>
      </c>
      <c r="R111" s="8" t="s">
        <v>297</v>
      </c>
      <c r="S111" s="8"/>
    </row>
    <row r="112" customFormat="false" ht="15" hidden="false" customHeight="false" outlineLevel="0" collapsed="false">
      <c r="A112" s="2" t="s">
        <v>305</v>
      </c>
      <c r="B112" s="2" t="n">
        <v>25</v>
      </c>
      <c r="C112" s="2" t="n">
        <v>2026</v>
      </c>
      <c r="D112" s="3" t="n">
        <v>46203</v>
      </c>
      <c r="E112" s="2" t="s">
        <v>306</v>
      </c>
      <c r="F112" s="2" t="s">
        <v>163</v>
      </c>
      <c r="G112" s="4" t="n">
        <v>5737.83</v>
      </c>
      <c r="H112" s="4" t="n">
        <v>0</v>
      </c>
      <c r="I112" s="4" t="n">
        <v>5737.83</v>
      </c>
      <c r="J112" s="2" t="s">
        <v>57</v>
      </c>
      <c r="K112" s="2" t="s">
        <v>304</v>
      </c>
      <c r="L112" s="2" t="s">
        <v>106</v>
      </c>
      <c r="M112" s="2" t="s">
        <v>107</v>
      </c>
      <c r="N112" s="2" t="s">
        <v>108</v>
      </c>
      <c r="O112" s="2" t="s">
        <v>307</v>
      </c>
      <c r="P112" s="4" t="n">
        <v>0</v>
      </c>
      <c r="Q112" s="2"/>
      <c r="R112" s="2"/>
      <c r="S112" s="2"/>
    </row>
    <row r="113" customFormat="false" ht="15" hidden="false" customHeight="false" outlineLevel="0" collapsed="false">
      <c r="A113" s="8" t="s">
        <v>308</v>
      </c>
      <c r="B113" s="8" t="n">
        <v>50</v>
      </c>
      <c r="C113" s="8" t="n">
        <v>2026</v>
      </c>
      <c r="D113" s="9" t="n">
        <v>46203</v>
      </c>
      <c r="E113" s="8" t="s">
        <v>309</v>
      </c>
      <c r="F113" s="8" t="s">
        <v>21</v>
      </c>
      <c r="G113" s="10" t="n">
        <v>0</v>
      </c>
      <c r="H113" s="10" t="n">
        <v>22757</v>
      </c>
      <c r="I113" s="10" t="n">
        <v>-22757</v>
      </c>
      <c r="J113" s="8" t="s">
        <v>22</v>
      </c>
      <c r="K113" s="8" t="s">
        <v>23</v>
      </c>
      <c r="L113" s="8" t="s">
        <v>263</v>
      </c>
      <c r="M113" s="8" t="s">
        <v>256</v>
      </c>
      <c r="N113" s="8"/>
      <c r="O113" s="8"/>
      <c r="P113" s="10" t="n">
        <v>-22757</v>
      </c>
      <c r="Q113" s="8" t="n">
        <v>0</v>
      </c>
      <c r="R113" s="8" t="s">
        <v>297</v>
      </c>
      <c r="S113" s="8"/>
    </row>
    <row r="114" customFormat="false" ht="15" hidden="false" customHeight="false" outlineLevel="0" collapsed="false">
      <c r="A114" s="8" t="s">
        <v>310</v>
      </c>
      <c r="B114" s="8" t="n">
        <v>60</v>
      </c>
      <c r="C114" s="8" t="n">
        <v>2026</v>
      </c>
      <c r="D114" s="9" t="n">
        <v>46203</v>
      </c>
      <c r="E114" s="8" t="s">
        <v>303</v>
      </c>
      <c r="F114" s="8" t="s">
        <v>286</v>
      </c>
      <c r="G114" s="10" t="n">
        <v>0</v>
      </c>
      <c r="H114" s="10" t="n">
        <v>33571.79</v>
      </c>
      <c r="I114" s="10" t="n">
        <v>-33571.79</v>
      </c>
      <c r="J114" s="8" t="s">
        <v>22</v>
      </c>
      <c r="K114" s="8" t="s">
        <v>304</v>
      </c>
      <c r="L114" s="8" t="s">
        <v>263</v>
      </c>
      <c r="M114" s="8" t="s">
        <v>256</v>
      </c>
      <c r="N114" s="8"/>
      <c r="O114" s="8"/>
      <c r="P114" s="10" t="n">
        <v>-33571.79</v>
      </c>
      <c r="Q114" s="8" t="n">
        <v>0</v>
      </c>
      <c r="R114" s="8" t="s">
        <v>297</v>
      </c>
      <c r="S114" s="8"/>
    </row>
    <row r="115" customFormat="false" ht="15" hidden="false" customHeight="false" outlineLevel="0" collapsed="false">
      <c r="A115" s="2" t="s">
        <v>311</v>
      </c>
      <c r="B115" s="2" t="n">
        <v>64</v>
      </c>
      <c r="C115" s="2" t="n">
        <v>2026</v>
      </c>
      <c r="D115" s="3" t="n">
        <v>46203</v>
      </c>
      <c r="E115" s="2" t="s">
        <v>306</v>
      </c>
      <c r="F115" s="2" t="s">
        <v>173</v>
      </c>
      <c r="G115" s="4" t="n">
        <v>44468.54</v>
      </c>
      <c r="H115" s="4" t="n">
        <v>0</v>
      </c>
      <c r="I115" s="4" t="n">
        <v>44468.54</v>
      </c>
      <c r="J115" s="2" t="s">
        <v>57</v>
      </c>
      <c r="K115" s="2" t="s">
        <v>304</v>
      </c>
      <c r="L115" s="2" t="s">
        <v>106</v>
      </c>
      <c r="M115" s="2" t="s">
        <v>107</v>
      </c>
      <c r="N115" s="2" t="s">
        <v>108</v>
      </c>
      <c r="O115" s="2" t="s">
        <v>312</v>
      </c>
      <c r="P115" s="4" t="n">
        <v>0</v>
      </c>
      <c r="Q115" s="2"/>
      <c r="R115" s="2"/>
      <c r="S115" s="2"/>
    </row>
    <row r="116" customFormat="false" ht="15" hidden="false" customHeight="false" outlineLevel="0" collapsed="false">
      <c r="A116" s="11" t="s">
        <v>313</v>
      </c>
      <c r="G116" s="12" t="n">
        <f aca="false">SUBTOTAL(9,G2:G115)</f>
        <v>2837964.51</v>
      </c>
      <c r="H116" s="12" t="n">
        <f aca="false">SUBTOTAL(9,H2:H115)</f>
        <v>3263896.35</v>
      </c>
      <c r="I116" s="12" t="n">
        <f aca="false">SUBTOTAL(9,I2:I115)</f>
        <v>-425931.84</v>
      </c>
      <c r="P116" s="12" t="n">
        <f aca="false">SUBTOTAL(9,P2:P115)</f>
        <v>-425931.84</v>
      </c>
    </row>
  </sheetData>
  <autoFilter ref="A1:S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2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</row>
    <row r="2" customFormat="false" ht="15" hidden="false" customHeight="false" outlineLevel="0" collapsed="false">
      <c r="A2" s="13" t="n">
        <v>2021</v>
      </c>
      <c r="B2" s="14" t="n">
        <v>324000</v>
      </c>
      <c r="C2" s="14" t="n">
        <v>324000</v>
      </c>
      <c r="D2" s="14" t="n">
        <v>0</v>
      </c>
      <c r="E2" s="14" t="n">
        <v>0</v>
      </c>
      <c r="F2" s="15" t="n">
        <v>1</v>
      </c>
    </row>
    <row r="3" customFormat="false" ht="15" hidden="false" customHeight="false" outlineLevel="0" collapsed="false">
      <c r="A3" s="13" t="n">
        <v>2022</v>
      </c>
      <c r="B3" s="14" t="n">
        <v>613132</v>
      </c>
      <c r="C3" s="14" t="n">
        <v>613132</v>
      </c>
      <c r="D3" s="14" t="n">
        <v>0</v>
      </c>
      <c r="E3" s="14" t="n">
        <v>0</v>
      </c>
      <c r="F3" s="15" t="n">
        <v>1</v>
      </c>
    </row>
    <row r="4" customFormat="false" ht="15" hidden="false" customHeight="false" outlineLevel="0" collapsed="false">
      <c r="A4" s="13" t="n">
        <v>2023</v>
      </c>
      <c r="B4" s="14" t="n">
        <v>566394</v>
      </c>
      <c r="C4" s="14" t="n">
        <v>224171</v>
      </c>
      <c r="D4" s="14" t="n">
        <v>-342223</v>
      </c>
      <c r="E4" s="14" t="n">
        <v>0</v>
      </c>
      <c r="F4" s="15" t="n">
        <v>1</v>
      </c>
    </row>
    <row r="5" customFormat="false" ht="15" hidden="false" customHeight="false" outlineLevel="0" collapsed="false">
      <c r="A5" s="13" t="n">
        <v>2024</v>
      </c>
      <c r="B5" s="14" t="n">
        <v>1159133.37</v>
      </c>
      <c r="C5" s="14" t="n">
        <v>879073.37</v>
      </c>
      <c r="D5" s="14" t="n">
        <v>-280060</v>
      </c>
      <c r="E5" s="14" t="n">
        <v>0</v>
      </c>
      <c r="F5" s="15" t="n">
        <v>1</v>
      </c>
    </row>
    <row r="6" customFormat="false" ht="15" hidden="false" customHeight="false" outlineLevel="0" collapsed="false">
      <c r="A6" s="13" t="n">
        <v>2025</v>
      </c>
      <c r="B6" s="14" t="n">
        <v>370426</v>
      </c>
      <c r="C6" s="14" t="n">
        <v>652040.67</v>
      </c>
      <c r="D6" s="14" t="n">
        <v>281614.67</v>
      </c>
      <c r="E6" s="14" t="n">
        <v>-195120.86</v>
      </c>
      <c r="F6" s="15" t="n">
        <v>0.809</v>
      </c>
    </row>
    <row r="7" customFormat="false" ht="15" hidden="false" customHeight="false" outlineLevel="0" collapsed="false">
      <c r="A7" s="13" t="n">
        <v>2026</v>
      </c>
      <c r="B7" s="14" t="n">
        <v>230810.98</v>
      </c>
      <c r="C7" s="14" t="n">
        <v>145547.47</v>
      </c>
      <c r="D7" s="14" t="n">
        <v>-85263.51</v>
      </c>
      <c r="E7" s="14" t="n">
        <v>-230810.98</v>
      </c>
      <c r="F7" s="15" t="n">
        <v>0.387</v>
      </c>
    </row>
    <row r="8" customFormat="false" ht="15" hidden="false" customHeight="false" outlineLevel="0" collapsed="false">
      <c r="A8" s="11" t="s">
        <v>313</v>
      </c>
      <c r="B8" s="12" t="n">
        <f aca="false">SUM(B2:B7)</f>
        <v>3263896.35</v>
      </c>
      <c r="C8" s="12" t="n">
        <f aca="false">SUM(C2:C7)</f>
        <v>2837964.51</v>
      </c>
      <c r="D8" s="12" t="n">
        <f aca="false">SUM(D2:D7)</f>
        <v>-425931.84</v>
      </c>
      <c r="E8" s="12" t="n">
        <f aca="false">SUM(E2:E7)</f>
        <v>-425931.84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1.5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15</v>
      </c>
      <c r="H1" s="1" t="s">
        <v>11</v>
      </c>
      <c r="I1" s="1" t="s">
        <v>16</v>
      </c>
      <c r="J1" s="1" t="s">
        <v>17</v>
      </c>
    </row>
    <row r="2" customFormat="false" ht="15" hidden="false" customHeight="false" outlineLevel="0" collapsed="false">
      <c r="A2" s="13" t="s">
        <v>253</v>
      </c>
      <c r="B2" s="13" t="n">
        <v>2025</v>
      </c>
      <c r="C2" s="16" t="n">
        <v>45747</v>
      </c>
      <c r="D2" s="13" t="s">
        <v>254</v>
      </c>
      <c r="E2" s="13" t="s">
        <v>21</v>
      </c>
      <c r="F2" s="14" t="n">
        <v>-76653</v>
      </c>
      <c r="G2" s="14" t="n">
        <v>-54653.86</v>
      </c>
      <c r="H2" s="13" t="s">
        <v>255</v>
      </c>
      <c r="I2" s="13" t="n">
        <v>456</v>
      </c>
      <c r="J2" s="13" t="s">
        <v>258</v>
      </c>
    </row>
    <row r="3" customFormat="false" ht="15" hidden="false" customHeight="false" outlineLevel="0" collapsed="false">
      <c r="A3" s="13" t="s">
        <v>261</v>
      </c>
      <c r="B3" s="13" t="n">
        <v>2025</v>
      </c>
      <c r="C3" s="16" t="n">
        <v>45777</v>
      </c>
      <c r="D3" s="13" t="s">
        <v>262</v>
      </c>
      <c r="E3" s="13" t="s">
        <v>21</v>
      </c>
      <c r="F3" s="14" t="n">
        <v>-76653</v>
      </c>
      <c r="G3" s="14" t="n">
        <v>-76653</v>
      </c>
      <c r="H3" s="13" t="s">
        <v>263</v>
      </c>
      <c r="I3" s="13" t="n">
        <v>426</v>
      </c>
      <c r="J3" s="13" t="s">
        <v>258</v>
      </c>
    </row>
    <row r="4" customFormat="false" ht="15" hidden="false" customHeight="false" outlineLevel="0" collapsed="false">
      <c r="A4" s="13" t="s">
        <v>264</v>
      </c>
      <c r="B4" s="13" t="n">
        <v>2025</v>
      </c>
      <c r="C4" s="16" t="n">
        <v>45808</v>
      </c>
      <c r="D4" s="13" t="s">
        <v>265</v>
      </c>
      <c r="E4" s="13" t="s">
        <v>21</v>
      </c>
      <c r="F4" s="14" t="n">
        <v>-62406</v>
      </c>
      <c r="G4" s="14" t="n">
        <v>-62406</v>
      </c>
      <c r="H4" s="13" t="s">
        <v>263</v>
      </c>
      <c r="I4" s="13" t="n">
        <v>395</v>
      </c>
      <c r="J4" s="13" t="s">
        <v>258</v>
      </c>
    </row>
    <row r="5" customFormat="false" ht="15" hidden="false" customHeight="false" outlineLevel="0" collapsed="false">
      <c r="A5" s="13" t="s">
        <v>266</v>
      </c>
      <c r="B5" s="13" t="n">
        <v>2025</v>
      </c>
      <c r="C5" s="16" t="n">
        <v>45809</v>
      </c>
      <c r="D5" s="13" t="s">
        <v>267</v>
      </c>
      <c r="E5" s="13" t="s">
        <v>21</v>
      </c>
      <c r="F5" s="14" t="n">
        <v>-1408</v>
      </c>
      <c r="G5" s="14" t="n">
        <v>-1408</v>
      </c>
      <c r="H5" s="13" t="s">
        <v>263</v>
      </c>
      <c r="I5" s="13" t="n">
        <v>394</v>
      </c>
      <c r="J5" s="13" t="s">
        <v>258</v>
      </c>
    </row>
    <row r="6" customFormat="false" ht="15" hidden="false" customHeight="false" outlineLevel="0" collapsed="false">
      <c r="A6" s="13" t="s">
        <v>274</v>
      </c>
      <c r="B6" s="13" t="n">
        <v>2026</v>
      </c>
      <c r="C6" s="16" t="n">
        <v>46053</v>
      </c>
      <c r="D6" s="13" t="s">
        <v>275</v>
      </c>
      <c r="E6" s="13" t="s">
        <v>21</v>
      </c>
      <c r="F6" s="14" t="n">
        <v>-22757</v>
      </c>
      <c r="G6" s="14" t="n">
        <v>-22757</v>
      </c>
      <c r="H6" s="13" t="s">
        <v>263</v>
      </c>
      <c r="I6" s="13" t="n">
        <v>150</v>
      </c>
      <c r="J6" s="13" t="s">
        <v>276</v>
      </c>
    </row>
    <row r="7" customFormat="false" ht="15" hidden="false" customHeight="false" outlineLevel="0" collapsed="false">
      <c r="A7" s="13" t="s">
        <v>277</v>
      </c>
      <c r="B7" s="13" t="n">
        <v>2026</v>
      </c>
      <c r="C7" s="16" t="n">
        <v>46081</v>
      </c>
      <c r="D7" s="13" t="s">
        <v>278</v>
      </c>
      <c r="E7" s="13" t="s">
        <v>21</v>
      </c>
      <c r="F7" s="14" t="n">
        <v>-22757</v>
      </c>
      <c r="G7" s="14" t="n">
        <v>-22757</v>
      </c>
      <c r="H7" s="13" t="s">
        <v>263</v>
      </c>
      <c r="I7" s="13" t="n">
        <v>122</v>
      </c>
      <c r="J7" s="13" t="s">
        <v>276</v>
      </c>
    </row>
    <row r="8" customFormat="false" ht="15" hidden="false" customHeight="false" outlineLevel="0" collapsed="false">
      <c r="A8" s="13" t="s">
        <v>279</v>
      </c>
      <c r="B8" s="13" t="n">
        <v>2026</v>
      </c>
      <c r="C8" s="16" t="n">
        <v>46112</v>
      </c>
      <c r="D8" s="13" t="s">
        <v>280</v>
      </c>
      <c r="E8" s="13" t="s">
        <v>21</v>
      </c>
      <c r="F8" s="14" t="n">
        <v>-22757</v>
      </c>
      <c r="G8" s="14" t="n">
        <v>-22757</v>
      </c>
      <c r="H8" s="13" t="s">
        <v>263</v>
      </c>
      <c r="I8" s="13" t="n">
        <v>91</v>
      </c>
      <c r="J8" s="13" t="s">
        <v>276</v>
      </c>
    </row>
    <row r="9" customFormat="false" ht="15" hidden="false" customHeight="false" outlineLevel="0" collapsed="false">
      <c r="A9" s="13" t="s">
        <v>284</v>
      </c>
      <c r="B9" s="13" t="n">
        <v>2026</v>
      </c>
      <c r="C9" s="16" t="n">
        <v>46142</v>
      </c>
      <c r="D9" s="13" t="s">
        <v>285</v>
      </c>
      <c r="E9" s="13" t="s">
        <v>286</v>
      </c>
      <c r="F9" s="14" t="n">
        <v>-6111.41</v>
      </c>
      <c r="G9" s="14" t="n">
        <v>-6111.41</v>
      </c>
      <c r="H9" s="13" t="s">
        <v>263</v>
      </c>
      <c r="I9" s="13" t="n">
        <v>61</v>
      </c>
      <c r="J9" s="13" t="s">
        <v>287</v>
      </c>
    </row>
    <row r="10" customFormat="false" ht="15" hidden="false" customHeight="false" outlineLevel="0" collapsed="false">
      <c r="A10" s="13" t="s">
        <v>292</v>
      </c>
      <c r="B10" s="13" t="n">
        <v>2026</v>
      </c>
      <c r="C10" s="16" t="n">
        <v>46142</v>
      </c>
      <c r="D10" s="13" t="s">
        <v>293</v>
      </c>
      <c r="E10" s="13" t="s">
        <v>21</v>
      </c>
      <c r="F10" s="14" t="n">
        <v>-22757</v>
      </c>
      <c r="G10" s="14" t="n">
        <v>-22757</v>
      </c>
      <c r="H10" s="13" t="s">
        <v>263</v>
      </c>
      <c r="I10" s="13" t="n">
        <v>61</v>
      </c>
      <c r="J10" s="13" t="s">
        <v>287</v>
      </c>
    </row>
    <row r="11" customFormat="false" ht="15" hidden="false" customHeight="false" outlineLevel="0" collapsed="false">
      <c r="A11" s="13" t="s">
        <v>291</v>
      </c>
      <c r="B11" s="13" t="n">
        <v>2026</v>
      </c>
      <c r="C11" s="16" t="n">
        <v>46142</v>
      </c>
      <c r="D11" s="13" t="s">
        <v>285</v>
      </c>
      <c r="E11" s="13" t="s">
        <v>286</v>
      </c>
      <c r="F11" s="14" t="n">
        <v>-20828.18</v>
      </c>
      <c r="G11" s="14" t="n">
        <v>-20828.18</v>
      </c>
      <c r="H11" s="13" t="s">
        <v>263</v>
      </c>
      <c r="I11" s="13" t="n">
        <v>61</v>
      </c>
      <c r="J11" s="13" t="s">
        <v>287</v>
      </c>
    </row>
    <row r="12" customFormat="false" ht="15" hidden="false" customHeight="false" outlineLevel="0" collapsed="false">
      <c r="A12" s="13" t="s">
        <v>290</v>
      </c>
      <c r="B12" s="13" t="n">
        <v>2026</v>
      </c>
      <c r="C12" s="16" t="n">
        <v>46142</v>
      </c>
      <c r="D12" s="13" t="s">
        <v>285</v>
      </c>
      <c r="E12" s="13" t="s">
        <v>286</v>
      </c>
      <c r="F12" s="14" t="n">
        <v>-8769.49</v>
      </c>
      <c r="G12" s="14" t="n">
        <v>-8769.49</v>
      </c>
      <c r="H12" s="13" t="s">
        <v>263</v>
      </c>
      <c r="I12" s="13" t="n">
        <v>61</v>
      </c>
      <c r="J12" s="13" t="s">
        <v>287</v>
      </c>
    </row>
    <row r="13" customFormat="false" ht="15" hidden="false" customHeight="false" outlineLevel="0" collapsed="false">
      <c r="A13" s="13" t="s">
        <v>296</v>
      </c>
      <c r="B13" s="13" t="n">
        <v>2026</v>
      </c>
      <c r="C13" s="16" t="n">
        <v>46173</v>
      </c>
      <c r="D13" s="13" t="s">
        <v>285</v>
      </c>
      <c r="E13" s="13" t="s">
        <v>286</v>
      </c>
      <c r="F13" s="14" t="n">
        <v>-20828.18</v>
      </c>
      <c r="G13" s="14" t="n">
        <v>-20828.18</v>
      </c>
      <c r="H13" s="13" t="s">
        <v>263</v>
      </c>
      <c r="I13" s="13" t="n">
        <v>30</v>
      </c>
      <c r="J13" s="13" t="s">
        <v>297</v>
      </c>
    </row>
    <row r="14" customFormat="false" ht="15" hidden="false" customHeight="false" outlineLevel="0" collapsed="false">
      <c r="A14" s="13" t="s">
        <v>298</v>
      </c>
      <c r="B14" s="13" t="n">
        <v>2026</v>
      </c>
      <c r="C14" s="16" t="n">
        <v>46173</v>
      </c>
      <c r="D14" s="13" t="s">
        <v>299</v>
      </c>
      <c r="E14" s="13" t="s">
        <v>21</v>
      </c>
      <c r="F14" s="14" t="n">
        <v>-22757</v>
      </c>
      <c r="G14" s="14" t="n">
        <v>-22757</v>
      </c>
      <c r="H14" s="13" t="s">
        <v>263</v>
      </c>
      <c r="I14" s="13" t="n">
        <v>30</v>
      </c>
      <c r="J14" s="13" t="s">
        <v>297</v>
      </c>
    </row>
    <row r="15" customFormat="false" ht="15" hidden="false" customHeight="false" outlineLevel="0" collapsed="false">
      <c r="A15" s="13" t="s">
        <v>302</v>
      </c>
      <c r="B15" s="13" t="n">
        <v>2026</v>
      </c>
      <c r="C15" s="16" t="n">
        <v>46203</v>
      </c>
      <c r="D15" s="13" t="s">
        <v>303</v>
      </c>
      <c r="E15" s="13" t="s">
        <v>286</v>
      </c>
      <c r="F15" s="14" t="n">
        <v>-4159.93</v>
      </c>
      <c r="G15" s="14" t="n">
        <v>-4159.93</v>
      </c>
      <c r="H15" s="13" t="s">
        <v>263</v>
      </c>
      <c r="I15" s="13" t="n">
        <v>0</v>
      </c>
      <c r="J15" s="13" t="s">
        <v>297</v>
      </c>
    </row>
    <row r="16" customFormat="false" ht="15" hidden="false" customHeight="false" outlineLevel="0" collapsed="false">
      <c r="A16" s="13" t="s">
        <v>308</v>
      </c>
      <c r="B16" s="13" t="n">
        <v>2026</v>
      </c>
      <c r="C16" s="16" t="n">
        <v>46203</v>
      </c>
      <c r="D16" s="13" t="s">
        <v>309</v>
      </c>
      <c r="E16" s="13" t="s">
        <v>21</v>
      </c>
      <c r="F16" s="14" t="n">
        <v>-22757</v>
      </c>
      <c r="G16" s="14" t="n">
        <v>-22757</v>
      </c>
      <c r="H16" s="13" t="s">
        <v>263</v>
      </c>
      <c r="I16" s="13" t="n">
        <v>0</v>
      </c>
      <c r="J16" s="13" t="s">
        <v>297</v>
      </c>
    </row>
    <row r="17" customFormat="false" ht="15" hidden="false" customHeight="false" outlineLevel="0" collapsed="false">
      <c r="A17" s="13" t="s">
        <v>310</v>
      </c>
      <c r="B17" s="13" t="n">
        <v>2026</v>
      </c>
      <c r="C17" s="16" t="n">
        <v>46203</v>
      </c>
      <c r="D17" s="13" t="s">
        <v>303</v>
      </c>
      <c r="E17" s="13" t="s">
        <v>286</v>
      </c>
      <c r="F17" s="14" t="n">
        <v>-33571.79</v>
      </c>
      <c r="G17" s="14" t="n">
        <v>-33571.79</v>
      </c>
      <c r="H17" s="13" t="s">
        <v>263</v>
      </c>
      <c r="I17" s="13" t="n">
        <v>0</v>
      </c>
      <c r="J17" s="13" t="s">
        <v>297</v>
      </c>
    </row>
    <row r="18" customFormat="false" ht="15" hidden="false" customHeight="false" outlineLevel="0" collapsed="false">
      <c r="A18" s="11" t="s">
        <v>319</v>
      </c>
      <c r="G18" s="12" t="n">
        <f aca="false">SUM(G2:G17)</f>
        <v>-425931.84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7" t="s">
        <v>320</v>
      </c>
      <c r="B1" s="17"/>
      <c r="C1" s="17"/>
    </row>
    <row r="2" customFormat="false" ht="15" hidden="false" customHeight="false" outlineLevel="0" collapsed="false">
      <c r="A2" s="18" t="s">
        <v>321</v>
      </c>
    </row>
    <row r="3" customFormat="false" ht="31.5" hidden="false" customHeight="true" outlineLevel="0" collapsed="false">
      <c r="A3" s="1" t="s">
        <v>322</v>
      </c>
      <c r="B3" s="1" t="s">
        <v>8</v>
      </c>
    </row>
    <row r="4" customFormat="false" ht="15" hidden="false" customHeight="false" outlineLevel="0" collapsed="false">
      <c r="A4" s="13" t="s">
        <v>323</v>
      </c>
      <c r="B4" s="14" t="n">
        <v>-425931.84</v>
      </c>
    </row>
    <row r="5" customFormat="false" ht="15" hidden="false" customHeight="false" outlineLevel="0" collapsed="false">
      <c r="A5" s="13" t="s">
        <v>324</v>
      </c>
      <c r="B5" s="14" t="n">
        <v>-425931.84</v>
      </c>
    </row>
    <row r="6" customFormat="false" ht="15" hidden="false" customHeight="false" outlineLevel="0" collapsed="false">
      <c r="A6" s="13" t="s">
        <v>325</v>
      </c>
      <c r="B6" s="14" t="n"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2026-07-18T00:30:34Z</dcterms:created>
  <dc:creator>openpyxl</dc:creator>
  <dc:description/>
  <dc:language>en-US</dc:language>
  <cp:lastModifiedBy/>
  <dcterms:modified xsi:type="dcterms:W3CDTF">2026-07-18T00:30:34Z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